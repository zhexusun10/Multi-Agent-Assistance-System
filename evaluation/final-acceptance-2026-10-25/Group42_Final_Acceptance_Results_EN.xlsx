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9d1c16003014d7e" /></Relationships>
</file>

<file path=xl/workbook.xml><?xml version="1.0" encoding="utf-8"?>
<x:workbook xmlns:x="http://schemas.openxmlformats.org/spreadsheetml/2006/main">
  <x:sheets>
    <x:sheet xmlns:r="http://schemas.openxmlformats.org/officeDocument/2006/relationships" name="Summary" sheetId="1" r:id="R2ef02d1e7367467c"/>
    <x:sheet xmlns:r="http://schemas.openxmlformats.org/officeDocument/2006/relationships" name="Scenarios" sheetId="2" r:id="R94ad7476d9a24114"/>
    <x:sheet xmlns:r="http://schemas.openxmlformats.org/officeDocument/2006/relationships" name="Repeat analysis" sheetId="3" r:id="Rb5d7d64fa5f74261"/>
    <x:sheet xmlns:r="http://schemas.openxmlformats.org/officeDocument/2006/relationships" name="Complex cases" sheetId="4" r:id="R75a4f9d2d79147e3"/>
    <x:sheet xmlns:r="http://schemas.openxmlformats.org/officeDocument/2006/relationships" name="Ratings" sheetId="5" r:id="Rb482bc9ef5e542af"/>
    <x:sheet xmlns:r="http://schemas.openxmlformats.org/officeDocument/2006/relationships" name="Rankings" sheetId="6" r:id="Ra766fa446e7f4999"/>
    <x:sheet xmlns:r="http://schemas.openxmlformats.org/officeDocument/2006/relationships" name="Cases" sheetId="7" r:id="Rf739d454f1694842"/>
    <x:sheet xmlns:r="http://schemas.openxmlformats.org/officeDocument/2006/relationships" name="Ideal ranking" sheetId="8" r:id="Rde42d3903a67472a"/>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
    <x:numFmt numFmtId="201" formatCode="0.0000"/>
    <x:numFmt numFmtId="202" formatCode="0.00%"/>
  </x:numFmts>
  <x:fonts count="8">
    <x:font>
      <x:sz val="11"/>
      <x:name val="Carlito"/>
    </x:font>
    <x:font>
      <x:sz val="10"/>
      <x:color rgb="FF223044"/>
      <x:name val="Arial"/>
    </x:font>
    <x:font>
      <x:b/>
      <x:sz val="14"/>
      <x:color rgb="FF000000"/>
      <x:name val="Arial"/>
    </x:font>
    <x:font>
      <x:i/>
      <x:sz val="10"/>
      <x:color rgb="FF637185"/>
      <x:name val="Arial"/>
    </x:font>
    <x:font>
      <x:b/>
      <x:sz val="10"/>
      <x:color rgb="FFFFFFFF"/>
      <x:name val="Arial"/>
    </x:font>
    <x:font>
      <x:sz val="10"/>
      <x:color rgb="FF637185"/>
      <x:name val="Arial"/>
    </x:font>
    <x:font>
      <x:b/>
      <x:sz val="12"/>
      <x:color rgb="FF000000"/>
      <x:name val="Arial"/>
    </x:font>
    <x:font>
      <x:b/>
      <x:sz val="10"/>
      <x:color rgb="FF000000"/>
      <x:name val="Arial"/>
    </x:font>
  </x:fonts>
  <x:fills count="4">
    <x:fill>
      <x:patternFill patternType="none"/>
    </x:fill>
    <x:fill>
      <x:patternFill patternType="gray125"/>
    </x:fill>
    <x:fill>
      <x:patternFill patternType="solid">
        <x:fgColor rgb="FF24374D"/>
      </x:patternFill>
    </x:fill>
    <x:fill>
      <x:patternFill patternType="solid">
        <x:fgColor rgb="FFFFF2CC"/>
      </x:patternFill>
    </x:fill>
  </x:fills>
  <x:borders count="1">
    <x:border>
      <x:left/>
      <x:right/>
      <x:top/>
      <x:bottom/>
      <x:diagonal/>
    </x:border>
  </x:borders>
  <x:cellStyleXfs count="1">
    <x:xf numFmtId="0" fontId="0" fillId="0" borderId="0"/>
  </x:cellStyleXfs>
  <x:cellXfs count="21">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3"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4" fillId="2" borderId="0" xfId="0" applyNumberFormat="1" applyFont="1" applyFill="1" applyBorder="1" applyAlignment="1">
      <x:alignment vertical="center"/>
    </x:xf>
    <x:xf numFmtId="0" fontId="4" fillId="2" borderId="0" xfId="0" applyNumberFormat="1" applyFont="1" applyFill="1" applyBorder="1" applyAlignment="1">
      <x:alignment vertical="center" wrapText="1"/>
    </x:xf>
    <x:xf numFmtId="0" fontId="4" fillId="2" borderId="0" xfId="0" applyNumberFormat="1" applyFont="1" applyFill="1" applyBorder="1" applyAlignment="1">
      <x:alignment horizontal="center" vertical="center" wrapText="1"/>
    </x:xf>
    <x:xf numFmtId="0" fontId="1" fillId="3" borderId="0" xfId="0" applyNumberFormat="1" applyFont="1" applyFill="1" applyBorder="1" applyAlignment="1">
      <x:alignment vertical="center"/>
    </x:xf>
    <x:xf numFmtId="200" fontId="1" fillId="0" borderId="0" xfId="0" applyNumberFormat="1" applyFont="1" applyFill="1" applyBorder="1" applyAlignment="1">
      <x:alignment vertical="center"/>
    </x:xf>
    <x:xf numFmtId="0" fontId="1" fillId="0" borderId="0" xfId="0" applyNumberFormat="1" applyFont="1" applyFill="1" applyBorder="1" applyAlignment="1">
      <x:alignment horizontal="center" vertical="center"/>
    </x:xf>
    <x:xf numFmtId="0" fontId="1" fillId="0" borderId="0" xfId="0" applyNumberFormat="1" applyFont="1" applyFill="1" applyBorder="1" applyAlignment="1">
      <x:alignment vertical="center" wrapText="1"/>
    </x:xf>
    <x:xf numFmtId="0" fontId="1" fillId="3" borderId="0" xfId="0" applyNumberFormat="1" applyFont="1" applyFill="1" applyBorder="1" applyAlignment="1">
      <x:alignment vertical="center" wrapText="1"/>
    </x:xf>
    <x:xf numFmtId="201" fontId="1" fillId="0" borderId="0" xfId="0" applyNumberFormat="1" applyFont="1" applyFill="1" applyBorder="1" applyAlignment="1">
      <x:alignment vertical="center"/>
    </x:xf>
    <x:xf numFmtId="202" fontId="1" fillId="0" borderId="0" xfId="0" applyNumberFormat="1" applyFont="1" applyFill="1" applyBorder="1" applyAlignment="1">
      <x:alignment vertical="center"/>
    </x:xf>
    <x:xf numFmtId="0" fontId="5" fillId="0" borderId="0" xfId="0" applyNumberFormat="1" applyFont="1" applyFill="1" applyBorder="1" applyAlignment="1">
      <x:alignment vertical="center"/>
    </x:xf>
    <x:xf numFmtId="0" fontId="5" fillId="0" borderId="0" xfId="0" applyNumberFormat="1" applyFont="1" applyFill="1" applyBorder="1" applyAlignment="1">
      <x:alignment vertical="center" wrapText="0"/>
    </x:xf>
    <x:xf numFmtId="0" fontId="6" fillId="0" borderId="0" xfId="0" applyNumberFormat="1" applyFont="1" applyFill="1" applyBorder="1" applyAlignment="1">
      <x:alignment vertical="center"/>
    </x:xf>
    <x:xf numFmtId="0" fontId="1" fillId="0" borderId="0" xfId="0" applyNumberFormat="1" applyFont="1" applyFill="1" applyBorder="1" applyAlignment="1">
      <x:alignment horizontal="center" vertical="center" wrapText="1"/>
    </x:xf>
    <x:xf numFmtId="0" fontId="7" fillId="0" borderId="0" xfId="0" applyNumberFormat="1" applyFont="1" applyFill="1" applyBorder="1" applyAlignment="1">
      <x:alignment vertical="center" wrapText="0"/>
    </x:xf>
  </x:cellXfs>
  <x:cellStyles count="1">
    <x:cellStyle name="Normal" xfId="0"/>
  </x:cellStyles>
  <x:dxfs count="2">
    <x:dxf>
      <x:font>
        <x:b/>
        <x:color rgb="FF9C0006"/>
      </x:font>
      <x:fill>
        <x:patternFill>
          <x:bgColor rgb="FFFCE4D6"/>
        </x:patternFill>
      </x:fill>
    </x:dxf>
    <x:dxf>
      <x:font>
        <x:color rgb="FF9C0006"/>
      </x:font>
      <x:fill>
        <x:patternFill>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3fd97987cd1448c" /><Relationship Type="http://schemas.openxmlformats.org/officeDocument/2006/relationships/theme" Target="/xl/theme/theme1.xml" Id="R5da37bccc36a4e84" /><Relationship Type="http://schemas.openxmlformats.org/officeDocument/2006/relationships/sharedStrings" Target="/xl/sharedStrings.xml" Id="R3d101fef05304bcf" /><Relationship Type="http://schemas.openxmlformats.org/officeDocument/2006/relationships/worksheet" Target="/xl/worksheets/sheet1.xml" Id="R2ef02d1e7367467c" /><Relationship Type="http://schemas.openxmlformats.org/officeDocument/2006/relationships/worksheet" Target="/xl/worksheets/sheet2.xml" Id="R94ad7476d9a24114" /><Relationship Type="http://schemas.openxmlformats.org/officeDocument/2006/relationships/worksheet" Target="/xl/worksheets/sheet3.xml" Id="Rb5d7d64fa5f74261" /><Relationship Type="http://schemas.openxmlformats.org/officeDocument/2006/relationships/worksheet" Target="/xl/worksheets/sheet4.xml" Id="R75a4f9d2d79147e3" /><Relationship Type="http://schemas.openxmlformats.org/officeDocument/2006/relationships/worksheet" Target="/xl/worksheets/sheet5.xml" Id="Rb482bc9ef5e542af" /><Relationship Type="http://schemas.openxmlformats.org/officeDocument/2006/relationships/worksheet" Target="/xl/worksheets/sheet6.xml" Id="Ra766fa446e7f4999" /><Relationship Type="http://schemas.openxmlformats.org/officeDocument/2006/relationships/worksheet" Target="/xl/worksheets/sheet7.xml" Id="Rf739d454f1694842" /><Relationship Type="http://schemas.openxmlformats.org/officeDocument/2006/relationships/worksheet" Target="/xl/worksheets/sheet8.xml" Id="Rde42d3903a67472a"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24374D"/>
  </x:sheetPr>
  <x:sheetViews>
    <x:sheetView showGridLines="0" workbookViewId="0"/>
  </x:sheetViews>
  <x:sheetFormatPr defaultRowHeight="15"/>
  <x:cols>
    <x:col min="1" max="1" width="8.329999923706055" hidden="0" customWidth="1"/>
    <x:col min="2" max="2" width="20" hidden="0" customWidth="1"/>
    <x:col min="3" max="3" width="20.559999465942383" hidden="0" customWidth="1"/>
    <x:col min="4" max="4" width="17.219999313354492" hidden="0" customWidth="1"/>
    <x:col min="5" max="5" width="3.890000104904175" hidden="0" customWidth="1"/>
    <x:col min="6" max="6" width="62.220001220703125" hidden="0" customWidth="1"/>
    <x:col min="7" max="7" width="16.670000076293945" hidden="0" customWidth="1"/>
    <x:col min="8" max="8" width="13.329999923706055" hidden="0" customWidth="1"/>
    <x:col min="9" max="9" width="13.329999923706055" hidden="0" customWidth="1"/>
    <x:col min="10" max="10" width="13.329999923706055" hidden="0" customWidth="1"/>
    <x:col min="11" max="11" width="13.329999923706055" hidden="0" customWidth="1"/>
    <x:col min="12" max="12" width="13.329999923706055" hidden="0" customWidth="1"/>
  </x:cols>
  <x:sheetData>
    <x:row r="1" ht="22" customHeight="1">
      <x:c r="A1" s="2"/>
      <x:c r="B1" s="2"/>
      <x:c r="C1" s="2"/>
      <x:c r="D1" s="2"/>
      <x:c r="E1" s="2"/>
      <x:c r="F1" s="2"/>
      <x:c r="G1" s="2"/>
      <x:c r="H1" s="2"/>
      <x:c r="I1" s="2"/>
      <x:c r="J1" s="2"/>
      <x:c r="K1" s="2"/>
      <x:c r="L1" s="2"/>
    </x:row>
    <x:row r="2" ht="22" customHeight="1">
      <x:c r="A2" s="3" t="str">
        <x:v>Final testing and acceptance results</x:v>
      </x:c>
      <x:c r="B2" s="2"/>
      <x:c r="C2" s="2"/>
      <x:c r="D2" s="2"/>
      <x:c r="E2" s="2"/>
      <x:c r="F2" s="2"/>
      <x:c r="G2" s="2"/>
      <x:c r="H2" s="2"/>
      <x:c r="I2" s="2"/>
      <x:c r="J2" s="2"/>
      <x:c r="K2" s="2"/>
      <x:c r="L2" s="2"/>
    </x:row>
    <x:row r="3" ht="22" customHeight="1">
      <x:c r="A3" s="4" t="str">
        <x:v>Acceptance completed 25 Oct 2026. Benchmark 4d687e3.</x:v>
      </x:c>
      <x:c r="B3" s="2"/>
      <x:c r="C3" s="2"/>
      <x:c r="D3" s="2"/>
      <x:c r="E3" s="2"/>
      <x:c r="F3" s="2"/>
      <x:c r="G3" s="2"/>
      <x:c r="H3" s="2"/>
      <x:c r="I3" s="2"/>
      <x:c r="J3" s="2"/>
      <x:c r="K3" s="2"/>
      <x:c r="L3" s="2"/>
    </x:row>
    <x:row r="4" ht="22" customHeight="1">
      <x:c r="A4" s="2"/>
      <x:c r="B4" s="2"/>
      <x:c r="C4" s="2"/>
      <x:c r="D4" s="2"/>
      <x:c r="E4" s="2"/>
      <x:c r="F4" s="2"/>
      <x:c r="G4" s="2"/>
      <x:c r="H4" s="2"/>
      <x:c r="I4" s="2"/>
      <x:c r="J4" s="2"/>
      <x:c r="K4" s="2"/>
      <x:c r="L4" s="2"/>
    </x:row>
    <x:row r="5" ht="36" customHeight="1">
      <x:c r="A5" s="8" t="str">
        <x:v>K</x:v>
      </x:c>
      <x:c r="B5" s="8" t="str">
        <x:v>Precision</x:v>
      </x:c>
      <x:c r="C5" s="8" t="str">
        <x:v>Pool Recall</x:v>
      </x:c>
      <x:c r="D5" s="8" t="str">
        <x:v>NDCG</x:v>
      </x:c>
      <x:c r="E5" s="2"/>
      <x:c r="F5" s="17" t="str">
        <x:v>Ranking means use 36 scenarios; Recall uses 35 because S03 has no relevant label.</x:v>
      </x:c>
      <x:c r="G5" s="2"/>
      <x:c r="H5" s="2"/>
      <x:c r="I5" s="2"/>
      <x:c r="J5" s="2"/>
      <x:c r="K5" s="2"/>
      <x:c r="L5" s="2"/>
    </x:row>
    <x:row r="6" ht="22" customHeight="1">
      <x:c r="A6" s="2" t="n">
        <x:v>1</x:v>
      </x:c>
      <x:c r="B6" s="15" t="n">
        <x:f>IF(COUNTIFS('Cases'!$E$6:$E$445,1,'Cases'!$F$6:$F$445,A6,'Cases'!$I$6:$I$445,"&gt;0")&gt;0,"Unknown",SUMIFS('Cases'!$K$6:$K$445,'Cases'!$E$6:$E$445,1,'Cases'!$F$6:$F$445,A6)/COUNTIFS('Cases'!$E$6:$E$445,1,'Cases'!$F$6:$F$445,A6))</x:f>
        <x:v>0.9722222222222222</x:v>
      </x:c>
      <x:c r="C6" s="15" t="n">
        <x:f>SUMIFS('Cases'!$L$6:$L$445,'Cases'!$E$6:$E$445,1,'Cases'!$F$6:$F$445,A6)/COUNTIFS('Cases'!$E$6:$E$445,1,'Cases'!$F$6:$F$445,A6,'Cases'!$J$6:$J$445,"&gt;0")</x:f>
        <x:v>0.1279938834498502</x:v>
      </x:c>
      <x:c r="D6" s="14" t="n">
        <x:f>IF(COUNTIFS('Cases'!$E$6:$E$445,1,'Cases'!$F$6:$F$445,A6,'Cases'!$I$6:$I$445,"&gt;0")&gt;0,"Unknown",SUMIFS('Cases'!$O$6:$O$445,'Cases'!$E$6:$E$445,1,'Cases'!$F$6:$F$445,A6)/COUNTIFS('Cases'!$E$6:$E$445,1,'Cases'!$F$6:$F$445,A6,'Cases'!$N$6:$N$445,"&gt;0"))</x:f>
        <x:v>1</x:v>
      </x:c>
      <x:c r="E6" s="2"/>
      <x:c r="F6" s="17" t="str">
        <x:v>The two cohorts use different documented scoring methods. Their comparison is descriptive.</x:v>
      </x:c>
      <x:c r="G6" s="2"/>
      <x:c r="H6" s="2"/>
      <x:c r="I6" s="2"/>
      <x:c r="J6" s="2"/>
      <x:c r="K6" s="2"/>
      <x:c r="L6" s="2"/>
    </x:row>
    <x:row r="7" ht="22" customHeight="1">
      <x:c r="A7" s="2" t="n">
        <x:v>2</x:v>
      </x:c>
      <x:c r="B7" s="15" t="n">
        <x:f>IF(COUNTIFS('Cases'!$E$6:$E$445,1,'Cases'!$F$6:$F$445,A7,'Cases'!$I$6:$I$445,"&gt;0")&gt;0,"Unknown",SUMIFS('Cases'!$K$6:$K$445,'Cases'!$E$6:$E$445,1,'Cases'!$F$6:$F$445,A7)/COUNTIFS('Cases'!$E$6:$E$445,1,'Cases'!$F$6:$F$445,A7))</x:f>
        <x:v>0.9444444444444444</x:v>
      </x:c>
      <x:c r="C7" s="15" t="n">
        <x:f>SUMIFS('Cases'!$L$6:$L$445,'Cases'!$E$6:$E$445,1,'Cases'!$F$6:$F$445,A7)/COUNTIFS('Cases'!$E$6:$E$445,1,'Cases'!$F$6:$F$445,A7,'Cases'!$J$6:$J$445,"&gt;0")</x:f>
        <x:v>0.19884490975684327</x:v>
      </x:c>
      <x:c r="D7" s="14" t="n">
        <x:f>IF(COUNTIFS('Cases'!$E$6:$E$445,1,'Cases'!$F$6:$F$445,A7,'Cases'!$I$6:$I$445,"&gt;0")&gt;0,"Unknown",SUMIFS('Cases'!$O$6:$O$445,'Cases'!$E$6:$E$445,1,'Cases'!$F$6:$F$445,A7)/COUNTIFS('Cases'!$E$6:$E$445,1,'Cases'!$F$6:$F$445,A7,'Cases'!$N$6:$N$445,"&gt;0"))</x:f>
        <x:v>0.9938594792502453</x:v>
      </x:c>
      <x:c r="E7" s="2"/>
      <x:c r="F7" s="17" t="str">
        <x:v>Pool Recall covers reviewed identities. Source-wide Recall is reported separately for the new cohort.</x:v>
      </x:c>
      <x:c r="G7" s="2"/>
      <x:c r="H7" s="2"/>
      <x:c r="I7" s="2"/>
      <x:c r="J7" s="2"/>
      <x:c r="K7" s="2"/>
      <x:c r="L7" s="2"/>
    </x:row>
    <x:row r="8" ht="22" customHeight="1">
      <x:c r="A8" s="2" t="n">
        <x:v>3</x:v>
      </x:c>
      <x:c r="B8" s="15" t="n">
        <x:f>IF(COUNTIFS('Cases'!$E$6:$E$445,1,'Cases'!$F$6:$F$445,A8,'Cases'!$I$6:$I$445,"&gt;0")&gt;0,"Unknown",SUMIFS('Cases'!$K$6:$K$445,'Cases'!$E$6:$E$445,1,'Cases'!$F$6:$F$445,A8)/COUNTIFS('Cases'!$E$6:$E$445,1,'Cases'!$F$6:$F$445,A8))</x:f>
        <x:v>0.9351851851851851</x:v>
      </x:c>
      <x:c r="C8" s="15" t="n">
        <x:f>SUMIFS('Cases'!$L$6:$L$445,'Cases'!$E$6:$E$445,1,'Cases'!$F$6:$F$445,A8)/COUNTIFS('Cases'!$E$6:$E$445,1,'Cases'!$F$6:$F$445,A8,'Cases'!$J$6:$J$445,"&gt;0")</x:f>
        <x:v>0.26969593606383624</x:v>
      </x:c>
      <x:c r="D8" s="14" t="n">
        <x:f>IF(COUNTIFS('Cases'!$E$6:$E$445,1,'Cases'!$F$6:$F$445,A8,'Cases'!$I$6:$I$445,"&gt;0")&gt;0,"Unknown",SUMIFS('Cases'!$O$6:$O$445,'Cases'!$E$6:$E$445,1,'Cases'!$F$6:$F$445,A8)/COUNTIFS('Cases'!$E$6:$E$445,1,'Cases'!$F$6:$F$445,A8,'Cases'!$N$6:$N$445,"&gt;0"))</x:f>
        <x:v>0.991575852794012</x:v>
      </x:c>
      <x:c r="E8" s="2"/>
      <x:c r="F8" s="17" t="str">
        <x:v>NDCG is relative to the judged pool. S03 can score 1.0000 with no binary hit.</x:v>
      </x:c>
      <x:c r="G8" s="2"/>
      <x:c r="H8" s="2"/>
      <x:c r="I8" s="2"/>
      <x:c r="J8" s="2"/>
      <x:c r="K8" s="2"/>
      <x:c r="L8" s="2"/>
    </x:row>
    <x:row r="9" ht="22" customHeight="1">
      <x:c r="A9" s="2" t="n">
        <x:v>4</x:v>
      </x:c>
      <x:c r="B9" s="15" t="n">
        <x:f>IF(COUNTIFS('Cases'!$E$6:$E$445,1,'Cases'!$F$6:$F$445,A9,'Cases'!$I$6:$I$445,"&gt;0")&gt;0,"Unknown",SUMIFS('Cases'!$K$6:$K$445,'Cases'!$E$6:$E$445,1,'Cases'!$F$6:$F$445,A9)/COUNTIFS('Cases'!$E$6:$E$445,1,'Cases'!$F$6:$F$445,A9))</x:f>
        <x:v>0.9166666666666666</x:v>
      </x:c>
      <x:c r="C9" s="15" t="n">
        <x:f>SUMIFS('Cases'!$L$6:$L$445,'Cases'!$E$6:$E$445,1,'Cases'!$F$6:$F$445,A9)/COUNTIFS('Cases'!$E$6:$E$445,1,'Cases'!$F$6:$F$445,A9,'Cases'!$J$6:$J$445,"&gt;0")</x:f>
        <x:v>0.3214993433232103</x:v>
      </x:c>
      <x:c r="D9" s="14" t="n">
        <x:f>IF(COUNTIFS('Cases'!$E$6:$E$445,1,'Cases'!$F$6:$F$445,A9,'Cases'!$I$6:$I$445,"&gt;0")&gt;0,"Unknown",SUMIFS('Cases'!$O$6:$O$445,'Cases'!$E$6:$E$445,1,'Cases'!$F$6:$F$445,A9)/COUNTIFS('Cases'!$E$6:$E$445,1,'Cases'!$F$6:$F$445,A9,'Cases'!$N$6:$N$445,"&gt;0"))</x:f>
        <x:v>0.9876548018050949</x:v>
      </x:c>
      <x:c r="E9" s="2"/>
      <x:c r="F9" s="17" t="str">
        <x:v>The corpus-grade file contains 428,620 automatic rule applications, not independent user cases.</x:v>
      </x:c>
      <x:c r="G9" s="2"/>
      <x:c r="H9" s="2"/>
      <x:c r="I9" s="2"/>
      <x:c r="J9" s="2"/>
      <x:c r="K9" s="2"/>
      <x:c r="L9" s="2"/>
    </x:row>
    <x:row r="10" ht="22" customHeight="1">
      <x:c r="A10" s="2" t="n">
        <x:v>5</x:v>
      </x:c>
      <x:c r="B10" s="15" t="n">
        <x:f>IF(COUNTIFS('Cases'!$E$6:$E$445,1,'Cases'!$F$6:$F$445,A10,'Cases'!$I$6:$I$445,"&gt;0")&gt;0,"Unknown",SUMIFS('Cases'!$K$6:$K$445,'Cases'!$E$6:$E$445,1,'Cases'!$F$6:$F$445,A10)/COUNTIFS('Cases'!$E$6:$E$445,1,'Cases'!$F$6:$F$445,A10))</x:f>
        <x:v>0.9055555555555556</x:v>
      </x:c>
      <x:c r="C10" s="15" t="n">
        <x:f>SUMIFS('Cases'!$L$6:$L$445,'Cases'!$E$6:$E$445,1,'Cases'!$F$6:$F$445,A10)/COUNTIFS('Cases'!$E$6:$E$445,1,'Cases'!$F$6:$F$445,A10,'Cases'!$J$6:$J$445,"&gt;0")</x:f>
        <x:v>0.37330275058258433</x:v>
      </x:c>
      <x:c r="D10" s="14" t="n">
        <x:f>IF(COUNTIFS('Cases'!$E$6:$E$445,1,'Cases'!$F$6:$F$445,A10,'Cases'!$I$6:$I$445,"&gt;0")&gt;0,"Unknown",SUMIFS('Cases'!$O$6:$O$445,'Cases'!$E$6:$E$445,1,'Cases'!$F$6:$F$445,A10)/COUNTIFS('Cases'!$E$6:$E$445,1,'Cases'!$F$6:$F$445,A10,'Cases'!$N$6:$N$445,"&gt;0"))</x:f>
        <x:v>0.9830266936572417</x:v>
      </x:c>
      <x:c r="E10" s="2"/>
      <x:c r="F10" s="17" t="str">
        <x:v>Complex suite retained separately, outside the final acceptance gate.</x:v>
      </x:c>
      <x:c r="G10" s="2"/>
      <x:c r="H10" s="2"/>
      <x:c r="I10" s="2"/>
      <x:c r="J10" s="2"/>
      <x:c r="K10" s="2"/>
      <x:c r="L10" s="2"/>
    </x:row>
    <x:row r="11" ht="22" customHeight="1">
      <x:c r="A11" s="2" t="n">
        <x:v>6</x:v>
      </x:c>
      <x:c r="B11" s="15" t="n">
        <x:f>IF(COUNTIFS('Cases'!$E$6:$E$445,1,'Cases'!$F$6:$F$445,A11,'Cases'!$I$6:$I$445,"&gt;0")&gt;0,"Unknown",SUMIFS('Cases'!$K$6:$K$445,'Cases'!$E$6:$E$445,1,'Cases'!$F$6:$F$445,A11)/COUNTIFS('Cases'!$E$6:$E$445,1,'Cases'!$F$6:$F$445,A11))</x:f>
        <x:v>0.8935185185185186</x:v>
      </x:c>
      <x:c r="C11" s="15" t="n">
        <x:f>SUMIFS('Cases'!$L$6:$L$445,'Cases'!$E$6:$E$445,1,'Cases'!$F$6:$F$445,A11)/COUNTIFS('Cases'!$E$6:$E$445,1,'Cases'!$F$6:$F$445,A11,'Cases'!$J$6:$J$445,"&gt;0")</x:f>
        <x:v>0.42272520546100584</x:v>
      </x:c>
      <x:c r="D11" s="14" t="n">
        <x:f>IF(COUNTIFS('Cases'!$E$6:$E$445,1,'Cases'!$F$6:$F$445,A11,'Cases'!$I$6:$I$445,"&gt;0")&gt;0,"Unknown",SUMIFS('Cases'!$O$6:$O$445,'Cases'!$E$6:$E$445,1,'Cases'!$F$6:$F$445,A11)/COUNTIFS('Cases'!$E$6:$E$445,1,'Cases'!$F$6:$F$445,A11,'Cases'!$N$6:$N$445,"&gt;0"))</x:f>
        <x:v>0.9748792797760564</x:v>
      </x:c>
      <x:c r="E11" s="2"/>
      <x:c r="F11" s="20" t="str">
        <x:v>FINAL ACCEPTANCE COMPLETED for the agreed scope.</x:v>
      </x:c>
      <x:c r="G11" s="2"/>
      <x:c r="H11" s="2"/>
      <x:c r="I11" s="2"/>
      <x:c r="J11" s="2"/>
      <x:c r="K11" s="2"/>
      <x:c r="L11" s="2"/>
    </x:row>
    <x:row r="12" ht="22" customHeight="1">
      <x:c r="A12" s="2" t="n">
        <x:v>7</x:v>
      </x:c>
      <x:c r="B12" s="15" t="n">
        <x:f>IF(COUNTIFS('Cases'!$E$6:$E$445,1,'Cases'!$F$6:$F$445,A12,'Cases'!$I$6:$I$445,"&gt;0")&gt;0,"Unknown",SUMIFS('Cases'!$K$6:$K$445,'Cases'!$E$6:$E$445,1,'Cases'!$F$6:$F$445,A12)/COUNTIFS('Cases'!$E$6:$E$445,1,'Cases'!$F$6:$F$445,A12))</x:f>
        <x:v>0.8809523809523809</x:v>
      </x:c>
      <x:c r="C12" s="15" t="n">
        <x:f>SUMIFS('Cases'!$L$6:$L$445,'Cases'!$E$6:$E$445,1,'Cases'!$F$6:$F$445,A12)/COUNTIFS('Cases'!$E$6:$E$445,1,'Cases'!$F$6:$F$445,A12,'Cases'!$J$6:$J$445,"&gt;0")</x:f>
        <x:v>0.46738575557752265</x:v>
      </x:c>
      <x:c r="D12" s="14" t="n">
        <x:f>IF(COUNTIFS('Cases'!$E$6:$E$445,1,'Cases'!$F$6:$F$445,A12,'Cases'!$I$6:$I$445,"&gt;0")&gt;0,"Unknown",SUMIFS('Cases'!$O$6:$O$445,'Cases'!$E$6:$E$445,1,'Cases'!$F$6:$F$445,A12)/COUNTIFS('Cases'!$E$6:$E$445,1,'Cases'!$F$6:$F$445,A12,'Cases'!$N$6:$N$445,"&gt;0"))</x:f>
        <x:v>0.9699608049021301</x:v>
      </x:c>
      <x:c r="E12" s="2"/>
      <x:c r="F12" s="17" t="str">
        <x:v>Participant UAT and independent human scoring are not required.</x:v>
      </x:c>
      <x:c r="G12" s="2"/>
      <x:c r="H12" s="2"/>
      <x:c r="I12" s="2"/>
      <x:c r="J12" s="2"/>
      <x:c r="K12" s="2"/>
      <x:c r="L12" s="2"/>
    </x:row>
    <x:row r="13" ht="22" customHeight="1">
      <x:c r="A13" s="2" t="n">
        <x:v>8</x:v>
      </x:c>
      <x:c r="B13" s="15" t="n">
        <x:f>IF(COUNTIFS('Cases'!$E$6:$E$445,1,'Cases'!$F$6:$F$445,A13,'Cases'!$I$6:$I$445,"&gt;0")&gt;0,"Unknown",SUMIFS('Cases'!$K$6:$K$445,'Cases'!$E$6:$E$445,1,'Cases'!$F$6:$F$445,A13)/COUNTIFS('Cases'!$E$6:$E$445,1,'Cases'!$F$6:$F$445,A13))</x:f>
        <x:v>0.8715277777777778</x:v>
      </x:c>
      <x:c r="C13" s="15" t="n">
        <x:f>SUMIFS('Cases'!$L$6:$L$445,'Cases'!$E$6:$E$445,1,'Cases'!$F$6:$F$445,A13)/COUNTIFS('Cases'!$E$6:$E$445,1,'Cases'!$F$6:$F$445,A13,'Cases'!$J$6:$J$445,"&gt;0")</x:f>
        <x:v>0.5120463056940396</x:v>
      </x:c>
      <x:c r="D13" s="14" t="n">
        <x:f>IF(COUNTIFS('Cases'!$E$6:$E$445,1,'Cases'!$F$6:$F$445,A13,'Cases'!$I$6:$I$445,"&gt;0")&gt;0,"Unknown",SUMIFS('Cases'!$O$6:$O$445,'Cases'!$E$6:$E$445,1,'Cases'!$F$6:$F$445,A13)/COUNTIFS('Cases'!$E$6:$E$445,1,'Cases'!$F$6:$F$445,A13,'Cases'!$N$6:$N$445,"&gt;0"))</x:f>
        <x:v>0.9644778412576096</x:v>
      </x:c>
      <x:c r="E13" s="2"/>
      <x:c r="F13" s="17" t="str">
        <x:v>Frozen reference grades adopted unchanged; original failures retained.</x:v>
      </x:c>
      <x:c r="G13" s="2"/>
      <x:c r="H13" s="2"/>
      <x:c r="I13" s="2"/>
      <x:c r="J13" s="2"/>
      <x:c r="K13" s="2"/>
      <x:c r="L13" s="2"/>
    </x:row>
    <x:row r="14" ht="22" customHeight="1">
      <x:c r="A14" s="2" t="n">
        <x:v>9</x:v>
      </x:c>
      <x:c r="B14" s="15" t="n">
        <x:f>IF(COUNTIFS('Cases'!$E$6:$E$445,1,'Cases'!$F$6:$F$445,A14,'Cases'!$I$6:$I$445,"&gt;0")&gt;0,"Unknown",SUMIFS('Cases'!$K$6:$K$445,'Cases'!$E$6:$E$445,1,'Cases'!$F$6:$F$445,A14)/COUNTIFS('Cases'!$E$6:$E$445,1,'Cases'!$F$6:$F$445,A14))</x:f>
        <x:v>0.861111111111111</x:v>
      </x:c>
      <x:c r="C14" s="15" t="n">
        <x:f>SUMIFS('Cases'!$L$6:$L$445,'Cases'!$E$6:$E$445,1,'Cases'!$F$6:$F$445,A14)/COUNTIFS('Cases'!$E$6:$E$445,1,'Cases'!$F$6:$F$445,A14,'Cases'!$J$6:$J$445,"&gt;0")</x:f>
        <x:v>0.5535322526359532</x:v>
      </x:c>
      <x:c r="D14" s="14" t="n">
        <x:f>IF(COUNTIFS('Cases'!$E$6:$E$445,1,'Cases'!$F$6:$F$445,A14,'Cases'!$I$6:$I$445,"&gt;0")&gt;0,"Unknown",SUMIFS('Cases'!$O$6:$O$445,'Cases'!$E$6:$E$445,1,'Cases'!$F$6:$F$445,A14)/COUNTIFS('Cases'!$E$6:$E$445,1,'Cases'!$F$6:$F$445,A14,'Cases'!$N$6:$N$445,"&gt;0"))</x:f>
        <x:v>0.9589103590323419</x:v>
      </x:c>
      <x:c r="E14" s="2"/>
      <x:c r="F14" s="17" t="str">
        <x:v>Current-main display compatibility: 8 of 8 local tests passed.</x:v>
      </x:c>
      <x:c r="G14" s="2"/>
      <x:c r="H14" s="2"/>
      <x:c r="I14" s="2"/>
      <x:c r="J14" s="2"/>
      <x:c r="K14" s="2"/>
      <x:c r="L14" s="2"/>
    </x:row>
    <x:row r="15" ht="22" customHeight="1">
      <x:c r="A15" s="2" t="n">
        <x:v>10</x:v>
      </x:c>
      <x:c r="B15" s="15" t="n">
        <x:f>IF(COUNTIFS('Cases'!$E$6:$E$445,1,'Cases'!$F$6:$F$445,A15,'Cases'!$I$6:$I$445,"&gt;0")&gt;0,"Unknown",SUMIFS('Cases'!$K$6:$K$445,'Cases'!$E$6:$E$445,1,'Cases'!$F$6:$F$445,A15)/COUNTIFS('Cases'!$E$6:$E$445,1,'Cases'!$F$6:$F$445,A15))</x:f>
        <x:v>0.8500000000000001</x:v>
      </x:c>
      <x:c r="C15" s="15" t="n">
        <x:f>SUMIFS('Cases'!$L$6:$L$445,'Cases'!$E$6:$E$445,1,'Cases'!$F$6:$F$445,A15)/COUNTIFS('Cases'!$E$6:$E$445,1,'Cases'!$F$6:$F$445,A15,'Cases'!$J$6:$J$445,"&gt;0")</x:f>
        <x:v>0.5932324852921528</x:v>
      </x:c>
      <x:c r="D15" s="14" t="n">
        <x:f>IF(COUNTIFS('Cases'!$E$6:$E$445,1,'Cases'!$F$6:$F$445,A15,'Cases'!$I$6:$I$445,"&gt;0")&gt;0,"Unknown",SUMIFS('Cases'!$O$6:$O$445,'Cases'!$E$6:$E$445,1,'Cases'!$F$6:$F$445,A15)/COUNTIFS('Cases'!$E$6:$E$445,1,'Cases'!$F$6:$F$445,A15,'Cases'!$N$6:$N$445,"&gt;0"))</x:f>
        <x:v>0.9540947737829583</x:v>
      </x:c>
      <x:c r="E15" s="2"/>
      <x:c r="F15" s="17" t="str">
        <x:v>Native core identity: 27 of 27 selected files match the live benchmark.</x:v>
      </x:c>
      <x:c r="G15" s="2"/>
      <x:c r="H15" s="2"/>
      <x:c r="I15" s="2"/>
      <x:c r="J15" s="2"/>
      <x:c r="K15" s="2"/>
      <x:c r="L15" s="2"/>
    </x:row>
    <x:row r="16" ht="22" customHeight="1">
      <x:c r="A16" s="2"/>
      <x:c r="B16" s="2"/>
      <x:c r="C16" s="2"/>
      <x:c r="D16" s="2"/>
      <x:c r="E16" s="2"/>
      <x:c r="F16" s="2"/>
      <x:c r="G16" s="2"/>
      <x:c r="H16" s="2"/>
      <x:c r="I16" s="2"/>
      <x:c r="J16" s="2"/>
      <x:c r="K16" s="2"/>
      <x:c r="L16" s="2"/>
    </x:row>
    <x:row r="17" ht="22" customHeight="1">
      <x:c r="A17" s="2"/>
      <x:c r="B17" s="2"/>
      <x:c r="C17" s="2"/>
      <x:c r="D17" s="2"/>
      <x:c r="E17" s="2"/>
      <x:c r="F17" s="2"/>
      <x:c r="G17" s="2"/>
      <x:c r="H17" s="2"/>
      <x:c r="I17" s="2"/>
      <x:c r="J17" s="2"/>
      <x:c r="K17" s="2"/>
      <x:c r="L17" s="2"/>
    </x:row>
    <x:row r="18" ht="22" customHeight="1">
      <x:c r="A18" s="2"/>
      <x:c r="B18" s="2"/>
      <x:c r="C18" s="2"/>
      <x:c r="D18" s="2"/>
      <x:c r="E18" s="2"/>
      <x:c r="F18" s="2"/>
      <x:c r="G18" s="2"/>
      <x:c r="H18" s="2"/>
      <x:c r="I18" s="2"/>
      <x:c r="J18" s="2"/>
      <x:c r="K18" s="2"/>
      <x:c r="L18" s="2"/>
    </x:row>
    <x:row r="19" ht="22" customHeight="1">
      <x:c r="A19" s="18" t="str">
        <x:v>Retained twenty scenarios</x:v>
      </x:c>
      <x:c r="B19" s="2"/>
      <x:c r="C19" s="2"/>
      <x:c r="D19" s="2"/>
      <x:c r="E19" s="2"/>
      <x:c r="F19" s="2"/>
      <x:c r="G19" s="2"/>
      <x:c r="H19" s="2"/>
      <x:c r="I19" s="2"/>
      <x:c r="J19" s="2"/>
      <x:c r="K19" s="2"/>
      <x:c r="L19" s="2"/>
    </x:row>
    <x:row r="20" ht="22" customHeight="1">
      <x:c r="A20" s="2"/>
      <x:c r="B20" s="2"/>
      <x:c r="C20" s="2"/>
      <x:c r="D20" s="2"/>
      <x:c r="E20" s="2"/>
      <x:c r="F20" s="2"/>
      <x:c r="G20" s="2"/>
      <x:c r="H20" s="2"/>
      <x:c r="I20" s="2"/>
      <x:c r="J20" s="2"/>
      <x:c r="K20" s="2"/>
      <x:c r="L20" s="2"/>
    </x:row>
    <x:row r="21" ht="32" customHeight="1">
      <x:c r="A21" s="8" t="str">
        <x:v>K</x:v>
      </x:c>
      <x:c r="B21" s="8" t="str">
        <x:v>Precision</x:v>
      </x:c>
      <x:c r="C21" s="8" t="str">
        <x:v>Pool Recall</x:v>
      </x:c>
      <x:c r="D21" s="8" t="str">
        <x:v>NDCG</x:v>
      </x:c>
      <x:c r="E21" s="2"/>
      <x:c r="F21" s="7" t="str">
        <x:v>Historical stress study</x:v>
      </x:c>
      <x:c r="G21" s="7" t="str">
        <x:v>Value</x:v>
      </x:c>
      <x:c r="H21" s="2"/>
      <x:c r="I21" s="2"/>
      <x:c r="J21" s="2"/>
      <x:c r="K21" s="2"/>
      <x:c r="L21" s="2"/>
    </x:row>
    <x:row r="22" ht="22" customHeight="1">
      <x:c r="A22" s="2" t="n">
        <x:v>1</x:v>
      </x:c>
      <x:c r="B22" s="15" t="n">
        <x:f>IF(COUNTIFS('Cases'!$E$6:$E$445,1,'Cases'!$F$6:$F$445,A22, 'Cases'!$D$6:$D$445,"Retained",'Cases'!$I$6:$I$445,"&gt;0")&gt;0,"Unknown",SUMIFS('Cases'!$K$6:$K$445,'Cases'!$E$6:$E$445,1,'Cases'!$F$6:$F$445,A22, 'Cases'!$D$6:$D$445,"Retained")/COUNTIFS('Cases'!$E$6:$E$445,1,'Cases'!$F$6:$F$445,A22, 'Cases'!$D$6:$D$445,"Retained"))</x:f>
        <x:v>0.9444444444444444</x:v>
      </x:c>
      <x:c r="C22" s="15" t="n">
        <x:f>SUMIFS('Cases'!$L$6:$L$445,'Cases'!$E$6:$E$445,1,'Cases'!$F$6:$F$445,A22, 'Cases'!$D$6:$D$445,"Retained")/COUNTIFS('Cases'!$E$6:$E$445,1,'Cases'!$F$6:$F$445,A22, 'Cases'!$D$6:$D$445,"Retained",'Cases'!$J$6:$J$445,"&gt;0")</x:f>
        <x:v>0.08706183636068904</x:v>
      </x:c>
      <x:c r="D22" s="14" t="n">
        <x:f>IF(COUNTIFS('Cases'!$E$6:$E$445,1,'Cases'!$F$6:$F$445,A22, 'Cases'!$D$6:$D$445,"Retained",'Cases'!$I$6:$I$445,"&gt;0")&gt;0,"Unknown",SUMIFS('Cases'!$O$6:$O$445,'Cases'!$E$6:$E$445,1,'Cases'!$F$6:$F$445,A22, 'Cases'!$D$6:$D$445,"Retained")/COUNTIFS('Cases'!$E$6:$E$445,1,'Cases'!$F$6:$F$445,A22, 'Cases'!$D$6:$D$445,"Retained",'Cases'!$N$6:$N$445,"&gt;0"))</x:f>
        <x:v>1</x:v>
      </x:c>
      <x:c r="E22" s="2"/>
      <x:c r="F22" s="2" t="str">
        <x:v>Final-operation completion in the historical run</x:v>
      </x:c>
      <x:c r="G22" s="15" t="n">
        <x:f>COUNTIF('Complex cases'!$D$6:$D$65,"completed")/COUNTA('Complex cases'!$A$6:$A$65)</x:f>
        <x:v>0.65</x:v>
      </x:c>
      <x:c r="H22" s="2"/>
      <x:c r="I22" s="2"/>
      <x:c r="J22" s="2"/>
      <x:c r="K22" s="2"/>
      <x:c r="L22" s="2"/>
    </x:row>
    <x:row r="23" ht="22" customHeight="1">
      <x:c r="A23" s="2" t="n">
        <x:v>2</x:v>
      </x:c>
      <x:c r="B23" s="15" t="n">
        <x:f>IF(COUNTIFS('Cases'!$E$6:$E$445,1,'Cases'!$F$6:$F$445,A23, 'Cases'!$D$6:$D$445,"Retained",'Cases'!$I$6:$I$445,"&gt;0")&gt;0,"Unknown",SUMIFS('Cases'!$K$6:$K$445,'Cases'!$E$6:$E$445,1,'Cases'!$F$6:$F$445,A23, 'Cases'!$D$6:$D$445,"Retained")/COUNTIFS('Cases'!$E$6:$E$445,1,'Cases'!$F$6:$F$445,A23, 'Cases'!$D$6:$D$445,"Retained"))</x:f>
        <x:v>0.9444444444444444</x:v>
      </x:c>
      <x:c r="C23" s="15" t="n">
        <x:f>SUMIFS('Cases'!$L$6:$L$445,'Cases'!$E$6:$E$445,1,'Cases'!$F$6:$F$445,A23, 'Cases'!$D$6:$D$445,"Retained")/COUNTIFS('Cases'!$E$6:$E$445,1,'Cases'!$F$6:$F$445,A23, 'Cases'!$D$6:$D$445,"Retained",'Cases'!$J$6:$J$445,"&gt;0")</x:f>
        <x:v>0.17412367272137808</x:v>
      </x:c>
      <x:c r="D23" s="14" t="n">
        <x:f>IF(COUNTIFS('Cases'!$E$6:$E$445,1,'Cases'!$F$6:$F$445,A23, 'Cases'!$D$6:$D$445,"Retained",'Cases'!$I$6:$I$445,"&gt;0")&gt;0,"Unknown",SUMIFS('Cases'!$O$6:$O$445,'Cases'!$E$6:$E$445,1,'Cases'!$F$6:$F$445,A23, 'Cases'!$D$6:$D$445,"Retained")/COUNTIFS('Cases'!$E$6:$E$445,1,'Cases'!$F$6:$F$445,A23, 'Cases'!$D$6:$D$445,"Retained",'Cases'!$N$6:$N$445,"&gt;0"))</x:f>
        <x:v>0.9877189585004906</x:v>
      </x:c>
      <x:c r="E23" s="2"/>
      <x:c r="F23" s="2" t="str">
        <x:v>Every-turn completion</x:v>
      </x:c>
      <x:c r="G23" s="15" t="n">
        <x:f>SUM('Complex cases'!$E$6:$E$65)/COUNTA('Complex cases'!$A$6:$A$65)</x:f>
        <x:v>0.5666666666666667</x:v>
      </x:c>
      <x:c r="H23" s="2"/>
      <x:c r="I23" s="2"/>
      <x:c r="J23" s="2"/>
      <x:c r="K23" s="2"/>
      <x:c r="L23" s="2"/>
    </x:row>
    <x:row r="24" ht="22" customHeight="1">
      <x:c r="A24" s="2" t="n">
        <x:v>3</x:v>
      </x:c>
      <x:c r="B24" s="15" t="n">
        <x:f>IF(COUNTIFS('Cases'!$E$6:$E$445,1,'Cases'!$F$6:$F$445,A24, 'Cases'!$D$6:$D$445,"Retained",'Cases'!$I$6:$I$445,"&gt;0")&gt;0,"Unknown",SUMIFS('Cases'!$K$6:$K$445,'Cases'!$E$6:$E$445,1,'Cases'!$F$6:$F$445,A24, 'Cases'!$D$6:$D$445,"Retained")/COUNTIFS('Cases'!$E$6:$E$445,1,'Cases'!$F$6:$F$445,A24, 'Cases'!$D$6:$D$445,"Retained"))</x:f>
        <x:v>0.9444444444444444</x:v>
      </x:c>
      <x:c r="C24" s="15" t="n">
        <x:f>SUMIFS('Cases'!$L$6:$L$445,'Cases'!$E$6:$E$445,1,'Cases'!$F$6:$F$445,A24, 'Cases'!$D$6:$D$445,"Retained")/COUNTIFS('Cases'!$E$6:$E$445,1,'Cases'!$F$6:$F$445,A24, 'Cases'!$D$6:$D$445,"Retained",'Cases'!$J$6:$J$445,"&gt;0")</x:f>
        <x:v>0.26118550908206706</x:v>
      </x:c>
      <x:c r="D24" s="14" t="n">
        <x:f>IF(COUNTIFS('Cases'!$E$6:$E$445,1,'Cases'!$F$6:$F$445,A24, 'Cases'!$D$6:$D$445,"Retained",'Cases'!$I$6:$I$445,"&gt;0")&gt;0,"Unknown",SUMIFS('Cases'!$O$6:$O$445,'Cases'!$E$6:$E$445,1,'Cases'!$F$6:$F$445,A24, 'Cases'!$D$6:$D$445,"Retained")/COUNTIFS('Cases'!$E$6:$E$445,1,'Cases'!$F$6:$F$445,A24, 'Cases'!$D$6:$D$445,"Retained",'Cases'!$N$6:$N$445,"&gt;0"))</x:f>
        <x:v>0.983151705588024</x:v>
      </x:c>
      <x:c r="E24" s="2"/>
      <x:c r="F24" s="2" t="str">
        <x:v>Completed authored turns</x:v>
      </x:c>
      <x:c r="G24" s="15" t="n">
        <x:f>(SUM('Complex cases'!$B$6:$B$65)-SUM('Complex cases'!$F$6:$F$65))/SUM('Complex cases'!$B$6:$B$65)</x:f>
        <x:v>0.7155172413793104</x:v>
      </x:c>
      <x:c r="H24" s="2"/>
      <x:c r="I24" s="2"/>
      <x:c r="J24" s="2"/>
      <x:c r="K24" s="2"/>
      <x:c r="L24" s="2"/>
    </x:row>
    <x:row r="25" ht="22" customHeight="1">
      <x:c r="A25" s="2" t="n">
        <x:v>4</x:v>
      </x:c>
      <x:c r="B25" s="15" t="n">
        <x:f>IF(COUNTIFS('Cases'!$E$6:$E$445,1,'Cases'!$F$6:$F$445,A25, 'Cases'!$D$6:$D$445,"Retained",'Cases'!$I$6:$I$445,"&gt;0")&gt;0,"Unknown",SUMIFS('Cases'!$K$6:$K$445,'Cases'!$E$6:$E$445,1,'Cases'!$F$6:$F$445,A25, 'Cases'!$D$6:$D$445,"Retained")/COUNTIFS('Cases'!$E$6:$E$445,1,'Cases'!$F$6:$F$445,A25, 'Cases'!$D$6:$D$445,"Retained"))</x:f>
        <x:v>0.9305555555555556</x:v>
      </x:c>
      <x:c r="C25" s="15" t="n">
        <x:f>SUMIFS('Cases'!$L$6:$L$445,'Cases'!$E$6:$E$445,1,'Cases'!$F$6:$F$445,A25, 'Cases'!$D$6:$D$445,"Retained")/COUNTIFS('Cases'!$E$6:$E$445,1,'Cases'!$F$6:$F$445,A25, 'Cases'!$D$6:$D$445,"Retained",'Cases'!$J$6:$J$445,"&gt;0")</x:f>
        <x:v>0.32863950230550126</x:v>
      </x:c>
      <x:c r="D25" s="14" t="n">
        <x:f>IF(COUNTIFS('Cases'!$E$6:$E$445,1,'Cases'!$F$6:$F$445,A25, 'Cases'!$D$6:$D$445,"Retained",'Cases'!$I$6:$I$445,"&gt;0")&gt;0,"Unknown",SUMIFS('Cases'!$O$6:$O$445,'Cases'!$E$6:$E$445,1,'Cases'!$F$6:$F$445,A25, 'Cases'!$D$6:$D$445,"Retained")/COUNTIFS('Cases'!$E$6:$E$445,1,'Cases'!$F$6:$F$445,A25, 'Cases'!$D$6:$D$445,"Retained",'Cases'!$N$6:$N$445,"&gt;0"))</x:f>
        <x:v>0.980646985714035</x:v>
      </x:c>
      <x:c r="E25" s="2"/>
      <x:c r="F25" s="2" t="str">
        <x:v>Historical final failures retained</x:v>
      </x:c>
      <x:c r="G25" s="2" t="n">
        <x:f>COUNTIF('Complex cases'!$D$6:$D$65,"failed")</x:f>
        <x:v>21</x:v>
      </x:c>
      <x:c r="H25" s="2"/>
      <x:c r="I25" s="2"/>
      <x:c r="J25" s="2"/>
      <x:c r="K25" s="2"/>
      <x:c r="L25" s="2"/>
    </x:row>
    <x:row r="26" ht="22" customHeight="1">
      <x:c r="A26" s="2" t="n">
        <x:v>5</x:v>
      </x:c>
      <x:c r="B26" s="15" t="n">
        <x:f>IF(COUNTIFS('Cases'!$E$6:$E$445,1,'Cases'!$F$6:$F$445,A26, 'Cases'!$D$6:$D$445,"Retained",'Cases'!$I$6:$I$445,"&gt;0")&gt;0,"Unknown",SUMIFS('Cases'!$K$6:$K$445,'Cases'!$E$6:$E$445,1,'Cases'!$F$6:$F$445,A26, 'Cases'!$D$6:$D$445,"Retained")/COUNTIFS('Cases'!$E$6:$E$445,1,'Cases'!$F$6:$F$445,A26, 'Cases'!$D$6:$D$445,"Retained"))</x:f>
        <x:v>0.9222222222222223</x:v>
      </x:c>
      <x:c r="C26" s="15" t="n">
        <x:f>SUMIFS('Cases'!$L$6:$L$445,'Cases'!$E$6:$E$445,1,'Cases'!$F$6:$F$445,A26, 'Cases'!$D$6:$D$445,"Retained")/COUNTIFS('Cases'!$E$6:$E$445,1,'Cases'!$F$6:$F$445,A26, 'Cases'!$D$6:$D$445,"Retained",'Cases'!$J$6:$J$445,"&gt;0")</x:f>
        <x:v>0.3960934955289353</x:v>
      </x:c>
      <x:c r="D26" s="14" t="n">
        <x:f>IF(COUNTIFS('Cases'!$E$6:$E$445,1,'Cases'!$F$6:$F$445,A26, 'Cases'!$D$6:$D$445,"Retained",'Cases'!$I$6:$I$445,"&gt;0")&gt;0,"Unknown",SUMIFS('Cases'!$O$6:$O$445,'Cases'!$E$6:$E$445,1,'Cases'!$F$6:$F$445,A26, 'Cases'!$D$6:$D$445,"Retained")/COUNTIFS('Cases'!$E$6:$E$445,1,'Cases'!$F$6:$F$445,A26, 'Cases'!$D$6:$D$445,"Retained",'Cases'!$N$6:$N$445,"&gt;0"))</x:f>
        <x:v>0.9790209588975751</x:v>
      </x:c>
      <x:c r="E26" s="2"/>
      <x:c r="F26" s="2"/>
      <x:c r="G26" s="2"/>
      <x:c r="H26" s="2"/>
      <x:c r="I26" s="2"/>
      <x:c r="J26" s="2"/>
      <x:c r="K26" s="2"/>
      <x:c r="L26" s="2"/>
    </x:row>
    <x:row r="27" ht="22" customHeight="1">
      <x:c r="A27" s="2" t="n">
        <x:v>6</x:v>
      </x:c>
      <x:c r="B27" s="15" t="n">
        <x:f>IF(COUNTIFS('Cases'!$E$6:$E$445,1,'Cases'!$F$6:$F$445,A27, 'Cases'!$D$6:$D$445,"Retained",'Cases'!$I$6:$I$445,"&gt;0")&gt;0,"Unknown",SUMIFS('Cases'!$K$6:$K$445,'Cases'!$E$6:$E$445,1,'Cases'!$F$6:$F$445,A27, 'Cases'!$D$6:$D$445,"Retained")/COUNTIFS('Cases'!$E$6:$E$445,1,'Cases'!$F$6:$F$445,A27, 'Cases'!$D$6:$D$445,"Retained"))</x:f>
        <x:v>0.9074074074074073</x:v>
      </x:c>
      <x:c r="C27" s="15" t="n">
        <x:f>SUMIFS('Cases'!$L$6:$L$445,'Cases'!$E$6:$E$445,1,'Cases'!$F$6:$F$445,A27, 'Cases'!$D$6:$D$445,"Retained")/COUNTIFS('Cases'!$E$6:$E$445,1,'Cases'!$F$6:$F$445,A27, 'Cases'!$D$6:$D$445,"Retained",'Cases'!$J$6:$J$445,"&gt;0")</x:f>
        <x:v>0.45864552796805574</x:v>
      </x:c>
      <x:c r="D27" s="14" t="n">
        <x:f>IF(COUNTIFS('Cases'!$E$6:$E$445,1,'Cases'!$F$6:$F$445,A27, 'Cases'!$D$6:$D$445,"Retained",'Cases'!$I$6:$I$445,"&gt;0")&gt;0,"Unknown",SUMIFS('Cases'!$O$6:$O$445,'Cases'!$E$6:$E$445,1,'Cases'!$F$6:$F$445,A27, 'Cases'!$D$6:$D$445,"Retained")/COUNTIFS('Cases'!$E$6:$E$445,1,'Cases'!$F$6:$F$445,A27, 'Cases'!$D$6:$D$445,"Retained",'Cases'!$N$6:$N$445,"&gt;0"))</x:f>
        <x:v>0.9681721234008531</x:v>
      </x:c>
      <x:c r="E27" s="2"/>
      <x:c r="F27" s="2" t="str">
        <x:v>Historical diagnostics are outside the agreed final acceptance gate.</x:v>
      </x:c>
      <x:c r="G27" s="2"/>
      <x:c r="H27" s="2"/>
      <x:c r="I27" s="2"/>
      <x:c r="J27" s="2"/>
      <x:c r="K27" s="2"/>
      <x:c r="L27" s="2"/>
    </x:row>
    <x:row r="28" ht="22" customHeight="1">
      <x:c r="A28" s="2" t="n">
        <x:v>7</x:v>
      </x:c>
      <x:c r="B28" s="15" t="n">
        <x:f>IF(COUNTIFS('Cases'!$E$6:$E$445,1,'Cases'!$F$6:$F$445,A28, 'Cases'!$D$6:$D$445,"Retained",'Cases'!$I$6:$I$445,"&gt;0")&gt;0,"Unknown",SUMIFS('Cases'!$K$6:$K$445,'Cases'!$E$6:$E$445,1,'Cases'!$F$6:$F$445,A28, 'Cases'!$D$6:$D$445,"Retained")/COUNTIFS('Cases'!$E$6:$E$445,1,'Cases'!$F$6:$F$445,A28, 'Cases'!$D$6:$D$445,"Retained"))</x:f>
        <x:v>0.8888888888888888</x:v>
      </x:c>
      <x:c r="C28" s="15" t="n">
        <x:f>SUMIFS('Cases'!$L$6:$L$445,'Cases'!$E$6:$E$445,1,'Cases'!$F$6:$F$445,A28, 'Cases'!$D$6:$D$445,"Retained")/COUNTIFS('Cases'!$E$6:$E$445,1,'Cases'!$F$6:$F$445,A28, 'Cases'!$D$6:$D$445,"Retained",'Cases'!$J$6:$J$445,"&gt;0")</x:f>
        <x:v>0.5113936388385486</x:v>
      </x:c>
      <x:c r="D28" s="14" t="n">
        <x:f>IF(COUNTIFS('Cases'!$E$6:$E$445,1,'Cases'!$F$6:$F$445,A28, 'Cases'!$D$6:$D$445,"Retained",'Cases'!$I$6:$I$445,"&gt;0")&gt;0,"Unknown",SUMIFS('Cases'!$O$6:$O$445,'Cases'!$E$6:$E$445,1,'Cases'!$F$6:$F$445,A28, 'Cases'!$D$6:$D$445,"Retained")/COUNTIFS('Cases'!$E$6:$E$445,1,'Cases'!$F$6:$F$445,A28, 'Cases'!$D$6:$D$445,"Retained",'Cases'!$N$6:$N$445,"&gt;0"))</x:f>
        <x:v>0.9624655112114122</x:v>
      </x:c>
      <x:c r="E28" s="2"/>
      <x:c r="F28" s="2"/>
      <x:c r="G28" s="2"/>
      <x:c r="H28" s="2"/>
      <x:c r="I28" s="2"/>
      <x:c r="J28" s="2"/>
      <x:c r="K28" s="2"/>
      <x:c r="L28" s="2"/>
    </x:row>
    <x:row r="29" ht="22" customHeight="1">
      <x:c r="A29" s="2" t="n">
        <x:v>8</x:v>
      </x:c>
      <x:c r="B29" s="15" t="n">
        <x:f>IF(COUNTIFS('Cases'!$E$6:$E$445,1,'Cases'!$F$6:$F$445,A29, 'Cases'!$D$6:$D$445,"Retained",'Cases'!$I$6:$I$445,"&gt;0")&gt;0,"Unknown",SUMIFS('Cases'!$K$6:$K$445,'Cases'!$E$6:$E$445,1,'Cases'!$F$6:$F$445,A29, 'Cases'!$D$6:$D$445,"Retained")/COUNTIFS('Cases'!$E$6:$E$445,1,'Cases'!$F$6:$F$445,A29, 'Cases'!$D$6:$D$445,"Retained"))</x:f>
        <x:v>0.875</x:v>
      </x:c>
      <x:c r="C29" s="15" t="n">
        <x:f>SUMIFS('Cases'!$L$6:$L$445,'Cases'!$E$6:$E$445,1,'Cases'!$F$6:$F$445,A29, 'Cases'!$D$6:$D$445,"Retained")/COUNTIFS('Cases'!$E$6:$E$445,1,'Cases'!$F$6:$F$445,A29, 'Cases'!$D$6:$D$445,"Retained",'Cases'!$J$6:$J$445,"&gt;0")</x:f>
        <x:v>0.5641417497090417</x:v>
      </x:c>
      <x:c r="D29" s="14" t="n">
        <x:f>IF(COUNTIFS('Cases'!$E$6:$E$445,1,'Cases'!$F$6:$F$445,A29, 'Cases'!$D$6:$D$445,"Retained",'Cases'!$I$6:$I$445,"&gt;0")&gt;0,"Unknown",SUMIFS('Cases'!$O$6:$O$445,'Cases'!$E$6:$E$445,1,'Cases'!$F$6:$F$445,A29, 'Cases'!$D$6:$D$445,"Retained")/COUNTIFS('Cases'!$E$6:$E$445,1,'Cases'!$F$6:$F$445,A29, 'Cases'!$D$6:$D$445,"Retained",'Cases'!$N$6:$N$445,"&gt;0"))</x:f>
        <x:v>0.9528120239585475</x:v>
      </x:c>
      <x:c r="E29" s="2"/>
      <x:c r="F29" s="2"/>
      <x:c r="G29" s="2"/>
      <x:c r="H29" s="2"/>
      <x:c r="I29" s="2"/>
      <x:c r="J29" s="2"/>
      <x:c r="K29" s="2"/>
      <x:c r="L29" s="2"/>
    </x:row>
    <x:row r="30" ht="22" customHeight="1">
      <x:c r="A30" s="2" t="n">
        <x:v>9</x:v>
      </x:c>
      <x:c r="B30" s="15" t="n">
        <x:f>IF(COUNTIFS('Cases'!$E$6:$E$445,1,'Cases'!$F$6:$F$445,A30, 'Cases'!$D$6:$D$445,"Retained",'Cases'!$I$6:$I$445,"&gt;0")&gt;0,"Unknown",SUMIFS('Cases'!$K$6:$K$445,'Cases'!$E$6:$E$445,1,'Cases'!$F$6:$F$445,A30, 'Cases'!$D$6:$D$445,"Retained")/COUNTIFS('Cases'!$E$6:$E$445,1,'Cases'!$F$6:$F$445,A30, 'Cases'!$D$6:$D$445,"Retained"))</x:f>
        <x:v>0.8580246913580247</x:v>
      </x:c>
      <x:c r="C30" s="15" t="n">
        <x:f>SUMIFS('Cases'!$L$6:$L$445,'Cases'!$E$6:$E$445,1,'Cases'!$F$6:$F$445,A30, 'Cases'!$D$6:$D$445,"Retained")/COUNTIFS('Cases'!$E$6:$E$445,1,'Cases'!$F$6:$F$445,A30, 'Cases'!$D$6:$D$445,"Retained",'Cases'!$J$6:$J$445,"&gt;0")</x:f>
        <x:v>0.6103539128671163</x:v>
      </x:c>
      <x:c r="D30" s="14" t="n">
        <x:f>IF(COUNTIFS('Cases'!$E$6:$E$445,1,'Cases'!$F$6:$F$445,A30, 'Cases'!$D$6:$D$445,"Retained",'Cases'!$I$6:$I$445,"&gt;0")&gt;0,"Unknown",SUMIFS('Cases'!$O$6:$O$445,'Cases'!$E$6:$E$445,1,'Cases'!$F$6:$F$445,A30, 'Cases'!$D$6:$D$445,"Retained")/COUNTIFS('Cases'!$E$6:$E$445,1,'Cases'!$F$6:$F$445,A30, 'Cases'!$D$6:$D$445,"Retained",'Cases'!$N$6:$N$445,"&gt;0"))</x:f>
        <x:v>0.9409046499542639</x:v>
      </x:c>
      <x:c r="E30" s="2"/>
      <x:c r="F30" s="2"/>
      <x:c r="G30" s="2"/>
      <x:c r="H30" s="2"/>
      <x:c r="I30" s="2"/>
      <x:c r="J30" s="2"/>
      <x:c r="K30" s="2"/>
      <x:c r="L30" s="2"/>
    </x:row>
    <x:row r="31" ht="22" customHeight="1">
      <x:c r="A31" s="2" t="n">
        <x:v>10</x:v>
      </x:c>
      <x:c r="B31" s="15" t="n">
        <x:f>IF(COUNTIFS('Cases'!$E$6:$E$445,1,'Cases'!$F$6:$F$445,A31, 'Cases'!$D$6:$D$445,"Retained",'Cases'!$I$6:$I$445,"&gt;0")&gt;0,"Unknown",SUMIFS('Cases'!$K$6:$K$445,'Cases'!$E$6:$E$445,1,'Cases'!$F$6:$F$445,A31, 'Cases'!$D$6:$D$445,"Retained")/COUNTIFS('Cases'!$E$6:$E$445,1,'Cases'!$F$6:$F$445,A31, 'Cases'!$D$6:$D$445,"Retained"))</x:f>
        <x:v>0.8444444444444446</x:v>
      </x:c>
      <x:c r="C31" s="15" t="n">
        <x:f>SUMIFS('Cases'!$L$6:$L$445,'Cases'!$E$6:$E$445,1,'Cases'!$F$6:$F$445,A31, 'Cases'!$D$6:$D$445,"Retained")/COUNTIFS('Cases'!$E$6:$E$445,1,'Cases'!$F$6:$F$445,A31, 'Cases'!$D$6:$D$445,"Retained",'Cases'!$J$6:$J$445,"&gt;0")</x:f>
        <x:v>0.656566076025191</x:v>
      </x:c>
      <x:c r="D31" s="14" t="n">
        <x:f>IF(COUNTIFS('Cases'!$E$6:$E$445,1,'Cases'!$F$6:$F$445,A31, 'Cases'!$D$6:$D$445,"Retained",'Cases'!$I$6:$I$445,"&gt;0")&gt;0,"Unknown",SUMIFS('Cases'!$O$6:$O$445,'Cases'!$E$6:$E$445,1,'Cases'!$F$6:$F$445,A31, 'Cases'!$D$6:$D$445,"Retained")/COUNTIFS('Cases'!$E$6:$E$445,1,'Cases'!$F$6:$F$445,A31, 'Cases'!$D$6:$D$445,"Retained",'Cases'!$N$6:$N$445,"&gt;0"))</x:f>
        <x:v>0.9316682556052596</x:v>
      </x:c>
      <x:c r="E31" s="2"/>
      <x:c r="F31" s="2"/>
      <x:c r="G31" s="2"/>
      <x:c r="H31" s="2"/>
      <x:c r="I31" s="2"/>
      <x:c r="J31" s="2"/>
      <x:c r="K31" s="2"/>
      <x:c r="L31" s="2"/>
    </x:row>
    <x:row r="32" ht="22" customHeight="1">
      <x:c r="A32" s="2"/>
      <x:c r="B32" s="2"/>
      <x:c r="C32" s="2"/>
      <x:c r="D32" s="2"/>
      <x:c r="E32" s="2"/>
      <x:c r="F32" s="2"/>
      <x:c r="G32" s="2"/>
      <x:c r="H32" s="2"/>
      <x:c r="I32" s="2"/>
      <x:c r="J32" s="2"/>
      <x:c r="K32" s="2"/>
      <x:c r="L32" s="2"/>
    </x:row>
    <x:row r="33" ht="22" customHeight="1">
      <x:c r="A33" s="2"/>
      <x:c r="B33" s="2"/>
      <x:c r="C33" s="2"/>
      <x:c r="D33" s="2"/>
      <x:c r="E33" s="2"/>
      <x:c r="F33" s="2"/>
      <x:c r="G33" s="2"/>
      <x:c r="H33" s="2"/>
      <x:c r="I33" s="2"/>
      <x:c r="J33" s="2"/>
      <x:c r="K33" s="2"/>
      <x:c r="L33" s="2"/>
    </x:row>
    <x:row r="34" ht="22" customHeight="1">
      <x:c r="A34" s="2"/>
      <x:c r="B34" s="2"/>
      <x:c r="C34" s="2"/>
      <x:c r="D34" s="2"/>
      <x:c r="E34" s="2"/>
      <x:c r="F34" s="2"/>
      <x:c r="G34" s="2"/>
      <x:c r="H34" s="2"/>
      <x:c r="I34" s="2"/>
      <x:c r="J34" s="2"/>
      <x:c r="K34" s="2"/>
      <x:c r="L34" s="2"/>
    </x:row>
    <x:row r="35" ht="22" customHeight="1">
      <x:c r="A35" s="18" t="str">
        <x:v>New twenty scenarios</x:v>
      </x:c>
      <x:c r="B35" s="2"/>
      <x:c r="C35" s="2"/>
      <x:c r="D35" s="2"/>
      <x:c r="E35" s="2"/>
      <x:c r="F35" s="2"/>
      <x:c r="G35" s="2"/>
      <x:c r="H35" s="2"/>
      <x:c r="I35" s="2"/>
      <x:c r="J35" s="2"/>
      <x:c r="K35" s="2"/>
      <x:c r="L35" s="2"/>
    </x:row>
    <x:row r="36" ht="22" customHeight="1">
      <x:c r="A36" s="2"/>
      <x:c r="B36" s="2"/>
      <x:c r="C36" s="2"/>
      <x:c r="D36" s="2"/>
      <x:c r="E36" s="2"/>
      <x:c r="F36" s="2"/>
      <x:c r="G36" s="2"/>
      <x:c r="H36" s="2"/>
      <x:c r="I36" s="2"/>
      <x:c r="J36" s="2"/>
      <x:c r="K36" s="2"/>
      <x:c r="L36" s="2"/>
    </x:row>
    <x:row r="37" ht="36" customHeight="1">
      <x:c r="A37" s="8" t="str">
        <x:v>K</x:v>
      </x:c>
      <x:c r="B37" s="8" t="str">
        <x:v>Precision</x:v>
      </x:c>
      <x:c r="C37" s="8" t="str">
        <x:v>Pool Recall</x:v>
      </x:c>
      <x:c r="D37" s="8" t="str">
        <x:v>NDCG</x:v>
      </x:c>
      <x:c r="E37" s="2"/>
      <x:c r="F37" s="2"/>
      <x:c r="G37" s="2"/>
      <x:c r="H37" s="2"/>
      <x:c r="I37" s="2"/>
      <x:c r="J37" s="2"/>
      <x:c r="K37" s="2"/>
      <x:c r="L37" s="2"/>
    </x:row>
    <x:row r="38" ht="22" customHeight="1">
      <x:c r="A38" s="2" t="n">
        <x:v>1</x:v>
      </x:c>
      <x:c r="B38" s="15" t="n">
        <x:f>IF(COUNTIFS('Cases'!$E$6:$E$445,1,'Cases'!$F$6:$F$445,A38, 'Cases'!$D$6:$D$445,"Extension",'Cases'!$I$6:$I$445,"&gt;0")&gt;0,"Unknown",SUMIFS('Cases'!$K$6:$K$445,'Cases'!$E$6:$E$445,1,'Cases'!$F$6:$F$445,A38, 'Cases'!$D$6:$D$445,"Extension")/COUNTIFS('Cases'!$E$6:$E$445,1,'Cases'!$F$6:$F$445,A38, 'Cases'!$D$6:$D$445,"Extension"))</x:f>
        <x:v>1</x:v>
      </x:c>
      <x:c r="C38" s="15" t="n">
        <x:f>SUMIFS('Cases'!$L$6:$L$445,'Cases'!$E$6:$E$445,1,'Cases'!$F$6:$F$445,A38, 'Cases'!$D$6:$D$445,"Extension")/COUNTIFS('Cases'!$E$6:$E$445,1,'Cases'!$F$6:$F$445,A38, 'Cases'!$D$6:$D$445,"Extension",'Cases'!$J$6:$J$445,"&gt;0")</x:f>
        <x:v>0.1666519279229468</x:v>
      </x:c>
      <x:c r="D38" s="14" t="n">
        <x:f>IF(COUNTIFS('Cases'!$E$6:$E$445,1,'Cases'!$F$6:$F$445,A38, 'Cases'!$D$6:$D$445,"Extension",'Cases'!$I$6:$I$445,"&gt;0")&gt;0,"Unknown",SUMIFS('Cases'!$O$6:$O$445,'Cases'!$E$6:$E$445,1,'Cases'!$F$6:$F$445,A38, 'Cases'!$D$6:$D$445,"Extension")/COUNTIFS('Cases'!$E$6:$E$445,1,'Cases'!$F$6:$F$445,A38, 'Cases'!$D$6:$D$445,"Extension",'Cases'!$N$6:$N$445,"&gt;0"))</x:f>
        <x:v>1</x:v>
      </x:c>
      <x:c r="E38" s="2"/>
      <x:c r="F38" s="2"/>
      <x:c r="G38" s="2"/>
      <x:c r="H38" s="2"/>
      <x:c r="I38" s="2"/>
      <x:c r="J38" s="2"/>
      <x:c r="K38" s="2"/>
      <x:c r="L38" s="2"/>
    </x:row>
    <x:row r="39" ht="22" customHeight="1">
      <x:c r="A39" s="2" t="n">
        <x:v>2</x:v>
      </x:c>
      <x:c r="B39" s="15" t="n">
        <x:f>IF(COUNTIFS('Cases'!$E$6:$E$445,1,'Cases'!$F$6:$F$445,A39, 'Cases'!$D$6:$D$445,"Extension",'Cases'!$I$6:$I$445,"&gt;0")&gt;0,"Unknown",SUMIFS('Cases'!$K$6:$K$445,'Cases'!$E$6:$E$445,1,'Cases'!$F$6:$F$445,A39, 'Cases'!$D$6:$D$445,"Extension")/COUNTIFS('Cases'!$E$6:$E$445,1,'Cases'!$F$6:$F$445,A39, 'Cases'!$D$6:$D$445,"Extension"))</x:f>
        <x:v>0.9444444444444444</x:v>
      </x:c>
      <x:c r="C39" s="15" t="n">
        <x:f>SUMIFS('Cases'!$L$6:$L$445,'Cases'!$E$6:$E$445,1,'Cases'!$F$6:$F$445,A39, 'Cases'!$D$6:$D$445,"Extension")/COUNTIFS('Cases'!$E$6:$E$445,1,'Cases'!$F$6:$F$445,A39, 'Cases'!$D$6:$D$445,"Extension",'Cases'!$J$6:$J$445,"&gt;0")</x:f>
        <x:v>0.2221927447347825</x:v>
      </x:c>
      <x:c r="D39" s="14" t="n">
        <x:f>IF(COUNTIFS('Cases'!$E$6:$E$445,1,'Cases'!$F$6:$F$445,A39, 'Cases'!$D$6:$D$445,"Extension",'Cases'!$I$6:$I$445,"&gt;0")&gt;0,"Unknown",SUMIFS('Cases'!$O$6:$O$445,'Cases'!$E$6:$E$445,1,'Cases'!$F$6:$F$445,A39, 'Cases'!$D$6:$D$445,"Extension")/COUNTIFS('Cases'!$E$6:$E$445,1,'Cases'!$F$6:$F$445,A39, 'Cases'!$D$6:$D$445,"Extension",'Cases'!$N$6:$N$445,"&gt;0"))</x:f>
        <x:v>1</x:v>
      </x:c>
      <x:c r="E39" s="2"/>
      <x:c r="F39" s="2"/>
      <x:c r="G39" s="2"/>
      <x:c r="H39" s="2"/>
      <x:c r="I39" s="2"/>
      <x:c r="J39" s="2"/>
      <x:c r="K39" s="2"/>
      <x:c r="L39" s="2"/>
    </x:row>
    <x:row r="40" ht="22" customHeight="1">
      <x:c r="A40" s="2" t="n">
        <x:v>3</x:v>
      </x:c>
      <x:c r="B40" s="15" t="n">
        <x:f>IF(COUNTIFS('Cases'!$E$6:$E$445,1,'Cases'!$F$6:$F$445,A40, 'Cases'!$D$6:$D$445,"Extension",'Cases'!$I$6:$I$445,"&gt;0")&gt;0,"Unknown",SUMIFS('Cases'!$K$6:$K$445,'Cases'!$E$6:$E$445,1,'Cases'!$F$6:$F$445,A40, 'Cases'!$D$6:$D$445,"Extension")/COUNTIFS('Cases'!$E$6:$E$445,1,'Cases'!$F$6:$F$445,A40, 'Cases'!$D$6:$D$445,"Extension"))</x:f>
        <x:v>0.925925925925926</x:v>
      </x:c>
      <x:c r="C40" s="15" t="n">
        <x:f>SUMIFS('Cases'!$L$6:$L$445,'Cases'!$E$6:$E$445,1,'Cases'!$F$6:$F$445,A40, 'Cases'!$D$6:$D$445,"Extension")/COUNTIFS('Cases'!$E$6:$E$445,1,'Cases'!$F$6:$F$445,A40, 'Cases'!$D$6:$D$445,"Extension",'Cases'!$J$6:$J$445,"&gt;0")</x:f>
        <x:v>0.27773356154661827</x:v>
      </x:c>
      <x:c r="D40" s="14" t="n">
        <x:f>IF(COUNTIFS('Cases'!$E$6:$E$445,1,'Cases'!$F$6:$F$445,A40, 'Cases'!$D$6:$D$445,"Extension",'Cases'!$I$6:$I$445,"&gt;0")&gt;0,"Unknown",SUMIFS('Cases'!$O$6:$O$445,'Cases'!$E$6:$E$445,1,'Cases'!$F$6:$F$445,A40, 'Cases'!$D$6:$D$445,"Extension")/COUNTIFS('Cases'!$E$6:$E$445,1,'Cases'!$F$6:$F$445,A40, 'Cases'!$D$6:$D$445,"Extension",'Cases'!$N$6:$N$445,"&gt;0"))</x:f>
        <x:v>1</x:v>
      </x:c>
      <x:c r="E40" s="2"/>
      <x:c r="F40" s="2"/>
      <x:c r="G40" s="2"/>
      <x:c r="H40" s="2"/>
      <x:c r="I40" s="2"/>
      <x:c r="J40" s="2"/>
      <x:c r="K40" s="2"/>
      <x:c r="L40" s="2"/>
    </x:row>
    <x:row r="41" ht="22" customHeight="1">
      <x:c r="A41" s="2" t="n">
        <x:v>4</x:v>
      </x:c>
      <x:c r="B41" s="15" t="n">
        <x:f>IF(COUNTIFS('Cases'!$E$6:$E$445,1,'Cases'!$F$6:$F$445,A41, 'Cases'!$D$6:$D$445,"Extension",'Cases'!$I$6:$I$445,"&gt;0")&gt;0,"Unknown",SUMIFS('Cases'!$K$6:$K$445,'Cases'!$E$6:$E$445,1,'Cases'!$F$6:$F$445,A41, 'Cases'!$D$6:$D$445,"Extension")/COUNTIFS('Cases'!$E$6:$E$445,1,'Cases'!$F$6:$F$445,A41, 'Cases'!$D$6:$D$445,"Extension"))</x:f>
        <x:v>0.9027777777777778</x:v>
      </x:c>
      <x:c r="C41" s="15" t="n">
        <x:f>SUMIFS('Cases'!$L$6:$L$445,'Cases'!$E$6:$E$445,1,'Cases'!$F$6:$F$445,A41, 'Cases'!$D$6:$D$445,"Extension")/COUNTIFS('Cases'!$E$6:$E$445,1,'Cases'!$F$6:$F$445,A41, 'Cases'!$D$6:$D$445,"Extension",'Cases'!$J$6:$J$445,"&gt;0")</x:f>
        <x:v>0.31475585983993537</x:v>
      </x:c>
      <x:c r="D41" s="14" t="n">
        <x:f>IF(COUNTIFS('Cases'!$E$6:$E$445,1,'Cases'!$F$6:$F$445,A41, 'Cases'!$D$6:$D$445,"Extension",'Cases'!$I$6:$I$445,"&gt;0")&gt;0,"Unknown",SUMIFS('Cases'!$O$6:$O$445,'Cases'!$E$6:$E$445,1,'Cases'!$F$6:$F$445,A41, 'Cases'!$D$6:$D$445,"Extension")/COUNTIFS('Cases'!$E$6:$E$445,1,'Cases'!$F$6:$F$445,A41, 'Cases'!$D$6:$D$445,"Extension",'Cases'!$N$6:$N$445,"&gt;0"))</x:f>
        <x:v>0.994662617896155</x:v>
      </x:c>
      <x:c r="E41" s="2"/>
      <x:c r="F41" s="2"/>
      <x:c r="G41" s="2"/>
      <x:c r="H41" s="2"/>
      <x:c r="I41" s="2"/>
      <x:c r="J41" s="2"/>
      <x:c r="K41" s="2"/>
      <x:c r="L41" s="2"/>
    </x:row>
    <x:row r="42" ht="22" customHeight="1">
      <x:c r="A42" s="2" t="n">
        <x:v>5</x:v>
      </x:c>
      <x:c r="B42" s="15" t="n">
        <x:f>IF(COUNTIFS('Cases'!$E$6:$E$445,1,'Cases'!$F$6:$F$445,A42, 'Cases'!$D$6:$D$445,"Extension",'Cases'!$I$6:$I$445,"&gt;0")&gt;0,"Unknown",SUMIFS('Cases'!$K$6:$K$445,'Cases'!$E$6:$E$445,1,'Cases'!$F$6:$F$445,A42, 'Cases'!$D$6:$D$445,"Extension")/COUNTIFS('Cases'!$E$6:$E$445,1,'Cases'!$F$6:$F$445,A42, 'Cases'!$D$6:$D$445,"Extension"))</x:f>
        <x:v>0.8888888888888888</x:v>
      </x:c>
      <x:c r="C42" s="15" t="n">
        <x:f>SUMIFS('Cases'!$L$6:$L$445,'Cases'!$E$6:$E$445,1,'Cases'!$F$6:$F$445,A42, 'Cases'!$D$6:$D$445,"Extension")/COUNTIFS('Cases'!$E$6:$E$445,1,'Cases'!$F$6:$F$445,A42, 'Cases'!$D$6:$D$445,"Extension",'Cases'!$J$6:$J$445,"&gt;0")</x:f>
        <x:v>0.35177815813325264</x:v>
      </x:c>
      <x:c r="D42" s="14" t="n">
        <x:f>IF(COUNTIFS('Cases'!$E$6:$E$445,1,'Cases'!$F$6:$F$445,A42, 'Cases'!$D$6:$D$445,"Extension",'Cases'!$I$6:$I$445,"&gt;0")&gt;0,"Unknown",SUMIFS('Cases'!$O$6:$O$445,'Cases'!$E$6:$E$445,1,'Cases'!$F$6:$F$445,A42, 'Cases'!$D$6:$D$445,"Extension")/COUNTIFS('Cases'!$E$6:$E$445,1,'Cases'!$F$6:$F$445,A42, 'Cases'!$D$6:$D$445,"Extension",'Cases'!$N$6:$N$445,"&gt;0"))</x:f>
        <x:v>0.9870324284169083</x:v>
      </x:c>
      <x:c r="E42" s="2"/>
      <x:c r="F42" s="2"/>
      <x:c r="G42" s="2"/>
      <x:c r="H42" s="2"/>
      <x:c r="I42" s="2"/>
      <x:c r="J42" s="2"/>
      <x:c r="K42" s="2"/>
      <x:c r="L42" s="2"/>
    </x:row>
    <x:row r="43" ht="22" customHeight="1">
      <x:c r="A43" s="2" t="n">
        <x:v>6</x:v>
      </x:c>
      <x:c r="B43" s="15" t="n">
        <x:f>IF(COUNTIFS('Cases'!$E$6:$E$445,1,'Cases'!$F$6:$F$445,A43, 'Cases'!$D$6:$D$445,"Extension",'Cases'!$I$6:$I$445,"&gt;0")&gt;0,"Unknown",SUMIFS('Cases'!$K$6:$K$445,'Cases'!$E$6:$E$445,1,'Cases'!$F$6:$F$445,A43, 'Cases'!$D$6:$D$445,"Extension")/COUNTIFS('Cases'!$E$6:$E$445,1,'Cases'!$F$6:$F$445,A43, 'Cases'!$D$6:$D$445,"Extension"))</x:f>
        <x:v>0.8796296296296295</x:v>
      </x:c>
      <x:c r="C43" s="15" t="n">
        <x:f>SUMIFS('Cases'!$L$6:$L$445,'Cases'!$E$6:$E$445,1,'Cases'!$F$6:$F$445,A43, 'Cases'!$D$6:$D$445,"Extension")/COUNTIFS('Cases'!$E$6:$E$445,1,'Cases'!$F$6:$F$445,A43, 'Cases'!$D$6:$D$445,"Extension",'Cases'!$J$6:$J$445,"&gt;0")</x:f>
        <x:v>0.38880045642656985</x:v>
      </x:c>
      <x:c r="D43" s="14" t="n">
        <x:f>IF(COUNTIFS('Cases'!$E$6:$E$445,1,'Cases'!$F$6:$F$445,A43, 'Cases'!$D$6:$D$445,"Extension",'Cases'!$I$6:$I$445,"&gt;0")&gt;0,"Unknown",SUMIFS('Cases'!$O$6:$O$445,'Cases'!$E$6:$E$445,1,'Cases'!$F$6:$F$445,A43, 'Cases'!$D$6:$D$445,"Extension")/COUNTIFS('Cases'!$E$6:$E$445,1,'Cases'!$F$6:$F$445,A43, 'Cases'!$D$6:$D$445,"Extension",'Cases'!$N$6:$N$445,"&gt;0"))</x:f>
        <x:v>0.9815864361512597</x:v>
      </x:c>
      <x:c r="E43" s="2"/>
      <x:c r="F43" s="2"/>
      <x:c r="G43" s="2"/>
      <x:c r="H43" s="2"/>
      <x:c r="I43" s="2"/>
      <x:c r="J43" s="2"/>
      <x:c r="K43" s="2"/>
      <x:c r="L43" s="2"/>
    </x:row>
    <x:row r="44" ht="22" customHeight="1">
      <x:c r="A44" s="2" t="n">
        <x:v>7</x:v>
      </x:c>
      <x:c r="B44" s="15" t="n">
        <x:f>IF(COUNTIFS('Cases'!$E$6:$E$445,1,'Cases'!$F$6:$F$445,A44, 'Cases'!$D$6:$D$445,"Extension",'Cases'!$I$6:$I$445,"&gt;0")&gt;0,"Unknown",SUMIFS('Cases'!$K$6:$K$445,'Cases'!$E$6:$E$445,1,'Cases'!$F$6:$F$445,A44, 'Cases'!$D$6:$D$445,"Extension")/COUNTIFS('Cases'!$E$6:$E$445,1,'Cases'!$F$6:$F$445,A44, 'Cases'!$D$6:$D$445,"Extension"))</x:f>
        <x:v>0.873015873015873</x:v>
      </x:c>
      <x:c r="C44" s="15" t="n">
        <x:f>SUMIFS('Cases'!$L$6:$L$445,'Cases'!$E$6:$E$445,1,'Cases'!$F$6:$F$445,A44, 'Cases'!$D$6:$D$445,"Extension")/COUNTIFS('Cases'!$E$6:$E$445,1,'Cases'!$F$6:$F$445,A44, 'Cases'!$D$6:$D$445,"Extension",'Cases'!$J$6:$J$445,"&gt;0")</x:f>
        <x:v>0.4258227547198871</x:v>
      </x:c>
      <x:c r="D44" s="14" t="n">
        <x:f>IF(COUNTIFS('Cases'!$E$6:$E$445,1,'Cases'!$F$6:$F$445,A44, 'Cases'!$D$6:$D$445,"Extension",'Cases'!$I$6:$I$445,"&gt;0")&gt;0,"Unknown",SUMIFS('Cases'!$O$6:$O$445,'Cases'!$E$6:$E$445,1,'Cases'!$F$6:$F$445,A44, 'Cases'!$D$6:$D$445,"Extension")/COUNTIFS('Cases'!$E$6:$E$445,1,'Cases'!$F$6:$F$445,A44, 'Cases'!$D$6:$D$445,"Extension",'Cases'!$N$6:$N$445,"&gt;0"))</x:f>
        <x:v>0.977456098592848</x:v>
      </x:c>
      <x:c r="E44" s="2"/>
      <x:c r="F44" s="2"/>
      <x:c r="G44" s="2"/>
      <x:c r="H44" s="2"/>
      <x:c r="I44" s="2"/>
      <x:c r="J44" s="2"/>
      <x:c r="K44" s="2"/>
      <x:c r="L44" s="2"/>
    </x:row>
    <x:row r="45" ht="22" customHeight="1">
      <x:c r="A45" s="2" t="n">
        <x:v>8</x:v>
      </x:c>
      <x:c r="B45" s="15" t="n">
        <x:f>IF(COUNTIFS('Cases'!$E$6:$E$445,1,'Cases'!$F$6:$F$445,A45, 'Cases'!$D$6:$D$445,"Extension",'Cases'!$I$6:$I$445,"&gt;0")&gt;0,"Unknown",SUMIFS('Cases'!$K$6:$K$445,'Cases'!$E$6:$E$445,1,'Cases'!$F$6:$F$445,A45, 'Cases'!$D$6:$D$445,"Extension")/COUNTIFS('Cases'!$E$6:$E$445,1,'Cases'!$F$6:$F$445,A45, 'Cases'!$D$6:$D$445,"Extension"))</x:f>
        <x:v>0.8680555555555556</x:v>
      </x:c>
      <x:c r="C45" s="15" t="n">
        <x:f>SUMIFS('Cases'!$L$6:$L$445,'Cases'!$E$6:$E$445,1,'Cases'!$F$6:$F$445,A45, 'Cases'!$D$6:$D$445,"Extension")/COUNTIFS('Cases'!$E$6:$E$445,1,'Cases'!$F$6:$F$445,A45, 'Cases'!$D$6:$D$445,"Extension",'Cases'!$J$6:$J$445,"&gt;0")</x:f>
        <x:v>0.4628450530132042</x:v>
      </x:c>
      <x:c r="D45" s="14" t="n">
        <x:f>IF(COUNTIFS('Cases'!$E$6:$E$445,1,'Cases'!$F$6:$F$445,A45, 'Cases'!$D$6:$D$445,"Extension",'Cases'!$I$6:$I$445,"&gt;0")&gt;0,"Unknown",SUMIFS('Cases'!$O$6:$O$445,'Cases'!$E$6:$E$445,1,'Cases'!$F$6:$F$445,A45, 'Cases'!$D$6:$D$445,"Extension")/COUNTIFS('Cases'!$E$6:$E$445,1,'Cases'!$F$6:$F$445,A45, 'Cases'!$D$6:$D$445,"Extension",'Cases'!$N$6:$N$445,"&gt;0"))</x:f>
        <x:v>0.976143658556672</x:v>
      </x:c>
      <x:c r="E45" s="2"/>
      <x:c r="F45" s="2"/>
      <x:c r="G45" s="2"/>
      <x:c r="H45" s="2"/>
      <x:c r="I45" s="2"/>
      <x:c r="J45" s="2"/>
      <x:c r="K45" s="2"/>
      <x:c r="L45" s="2"/>
    </x:row>
    <x:row r="46" ht="22" customHeight="1">
      <x:c r="A46" s="2" t="n">
        <x:v>9</x:v>
      </x:c>
      <x:c r="B46" s="15" t="n">
        <x:f>IF(COUNTIFS('Cases'!$E$6:$E$445,1,'Cases'!$F$6:$F$445,A46, 'Cases'!$D$6:$D$445,"Extension",'Cases'!$I$6:$I$445,"&gt;0")&gt;0,"Unknown",SUMIFS('Cases'!$K$6:$K$445,'Cases'!$E$6:$E$445,1,'Cases'!$F$6:$F$445,A46, 'Cases'!$D$6:$D$445,"Extension")/COUNTIFS('Cases'!$E$6:$E$445,1,'Cases'!$F$6:$F$445,A46, 'Cases'!$D$6:$D$445,"Extension"))</x:f>
        <x:v>0.8641975308641974</x:v>
      </x:c>
      <x:c r="C46" s="15" t="n">
        <x:f>SUMIFS('Cases'!$L$6:$L$445,'Cases'!$E$6:$E$445,1,'Cases'!$F$6:$F$445,A46, 'Cases'!$D$6:$D$445,"Extension")/COUNTIFS('Cases'!$E$6:$E$445,1,'Cases'!$F$6:$F$445,A46, 'Cases'!$D$6:$D$445,"Extension",'Cases'!$J$6:$J$445,"&gt;0")</x:f>
        <x:v>0.4998673513065215</x:v>
      </x:c>
      <x:c r="D46" s="14" t="n">
        <x:f>IF(COUNTIFS('Cases'!$E$6:$E$445,1,'Cases'!$F$6:$F$445,A46, 'Cases'!$D$6:$D$445,"Extension",'Cases'!$I$6:$I$445,"&gt;0")&gt;0,"Unknown",SUMIFS('Cases'!$O$6:$O$445,'Cases'!$E$6:$E$445,1,'Cases'!$F$6:$F$445,A46, 'Cases'!$D$6:$D$445,"Extension")/COUNTIFS('Cases'!$E$6:$E$445,1,'Cases'!$F$6:$F$445,A46, 'Cases'!$D$6:$D$445,"Extension",'Cases'!$N$6:$N$445,"&gt;0"))</x:f>
        <x:v>0.9769160681104196</x:v>
      </x:c>
      <x:c r="E46" s="2"/>
      <x:c r="F46" s="2"/>
      <x:c r="G46" s="2"/>
      <x:c r="H46" s="2"/>
      <x:c r="I46" s="2"/>
      <x:c r="J46" s="2"/>
      <x:c r="K46" s="2"/>
      <x:c r="L46" s="2"/>
    </x:row>
    <x:row r="47" ht="22" customHeight="1">
      <x:c r="A47" s="2" t="n">
        <x:v>10</x:v>
      </x:c>
      <x:c r="B47" s="15" t="n">
        <x:f>IF(COUNTIFS('Cases'!$E$6:$E$445,1,'Cases'!$F$6:$F$445,A47, 'Cases'!$D$6:$D$445,"Extension",'Cases'!$I$6:$I$445,"&gt;0")&gt;0,"Unknown",SUMIFS('Cases'!$K$6:$K$445,'Cases'!$E$6:$E$445,1,'Cases'!$F$6:$F$445,A47, 'Cases'!$D$6:$D$445,"Extension")/COUNTIFS('Cases'!$E$6:$E$445,1,'Cases'!$F$6:$F$445,A47, 'Cases'!$D$6:$D$445,"Extension"))</x:f>
        <x:v>0.8555555555555555</x:v>
      </x:c>
      <x:c r="C47" s="15" t="n">
        <x:f>SUMIFS('Cases'!$L$6:$L$445,'Cases'!$E$6:$E$445,1,'Cases'!$F$6:$F$445,A47, 'Cases'!$D$6:$D$445,"Extension")/COUNTIFS('Cases'!$E$6:$E$445,1,'Cases'!$F$6:$F$445,A47, 'Cases'!$D$6:$D$445,"Extension",'Cases'!$J$6:$J$445,"&gt;0")</x:f>
        <x:v>0.5334174273776164</x:v>
      </x:c>
      <x:c r="D47" s="14" t="n">
        <x:f>IF(COUNTIFS('Cases'!$E$6:$E$445,1,'Cases'!$F$6:$F$445,A47, 'Cases'!$D$6:$D$445,"Extension",'Cases'!$I$6:$I$445,"&gt;0")&gt;0,"Unknown",SUMIFS('Cases'!$O$6:$O$445,'Cases'!$E$6:$E$445,1,'Cases'!$F$6:$F$445,A47, 'Cases'!$D$6:$D$445,"Extension")/COUNTIFS('Cases'!$E$6:$E$445,1,'Cases'!$F$6:$F$445,A47, 'Cases'!$D$6:$D$445,"Extension",'Cases'!$N$6:$N$445,"&gt;0"))</x:f>
        <x:v>0.9765212919606571</x:v>
      </x:c>
      <x:c r="E47" s="2"/>
      <x:c r="F47" s="2"/>
      <x:c r="G47" s="2"/>
      <x:c r="H47" s="2"/>
      <x:c r="I47" s="2"/>
      <x:c r="J47" s="2"/>
      <x:c r="K47" s="2"/>
      <x:c r="L47" s="2"/>
    </x:row>
    <x:row r="48" ht="22" customHeight="1">
      <x:c r="A48" s="2"/>
      <x:c r="B48" s="2"/>
      <x:c r="C48" s="2"/>
      <x:c r="D48" s="2"/>
      <x:c r="E48" s="2"/>
      <x:c r="F48" s="2"/>
      <x:c r="G48" s="2"/>
      <x:c r="H48" s="2"/>
      <x:c r="I48" s="2"/>
      <x:c r="J48" s="2"/>
      <x:c r="K48" s="2"/>
      <x:c r="L48" s="2"/>
    </x:row>
    <x:row r="49" ht="22" customHeight="1">
      <x:c r="A49" s="2"/>
      <x:c r="B49" s="2"/>
      <x:c r="C49" s="2"/>
      <x:c r="D49" s="2"/>
      <x:c r="E49" s="2"/>
      <x:c r="F49" s="2"/>
      <x:c r="G49" s="2"/>
      <x:c r="H49" s="2"/>
      <x:c r="I49" s="2"/>
      <x:c r="J49" s="2"/>
      <x:c r="K49" s="2"/>
      <x:c r="L49" s="2"/>
    </x:row>
    <x:row r="50" ht="22" customHeight="1">
      <x:c r="A50" s="2"/>
      <x:c r="B50" s="2"/>
      <x:c r="C50" s="2"/>
      <x:c r="D50" s="2"/>
      <x:c r="E50" s="2"/>
      <x:c r="F50" s="2"/>
      <x:c r="G50" s="2"/>
      <x:c r="H50" s="2"/>
      <x:c r="I50" s="2"/>
      <x:c r="J50" s="2"/>
      <x:c r="K50" s="2"/>
      <x:c r="L50" s="2"/>
    </x:row>
    <x:row r="51" ht="22" customHeight="1">
      <x:c r="A51" s="2"/>
      <x:c r="B51" s="2"/>
      <x:c r="C51" s="2"/>
      <x:c r="D51" s="2"/>
      <x:c r="E51" s="2"/>
      <x:c r="F51" s="2"/>
      <x:c r="G51" s="2"/>
      <x:c r="H51" s="2"/>
      <x:c r="I51" s="2"/>
      <x:c r="J51" s="2"/>
      <x:c r="K51" s="2"/>
      <x:c r="L51" s="2"/>
    </x:row>
    <x:row r="52" ht="22" customHeight="1">
      <x:c r="A52" s="2"/>
      <x:c r="B52" s="2"/>
      <x:c r="C52" s="2"/>
      <x:c r="D52" s="2"/>
      <x:c r="E52" s="2"/>
      <x:c r="F52" s="2"/>
      <x:c r="G52" s="2"/>
      <x:c r="H52" s="2"/>
      <x:c r="I52" s="2"/>
      <x:c r="J52" s="2"/>
      <x:c r="K52" s="2"/>
      <x:c r="L52" s="2"/>
    </x:row>
    <x:row r="53" ht="22" customHeight="1">
      <x:c r="A53" s="2"/>
      <x:c r="B53" s="2"/>
      <x:c r="C53" s="2"/>
      <x:c r="D53" s="2"/>
      <x:c r="E53" s="2"/>
      <x:c r="F53" s="2"/>
      <x:c r="G53" s="2"/>
      <x:c r="H53" s="2"/>
      <x:c r="I53" s="2"/>
      <x:c r="J53" s="2"/>
      <x:c r="K53" s="2"/>
      <x:c r="L53" s="2"/>
    </x:row>
    <x:row r="54" ht="22" customHeight="1">
      <x:c r="A54" s="2"/>
      <x:c r="B54" s="2"/>
      <x:c r="C54" s="2"/>
      <x:c r="D54" s="2"/>
      <x:c r="E54" s="2"/>
      <x:c r="F54" s="2"/>
      <x:c r="G54" s="2"/>
      <x:c r="H54" s="2"/>
      <x:c r="I54" s="2"/>
      <x:c r="J54" s="2"/>
      <x:c r="K54" s="2"/>
      <x:c r="L54" s="2"/>
    </x:row>
    <x:row r="55" ht="22" customHeight="1">
      <x:c r="A55" s="2"/>
      <x:c r="B55" s="2"/>
      <x:c r="C55" s="2"/>
      <x:c r="D55" s="2"/>
      <x:c r="E55" s="2"/>
      <x:c r="F55" s="2"/>
      <x:c r="G55" s="2"/>
      <x:c r="H55" s="2"/>
      <x:c r="I55" s="2"/>
      <x:c r="J55" s="2"/>
      <x:c r="K55" s="2"/>
      <x:c r="L55" s="2"/>
    </x:row>
    <x:row r="56" ht="22" customHeight="1">
      <x:c r="A56" s="2"/>
      <x:c r="B56" s="2"/>
      <x:c r="C56" s="2"/>
      <x:c r="D56" s="2"/>
      <x:c r="E56" s="2"/>
      <x:c r="F56" s="2"/>
      <x:c r="G56" s="2"/>
      <x:c r="H56" s="2"/>
      <x:c r="I56" s="2"/>
      <x:c r="J56" s="2"/>
      <x:c r="K56" s="2"/>
      <x:c r="L56" s="2"/>
    </x:row>
    <x:row r="57" ht="22" customHeight="1">
      <x:c r="A57" s="2"/>
      <x:c r="B57" s="2"/>
      <x:c r="C57" s="2"/>
      <x:c r="D57" s="2"/>
      <x:c r="E57" s="2"/>
      <x:c r="F57" s="2"/>
      <x:c r="G57" s="2"/>
      <x:c r="H57" s="2"/>
      <x:c r="I57" s="2"/>
      <x:c r="J57" s="2"/>
      <x:c r="K57" s="2"/>
      <x:c r="L57" s="2"/>
    </x:row>
    <x:row r="58" ht="22" customHeight="1">
      <x:c r="A58" s="2"/>
      <x:c r="B58" s="2"/>
      <x:c r="C58" s="2"/>
      <x:c r="D58" s="2"/>
      <x:c r="E58" s="2"/>
      <x:c r="F58" s="2"/>
      <x:c r="G58" s="2"/>
      <x:c r="H58" s="2"/>
      <x:c r="I58" s="2"/>
      <x:c r="J58" s="2"/>
      <x:c r="K58" s="2"/>
      <x:c r="L58" s="2"/>
    </x:row>
    <x:row r="59" ht="22" customHeight="1">
      <x:c r="A59" s="2"/>
      <x:c r="B59" s="2"/>
      <x:c r="C59" s="2"/>
      <x:c r="D59" s="2"/>
      <x:c r="E59" s="2"/>
      <x:c r="F59" s="2"/>
      <x:c r="G59" s="2"/>
      <x:c r="H59" s="2"/>
      <x:c r="I59" s="2"/>
      <x:c r="J59" s="2"/>
      <x:c r="K59" s="2"/>
      <x:c r="L59" s="2"/>
    </x:row>
    <x:row r="60" ht="22" customHeight="1">
      <x:c r="A60" s="2"/>
      <x:c r="B60" s="2"/>
      <x:c r="C60" s="2"/>
      <x:c r="D60" s="2"/>
      <x:c r="E60" s="2"/>
      <x:c r="F60" s="2"/>
      <x:c r="G60" s="2"/>
      <x:c r="H60" s="2"/>
      <x:c r="I60" s="2"/>
      <x:c r="J60" s="2"/>
      <x:c r="K60" s="2"/>
      <x:c r="L60" s="2"/>
    </x:row>
    <x:row r="61" ht="22" customHeight="1">
      <x:c r="A61" s="2"/>
      <x:c r="B61" s="2"/>
      <x:c r="C61" s="2"/>
      <x:c r="D61" s="2"/>
      <x:c r="E61" s="2"/>
      <x:c r="F61" s="2"/>
      <x:c r="G61" s="2"/>
      <x:c r="H61" s="2"/>
      <x:c r="I61" s="2"/>
      <x:c r="J61" s="2"/>
      <x:c r="K61" s="2"/>
      <x:c r="L61" s="2"/>
    </x:row>
    <x:row r="62" ht="22" customHeight="1">
      <x:c r="A62" s="2"/>
      <x:c r="B62" s="2"/>
      <x:c r="C62" s="2"/>
      <x:c r="D62" s="2"/>
      <x:c r="E62" s="2"/>
      <x:c r="F62" s="2"/>
      <x:c r="G62" s="2"/>
      <x:c r="H62" s="2"/>
      <x:c r="I62" s="2"/>
      <x:c r="J62" s="2"/>
      <x:c r="K62" s="2"/>
      <x:c r="L62" s="2"/>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0" hidden="0" customWidth="1"/>
    <x:col min="2" max="2" width="12.220000267028809" hidden="0" customWidth="1"/>
    <x:col min="3" max="3" width="34.439998626708984" hidden="0" customWidth="1"/>
    <x:col min="4" max="4" width="12.220000267028809" hidden="0" customWidth="1"/>
    <x:col min="5" max="5" width="70" hidden="0" customWidth="1"/>
    <x:col min="6" max="6" width="45.560001373291016" hidden="0" customWidth="1"/>
    <x:col min="7" max="7" width="53.33000183105469" hidden="0" customWidth="1"/>
    <x:col min="8" max="8" width="18.889999389648438" hidden="0" customWidth="1"/>
    <x:col min="9" max="9" width="20" hidden="0" customWidth="1"/>
    <x:col min="10" max="10" width="20" hidden="0" customWidth="1"/>
    <x:col min="11" max="11" width="12.220000267028809" hidden="0" customWidth="1"/>
    <x:col min="12" max="12" width="13.329999923706055" hidden="0" customWidth="1"/>
    <x:col min="13" max="13" width="26.110000610351562" hidden="0" customWidth="1"/>
  </x:cols>
  <x:sheetData>
    <x:row r="1" ht="22" customHeight="1">
      <x:c r="A1" s="2"/>
      <x:c r="B1" s="2"/>
      <x:c r="C1" s="2"/>
      <x:c r="D1" s="2"/>
      <x:c r="E1" s="2"/>
      <x:c r="F1" s="2"/>
      <x:c r="G1" s="2"/>
      <x:c r="H1" s="2"/>
      <x:c r="I1" s="2"/>
      <x:c r="J1" s="2"/>
      <x:c r="K1" s="2"/>
      <x:c r="L1" s="2"/>
      <x:c r="M1" s="2"/>
    </x:row>
    <x:row r="2" ht="22" customHeight="1">
      <x:c r="A2" s="3" t="str">
        <x:v>Basic scenario register</x:v>
      </x:c>
      <x:c r="B2" s="2"/>
      <x:c r="C2" s="2"/>
      <x:c r="D2" s="2"/>
      <x:c r="E2" s="2"/>
      <x:c r="F2" s="2"/>
      <x:c r="G2" s="2"/>
      <x:c r="H2" s="2"/>
      <x:c r="I2" s="2"/>
      <x:c r="J2" s="2"/>
      <x:c r="K2" s="2"/>
      <x:c r="L2" s="2"/>
      <x:c r="M2" s="2"/>
    </x:row>
    <x:row r="3" ht="22" customHeight="1">
      <x:c r="A3" s="4" t="str">
        <x:v>Source: retained frozen scenarios plus inputs/Extension_Scenarios_EN.json. Canonical requirements bypass language extraction.</x:v>
      </x:c>
      <x:c r="B3" s="2"/>
      <x:c r="C3" s="2"/>
      <x:c r="D3" s="2"/>
      <x:c r="E3" s="2"/>
      <x:c r="F3" s="2"/>
      <x:c r="G3" s="2"/>
      <x:c r="H3" s="2"/>
      <x:c r="I3" s="2"/>
      <x:c r="J3" s="2"/>
      <x:c r="K3" s="2"/>
      <x:c r="L3" s="2"/>
      <x:c r="M3" s="2"/>
    </x:row>
    <x:row r="4" ht="22" customHeight="1">
      <x:c r="A4" s="2"/>
      <x:c r="B4" s="2"/>
      <x:c r="C4" s="2"/>
      <x:c r="D4" s="2"/>
      <x:c r="E4" s="2"/>
      <x:c r="F4" s="2"/>
      <x:c r="G4" s="2"/>
      <x:c r="H4" s="2"/>
      <x:c r="I4" s="2"/>
      <x:c r="J4" s="2"/>
      <x:c r="K4" s="2"/>
      <x:c r="L4" s="2"/>
      <x:c r="M4" s="2"/>
    </x:row>
    <x:row r="5" ht="36" customHeight="1">
      <x:c r="A5" s="8" t="str">
        <x:v>Scenario</x:v>
      </x:c>
      <x:c r="B5" s="8" t="str">
        <x:v>Cohort</x:v>
      </x:c>
      <x:c r="C5" s="8" t="str">
        <x:v>Title</x:v>
      </x:c>
      <x:c r="D5" s="8" t="str">
        <x:v>Authored turns</x:v>
      </x:c>
      <x:c r="E5" s="8" t="str">
        <x:v>English user need</x:v>
      </x:c>
      <x:c r="F5" s="8" t="str">
        <x:v>Mandatory conditions</x:v>
      </x:c>
      <x:c r="G5" s="8" t="str">
        <x:v>Preference priority</x:v>
      </x:c>
      <x:c r="H5" s="8" t="str">
        <x:v>Group</x:v>
      </x:c>
      <x:c r="I5" s="8" t="str">
        <x:v>Expected status</x:v>
      </x:c>
      <x:c r="J5" s="8" t="str">
        <x:v>Observed status</x:v>
      </x:c>
      <x:c r="K5" s="8" t="str">
        <x:v>Returned</x:v>
      </x:c>
      <x:c r="L5" s="8" t="str">
        <x:v>Final gate</x:v>
      </x:c>
      <x:c r="M5" s="8" t="str">
        <x:v>Native mode</x:v>
      </x:c>
    </x:row>
    <x:row r="6" ht="24" hidden="0" customHeight="1">
      <x:c r="A6" s="2" t="str">
        <x:v>S01</x:v>
      </x:c>
      <x:c r="B6" s="2" t="str">
        <x:v>Retained</x:v>
      </x:c>
      <x:c r="C6" s="12" t="str">
        <x:v>Budget first, with a size preference</x:v>
      </x:c>
      <x:c r="D6" s="19" t="n">
        <x:v>1</x:v>
      </x:c>
      <x:c r="E6" s="12" t="str">
        <x:v>My monthly rent must be at most SGD 2,000, with at least one reported bedroom. Among qualifying listings, lower rent is my first priority; at least 500 sqft would be a bonus.</x:v>
      </x:c>
      <x:c r="F6" s="12" t="str">
        <x:v>Rent &lt;= SGD 2,000/month; bedrooms &gt;= 1.</x:v>
      </x:c>
      <x:c r="G6" s="12" t="str">
        <x:v>Primary: lower rent. Secondary: floor area &gt;= 500 sqft.</x:v>
      </x:c>
      <x:c r="H6" s="2" t="str">
        <x:v>primary</x:v>
      </x:c>
      <x:c r="I6" s="2" t="str">
        <x:v>success</x:v>
      </x:c>
      <x:c r="J6" s="2" t="str">
        <x:v>success</x:v>
      </x:c>
      <x:c r="K6" s="2" t="n">
        <x:v>10</x:v>
      </x:c>
      <x:c r="L6" s="2" t="str">
        <x:v>Passed</x:v>
      </x:c>
      <x:c r="M6" s="2" t="str">
        <x:v>cold_start_exploration</x:v>
      </x:c>
    </x:row>
    <x:row r="7" ht="24" hidden="0" customHeight="1">
      <x:c r="A7" s="2" t="str">
        <x:v>S02</x:v>
      </x:c>
      <x:c r="B7" s="2" t="str">
        <x:v>Retained</x:v>
      </x:c>
      <x:c r="C7" s="12" t="str">
        <x:v>An exact rent requirement</x:v>
      </x:c>
      <x:c r="D7" s="19" t="n">
        <x:v>1</x:v>
      </x:c>
      <x:c r="E7" s="12" t="str">
        <x:v>For this comparison, rent must be exactly SGD 1,800 per month, with at least one reported bedroom. Among qualifying listings, I prefer a larger floor area.</x:v>
      </x:c>
      <x:c r="F7" s="12" t="str">
        <x:v>Rent = SGD 1,800/month (not a ceiling); bedrooms &gt;= 1.</x:v>
      </x:c>
      <x:c r="G7" s="12" t="str">
        <x:v>Prefer larger floor area.</x:v>
      </x:c>
      <x:c r="H7" s="2" t="str">
        <x:v>primary</x:v>
      </x:c>
      <x:c r="I7" s="2" t="str">
        <x:v>success</x:v>
      </x:c>
      <x:c r="J7" s="2" t="str">
        <x:v>success</x:v>
      </x:c>
      <x:c r="K7" s="2" t="n">
        <x:v>10</x:v>
      </x:c>
      <x:c r="L7" s="2" t="str">
        <x:v>Passed</x:v>
      </x:c>
      <x:c r="M7" s="2" t="str">
        <x:v>near_tie_sampling</x:v>
      </x:c>
    </x:row>
    <x:row r="8" ht="24" hidden="0" customHeight="1">
      <x:c r="A8" s="2" t="str">
        <x:v>S03</x:v>
      </x:c>
      <x:c r="B8" s="2" t="str">
        <x:v>Retained</x:v>
      </x:c>
      <x:c r="C8" s="12" t="str">
        <x:v>District is a preference</x:v>
      </x:c>
      <x:c r="D8" s="19" t="n">
        <x:v>1</x:v>
      </x:c>
      <x:c r="E8" s="12" t="str">
        <x:v>I need at least two reported bedrooms for no more than SGD 2,500 per month. District D05 is my first preference, but other districts are acceptable. Lower rent is my second priority.</x:v>
      </x:c>
      <x:c r="F8" s="12" t="str">
        <x:v>Rent &lt;= SGD 2,500/month; bedrooms &gt;= 2. No mandatory district.</x:v>
      </x:c>
      <x:c r="G8" s="12" t="str">
        <x:v>Primary: D05. Secondary: lower rent.</x:v>
      </x:c>
      <x:c r="H8" s="2" t="str">
        <x:v>primary</x:v>
      </x:c>
      <x:c r="I8" s="2" t="str">
        <x:v>success</x:v>
      </x:c>
      <x:c r="J8" s="2" t="str">
        <x:v>success</x:v>
      </x:c>
      <x:c r="K8" s="2" t="n">
        <x:v>10</x:v>
      </x:c>
      <x:c r="L8" s="2" t="str">
        <x:v>Passed</x:v>
      </x:c>
      <x:c r="M8" s="2" t="str">
        <x:v>ranked</x:v>
      </x:c>
    </x:row>
    <x:row r="9" ht="24" hidden="0" customHeight="1">
      <x:c r="A9" s="2" t="str">
        <x:v>S04</x:v>
      </x:c>
      <x:c r="B9" s="2" t="str">
        <x:v>Retained</x:v>
      </x:c>
      <x:c r="C9" s="12" t="str">
        <x:v>District is mandatory</x:v>
      </x:c>
      <x:c r="D9" s="19" t="n">
        <x:v>1</x:v>
      </x:c>
      <x:c r="E9" s="12" t="str">
        <x:v>I must be in D05, with at least two reported bedrooms and rent no higher than SGD 4,000 per month. I prefer more floor area first, then lower rent.</x:v>
      </x:c>
      <x:c r="F9" s="12" t="str">
        <x:v>Rent &lt;= SGD 4,000/month; bedrooms &gt;= 2; district = D05.</x:v>
      </x:c>
      <x:c r="G9" s="12" t="str">
        <x:v>Primary: larger floor area. Secondary: lower rent.</x:v>
      </x:c>
      <x:c r="H9" s="2" t="str">
        <x:v>primary</x:v>
      </x:c>
      <x:c r="I9" s="2" t="str">
        <x:v>success</x:v>
      </x:c>
      <x:c r="J9" s="2" t="str">
        <x:v>success</x:v>
      </x:c>
      <x:c r="K9" s="2" t="n">
        <x:v>10</x:v>
      </x:c>
      <x:c r="L9" s="2" t="str">
        <x:v>Passed</x:v>
      </x:c>
      <x:c r="M9" s="2" t="str">
        <x:v>near_tie_sampling</x:v>
      </x:c>
    </x:row>
    <x:row r="10" ht="24" hidden="0" customHeight="1">
      <x:c r="A10" s="2" t="str">
        <x:v>S05</x:v>
      </x:c>
      <x:c r="B10" s="2" t="str">
        <x:v>Retained</x:v>
      </x:c>
      <x:c r="C10" s="12" t="str">
        <x:v>Space preference in D10</x:v>
      </x:c>
      <x:c r="D10" s="19" t="n">
        <x:v>1</x:v>
      </x:c>
      <x:c r="E10" s="12" t="str">
        <x:v>I need D10, at least three reported bedrooms, and monthly rent at most SGD 6,500. I strongly prefer at least 1,500 sqft; lower rent is my secondary preference.</x:v>
      </x:c>
      <x:c r="F10" s="12" t="str">
        <x:v>Rent &lt;= SGD 6,500/month; bedrooms &gt;= 3; district = D10.</x:v>
      </x:c>
      <x:c r="G10" s="12" t="str">
        <x:v>Primary: floor area &gt;= 1,500 sqft. Secondary: lower rent.</x:v>
      </x:c>
      <x:c r="H10" s="2" t="str">
        <x:v>primary</x:v>
      </x:c>
      <x:c r="I10" s="2" t="str">
        <x:v>success</x:v>
      </x:c>
      <x:c r="J10" s="2" t="str">
        <x:v>success</x:v>
      </x:c>
      <x:c r="K10" s="2" t="n">
        <x:v>10</x:v>
      </x:c>
      <x:c r="L10" s="2" t="str">
        <x:v>Passed</x:v>
      </x:c>
      <x:c r="M10" s="2" t="str">
        <x:v>near_tie_sampling</x:v>
      </x:c>
    </x:row>
    <x:row r="11" ht="24" hidden="0" customHeight="1">
      <x:c r="A11" s="2" t="str">
        <x:v>S06</x:v>
      </x:c>
      <x:c r="B11" s="2" t="str">
        <x:v>Retained</x:v>
      </x:c>
      <x:c r="C11" s="12" t="str">
        <x:v>Exactly two bedrooms in two districts</x:v>
      </x:c>
      <x:c r="D11" s="19" t="n">
        <x:v>1</x:v>
      </x:c>
      <x:c r="E11" s="12" t="str">
        <x:v>I want exactly two reported bedrooms, rent up to SGD 5,000 per month, and either D09 or D10. I prefer a condominium first and a larger floor area second.</x:v>
      </x:c>
      <x:c r="F11" s="12" t="str">
        <x:v>Rent &lt;= SGD 5,000/month; bedrooms = 2; district in {D09, D10}.</x:v>
      </x:c>
      <x:c r="G11" s="12" t="str">
        <x:v>Primary: Condominium. Secondary: larger floor area.</x:v>
      </x:c>
      <x:c r="H11" s="2" t="str">
        <x:v>primary</x:v>
      </x:c>
      <x:c r="I11" s="2" t="str">
        <x:v>success</x:v>
      </x:c>
      <x:c r="J11" s="2" t="str">
        <x:v>success</x:v>
      </x:c>
      <x:c r="K11" s="2" t="n">
        <x:v>10</x:v>
      </x:c>
      <x:c r="L11" s="2" t="str">
        <x:v>Passed</x:v>
      </x:c>
      <x:c r="M11" s="2" t="str">
        <x:v>cold_start_exploration</x:v>
      </x:c>
    </x:row>
    <x:row r="12" ht="24" hidden="0" customHeight="1">
      <x:c r="A12" s="2" t="str">
        <x:v>S07</x:v>
      </x:c>
      <x:c r="B12" s="2" t="str">
        <x:v>Retained</x:v>
      </x:c>
      <x:c r="C12" s="12" t="str">
        <x:v>HDB is mandatory, D18 is preferred</x:v>
      </x:c>
      <x:c r="D12" s="19" t="n">
        <x:v>1</x:v>
      </x:c>
      <x:c r="E12" s="12" t="str">
        <x:v>Only HDB flats are acceptable. I need at least two reported bedrooms for up to SGD 3,500 per month. I prefer D18 first, then lower rent.</x:v>
      </x:c>
      <x:c r="F12" s="12" t="str">
        <x:v>Rent &lt;= SGD 3,500/month; bedrooms &gt;= 2; property type = HDB Flat.</x:v>
      </x:c>
      <x:c r="G12" s="12" t="str">
        <x:v>Primary: D18. Secondary: lower rent.</x:v>
      </x:c>
      <x:c r="H12" s="2" t="str">
        <x:v>primary</x:v>
      </x:c>
      <x:c r="I12" s="2" t="str">
        <x:v>success</x:v>
      </x:c>
      <x:c r="J12" s="2" t="str">
        <x:v>success</x:v>
      </x:c>
      <x:c r="K12" s="2" t="n">
        <x:v>10</x:v>
      </x:c>
      <x:c r="L12" s="2" t="str">
        <x:v>Passed</x:v>
      </x:c>
      <x:c r="M12" s="2" t="str">
        <x:v>cold_start_exploration</x:v>
      </x:c>
    </x:row>
    <x:row r="13" ht="24" hidden="0" customHeight="1">
      <x:c r="A13" s="2" t="str">
        <x:v>S08</x:v>
      </x:c>
      <x:c r="B13" s="2" t="str">
        <x:v>Retained</x:v>
      </x:c>
      <x:c r="C13" s="12" t="str">
        <x:v>One-bedroom apartment or condominium</x:v>
      </x:c>
      <x:c r="D13" s="19" t="n">
        <x:v>1</x:v>
      </x:c>
      <x:c r="E13" s="12" t="str">
        <x:v>I need exactly one reported bedroom in an apartment or condominium, at no more than SGD 3,000 per month. D03 or D05 is my first preference; at least 500 sqft is my second preference.</x:v>
      </x:c>
      <x:c r="F13" s="12" t="str">
        <x:v>Rent &lt;= SGD 3,000/month; bedrooms = 1; type in {Apartment, Condominium}.</x:v>
      </x:c>
      <x:c r="G13" s="12" t="str">
        <x:v>Primary: district in {D03, D05}. Secondary: floor area &gt;= 500 sqft.</x:v>
      </x:c>
      <x:c r="H13" s="2" t="str">
        <x:v>primary</x:v>
      </x:c>
      <x:c r="I13" s="2" t="str">
        <x:v>success</x:v>
      </x:c>
      <x:c r="J13" s="2" t="str">
        <x:v>success</x:v>
      </x:c>
      <x:c r="K13" s="2" t="n">
        <x:v>10</x:v>
      </x:c>
      <x:c r="L13" s="2" t="str">
        <x:v>Passed</x:v>
      </x:c>
      <x:c r="M13" s="2" t="str">
        <x:v>cold_start_exploration</x:v>
      </x:c>
    </x:row>
    <x:row r="14" ht="24" hidden="0" customHeight="1">
      <x:c r="A14" s="2" t="str">
        <x:v>S09</x:v>
      </x:c>
      <x:c r="B14" s="2" t="str">
        <x:v>Retained</x:v>
      </x:c>
      <x:c r="C14" s="12" t="str">
        <x:v>A minimum floor area is mandatory</x:v>
      </x:c>
      <x:c r="D14" s="19" t="n">
        <x:v>1</x:v>
      </x:c>
      <x:c r="E14" s="12" t="str">
        <x:v>I need at least three reported bedrooms and at least 1,000 sqft, with monthly rent at most SGD 4,500. I prefer D18 first, then lower rent.</x:v>
      </x:c>
      <x:c r="F14" s="12" t="str">
        <x:v>Rent &lt;= SGD 4,500/month; bedrooms &gt;= 3; floor area &gt;= 1,000 sqft.</x:v>
      </x:c>
      <x:c r="G14" s="12" t="str">
        <x:v>Primary: D18. Secondary: lower rent.</x:v>
      </x:c>
      <x:c r="H14" s="2" t="str">
        <x:v>primary</x:v>
      </x:c>
      <x:c r="I14" s="2" t="str">
        <x:v>success</x:v>
      </x:c>
      <x:c r="J14" s="2" t="str">
        <x:v>success</x:v>
      </x:c>
      <x:c r="K14" s="2" t="n">
        <x:v>10</x:v>
      </x:c>
      <x:c r="L14" s="2" t="str">
        <x:v>Passed</x:v>
      </x:c>
      <x:c r="M14" s="2" t="str">
        <x:v>cold_start_exploration</x:v>
      </x:c>
    </x:row>
    <x:row r="15" ht="24" hidden="0" customHeight="1">
      <x:c r="A15" s="2" t="str">
        <x:v>S10</x:v>
      </x:c>
      <x:c r="B15" s="2" t="str">
        <x:v>Retained</x:v>
      </x:c>
      <x:c r="C15" s="12" t="str">
        <x:v>Two acceptable landed property types</x:v>
      </x:c>
      <x:c r="D15" s="19" t="n">
        <x:v>1</x:v>
      </x:c>
      <x:c r="E15" s="12" t="str">
        <x:v>I need a terraced house or a semi-detached house, at least three reported bedrooms, and monthly rent no higher than SGD 7,000. I prefer more floor area first, then lower rent.</x:v>
      </x:c>
      <x:c r="F15" s="12" t="str">
        <x:v>Rent &lt;= SGD 7,000/month; bedrooms &gt;= 3; type in {Terraced House, Semi-Detached House}.</x:v>
      </x:c>
      <x:c r="G15" s="12" t="str">
        <x:v>Primary: larger floor area. Secondary: lower rent.</x:v>
      </x:c>
      <x:c r="H15" s="2" t="str">
        <x:v>primary</x:v>
      </x:c>
      <x:c r="I15" s="2" t="str">
        <x:v>success</x:v>
      </x:c>
      <x:c r="J15" s="2" t="str">
        <x:v>success</x:v>
      </x:c>
      <x:c r="K15" s="2" t="n">
        <x:v>10</x:v>
      </x:c>
      <x:c r="L15" s="2" t="str">
        <x:v>Passed</x:v>
      </x:c>
      <x:c r="M15" s="2" t="str">
        <x:v>near_tie_sampling</x:v>
      </x:c>
    </x:row>
    <x:row r="16" ht="36" hidden="0" customHeight="1">
      <x:c r="A16" s="2" t="str">
        <x:v>S11</x:v>
      </x:c>
      <x:c r="B16" s="2" t="str">
        <x:v>Retained</x:v>
      </x:c>
      <x:c r="C16" s="12" t="str">
        <x:v>A strict NUS distance limit</x:v>
      </x:c>
      <x:c r="D16" s="19" t="n">
        <x:v>1</x:v>
      </x:c>
      <x:c r="E16" s="12" t="str">
        <x:v>I need at least one reported bedroom for up to SGD 3,500 per month, within 3,000 metres straight-line distance of the supplied NUS reference point. Among qualifying listings, I prefer closer to that point first, then lower rent.</x:v>
      </x:c>
      <x:c r="F16" s="12" t="str">
        <x:v>Rent &lt;= SGD 3,500/month; bedrooms &gt;= 1; NUS straight-line distance &lt;= 3,000 m.</x:v>
      </x:c>
      <x:c r="G16" s="12" t="str">
        <x:v>Primary: closer to the NUS reference point. Secondary: lower rent.</x:v>
      </x:c>
      <x:c r="H16" s="2" t="str">
        <x:v>primary</x:v>
      </x:c>
      <x:c r="I16" s="2" t="str">
        <x:v>success</x:v>
      </x:c>
      <x:c r="J16" s="2" t="str">
        <x:v>success</x:v>
      </x:c>
      <x:c r="K16" s="2" t="n">
        <x:v>10</x:v>
      </x:c>
      <x:c r="L16" s="2" t="str">
        <x:v>Passed</x:v>
      </x:c>
      <x:c r="M16" s="2" t="str">
        <x:v>near_tie_sampling</x:v>
      </x:c>
    </x:row>
    <x:row r="17" ht="36" hidden="0" customHeight="1">
      <x:c r="A17" s="2" t="str">
        <x:v>S12</x:v>
      </x:c>
      <x:c r="B17" s="2" t="str">
        <x:v>Retained</x:v>
      </x:c>
      <x:c r="C17" s="12" t="str">
        <x:v>A wider NUS radius with more space</x:v>
      </x:c>
      <x:c r="D17" s="19" t="n">
        <x:v>1</x:v>
      </x:c>
      <x:c r="E17" s="12" t="str">
        <x:v>I need at least two reported bedrooms, rent up to SGD 4,500 per month, and a location within 5,000 metres straight-line distance of the supplied NUS reference point. I prefer at least 900 sqft first, then lower rent.</x:v>
      </x:c>
      <x:c r="F17" s="12" t="str">
        <x:v>Rent &lt;= SGD 4,500/month; bedrooms &gt;= 2; NUS straight-line distance &lt;= 5,000 m.</x:v>
      </x:c>
      <x:c r="G17" s="12" t="str">
        <x:v>Primary: floor area &gt;= 900 sqft. Secondary: lower rent.</x:v>
      </x:c>
      <x:c r="H17" s="2" t="str">
        <x:v>primary</x:v>
      </x:c>
      <x:c r="I17" s="2" t="str">
        <x:v>success</x:v>
      </x:c>
      <x:c r="J17" s="2" t="str">
        <x:v>success</x:v>
      </x:c>
      <x:c r="K17" s="2" t="n">
        <x:v>10</x:v>
      </x:c>
      <x:c r="L17" s="2" t="str">
        <x:v>Passed</x:v>
      </x:c>
      <x:c r="M17" s="2" t="str">
        <x:v>cold_start_exploration</x:v>
      </x:c>
    </x:row>
    <x:row r="18" ht="36" hidden="0" customHeight="1">
      <x:c r="A18" s="2" t="str">
        <x:v>S13</x:v>
      </x:c>
      <x:c r="B18" s="2" t="str">
        <x:v>Retained</x:v>
      </x:c>
      <x:c r="C18" s="12" t="str">
        <x:v>Closer to NUS matters more</x:v>
      </x:c>
      <x:c r="D18" s="19" t="n">
        <x:v>1</x:v>
      </x:c>
      <x:c r="E18" s="12" t="str">
        <x:v>I need at least one reported bedroom for up to SGD 3,000 per month. There is no mandatory distance limit. Being closer to the supplied NUS reference point matters more to me than saving rent, although lower rent is still desirable.</x:v>
      </x:c>
      <x:c r="F18" s="12" t="str">
        <x:v>Rent &lt;= SGD 3,000/month; bedrooms &gt;= 1. No mandatory distance or district.</x:v>
      </x:c>
      <x:c r="G18" s="12" t="str">
        <x:v>Primary: closer to NUS (straight-line). Secondary: lower rent.</x:v>
      </x:c>
      <x:c r="H18" s="2" t="str">
        <x:v>primary</x:v>
      </x:c>
      <x:c r="I18" s="2" t="str">
        <x:v>success</x:v>
      </x:c>
      <x:c r="J18" s="2" t="str">
        <x:v>success</x:v>
      </x:c>
      <x:c r="K18" s="2" t="n">
        <x:v>10</x:v>
      </x:c>
      <x:c r="L18" s="2" t="str">
        <x:v>Passed</x:v>
      </x:c>
      <x:c r="M18" s="2" t="str">
        <x:v>ranked</x:v>
      </x:c>
    </x:row>
    <x:row r="19" ht="36" hidden="0" customHeight="1">
      <x:c r="A19" s="2" t="str">
        <x:v>S14</x:v>
      </x:c>
      <x:c r="B19" s="2" t="str">
        <x:v>Retained</x:v>
      </x:c>
      <x:c r="C19" s="12" t="str">
        <x:v>Lower rent matters more</x:v>
      </x:c>
      <x:c r="D19" s="19" t="n">
        <x:v>1</x:v>
      </x:c>
      <x:c r="E19" s="12" t="str">
        <x:v>I need at least one reported bedroom for up to SGD 3,000 per month. There is no mandatory distance limit. Saving rent matters more to me than proximity to the supplied NUS reference point, although closer is still desirable.</x:v>
      </x:c>
      <x:c r="F19" s="12" t="str">
        <x:v>Rent &lt;= SGD 3,000/month; bedrooms &gt;= 1. No mandatory distance or district.</x:v>
      </x:c>
      <x:c r="G19" s="12" t="str">
        <x:v>Primary: lower rent. Secondary: closer to NUS (straight-line).</x:v>
      </x:c>
      <x:c r="H19" s="2" t="str">
        <x:v>primary</x:v>
      </x:c>
      <x:c r="I19" s="2" t="str">
        <x:v>success</x:v>
      </x:c>
      <x:c r="J19" s="2" t="str">
        <x:v>success</x:v>
      </x:c>
      <x:c r="K19" s="2" t="n">
        <x:v>10</x:v>
      </x:c>
      <x:c r="L19" s="2" t="str">
        <x:v>Passed</x:v>
      </x:c>
      <x:c r="M19" s="2" t="str">
        <x:v>cold_start_exploration</x:v>
      </x:c>
    </x:row>
    <x:row r="20" ht="24" hidden="0" customHeight="1">
      <x:c r="A20" s="2" t="str">
        <x:v>S15</x:v>
      </x:c>
      <x:c r="B20" s="2" t="str">
        <x:v>Retained</x:v>
      </x:c>
      <x:c r="C20" s="12" t="str">
        <x:v>D05 matters more than extra space</x:v>
      </x:c>
      <x:c r="D20" s="19" t="n">
        <x:v>1</x:v>
      </x:c>
      <x:c r="E20" s="12" t="str">
        <x:v>I need at least two reported bedrooms for up to SGD 5,000 per month. I prefer D05 more strongly than having at least 1,000 sqft. Both are preferences, so neither should exclude an otherwise qualifying listing.</x:v>
      </x:c>
      <x:c r="F20" s="12" t="str">
        <x:v>Rent &lt;= SGD 5,000/month; bedrooms &gt;= 2. District and size are not mandatory.</x:v>
      </x:c>
      <x:c r="G20" s="12" t="str">
        <x:v>Primary: D05. Secondary: floor area &gt;= 1,000 sqft.</x:v>
      </x:c>
      <x:c r="H20" s="2" t="str">
        <x:v>primary</x:v>
      </x:c>
      <x:c r="I20" s="2" t="str">
        <x:v>success</x:v>
      </x:c>
      <x:c r="J20" s="2" t="str">
        <x:v>success</x:v>
      </x:c>
      <x:c r="K20" s="2" t="n">
        <x:v>10</x:v>
      </x:c>
      <x:c r="L20" s="2" t="str">
        <x:v>Passed</x:v>
      </x:c>
      <x:c r="M20" s="2" t="str">
        <x:v>cold_start_exploration</x:v>
      </x:c>
    </x:row>
    <x:row r="21" ht="24" hidden="0" customHeight="1">
      <x:c r="A21" s="2" t="str">
        <x:v>S16</x:v>
      </x:c>
      <x:c r="B21" s="2" t="str">
        <x:v>Retained</x:v>
      </x:c>
      <x:c r="C21" s="12" t="str">
        <x:v>Extra space matters more than D05</x:v>
      </x:c>
      <x:c r="D21" s="19" t="n">
        <x:v>1</x:v>
      </x:c>
      <x:c r="E21" s="12" t="str">
        <x:v>I need at least two reported bedrooms for up to SGD 5,000 per month. I prefer at least 1,000 sqft more strongly than D05. Both are preferences, so neither should exclude an otherwise qualifying listing.</x:v>
      </x:c>
      <x:c r="F21" s="12" t="str">
        <x:v>Rent &lt;= SGD 5,000/month; bedrooms &gt;= 2. District and size are not mandatory.</x:v>
      </x:c>
      <x:c r="G21" s="12" t="str">
        <x:v>Primary: floor area &gt;= 1,000 sqft. Secondary: D05.</x:v>
      </x:c>
      <x:c r="H21" s="2" t="str">
        <x:v>primary</x:v>
      </x:c>
      <x:c r="I21" s="2" t="str">
        <x:v>success</x:v>
      </x:c>
      <x:c r="J21" s="2" t="str">
        <x:v>success</x:v>
      </x:c>
      <x:c r="K21" s="2" t="n">
        <x:v>10</x:v>
      </x:c>
      <x:c r="L21" s="2" t="str">
        <x:v>Passed</x:v>
      </x:c>
      <x:c r="M21" s="2" t="str">
        <x:v>cold_start_exploration</x:v>
      </x:c>
    </x:row>
    <x:row r="22" ht="48" hidden="0" customHeight="1">
      <x:c r="A22" s="2" t="str">
        <x:v>S17</x:v>
      </x:c>
      <x:c r="B22" s="2" t="str">
        <x:v>Retained</x:v>
      </x:c>
      <x:c r="C22" s="12" t="str">
        <x:v>Lower the budget in a follow-up</x:v>
      </x:c>
      <x:c r="D22" s="19" t="n">
        <x:v>2</x:v>
      </x:c>
      <x:c r="E22" s="12" t="str">
        <x:v>I need D05, at least two reported bedrooms, and rent up to SGD 5,000 per month. I prefer larger floor area.
Reduce the maximum rent to SGD 3,000 per month. Keep my district, bedroom requirement and size preference.</x:v>
      </x:c>
      <x:c r="F22" s="12" t="str">
        <x:v>Final: rent &lt;= SGD 3,000/month; bedrooms &gt;= 2; district = D05.</x:v>
      </x:c>
      <x:c r="G22" s="12" t="str">
        <x:v>Retained preference: larger floor area.</x:v>
      </x:c>
      <x:c r="H22" s="2" t="str">
        <x:v>primary</x:v>
      </x:c>
      <x:c r="I22" s="2" t="str">
        <x:v>success</x:v>
      </x:c>
      <x:c r="J22" s="2" t="str">
        <x:v>success</x:v>
      </x:c>
      <x:c r="K22" s="2" t="n">
        <x:v>3</x:v>
      </x:c>
      <x:c r="L22" s="2" t="str">
        <x:v>Passed</x:v>
      </x:c>
      <x:c r="M22" s="2" t="str">
        <x:v>small_pool</x:v>
      </x:c>
    </x:row>
    <x:row r="23" ht="24" hidden="0" customHeight="1">
      <x:c r="A23" s="2" t="str">
        <x:v>S18</x:v>
      </x:c>
      <x:c r="B23" s="2" t="str">
        <x:v>Retained</x:v>
      </x:c>
      <x:c r="C23" s="12" t="str">
        <x:v>Remove the district in a follow-up</x:v>
      </x:c>
      <x:c r="D23" s="19" t="n">
        <x:v>2</x:v>
      </x:c>
      <x:c r="E23" s="12" t="str">
        <x:v>I need D05, at least two reported bedrooms, and rent up to SGD 3,000 per month. I prefer lower rent.
Remove my D05 requirement. Keep my budget, bedroom requirement and preference for lower rent.</x:v>
      </x:c>
      <x:c r="F23" s="12" t="str">
        <x:v>Final: rent &lt;= SGD 3,000/month; bedrooms &gt;= 2. No mandatory or preferred district.</x:v>
      </x:c>
      <x:c r="G23" s="12" t="str">
        <x:v>Retained preference: lower rent. Do not retain D05 as a preference.</x:v>
      </x:c>
      <x:c r="H23" s="2" t="str">
        <x:v>primary</x:v>
      </x:c>
      <x:c r="I23" s="2" t="str">
        <x:v>success</x:v>
      </x:c>
      <x:c r="J23" s="2" t="str">
        <x:v>success</x:v>
      </x:c>
      <x:c r="K23" s="2" t="n">
        <x:v>10</x:v>
      </x:c>
      <x:c r="L23" s="2" t="str">
        <x:v>Passed</x:v>
      </x:c>
      <x:c r="M23" s="2" t="str">
        <x:v>ranked</x:v>
      </x:c>
    </x:row>
    <x:row r="24" ht="24" hidden="0" customHeight="1">
      <x:c r="A24" s="2" t="str">
        <x:v>S19</x:v>
      </x:c>
      <x:c r="B24" s="2" t="str">
        <x:v>Retained</x:v>
      </x:c>
      <x:c r="C24" s="12" t="str">
        <x:v>Evidence missing for mandatory features</x:v>
      </x:c>
      <x:c r="D24" s="19" t="n">
        <x:v>1</x:v>
      </x:c>
      <x:c r="E24" s="12" t="str">
        <x:v>I need at least two reported bedrooms for up to SGD 3,500 per month. The property must be fully furnished and available on a six-month lease. Lower rent is a preference.</x:v>
      </x:c>
      <x:c r="F24" s="12" t="str">
        <x:v>Rent &lt;= SGD 3,500/month; bedrooms &gt;= 2; fully furnished; lease duration = 6 months.</x:v>
      </x:c>
      <x:c r="G24" s="12" t="str">
        <x:v>Prefer lower rent, only after all mandatory requirements are verified.</x:v>
      </x:c>
      <x:c r="H24" s="2" t="str">
        <x:v>evidence_control</x:v>
      </x:c>
      <x:c r="I24" s="2" t="str">
        <x:v>needs_clarification</x:v>
      </x:c>
      <x:c r="J24" s="2" t="str">
        <x:v>needs_clarification</x:v>
      </x:c>
      <x:c r="K24" s="2" t="n">
        <x:v>0</x:v>
      </x:c>
      <x:c r="L24" s="2" t="str">
        <x:v>Passed</x:v>
      </x:c>
      <x:c r="M24" s="2" t="str">
        <x:v>empty</x:v>
      </x:c>
    </x:row>
    <x:row r="25" ht="24" hidden="0" customHeight="1">
      <x:c r="A25" s="2" t="str">
        <x:v>S20</x:v>
      </x:c>
      <x:c r="B25" s="2" t="str">
        <x:v>Retained</x:v>
      </x:c>
      <x:c r="C25" s="12" t="str">
        <x:v>No verified match under tight limits</x:v>
      </x:c>
      <x:c r="D25" s="19" t="n">
        <x:v>1</x:v>
      </x:c>
      <x:c r="E25" s="12" t="str">
        <x:v>I need D10, at least four reported bedrooms and at least 1,500 sqft, for no more than SGD 800 per month. Keep every requirement; do not relax them silently.</x:v>
      </x:c>
      <x:c r="F25" s="12" t="str">
        <x:v>Rent &lt;= SGD 800/month; bedrooms &gt;= 4; floor area &gt;= 1,500 sqft; district = D10.</x:v>
      </x:c>
      <x:c r="G25" s="12" t="str">
        <x:v>No additional soft preferences. Keep all mandatory requirements.</x:v>
      </x:c>
      <x:c r="H25" s="2" t="str">
        <x:v>no_verified_match_control</x:v>
      </x:c>
      <x:c r="I25" s="2" t="str">
        <x:v>no_match</x:v>
      </x:c>
      <x:c r="J25" s="2" t="str">
        <x:v>no_match</x:v>
      </x:c>
      <x:c r="K25" s="2" t="n">
        <x:v>0</x:v>
      </x:c>
      <x:c r="L25" s="2" t="str">
        <x:v>Passed</x:v>
      </x:c>
      <x:c r="M25" s="2" t="str">
        <x:v>empty</x:v>
      </x:c>
    </x:row>
    <x:row r="26" ht="36" hidden="0" customHeight="1">
      <x:c r="A26" s="2" t="str">
        <x:v>S21</x:v>
      </x:c>
      <x:c r="B26" s="2" t="str">
        <x:v>Extension</x:v>
      </x:c>
      <x:c r="C26" s="12" t="str">
        <x:v>Inclusive monthly rent ceiling</x:v>
      </x:c>
      <x:c r="D26" s="19" t="n">
        <x:v>1</x:v>
      </x:c>
      <x:c r="E26" s="12" t="str">
        <x:v>My rent must not exceed SGD 1,500 per month, including a listing priced exactly at that amount. I need at least one reported bedroom and at least 200 sqft. Prefer rent of SGD 1,200 or less first; 350 sqft or more is a bonus.</x:v>
      </x:c>
      <x:c r="F26" s="12" t="str">
        <x:v>price lte 1500; bedrooms gte 1; floor_area_sqft gte 200</x:v>
      </x:c>
      <x:c r="G26" s="12" t="str">
        <x:v>Primary: price lte 1200. Secondary: floor_area_sqft gte 350</x:v>
      </x:c>
      <x:c r="H26" s="2" t="str">
        <x:v>primary</x:v>
      </x:c>
      <x:c r="I26" s="2" t="str">
        <x:v>success</x:v>
      </x:c>
      <x:c r="J26" s="2" t="str">
        <x:v>success</x:v>
      </x:c>
      <x:c r="K26" s="2" t="n">
        <x:v>10</x:v>
      </x:c>
      <x:c r="L26" s="2" t="str">
        <x:v>Passed</x:v>
      </x:c>
      <x:c r="M26" s="2" t="str">
        <x:v>cold_start_exploration</x:v>
      </x:c>
    </x:row>
    <x:row r="27" ht="24" hidden="0" customHeight="1">
      <x:c r="A27" s="2" t="str">
        <x:v>S22</x:v>
      </x:c>
      <x:c r="B27" s="2" t="str">
        <x:v>Extension</x:v>
      </x:c>
      <x:c r="C27" s="12" t="str">
        <x:v>Inclusive minimum floor area</x:v>
      </x:c>
      <x:c r="D27" s="19" t="n">
        <x:v>1</x:v>
      </x:c>
      <x:c r="E27" s="12" t="str">
        <x:v>I need at least two reported bedrooms and at least 700 sqft, with monthly rent no higher than SGD 4,000. A home of exactly 700 sqft is acceptable. Prefer at least 900 sqft first, then rent of SGD 3,500 or less.</x:v>
      </x:c>
      <x:c r="F27" s="12" t="str">
        <x:v>price lte 4000; bedrooms gte 2; floor_area_sqft gte 700</x:v>
      </x:c>
      <x:c r="G27" s="12" t="str">
        <x:v>Primary: floor_area_sqft gte 900. Secondary: price lte 3500</x:v>
      </x:c>
      <x:c r="H27" s="2" t="str">
        <x:v>primary</x:v>
      </x:c>
      <x:c r="I27" s="2" t="str">
        <x:v>success</x:v>
      </x:c>
      <x:c r="J27" s="2" t="str">
        <x:v>success</x:v>
      </x:c>
      <x:c r="K27" s="2" t="n">
        <x:v>10</x:v>
      </x:c>
      <x:c r="L27" s="2" t="str">
        <x:v>Passed</x:v>
      </x:c>
      <x:c r="M27" s="2" t="str">
        <x:v>cold_start_exploration</x:v>
      </x:c>
    </x:row>
    <x:row r="28" ht="24" hidden="0" customHeight="1">
      <x:c r="A28" s="2" t="str">
        <x:v>S23</x:v>
      </x:c>
      <x:c r="B28" s="2" t="str">
        <x:v>Extension</x:v>
      </x:c>
      <x:c r="C28" s="12" t="str">
        <x:v>Exactly two reported bedrooms</x:v>
      </x:c>
      <x:c r="D28" s="19" t="n">
        <x:v>1</x:v>
      </x:c>
      <x:c r="E28" s="12" t="str">
        <x:v>Please find exactly two reported bedrooms in D18 or D19, for at most SGD 4,500 per month. I prefer at least 800 sqft first, and rent of SGD 3,500 or less second.</x:v>
      </x:c>
      <x:c r="F28" s="12" t="str">
        <x:v>price lte 4500; bedrooms eq 2; district_code in ["D18","D19"]</x:v>
      </x:c>
      <x:c r="G28" s="12" t="str">
        <x:v>Primary: floor_area_sqft gte 800. Secondary: price lte 3500</x:v>
      </x:c>
      <x:c r="H28" s="2" t="str">
        <x:v>primary</x:v>
      </x:c>
      <x:c r="I28" s="2" t="str">
        <x:v>success</x:v>
      </x:c>
      <x:c r="J28" s="2" t="str">
        <x:v>success</x:v>
      </x:c>
      <x:c r="K28" s="2" t="n">
        <x:v>10</x:v>
      </x:c>
      <x:c r="L28" s="2" t="str">
        <x:v>Passed</x:v>
      </x:c>
      <x:c r="M28" s="2" t="str">
        <x:v>cold_start_exploration</x:v>
      </x:c>
    </x:row>
    <x:row r="29" ht="24" hidden="0" customHeight="1">
      <x:c r="A29" s="2" t="str">
        <x:v>S24</x:v>
      </x:c>
      <x:c r="B29" s="2" t="str">
        <x:v>Extension</x:v>
      </x:c>
      <x:c r="C29" s="12" t="str">
        <x:v>Both ends of a rent range</x:v>
      </x:c>
      <x:c r="D29" s="19" t="n">
        <x:v>1</x:v>
      </x:c>
      <x:c r="E29" s="12" t="str">
        <x:v>My monthly rent range is SGD 2,500 through SGD 3,500, both inclusive. I need at least two reported bedrooms in D23 or D25. Prefer 900 sqft or more first, then rent no higher than SGD 3,000.</x:v>
      </x:c>
      <x:c r="F29" s="12" t="str">
        <x:v>price between [2500,3500]; bedrooms gte 2; district_code in ["D23","D25"]</x:v>
      </x:c>
      <x:c r="G29" s="12" t="str">
        <x:v>Primary: floor_area_sqft gte 900. Secondary: price lte 3000</x:v>
      </x:c>
      <x:c r="H29" s="2" t="str">
        <x:v>primary</x:v>
      </x:c>
      <x:c r="I29" s="2" t="str">
        <x:v>success</x:v>
      </x:c>
      <x:c r="J29" s="2" t="str">
        <x:v>success</x:v>
      </x:c>
      <x:c r="K29" s="2" t="n">
        <x:v>10</x:v>
      </x:c>
      <x:c r="L29" s="2" t="str">
        <x:v>Passed</x:v>
      </x:c>
      <x:c r="M29" s="2" t="str">
        <x:v>cold_start_exploration</x:v>
      </x:c>
    </x:row>
    <x:row r="30" ht="24" hidden="0" customHeight="1">
      <x:c r="A30" s="2" t="str">
        <x:v>S25</x:v>
      </x:c>
      <x:c r="B30" s="2" t="str">
        <x:v>Extension</x:v>
      </x:c>
      <x:c r="C30" s="12" t="str">
        <x:v>Property type with family requirements</x:v>
      </x:c>
      <x:c r="D30" s="19" t="n">
        <x:v>1</x:v>
      </x:c>
      <x:c r="E30" s="12" t="str">
        <x:v>I need an HDB flat with at least three reported bedrooms, for no more than SGD 4,000 per month. Prefer D18 or D19 first, then at least 1,000 sqft.</x:v>
      </x:c>
      <x:c r="F30" s="12" t="str">
        <x:v>price lte 4000; bedrooms gte 3; property_type eq "hdb flat"</x:v>
      </x:c>
      <x:c r="G30" s="12" t="str">
        <x:v>Primary: district_code in ["D18","D19"]. Secondary: floor_area_sqft gte 1000</x:v>
      </x:c>
      <x:c r="H30" s="2" t="str">
        <x:v>primary</x:v>
      </x:c>
      <x:c r="I30" s="2" t="str">
        <x:v>success</x:v>
      </x:c>
      <x:c r="J30" s="2" t="str">
        <x:v>success</x:v>
      </x:c>
      <x:c r="K30" s="2" t="n">
        <x:v>10</x:v>
      </x:c>
      <x:c r="L30" s="2" t="str">
        <x:v>Passed</x:v>
      </x:c>
      <x:c r="M30" s="2" t="str">
        <x:v>cold_start_exploration</x:v>
      </x:c>
    </x:row>
    <x:row r="31" ht="24" hidden="0" customHeight="1">
      <x:c r="A31" s="2" t="str">
        <x:v>S26</x:v>
      </x:c>
      <x:c r="B31" s="2" t="str">
        <x:v>Extension</x:v>
      </x:c>
      <x:c r="C31" s="12" t="str">
        <x:v>Several mandatory limits in one district</x:v>
      </x:c>
      <x:c r="D31" s="19" t="n">
        <x:v>1</x:v>
      </x:c>
      <x:c r="E31" s="12" t="str">
        <x:v>Keep every listing in D05, with at least two reported bedrooms and rent at most SGD 3,500 per month. I prefer rent at most SGD 3,000 first, and at least 750 sqft second.</x:v>
      </x:c>
      <x:c r="F31" s="12" t="str">
        <x:v>price lte 3500; bedrooms gte 2; district_code eq "D05"</x:v>
      </x:c>
      <x:c r="G31" s="12" t="str">
        <x:v>Primary: price lte 3000. Secondary: floor_area_sqft gte 750</x:v>
      </x:c>
      <x:c r="H31" s="2" t="str">
        <x:v>primary</x:v>
      </x:c>
      <x:c r="I31" s="2" t="str">
        <x:v>success</x:v>
      </x:c>
      <x:c r="J31" s="2" t="str">
        <x:v>success</x:v>
      </x:c>
      <x:c r="K31" s="2" t="n">
        <x:v>10</x:v>
      </x:c>
      <x:c r="L31" s="2" t="str">
        <x:v>Passed</x:v>
      </x:c>
      <x:c r="M31" s="2" t="str">
        <x:v>cold_start_exploration</x:v>
      </x:c>
    </x:row>
    <x:row r="32" ht="24" hidden="0" customHeight="1">
      <x:c r="A32" s="2" t="str">
        <x:v>S27</x:v>
      </x:c>
      <x:c r="B32" s="2" t="str">
        <x:v>Extension</x:v>
      </x:c>
      <x:c r="C32" s="12" t="str">
        <x:v>Preferred district before extra space</x:v>
      </x:c>
      <x:c r="D32" s="19" t="n">
        <x:v>1</x:v>
      </x:c>
      <x:c r="E32" s="12" t="str">
        <x:v>I can pay up to SGD 4,500 per month and need at least two reported bedrooms. I can consider any district, but D03 or D05 is my first preference. At least 900 sqft is my second preference.</x:v>
      </x:c>
      <x:c r="F32" s="12" t="str">
        <x:v>price lte 4500; bedrooms gte 2</x:v>
      </x:c>
      <x:c r="G32" s="12" t="str">
        <x:v>Primary: district_code in ["D03","D05"]. Secondary: floor_area_sqft gte 900</x:v>
      </x:c>
      <x:c r="H32" s="2" t="str">
        <x:v>primary</x:v>
      </x:c>
      <x:c r="I32" s="2" t="str">
        <x:v>success</x:v>
      </x:c>
      <x:c r="J32" s="2" t="str">
        <x:v>success</x:v>
      </x:c>
      <x:c r="K32" s="2" t="n">
        <x:v>10</x:v>
      </x:c>
      <x:c r="L32" s="2" t="str">
        <x:v>Passed</x:v>
      </x:c>
      <x:c r="M32" s="2" t="str">
        <x:v>cold_start_exploration</x:v>
      </x:c>
    </x:row>
    <x:row r="33" ht="24" hidden="0" customHeight="1">
      <x:c r="A33" s="2" t="str">
        <x:v>S28</x:v>
      </x:c>
      <x:c r="B33" s="2" t="str">
        <x:v>Extension</x:v>
      </x:c>
      <x:c r="C33" s="12" t="str">
        <x:v>Extra space before preferred district</x:v>
      </x:c>
      <x:c r="D33" s="19" t="n">
        <x:v>1</x:v>
      </x:c>
      <x:c r="E33" s="12" t="str">
        <x:v>I can pay up to SGD 4,500 per month and need at least two reported bedrooms. At least 1,000 sqft is my first preference. D03 or D05 is a secondary preference; other districts are acceptable.</x:v>
      </x:c>
      <x:c r="F33" s="12" t="str">
        <x:v>price lte 4500; bedrooms gte 2</x:v>
      </x:c>
      <x:c r="G33" s="12" t="str">
        <x:v>Primary: floor_area_sqft gte 1000. Secondary: district_code in ["D03","D05"]</x:v>
      </x:c>
      <x:c r="H33" s="2" t="str">
        <x:v>primary</x:v>
      </x:c>
      <x:c r="I33" s="2" t="str">
        <x:v>success</x:v>
      </x:c>
      <x:c r="J33" s="2" t="str">
        <x:v>success</x:v>
      </x:c>
      <x:c r="K33" s="2" t="n">
        <x:v>10</x:v>
      </x:c>
      <x:c r="L33" s="2" t="str">
        <x:v>Passed</x:v>
      </x:c>
      <x:c r="M33" s="2" t="str">
        <x:v>cold_start_exploration</x:v>
      </x:c>
    </x:row>
    <x:row r="34" ht="24" hidden="0" customHeight="1">
      <x:c r="A34" s="2" t="str">
        <x:v>S29</x:v>
      </x:c>
      <x:c r="B34" s="2" t="str">
        <x:v>Extension</x:v>
      </x:c>
      <x:c r="C34" s="12" t="str">
        <x:v>Savings before extra space</x:v>
      </x:c>
      <x:c r="D34" s="19" t="n">
        <x:v>1</x:v>
      </x:c>
      <x:c r="E34" s="12" t="str">
        <x:v>I need at least two reported bedrooms in D18, D19, D20 or D23, and my absolute monthly limit is SGD 4,200. My first preference is rent at most SGD 2,800. At least 900 sqft is a secondary preference.</x:v>
      </x:c>
      <x:c r="F34" s="12" t="str">
        <x:v>price lte 4200; bedrooms gte 2; district_code in ["D18","D19","D20","D23"]</x:v>
      </x:c>
      <x:c r="G34" s="12" t="str">
        <x:v>Primary: price lte 2800. Secondary: floor_area_sqft gte 900</x:v>
      </x:c>
      <x:c r="H34" s="2" t="str">
        <x:v>primary</x:v>
      </x:c>
      <x:c r="I34" s="2" t="str">
        <x:v>success</x:v>
      </x:c>
      <x:c r="J34" s="2" t="str">
        <x:v>success</x:v>
      </x:c>
      <x:c r="K34" s="2" t="n">
        <x:v>10</x:v>
      </x:c>
      <x:c r="L34" s="2" t="str">
        <x:v>Passed</x:v>
      </x:c>
      <x:c r="M34" s="2" t="str">
        <x:v>cold_start_exploration</x:v>
      </x:c>
    </x:row>
    <x:row r="35" ht="24" hidden="0" customHeight="1">
      <x:c r="A35" s="2" t="str">
        <x:v>S30</x:v>
      </x:c>
      <x:c r="B35" s="2" t="str">
        <x:v>Extension</x:v>
      </x:c>
      <x:c r="C35" s="12" t="str">
        <x:v>Family space before savings</x:v>
      </x:c>
      <x:c r="D35" s="19" t="n">
        <x:v>1</x:v>
      </x:c>
      <x:c r="E35" s="12" t="str">
        <x:v>I need at least three reported bedrooms for no more than SGD 4,800 per month. My first preference is at least 1,100 sqft. Rent at most SGD 3,600 is my second preference.</x:v>
      </x:c>
      <x:c r="F35" s="12" t="str">
        <x:v>price lte 4800; bedrooms gte 3</x:v>
      </x:c>
      <x:c r="G35" s="12" t="str">
        <x:v>Primary: floor_area_sqft gte 1100. Secondary: price lte 3600</x:v>
      </x:c>
      <x:c r="H35" s="2" t="str">
        <x:v>primary</x:v>
      </x:c>
      <x:c r="I35" s="2" t="str">
        <x:v>success</x:v>
      </x:c>
      <x:c r="J35" s="2" t="str">
        <x:v>success</x:v>
      </x:c>
      <x:c r="K35" s="2" t="n">
        <x:v>10</x:v>
      </x:c>
      <x:c r="L35" s="2" t="str">
        <x:v>Passed</x:v>
      </x:c>
      <x:c r="M35" s="2" t="str">
        <x:v>cold_start_exploration</x:v>
      </x:c>
    </x:row>
    <x:row r="36" ht="36" hidden="0" customHeight="1">
      <x:c r="A36" s="2" t="str">
        <x:v>S31</x:v>
      </x:c>
      <x:c r="B36" s="2" t="str">
        <x:v>Extension</x:v>
      </x:c>
      <x:c r="C36" s="12" t="str">
        <x:v>Preferred property type is optional</x:v>
      </x:c>
      <x:c r="D36" s="19" t="n">
        <x:v>1</x:v>
      </x:c>
      <x:c r="E36" s="12" t="str">
        <x:v>I need at least two reported bedrooms in D18, D19, D23 or D25, at no more than SGD 4,500 per month. I prefer an HDB flat first, but other property types are acceptable. At least 900 sqft is a secondary preference.</x:v>
      </x:c>
      <x:c r="F36" s="12" t="str">
        <x:v>price lte 4500; bedrooms gte 2; district_code in ["D18","D19","D23","D25"]</x:v>
      </x:c>
      <x:c r="G36" s="12" t="str">
        <x:v>Primary: property_type eq "hdb flat". Secondary: floor_area_sqft gte 900</x:v>
      </x:c>
      <x:c r="H36" s="2" t="str">
        <x:v>primary</x:v>
      </x:c>
      <x:c r="I36" s="2" t="str">
        <x:v>success</x:v>
      </x:c>
      <x:c r="J36" s="2" t="str">
        <x:v>success</x:v>
      </x:c>
      <x:c r="K36" s="2" t="n">
        <x:v>10</x:v>
      </x:c>
      <x:c r="L36" s="2" t="str">
        <x:v>Passed</x:v>
      </x:c>
      <x:c r="M36" s="2" t="str">
        <x:v>cold_start_exploration</x:v>
      </x:c>
    </x:row>
    <x:row r="37" ht="24" hidden="0" customHeight="1">
      <x:c r="A37" s="2" t="str">
        <x:v>S32</x:v>
      </x:c>
      <x:c r="B37" s="2" t="str">
        <x:v>Extension</x:v>
      </x:c>
      <x:c r="C37" s="12" t="str">
        <x:v>Preference within an allowed district set</x:v>
      </x:c>
      <x:c r="D37" s="19" t="n">
        <x:v>1</x:v>
      </x:c>
      <x:c r="E37" s="12" t="str">
        <x:v>I need at least two reported bedrooms in D09, D10 or D11, at no more than SGD 6,500 per month. Within those districts, D10 is my first preference, followed by rent at most SGD 5,500.</x:v>
      </x:c>
      <x:c r="F37" s="12" t="str">
        <x:v>price lte 6500; bedrooms gte 2; district_code in ["D09","D10","D11"]</x:v>
      </x:c>
      <x:c r="G37" s="12" t="str">
        <x:v>Primary: district_code eq "D10". Secondary: price lte 5500</x:v>
      </x:c>
      <x:c r="H37" s="2" t="str">
        <x:v>primary</x:v>
      </x:c>
      <x:c r="I37" s="2" t="str">
        <x:v>success</x:v>
      </x:c>
      <x:c r="J37" s="2" t="str">
        <x:v>success</x:v>
      </x:c>
      <x:c r="K37" s="2" t="n">
        <x:v>10</x:v>
      </x:c>
      <x:c r="L37" s="2" t="str">
        <x:v>Passed</x:v>
      </x:c>
      <x:c r="M37" s="2" t="str">
        <x:v>cold_start_exploration</x:v>
      </x:c>
    </x:row>
    <x:row r="38" ht="36" hidden="0" customHeight="1">
      <x:c r="A38" s="2" t="str">
        <x:v>S33</x:v>
      </x:c>
      <x:c r="B38" s="2" t="str">
        <x:v>Extension</x:v>
      </x:c>
      <x:c r="C38" s="12" t="str">
        <x:v>Three-bedroom search with very few matches</x:v>
      </x:c>
      <x:c r="D38" s="19" t="n">
        <x:v>1</x:v>
      </x:c>
      <x:c r="E38" s="12" t="str">
        <x:v>My family needs at least three reported bedrooms in D05, with rent no higher than SGD 3,800 per month. Prefer rent at most SGD 3,600 first, then at least 900 sqft. If only a few homes qualify, show those without filling the list with other districts.</x:v>
      </x:c>
      <x:c r="F38" s="12" t="str">
        <x:v>price lte 3800; bedrooms gte 3; district_code eq "D05"</x:v>
      </x:c>
      <x:c r="G38" s="12" t="str">
        <x:v>Primary: price lte 3600. Secondary: floor_area_sqft gte 900</x:v>
      </x:c>
      <x:c r="H38" s="2" t="str">
        <x:v>primary</x:v>
      </x:c>
      <x:c r="I38" s="2" t="str">
        <x:v>success</x:v>
      </x:c>
      <x:c r="J38" s="2" t="str">
        <x:v>success</x:v>
      </x:c>
      <x:c r="K38" s="2" t="n">
        <x:v>3</x:v>
      </x:c>
      <x:c r="L38" s="2" t="str">
        <x:v>Passed</x:v>
      </x:c>
      <x:c r="M38" s="2" t="str">
        <x:v>small_pool</x:v>
      </x:c>
    </x:row>
    <x:row r="39" ht="36" hidden="0" customHeight="1">
      <x:c r="A39" s="2" t="str">
        <x:v>S34</x:v>
      </x:c>
      <x:c r="B39" s="2" t="str">
        <x:v>Extension</x:v>
      </x:c>
      <x:c r="C39" s="12" t="str">
        <x:v>No affordable two-bedroom match in D09</x:v>
      </x:c>
      <x:c r="D39" s="19" t="n">
        <x:v>1</x:v>
      </x:c>
      <x:c r="E39" s="12" t="str">
        <x:v>I need at least two reported bedrooms in D09, for no more than SGD 2,200 per month. Prefer rent at most SGD 2,000 first, then at least 700 sqft. If nothing qualifies, explain that rather than offering a more expensive listing as a verified match.</x:v>
      </x:c>
      <x:c r="F39" s="12" t="str">
        <x:v>price lte 2200; bedrooms gte 2; district_code eq "D09"</x:v>
      </x:c>
      <x:c r="G39" s="12" t="str">
        <x:v>Primary: price lte 2000. Secondary: floor_area_sqft gte 700</x:v>
      </x:c>
      <x:c r="H39" s="2" t="str">
        <x:v>control</x:v>
      </x:c>
      <x:c r="I39" s="2" t="str">
        <x:v>no_match</x:v>
      </x:c>
      <x:c r="J39" s="2" t="str">
        <x:v>no_match</x:v>
      </x:c>
      <x:c r="K39" s="2" t="n">
        <x:v>0</x:v>
      </x:c>
      <x:c r="L39" s="2" t="str">
        <x:v>Passed</x:v>
      </x:c>
      <x:c r="M39" s="2" t="str">
        <x:v>empty</x:v>
      </x:c>
    </x:row>
    <x:row r="40" ht="24" hidden="0" customHeight="1">
      <x:c r="A40" s="2" t="str">
        <x:v>S35</x:v>
      </x:c>
      <x:c r="B40" s="2" t="str">
        <x:v>Extension</x:v>
      </x:c>
      <x:c r="C40" s="12" t="str">
        <x:v>Four-bedroom search with two qualifying homes</x:v>
      </x:c>
      <x:c r="D40" s="19" t="n">
        <x:v>1</x:v>
      </x:c>
      <x:c r="E40" s="12" t="str">
        <x:v>I need exactly four reported bedrooms in D20, at least 1,200 sqft, and rent at most SGD 4,500 per month. Prefer rent at most SGD 4,300 first, then at least 1,300 sqft. A short list is fine.</x:v>
      </x:c>
      <x:c r="F40" s="12" t="str">
        <x:v>price lte 4500; bedrooms eq 4; district_code eq "D20"; floor_area_sqft gte 1200</x:v>
      </x:c>
      <x:c r="G40" s="12" t="str">
        <x:v>Primary: price lte 4300. Secondary: floor_area_sqft gte 1300</x:v>
      </x:c>
      <x:c r="H40" s="2" t="str">
        <x:v>primary</x:v>
      </x:c>
      <x:c r="I40" s="2" t="str">
        <x:v>success</x:v>
      </x:c>
      <x:c r="J40" s="2" t="str">
        <x:v>success</x:v>
      </x:c>
      <x:c r="K40" s="2" t="n">
        <x:v>2</x:v>
      </x:c>
      <x:c r="L40" s="2" t="str">
        <x:v>Passed</x:v>
      </x:c>
      <x:c r="M40" s="2" t="str">
        <x:v>small_pool</x:v>
      </x:c>
    </x:row>
    <x:row r="41" ht="24" hidden="0" customHeight="1">
      <x:c r="A41" s="2" t="str">
        <x:v>S36</x:v>
      </x:c>
      <x:c r="B41" s="2" t="str">
        <x:v>Extension</x:v>
      </x:c>
      <x:c r="C41" s="12" t="str">
        <x:v>No match for a restricted family budget</x:v>
      </x:c>
      <x:c r="D41" s="19" t="n">
        <x:v>1</x:v>
      </x:c>
      <x:c r="E41" s="12" t="str">
        <x:v>I need at least three reported bedrooms in D10, with monthly rent capped at SGD 2,500. Prefer rent at most SGD 2,200 first, then at least 1,000 sqft. Tell me when the current data has no qualifying home.</x:v>
      </x:c>
      <x:c r="F41" s="12" t="str">
        <x:v>price lte 2500; bedrooms gte 3; district_code eq "D10"</x:v>
      </x:c>
      <x:c r="G41" s="12" t="str">
        <x:v>Primary: price lte 2200. Secondary: floor_area_sqft gte 1000</x:v>
      </x:c>
      <x:c r="H41" s="2" t="str">
        <x:v>control</x:v>
      </x:c>
      <x:c r="I41" s="2" t="str">
        <x:v>no_match</x:v>
      </x:c>
      <x:c r="J41" s="2" t="str">
        <x:v>no_match</x:v>
      </x:c>
      <x:c r="K41" s="2" t="n">
        <x:v>0</x:v>
      </x:c>
      <x:c r="L41" s="2" t="str">
        <x:v>Passed</x:v>
      </x:c>
      <x:c r="M41" s="2" t="str">
        <x:v>empty</x:v>
      </x:c>
    </x:row>
    <x:row r="42" ht="48" hidden="0" customHeight="1">
      <x:c r="A42" s="2" t="str">
        <x:v>S37</x:v>
      </x:c>
      <x:c r="B42" s="2" t="str">
        <x:v>Extension</x:v>
      </x:c>
      <x:c r="C42" s="12" t="str">
        <x:v>Budget reduction preserves the district set</x:v>
      </x:c>
      <x:c r="D42" s="19" t="n">
        <x:v>2</x:v>
      </x:c>
      <x:c r="E42" s="12" t="str">
        <x:v>I need at least two reported bedrooms in D18 or D19, for at most SGD 4,500 per month. Prefer at least 1,000 sqft first, and rent at most SGD 3,000 second.
Reduce my maximum monthly rent to SGD 3,500. Keep the district choices, bedroom requirement and both preferences.</x:v>
      </x:c>
      <x:c r="F42" s="12" t="str">
        <x:v>price lte 3500; bedrooms gte 2; district_code in ["D18","D19"]</x:v>
      </x:c>
      <x:c r="G42" s="12" t="str">
        <x:v>Primary: floor_area_sqft gte 1000. Secondary: price lte 3000</x:v>
      </x:c>
      <x:c r="H42" s="2" t="str">
        <x:v>primary</x:v>
      </x:c>
      <x:c r="I42" s="2" t="str">
        <x:v>success</x:v>
      </x:c>
      <x:c r="J42" s="2" t="str">
        <x:v>success</x:v>
      </x:c>
      <x:c r="K42" s="2" t="n">
        <x:v>10</x:v>
      </x:c>
      <x:c r="L42" s="2" t="str">
        <x:v>Passed</x:v>
      </x:c>
      <x:c r="M42" s="2" t="str">
        <x:v>cold_start_exploration</x:v>
      </x:c>
    </x:row>
    <x:row r="43" ht="36" hidden="0" customHeight="1">
      <x:c r="A43" s="2" t="str">
        <x:v>S38</x:v>
      </x:c>
      <x:c r="B43" s="2" t="str">
        <x:v>Extension</x:v>
      </x:c>
      <x:c r="C43" s="12" t="str">
        <x:v>Expand the allowed district set</x:v>
      </x:c>
      <x:c r="D43" s="19" t="n">
        <x:v>2</x:v>
      </x:c>
      <x:c r="E43" s="12" t="str">
        <x:v>I need at least two reported bedrooms in D05, with rent at most SGD 4,000 per month. Prefer rent at most SGD 3,500 first, then at least 900 sqft.
Also include D03. Keep D05 as an option and retain the same rent, bedroom and size requirements.</x:v>
      </x:c>
      <x:c r="F43" s="12" t="str">
        <x:v>price lte 4000; bedrooms gte 2; district_code in ["D03","D05"]</x:v>
      </x:c>
      <x:c r="G43" s="12" t="str">
        <x:v>Primary: price lte 3500. Secondary: floor_area_sqft gte 900</x:v>
      </x:c>
      <x:c r="H43" s="2" t="str">
        <x:v>primary</x:v>
      </x:c>
      <x:c r="I43" s="2" t="str">
        <x:v>success</x:v>
      </x:c>
      <x:c r="J43" s="2" t="str">
        <x:v>success</x:v>
      </x:c>
      <x:c r="K43" s="2" t="n">
        <x:v>10</x:v>
      </x:c>
      <x:c r="L43" s="2" t="str">
        <x:v>Passed</x:v>
      </x:c>
      <x:c r="M43" s="2" t="str">
        <x:v>cold_start_exploration</x:v>
      </x:c>
    </x:row>
    <x:row r="44" ht="48" hidden="0" customHeight="1">
      <x:c r="A44" s="2" t="str">
        <x:v>S39</x:v>
      </x:c>
      <x:c r="B44" s="2" t="str">
        <x:v>Extension</x:v>
      </x:c>
      <x:c r="C44" s="12" t="str">
        <x:v>Relax only the minimum floor area</x:v>
      </x:c>
      <x:c r="D44" s="19" t="n">
        <x:v>2</x:v>
      </x:c>
      <x:c r="E44" s="12" t="str">
        <x:v>I need at least two reported bedrooms in D23 or D25, at least 1,000 sqft, and rent at most SGD 4,200 per month. Prefer rent at most SGD 3,500 first, then at least 1,100 sqft.
A minimum of 700 sqft is enough now. Keep the rent limit, bedroom count and districts. I still prefer 1,100 sqft when available.</x:v>
      </x:c>
      <x:c r="F44" s="12" t="str">
        <x:v>price lte 4200; bedrooms gte 2; district_code in ["D23","D25"]; floor_area_sqft gte 700</x:v>
      </x:c>
      <x:c r="G44" s="12" t="str">
        <x:v>Primary: price lte 3500. Secondary: floor_area_sqft gte 1100</x:v>
      </x:c>
      <x:c r="H44" s="2" t="str">
        <x:v>primary</x:v>
      </x:c>
      <x:c r="I44" s="2" t="str">
        <x:v>success</x:v>
      </x:c>
      <x:c r="J44" s="2" t="str">
        <x:v>success</x:v>
      </x:c>
      <x:c r="K44" s="2" t="n">
        <x:v>10</x:v>
      </x:c>
      <x:c r="L44" s="2" t="str">
        <x:v>Passed</x:v>
      </x:c>
      <x:c r="M44" s="2" t="str">
        <x:v>cold_start_exploration</x:v>
      </x:c>
    </x:row>
    <x:row r="45" ht="48" hidden="0" customHeight="1">
      <x:c r="A45" s="2" t="str">
        <x:v>S40</x:v>
      </x:c>
      <x:c r="B45" s="2" t="str">
        <x:v>Extension</x:v>
      </x:c>
      <x:c r="C45" s="12" t="str">
        <x:v>Make a district preference mandatory</x:v>
      </x:c>
      <x:c r="D45" s="19" t="n">
        <x:v>2</x:v>
      </x:c>
      <x:c r="E45" s="12" t="str">
        <x:v>I need at least two reported bedrooms in D15, D16 or D18, with rent at most SGD 5,000 per month. Prefer D15 first, then at least 900 sqft and rent at most SGD 4,500.
D15 is essential now. Within D15, put at least 900 sqft first, followed by rent at most SGD 4,500. Keep the original bedroom requirement and maximum budget.</x:v>
      </x:c>
      <x:c r="F45" s="12" t="str">
        <x:v>price lte 5000; bedrooms gte 2; district_code eq "D15"</x:v>
      </x:c>
      <x:c r="G45" s="12" t="str">
        <x:v>Primary: floor_area_sqft gte 900. Secondary: price lte 4500</x:v>
      </x:c>
      <x:c r="H45" s="2" t="str">
        <x:v>primary</x:v>
      </x:c>
      <x:c r="I45" s="2" t="str">
        <x:v>success</x:v>
      </x:c>
      <x:c r="J45" s="2" t="str">
        <x:v>success</x:v>
      </x:c>
      <x:c r="K45" s="2" t="n">
        <x:v>10</x:v>
      </x:c>
      <x:c r="L45" s="2" t="str">
        <x:v>Passed</x:v>
      </x:c>
      <x:c r="M45" s="2" t="str">
        <x:v>cold_start_exploration</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20" hidden="0" customWidth="1"/>
    <x:col min="2" max="2" width="11.109999656677246" hidden="0" customWidth="1"/>
    <x:col min="3" max="3" width="10" hidden="0" customWidth="1"/>
    <x:col min="4" max="4" width="10" hidden="0" customWidth="1"/>
    <x:col min="5" max="5" width="13.890000343322754" hidden="0" customWidth="1"/>
    <x:col min="6" max="6" width="13.890000343322754" hidden="0" customWidth="1"/>
    <x:col min="7" max="7" width="13.890000343322754" hidden="0" customWidth="1"/>
    <x:col min="8" max="8" width="26.110000610351562" hidden="0" customWidth="1"/>
    <x:col min="9" max="9" width="21.110000610351562" hidden="0" customWidth="1"/>
    <x:col min="10" max="10" width="13.890000343322754" hidden="0" customWidth="1"/>
    <x:col min="11" max="11" width="13.890000343322754" hidden="0" customWidth="1"/>
    <x:col min="12" max="12" width="22.219999313354492" hidden="0" customWidth="1"/>
  </x:cols>
  <x:sheetData>
    <x:row r="1" ht="22" customHeight="1">
      <x:c r="A1" s="2"/>
      <x:c r="B1" s="2"/>
      <x:c r="C1" s="2"/>
      <x:c r="D1" s="2"/>
      <x:c r="E1" s="2"/>
      <x:c r="F1" s="2"/>
      <x:c r="G1" s="2"/>
      <x:c r="H1" s="2"/>
      <x:c r="I1" s="2"/>
      <x:c r="J1" s="2"/>
      <x:c r="K1" s="2"/>
      <x:c r="L1" s="2"/>
    </x:row>
    <x:row r="2" ht="22" customHeight="1">
      <x:c r="A2" s="3" t="str">
        <x:v>Cold start repeated trials</x:v>
      </x:c>
      <x:c r="B2" s="2"/>
      <x:c r="C2" s="2"/>
      <x:c r="D2" s="2"/>
      <x:c r="E2" s="2"/>
      <x:c r="F2" s="2"/>
      <x:c r="G2" s="2"/>
      <x:c r="H2" s="2"/>
      <x:c r="I2" s="2"/>
      <x:c r="J2" s="2"/>
      <x:c r="K2" s="2"/>
      <x:c r="L2" s="2"/>
    </x:row>
    <x:row r="3" ht="22" customHeight="1">
      <x:c r="A3" s="4" t="str">
        <x:v>Two pre-registered scenarios, five native runs each, using a common judged pool and fresh native seeds.</x:v>
      </x:c>
      <x:c r="B3" s="2"/>
      <x:c r="C3" s="2"/>
      <x:c r="D3" s="2"/>
      <x:c r="E3" s="2"/>
      <x:c r="F3" s="2"/>
      <x:c r="G3" s="2"/>
      <x:c r="H3" s="2"/>
      <x:c r="I3" s="2"/>
      <x:c r="J3" s="2"/>
      <x:c r="K3" s="2"/>
      <x:c r="L3" s="2"/>
    </x:row>
    <x:row r="4" ht="22" customHeight="1">
      <x:c r="A4" s="2"/>
      <x:c r="B4" s="2"/>
      <x:c r="C4" s="2"/>
      <x:c r="D4" s="2"/>
      <x:c r="E4" s="2"/>
      <x:c r="F4" s="2"/>
      <x:c r="G4" s="2"/>
      <x:c r="H4" s="2"/>
      <x:c r="I4" s="2"/>
      <x:c r="J4" s="2"/>
      <x:c r="K4" s="2"/>
      <x:c r="L4" s="2"/>
    </x:row>
    <x:row r="5" ht="36" customHeight="1">
      <x:c r="A5" s="8" t="str">
        <x:v>Lookup key</x:v>
      </x:c>
      <x:c r="B5" s="8" t="str">
        <x:v>Scenario</x:v>
      </x:c>
      <x:c r="C5" s="8" t="str">
        <x:v>Trial</x:v>
      </x:c>
      <x:c r="D5" s="8" t="str">
        <x:v>K</x:v>
      </x:c>
      <x:c r="E5" s="8" t="str">
        <x:v>Precision</x:v>
      </x:c>
      <x:c r="F5" s="8" t="str">
        <x:v>Pool Recall</x:v>
      </x:c>
      <x:c r="G5" s="8" t="str">
        <x:v>NDCG</x:v>
      </x:c>
      <x:c r="H5" s="8" t="str">
        <x:v>Selection mode</x:v>
      </x:c>
      <x:c r="I5" s="8" t="str">
        <x:v>Principal preference coverage</x:v>
      </x:c>
      <x:c r="J5" s="2"/>
      <x:c r="K5" s="2"/>
      <x:c r="L5" s="2"/>
    </x:row>
    <x:row r="6" ht="22" customHeight="1">
      <x:c r="A6" s="2" t="str">
        <x:v>S27-T01|5</x:v>
      </x:c>
      <x:c r="B6" s="2" t="str">
        <x:v>S27</x:v>
      </x:c>
      <x:c r="C6" s="2" t="n">
        <x:v>1</x:v>
      </x:c>
      <x:c r="D6" s="2" t="n">
        <x:v>5</x:v>
      </x:c>
      <x:c r="E6" s="15" t="n">
        <x:f>VLOOKUP(A6,'Cases'!$A$6:$O$445,11,FALSE)</x:f>
        <x:v>1</x:v>
      </x:c>
      <x:c r="F6" s="15" t="n">
        <x:f>VLOOKUP(A6,'Cases'!$A$6:$O$445,12,FALSE)</x:f>
        <x:v>0.10869565217391304</x:v>
      </x:c>
      <x:c r="G6" s="14" t="n">
        <x:f>VLOOKUP(A6,'Cases'!$A$6:$O$445,15,FALSE)</x:f>
        <x:v>1</x:v>
      </x:c>
      <x:c r="H6" s="11" t="str">
        <x:v>cold_start_exploration</x:v>
      </x:c>
      <x:c r="I6" s="15" t="n">
        <x:v>1</x:v>
      </x:c>
      <x:c r="J6" s="2"/>
      <x:c r="K6" s="2"/>
      <x:c r="L6" s="2"/>
    </x:row>
    <x:row r="7" ht="22" customHeight="1">
      <x:c r="A7" s="2" t="str">
        <x:v>S27-T02|5</x:v>
      </x:c>
      <x:c r="B7" s="2" t="str">
        <x:v>S27</x:v>
      </x:c>
      <x:c r="C7" s="2" t="n">
        <x:v>2</x:v>
      </x:c>
      <x:c r="D7" s="2" t="n">
        <x:v>5</x:v>
      </x:c>
      <x:c r="E7" s="15" t="n">
        <x:f>VLOOKUP(A7,'Cases'!$A$6:$O$445,11,FALSE)</x:f>
        <x:v>1</x:v>
      </x:c>
      <x:c r="F7" s="15" t="n">
        <x:f>VLOOKUP(A7,'Cases'!$A$6:$O$445,12,FALSE)</x:f>
        <x:v>0.10869565217391304</x:v>
      </x:c>
      <x:c r="G7" s="14" t="n">
        <x:f>VLOOKUP(A7,'Cases'!$A$6:$O$445,15,FALSE)</x:f>
        <x:v>1</x:v>
      </x:c>
      <x:c r="H7" s="11" t="str">
        <x:v>cold_start_exploration</x:v>
      </x:c>
      <x:c r="I7" s="15" t="n">
        <x:v>1</x:v>
      </x:c>
      <x:c r="J7" s="2"/>
      <x:c r="K7" s="2"/>
      <x:c r="L7" s="2"/>
    </x:row>
    <x:row r="8" ht="22" customHeight="1">
      <x:c r="A8" s="2" t="str">
        <x:v>S27-T03|5</x:v>
      </x:c>
      <x:c r="B8" s="2" t="str">
        <x:v>S27</x:v>
      </x:c>
      <x:c r="C8" s="2" t="n">
        <x:v>3</x:v>
      </x:c>
      <x:c r="D8" s="2" t="n">
        <x:v>5</x:v>
      </x:c>
      <x:c r="E8" s="15" t="n">
        <x:f>VLOOKUP(A8,'Cases'!$A$6:$O$445,11,FALSE)</x:f>
        <x:v>1</x:v>
      </x:c>
      <x:c r="F8" s="15" t="n">
        <x:f>VLOOKUP(A8,'Cases'!$A$6:$O$445,12,FALSE)</x:f>
        <x:v>0.10869565217391304</x:v>
      </x:c>
      <x:c r="G8" s="14" t="n">
        <x:f>VLOOKUP(A8,'Cases'!$A$6:$O$445,15,FALSE)</x:f>
        <x:v>1</x:v>
      </x:c>
      <x:c r="H8" s="11" t="str">
        <x:v>cold_start_exploration</x:v>
      </x:c>
      <x:c r="I8" s="15" t="n">
        <x:v>1</x:v>
      </x:c>
      <x:c r="J8" s="2"/>
      <x:c r="K8" s="2"/>
      <x:c r="L8" s="2"/>
    </x:row>
    <x:row r="9" ht="22" customHeight="1">
      <x:c r="A9" s="2" t="str">
        <x:v>S27-T04|5</x:v>
      </x:c>
      <x:c r="B9" s="2" t="str">
        <x:v>S27</x:v>
      </x:c>
      <x:c r="C9" s="2" t="n">
        <x:v>4</x:v>
      </x:c>
      <x:c r="D9" s="2" t="n">
        <x:v>5</x:v>
      </x:c>
      <x:c r="E9" s="15" t="n">
        <x:f>VLOOKUP(A9,'Cases'!$A$6:$O$445,11,FALSE)</x:f>
        <x:v>1</x:v>
      </x:c>
      <x:c r="F9" s="15" t="n">
        <x:f>VLOOKUP(A9,'Cases'!$A$6:$O$445,12,FALSE)</x:f>
        <x:v>0.10869565217391304</x:v>
      </x:c>
      <x:c r="G9" s="14" t="n">
        <x:f>VLOOKUP(A9,'Cases'!$A$6:$O$445,15,FALSE)</x:f>
        <x:v>1</x:v>
      </x:c>
      <x:c r="H9" s="11" t="str">
        <x:v>cold_start_exploration</x:v>
      </x:c>
      <x:c r="I9" s="15" t="n">
        <x:v>1</x:v>
      </x:c>
      <x:c r="J9" s="2"/>
      <x:c r="K9" s="2"/>
      <x:c r="L9" s="2"/>
    </x:row>
    <x:row r="10" ht="22" customHeight="1">
      <x:c r="A10" s="2" t="str">
        <x:v>S27-T05|5</x:v>
      </x:c>
      <x:c r="B10" s="2" t="str">
        <x:v>S27</x:v>
      </x:c>
      <x:c r="C10" s="2" t="n">
        <x:v>5</x:v>
      </x:c>
      <x:c r="D10" s="2" t="n">
        <x:v>5</x:v>
      </x:c>
      <x:c r="E10" s="15" t="n">
        <x:f>VLOOKUP(A10,'Cases'!$A$6:$O$445,11,FALSE)</x:f>
        <x:v>1</x:v>
      </x:c>
      <x:c r="F10" s="15" t="n">
        <x:f>VLOOKUP(A10,'Cases'!$A$6:$O$445,12,FALSE)</x:f>
        <x:v>0.10869565217391304</x:v>
      </x:c>
      <x:c r="G10" s="14" t="n">
        <x:f>VLOOKUP(A10,'Cases'!$A$6:$O$445,15,FALSE)</x:f>
        <x:v>1</x:v>
      </x:c>
      <x:c r="H10" s="11" t="str">
        <x:v>cold_start_exploration</x:v>
      </x:c>
      <x:c r="I10" s="15" t="n">
        <x:v>1</x:v>
      </x:c>
      <x:c r="J10" s="2"/>
      <x:c r="K10" s="2"/>
      <x:c r="L10" s="2"/>
    </x:row>
    <x:row r="11" ht="22" customHeight="1">
      <x:c r="A11" s="2" t="str">
        <x:v>S27-T01|10</x:v>
      </x:c>
      <x:c r="B11" s="2" t="str">
        <x:v>S27</x:v>
      </x:c>
      <x:c r="C11" s="2" t="n">
        <x:v>1</x:v>
      </x:c>
      <x:c r="D11" s="2" t="n">
        <x:v>10</x:v>
      </x:c>
      <x:c r="E11" s="15" t="n">
        <x:f>VLOOKUP(A11,'Cases'!$A$6:$O$445,11,FALSE)</x:f>
        <x:v>1</x:v>
      </x:c>
      <x:c r="F11" s="15" t="n">
        <x:f>VLOOKUP(A11,'Cases'!$A$6:$O$445,12,FALSE)</x:f>
        <x:v>0.21739130434782608</x:v>
      </x:c>
      <x:c r="G11" s="14" t="n">
        <x:f>VLOOKUP(A11,'Cases'!$A$6:$O$445,15,FALSE)</x:f>
        <x:v>1</x:v>
      </x:c>
      <x:c r="H11" s="11" t="str">
        <x:v>cold_start_exploration</x:v>
      </x:c>
      <x:c r="I11" s="15" t="n">
        <x:v>1</x:v>
      </x:c>
      <x:c r="J11" s="2"/>
      <x:c r="K11" s="2"/>
      <x:c r="L11" s="2"/>
    </x:row>
    <x:row r="12" ht="22" customHeight="1">
      <x:c r="A12" s="2" t="str">
        <x:v>S27-T02|10</x:v>
      </x:c>
      <x:c r="B12" s="2" t="str">
        <x:v>S27</x:v>
      </x:c>
      <x:c r="C12" s="2" t="n">
        <x:v>2</x:v>
      </x:c>
      <x:c r="D12" s="2" t="n">
        <x:v>10</x:v>
      </x:c>
      <x:c r="E12" s="15" t="n">
        <x:f>VLOOKUP(A12,'Cases'!$A$6:$O$445,11,FALSE)</x:f>
        <x:v>1</x:v>
      </x:c>
      <x:c r="F12" s="15" t="n">
        <x:f>VLOOKUP(A12,'Cases'!$A$6:$O$445,12,FALSE)</x:f>
        <x:v>0.21739130434782608</x:v>
      </x:c>
      <x:c r="G12" s="14" t="n">
        <x:f>VLOOKUP(A12,'Cases'!$A$6:$O$445,15,FALSE)</x:f>
        <x:v>1</x:v>
      </x:c>
      <x:c r="H12" s="11" t="str">
        <x:v>cold_start_exploration</x:v>
      </x:c>
      <x:c r="I12" s="15" t="n">
        <x:v>1</x:v>
      </x:c>
      <x:c r="J12" s="2"/>
      <x:c r="K12" s="2"/>
      <x:c r="L12" s="2"/>
    </x:row>
    <x:row r="13" ht="22" customHeight="1">
      <x:c r="A13" s="2" t="str">
        <x:v>S27-T03|10</x:v>
      </x:c>
      <x:c r="B13" s="2" t="str">
        <x:v>S27</x:v>
      </x:c>
      <x:c r="C13" s="2" t="n">
        <x:v>3</x:v>
      </x:c>
      <x:c r="D13" s="2" t="n">
        <x:v>10</x:v>
      </x:c>
      <x:c r="E13" s="15" t="n">
        <x:f>VLOOKUP(A13,'Cases'!$A$6:$O$445,11,FALSE)</x:f>
        <x:v>1</x:v>
      </x:c>
      <x:c r="F13" s="15" t="n">
        <x:f>VLOOKUP(A13,'Cases'!$A$6:$O$445,12,FALSE)</x:f>
        <x:v>0.21739130434782608</x:v>
      </x:c>
      <x:c r="G13" s="14" t="n">
        <x:f>VLOOKUP(A13,'Cases'!$A$6:$O$445,15,FALSE)</x:f>
        <x:v>1</x:v>
      </x:c>
      <x:c r="H13" s="11" t="str">
        <x:v>cold_start_exploration</x:v>
      </x:c>
      <x:c r="I13" s="15" t="n">
        <x:v>1</x:v>
      </x:c>
      <x:c r="J13" s="2"/>
      <x:c r="K13" s="2"/>
      <x:c r="L13" s="2"/>
    </x:row>
    <x:row r="14" ht="22" customHeight="1">
      <x:c r="A14" s="2" t="str">
        <x:v>S27-T04|10</x:v>
      </x:c>
      <x:c r="B14" s="2" t="str">
        <x:v>S27</x:v>
      </x:c>
      <x:c r="C14" s="2" t="n">
        <x:v>4</x:v>
      </x:c>
      <x:c r="D14" s="2" t="n">
        <x:v>10</x:v>
      </x:c>
      <x:c r="E14" s="15" t="n">
        <x:f>VLOOKUP(A14,'Cases'!$A$6:$O$445,11,FALSE)</x:f>
        <x:v>1</x:v>
      </x:c>
      <x:c r="F14" s="15" t="n">
        <x:f>VLOOKUP(A14,'Cases'!$A$6:$O$445,12,FALSE)</x:f>
        <x:v>0.21739130434782608</x:v>
      </x:c>
      <x:c r="G14" s="14" t="n">
        <x:f>VLOOKUP(A14,'Cases'!$A$6:$O$445,15,FALSE)</x:f>
        <x:v>1</x:v>
      </x:c>
      <x:c r="H14" s="11" t="str">
        <x:v>cold_start_exploration</x:v>
      </x:c>
      <x:c r="I14" s="15" t="n">
        <x:v>1</x:v>
      </x:c>
      <x:c r="J14" s="2"/>
      <x:c r="K14" s="2"/>
      <x:c r="L14" s="2"/>
    </x:row>
    <x:row r="15" ht="22" customHeight="1">
      <x:c r="A15" s="2" t="str">
        <x:v>S27-T05|10</x:v>
      </x:c>
      <x:c r="B15" s="2" t="str">
        <x:v>S27</x:v>
      </x:c>
      <x:c r="C15" s="2" t="n">
        <x:v>5</x:v>
      </x:c>
      <x:c r="D15" s="2" t="n">
        <x:v>10</x:v>
      </x:c>
      <x:c r="E15" s="15" t="n">
        <x:f>VLOOKUP(A15,'Cases'!$A$6:$O$445,11,FALSE)</x:f>
        <x:v>1</x:v>
      </x:c>
      <x:c r="F15" s="15" t="n">
        <x:f>VLOOKUP(A15,'Cases'!$A$6:$O$445,12,FALSE)</x:f>
        <x:v>0.21739130434782608</x:v>
      </x:c>
      <x:c r="G15" s="14" t="n">
        <x:f>VLOOKUP(A15,'Cases'!$A$6:$O$445,15,FALSE)</x:f>
        <x:v>1</x:v>
      </x:c>
      <x:c r="H15" s="11" t="str">
        <x:v>cold_start_exploration</x:v>
      </x:c>
      <x:c r="I15" s="15" t="n">
        <x:v>1</x:v>
      </x:c>
      <x:c r="J15" s="2"/>
      <x:c r="K15" s="2"/>
      <x:c r="L15" s="2"/>
    </x:row>
    <x:row r="16" ht="22" customHeight="1">
      <x:c r="A16" s="2" t="str">
        <x:v>S29-T01|5</x:v>
      </x:c>
      <x:c r="B16" s="2" t="str">
        <x:v>S29</x:v>
      </x:c>
      <x:c r="C16" s="2" t="n">
        <x:v>1</x:v>
      </x:c>
      <x:c r="D16" s="2" t="n">
        <x:v>5</x:v>
      </x:c>
      <x:c r="E16" s="15" t="n">
        <x:f>VLOOKUP(A16,'Cases'!$A$6:$O$445,11,FALSE)</x:f>
        <x:v>1</x:v>
      </x:c>
      <x:c r="F16" s="15" t="n">
        <x:f>VLOOKUP(A16,'Cases'!$A$6:$O$445,12,FALSE)</x:f>
        <x:v>0.1724137931034483</x:v>
      </x:c>
      <x:c r="G16" s="14" t="n">
        <x:f>VLOOKUP(A16,'Cases'!$A$6:$O$445,15,FALSE)</x:f>
        <x:v>1</x:v>
      </x:c>
      <x:c r="H16" s="11" t="str">
        <x:v>cold_start_exploration</x:v>
      </x:c>
      <x:c r="I16" s="15" t="n">
        <x:v>1</x:v>
      </x:c>
      <x:c r="J16" s="2"/>
      <x:c r="K16" s="2"/>
      <x:c r="L16" s="2"/>
    </x:row>
    <x:row r="17" ht="22" customHeight="1">
      <x:c r="A17" s="2" t="str">
        <x:v>S29-T02|5</x:v>
      </x:c>
      <x:c r="B17" s="2" t="str">
        <x:v>S29</x:v>
      </x:c>
      <x:c r="C17" s="2" t="n">
        <x:v>2</x:v>
      </x:c>
      <x:c r="D17" s="2" t="n">
        <x:v>5</x:v>
      </x:c>
      <x:c r="E17" s="15" t="n">
        <x:f>VLOOKUP(A17,'Cases'!$A$6:$O$445,11,FALSE)</x:f>
        <x:v>1</x:v>
      </x:c>
      <x:c r="F17" s="15" t="n">
        <x:f>VLOOKUP(A17,'Cases'!$A$6:$O$445,12,FALSE)</x:f>
        <x:v>0.1724137931034483</x:v>
      </x:c>
      <x:c r="G17" s="14" t="n">
        <x:f>VLOOKUP(A17,'Cases'!$A$6:$O$445,15,FALSE)</x:f>
        <x:v>1</x:v>
      </x:c>
      <x:c r="H17" s="11" t="str">
        <x:v>cold_start_exploration</x:v>
      </x:c>
      <x:c r="I17" s="15" t="n">
        <x:v>1</x:v>
      </x:c>
      <x:c r="J17" s="2"/>
      <x:c r="K17" s="2"/>
      <x:c r="L17" s="2"/>
    </x:row>
    <x:row r="18" ht="22" customHeight="1">
      <x:c r="A18" s="2" t="str">
        <x:v>S29-T03|5</x:v>
      </x:c>
      <x:c r="B18" s="2" t="str">
        <x:v>S29</x:v>
      </x:c>
      <x:c r="C18" s="2" t="n">
        <x:v>3</x:v>
      </x:c>
      <x:c r="D18" s="2" t="n">
        <x:v>5</x:v>
      </x:c>
      <x:c r="E18" s="15" t="n">
        <x:f>VLOOKUP(A18,'Cases'!$A$6:$O$445,11,FALSE)</x:f>
        <x:v>1</x:v>
      </x:c>
      <x:c r="F18" s="15" t="n">
        <x:f>VLOOKUP(A18,'Cases'!$A$6:$O$445,12,FALSE)</x:f>
        <x:v>0.1724137931034483</x:v>
      </x:c>
      <x:c r="G18" s="14" t="n">
        <x:f>VLOOKUP(A18,'Cases'!$A$6:$O$445,15,FALSE)</x:f>
        <x:v>1</x:v>
      </x:c>
      <x:c r="H18" s="11" t="str">
        <x:v>cold_start_exploration</x:v>
      </x:c>
      <x:c r="I18" s="15" t="n">
        <x:v>1</x:v>
      </x:c>
      <x:c r="J18" s="2"/>
      <x:c r="K18" s="2"/>
      <x:c r="L18" s="2"/>
    </x:row>
    <x:row r="19" ht="22" customHeight="1">
      <x:c r="A19" s="2" t="str">
        <x:v>S29-T04|5</x:v>
      </x:c>
      <x:c r="B19" s="2" t="str">
        <x:v>S29</x:v>
      </x:c>
      <x:c r="C19" s="2" t="n">
        <x:v>4</x:v>
      </x:c>
      <x:c r="D19" s="2" t="n">
        <x:v>5</x:v>
      </x:c>
      <x:c r="E19" s="15" t="n">
        <x:f>VLOOKUP(A19,'Cases'!$A$6:$O$445,11,FALSE)</x:f>
        <x:v>1</x:v>
      </x:c>
      <x:c r="F19" s="15" t="n">
        <x:f>VLOOKUP(A19,'Cases'!$A$6:$O$445,12,FALSE)</x:f>
        <x:v>0.1724137931034483</x:v>
      </x:c>
      <x:c r="G19" s="14" t="n">
        <x:f>VLOOKUP(A19,'Cases'!$A$6:$O$445,15,FALSE)</x:f>
        <x:v>1</x:v>
      </x:c>
      <x:c r="H19" s="11" t="str">
        <x:v>cold_start_exploration</x:v>
      </x:c>
      <x:c r="I19" s="15" t="n">
        <x:v>1</x:v>
      </x:c>
      <x:c r="J19" s="2"/>
      <x:c r="K19" s="2"/>
      <x:c r="L19" s="2"/>
    </x:row>
    <x:row r="20" ht="22" customHeight="1">
      <x:c r="A20" s="2" t="str">
        <x:v>S29-T05|5</x:v>
      </x:c>
      <x:c r="B20" s="2" t="str">
        <x:v>S29</x:v>
      </x:c>
      <x:c r="C20" s="2" t="n">
        <x:v>5</x:v>
      </x:c>
      <x:c r="D20" s="2" t="n">
        <x:v>5</x:v>
      </x:c>
      <x:c r="E20" s="15" t="n">
        <x:f>VLOOKUP(A20,'Cases'!$A$6:$O$445,11,FALSE)</x:f>
        <x:v>1</x:v>
      </x:c>
      <x:c r="F20" s="15" t="n">
        <x:f>VLOOKUP(A20,'Cases'!$A$6:$O$445,12,FALSE)</x:f>
        <x:v>0.1724137931034483</x:v>
      </x:c>
      <x:c r="G20" s="14" t="n">
        <x:f>VLOOKUP(A20,'Cases'!$A$6:$O$445,15,FALSE)</x:f>
        <x:v>1</x:v>
      </x:c>
      <x:c r="H20" s="11" t="str">
        <x:v>cold_start_exploration</x:v>
      </x:c>
      <x:c r="I20" s="15" t="n">
        <x:v>1</x:v>
      </x:c>
      <x:c r="J20" s="2"/>
      <x:c r="K20" s="2"/>
      <x:c r="L20" s="2"/>
    </x:row>
    <x:row r="21" ht="22" customHeight="1">
      <x:c r="A21" s="2" t="str">
        <x:v>S29-T01|10</x:v>
      </x:c>
      <x:c r="B21" s="2" t="str">
        <x:v>S29</x:v>
      </x:c>
      <x:c r="C21" s="2" t="n">
        <x:v>1</x:v>
      </x:c>
      <x:c r="D21" s="2" t="n">
        <x:v>10</x:v>
      </x:c>
      <x:c r="E21" s="15" t="n">
        <x:f>VLOOKUP(A21,'Cases'!$A$6:$O$445,11,FALSE)</x:f>
        <x:v>1</x:v>
      </x:c>
      <x:c r="F21" s="15" t="n">
        <x:f>VLOOKUP(A21,'Cases'!$A$6:$O$445,12,FALSE)</x:f>
        <x:v>0.3448275862068966</x:v>
      </x:c>
      <x:c r="G21" s="14" t="n">
        <x:f>VLOOKUP(A21,'Cases'!$A$6:$O$445,15,FALSE)</x:f>
        <x:v>1</x:v>
      </x:c>
      <x:c r="H21" s="11" t="str">
        <x:v>cold_start_exploration</x:v>
      </x:c>
      <x:c r="I21" s="15" t="n">
        <x:v>1</x:v>
      </x:c>
      <x:c r="J21" s="2"/>
      <x:c r="K21" s="2"/>
      <x:c r="L21" s="2"/>
    </x:row>
    <x:row r="22" ht="22" customHeight="1">
      <x:c r="A22" s="2" t="str">
        <x:v>S29-T02|10</x:v>
      </x:c>
      <x:c r="B22" s="2" t="str">
        <x:v>S29</x:v>
      </x:c>
      <x:c r="C22" s="2" t="n">
        <x:v>2</x:v>
      </x:c>
      <x:c r="D22" s="2" t="n">
        <x:v>10</x:v>
      </x:c>
      <x:c r="E22" s="15" t="n">
        <x:f>VLOOKUP(A22,'Cases'!$A$6:$O$445,11,FALSE)</x:f>
        <x:v>1</x:v>
      </x:c>
      <x:c r="F22" s="15" t="n">
        <x:f>VLOOKUP(A22,'Cases'!$A$6:$O$445,12,FALSE)</x:f>
        <x:v>0.3448275862068966</x:v>
      </x:c>
      <x:c r="G22" s="14" t="n">
        <x:f>VLOOKUP(A22,'Cases'!$A$6:$O$445,15,FALSE)</x:f>
        <x:v>1</x:v>
      </x:c>
      <x:c r="H22" s="11" t="str">
        <x:v>cold_start_exploration</x:v>
      </x:c>
      <x:c r="I22" s="15" t="n">
        <x:v>1</x:v>
      </x:c>
      <x:c r="J22" s="2"/>
      <x:c r="K22" s="2"/>
      <x:c r="L22" s="2"/>
    </x:row>
    <x:row r="23" ht="22" customHeight="1">
      <x:c r="A23" s="2" t="str">
        <x:v>S29-T03|10</x:v>
      </x:c>
      <x:c r="B23" s="2" t="str">
        <x:v>S29</x:v>
      </x:c>
      <x:c r="C23" s="2" t="n">
        <x:v>3</x:v>
      </x:c>
      <x:c r="D23" s="2" t="n">
        <x:v>10</x:v>
      </x:c>
      <x:c r="E23" s="15" t="n">
        <x:f>VLOOKUP(A23,'Cases'!$A$6:$O$445,11,FALSE)</x:f>
        <x:v>1</x:v>
      </x:c>
      <x:c r="F23" s="15" t="n">
        <x:f>VLOOKUP(A23,'Cases'!$A$6:$O$445,12,FALSE)</x:f>
        <x:v>0.3448275862068966</x:v>
      </x:c>
      <x:c r="G23" s="14" t="n">
        <x:f>VLOOKUP(A23,'Cases'!$A$6:$O$445,15,FALSE)</x:f>
        <x:v>1</x:v>
      </x:c>
      <x:c r="H23" s="11" t="str">
        <x:v>cold_start_exploration</x:v>
      </x:c>
      <x:c r="I23" s="15" t="n">
        <x:v>1</x:v>
      </x:c>
      <x:c r="J23" s="2"/>
      <x:c r="K23" s="2"/>
      <x:c r="L23" s="2"/>
    </x:row>
    <x:row r="24" ht="22" customHeight="1">
      <x:c r="A24" s="2" t="str">
        <x:v>S29-T04|10</x:v>
      </x:c>
      <x:c r="B24" s="2" t="str">
        <x:v>S29</x:v>
      </x:c>
      <x:c r="C24" s="2" t="n">
        <x:v>4</x:v>
      </x:c>
      <x:c r="D24" s="2" t="n">
        <x:v>10</x:v>
      </x:c>
      <x:c r="E24" s="15" t="n">
        <x:f>VLOOKUP(A24,'Cases'!$A$6:$O$445,11,FALSE)</x:f>
        <x:v>1</x:v>
      </x:c>
      <x:c r="F24" s="15" t="n">
        <x:f>VLOOKUP(A24,'Cases'!$A$6:$O$445,12,FALSE)</x:f>
        <x:v>0.3448275862068966</x:v>
      </x:c>
      <x:c r="G24" s="14" t="n">
        <x:f>VLOOKUP(A24,'Cases'!$A$6:$O$445,15,FALSE)</x:f>
        <x:v>1</x:v>
      </x:c>
      <x:c r="H24" s="11" t="str">
        <x:v>cold_start_exploration</x:v>
      </x:c>
      <x:c r="I24" s="15" t="n">
        <x:v>1</x:v>
      </x:c>
      <x:c r="J24" s="2"/>
      <x:c r="K24" s="2"/>
      <x:c r="L24" s="2"/>
    </x:row>
    <x:row r="25" ht="22" customHeight="1">
      <x:c r="A25" s="2" t="str">
        <x:v>S29-T05|10</x:v>
      </x:c>
      <x:c r="B25" s="2" t="str">
        <x:v>S29</x:v>
      </x:c>
      <x:c r="C25" s="2" t="n">
        <x:v>5</x:v>
      </x:c>
      <x:c r="D25" s="2" t="n">
        <x:v>10</x:v>
      </x:c>
      <x:c r="E25" s="15" t="n">
        <x:f>VLOOKUP(A25,'Cases'!$A$6:$O$445,11,FALSE)</x:f>
        <x:v>1</x:v>
      </x:c>
      <x:c r="F25" s="15" t="n">
        <x:f>VLOOKUP(A25,'Cases'!$A$6:$O$445,12,FALSE)</x:f>
        <x:v>0.3448275862068966</x:v>
      </x:c>
      <x:c r="G25" s="14" t="n">
        <x:f>VLOOKUP(A25,'Cases'!$A$6:$O$445,15,FALSE)</x:f>
        <x:v>1</x:v>
      </x:c>
      <x:c r="H25" s="11" t="str">
        <x:v>cold_start_exploration</x:v>
      </x:c>
      <x:c r="I25" s="15" t="n">
        <x:v>1</x:v>
      </x:c>
      <x:c r="J25" s="2"/>
      <x:c r="K25" s="2"/>
      <x:c r="L25" s="2"/>
    </x:row>
    <x:row r="26" ht="22" customHeight="1">
      <x:c r="A26" s="2"/>
      <x:c r="B26" s="2"/>
      <x:c r="C26" s="2"/>
      <x:c r="D26" s="2"/>
      <x:c r="E26" s="2"/>
      <x:c r="F26" s="2"/>
      <x:c r="G26" s="2"/>
      <x:c r="H26" s="2"/>
      <x:c r="I26" s="2"/>
      <x:c r="J26" s="2"/>
      <x:c r="K26" s="2"/>
      <x:c r="L26" s="2"/>
    </x:row>
    <x:row r="27" ht="22" customHeight="1">
      <x:c r="A27" s="2"/>
      <x:c r="B27" s="2"/>
      <x:c r="C27" s="2"/>
      <x:c r="D27" s="2"/>
      <x:c r="E27" s="2"/>
      <x:c r="F27" s="2"/>
      <x:c r="G27" s="2"/>
      <x:c r="H27" s="2"/>
      <x:c r="I27" s="2"/>
      <x:c r="J27" s="2"/>
      <x:c r="K27" s="2"/>
      <x:c r="L27" s="2"/>
    </x:row>
    <x:row r="28" ht="22" customHeight="1">
      <x:c r="A28" s="2"/>
      <x:c r="B28" s="2"/>
      <x:c r="C28" s="2"/>
      <x:c r="D28" s="2"/>
      <x:c r="E28" s="2"/>
      <x:c r="F28" s="2"/>
      <x:c r="G28" s="2"/>
      <x:c r="H28" s="2"/>
      <x:c r="I28" s="2"/>
      <x:c r="J28" s="2"/>
      <x:c r="K28" s="2"/>
      <x:c r="L28" s="2"/>
    </x:row>
    <x:row r="29" ht="36" customHeight="1">
      <x:c r="A29" s="8" t="str">
        <x:v>Scenario</x:v>
      </x:c>
      <x:c r="B29" s="8" t="str">
        <x:v>K</x:v>
      </x:c>
      <x:c r="C29" s="8" t="str">
        <x:v>Mean P</x:v>
      </x:c>
      <x:c r="D29" s="8" t="str">
        <x:v>Minimum P</x:v>
      </x:c>
      <x:c r="E29" s="8" t="str">
        <x:v>Maximum P</x:v>
      </x:c>
      <x:c r="F29" s="8" t="str">
        <x:v>Mean R</x:v>
      </x:c>
      <x:c r="G29" s="8" t="str">
        <x:v>Minimum R</x:v>
      </x:c>
      <x:c r="H29" s="8" t="str">
        <x:v>Maximum R</x:v>
      </x:c>
      <x:c r="I29" s="8" t="str">
        <x:v>Mean NDCG</x:v>
      </x:c>
      <x:c r="J29" s="8" t="str">
        <x:v>Minimum NDCG</x:v>
      </x:c>
      <x:c r="K29" s="8" t="str">
        <x:v>Maximum NDCG</x:v>
      </x:c>
      <x:c r="L29" s="2"/>
    </x:row>
    <x:row r="30" ht="22" customHeight="1">
      <x:c r="A30" s="2" t="str">
        <x:v>S27</x:v>
      </x:c>
      <x:c r="B30" s="2" t="n">
        <x:v>5</x:v>
      </x:c>
      <x:c r="C30" s="15" t="n">
        <x:f>AVERAGE(E6:E10)</x:f>
        <x:v>1</x:v>
      </x:c>
      <x:c r="D30" s="15" t="n">
        <x:f>MIN(E6:E10)</x:f>
        <x:v>1</x:v>
      </x:c>
      <x:c r="E30" s="15" t="n">
        <x:f>MAX(E6:E10)</x:f>
        <x:v>1</x:v>
      </x:c>
      <x:c r="F30" s="15" t="n">
        <x:f>AVERAGE(F6:F10)</x:f>
        <x:v>0.10869565217391304</x:v>
      </x:c>
      <x:c r="G30" s="15" t="n">
        <x:f>MIN(F6:F10)</x:f>
        <x:v>0.10869565217391304</x:v>
      </x:c>
      <x:c r="H30" s="15" t="n">
        <x:f>MAX(F6:F10)</x:f>
        <x:v>0.10869565217391304</x:v>
      </x:c>
      <x:c r="I30" s="14" t="n">
        <x:f>AVERAGE(G6:G10)</x:f>
        <x:v>1</x:v>
      </x:c>
      <x:c r="J30" s="14" t="n">
        <x:f>MIN(G6:G10)</x:f>
        <x:v>1</x:v>
      </x:c>
      <x:c r="K30" s="14" t="n">
        <x:f>MAX(G6:G10)</x:f>
        <x:v>1</x:v>
      </x:c>
      <x:c r="L30" s="2"/>
    </x:row>
    <x:row r="31" ht="22" customHeight="1">
      <x:c r="A31" s="2" t="str">
        <x:v>S27</x:v>
      </x:c>
      <x:c r="B31" s="2" t="n">
        <x:v>10</x:v>
      </x:c>
      <x:c r="C31" s="15" t="n">
        <x:f>AVERAGE(E11:E15)</x:f>
        <x:v>1</x:v>
      </x:c>
      <x:c r="D31" s="15" t="n">
        <x:f>MIN(E11:E15)</x:f>
        <x:v>1</x:v>
      </x:c>
      <x:c r="E31" s="15" t="n">
        <x:f>MAX(E11:E15)</x:f>
        <x:v>1</x:v>
      </x:c>
      <x:c r="F31" s="15" t="n">
        <x:f>AVERAGE(F11:F15)</x:f>
        <x:v>0.21739130434782608</x:v>
      </x:c>
      <x:c r="G31" s="15" t="n">
        <x:f>MIN(F11:F15)</x:f>
        <x:v>0.21739130434782608</x:v>
      </x:c>
      <x:c r="H31" s="15" t="n">
        <x:f>MAX(F11:F15)</x:f>
        <x:v>0.21739130434782608</x:v>
      </x:c>
      <x:c r="I31" s="14" t="n">
        <x:f>AVERAGE(G11:G15)</x:f>
        <x:v>1</x:v>
      </x:c>
      <x:c r="J31" s="14" t="n">
        <x:f>MIN(G11:G15)</x:f>
        <x:v>1</x:v>
      </x:c>
      <x:c r="K31" s="14" t="n">
        <x:f>MAX(G11:G15)</x:f>
        <x:v>1</x:v>
      </x:c>
      <x:c r="L31" s="2"/>
    </x:row>
    <x:row r="32" ht="22" customHeight="1">
      <x:c r="A32" s="2" t="str">
        <x:v>S29</x:v>
      </x:c>
      <x:c r="B32" s="2" t="n">
        <x:v>5</x:v>
      </x:c>
      <x:c r="C32" s="15" t="n">
        <x:f>AVERAGE(E16:E20)</x:f>
        <x:v>1</x:v>
      </x:c>
      <x:c r="D32" s="15" t="n">
        <x:f>MIN(E16:E20)</x:f>
        <x:v>1</x:v>
      </x:c>
      <x:c r="E32" s="15" t="n">
        <x:f>MAX(E16:E20)</x:f>
        <x:v>1</x:v>
      </x:c>
      <x:c r="F32" s="15" t="n">
        <x:f>AVERAGE(F16:F20)</x:f>
        <x:v>0.1724137931034483</x:v>
      </x:c>
      <x:c r="G32" s="15" t="n">
        <x:f>MIN(F16:F20)</x:f>
        <x:v>0.1724137931034483</x:v>
      </x:c>
      <x:c r="H32" s="15" t="n">
        <x:f>MAX(F16:F20)</x:f>
        <x:v>0.1724137931034483</x:v>
      </x:c>
      <x:c r="I32" s="14" t="n">
        <x:f>AVERAGE(G16:G20)</x:f>
        <x:v>1</x:v>
      </x:c>
      <x:c r="J32" s="14" t="n">
        <x:f>MIN(G16:G20)</x:f>
        <x:v>1</x:v>
      </x:c>
      <x:c r="K32" s="14" t="n">
        <x:f>MAX(G16:G20)</x:f>
        <x:v>1</x:v>
      </x:c>
      <x:c r="L32" s="2"/>
    </x:row>
    <x:row r="33" ht="22" customHeight="1">
      <x:c r="A33" s="2" t="str">
        <x:v>S29</x:v>
      </x:c>
      <x:c r="B33" s="2" t="n">
        <x:v>10</x:v>
      </x:c>
      <x:c r="C33" s="15" t="n">
        <x:f>AVERAGE(E21:E25)</x:f>
        <x:v>1</x:v>
      </x:c>
      <x:c r="D33" s="15" t="n">
        <x:f>MIN(E21:E25)</x:f>
        <x:v>1</x:v>
      </x:c>
      <x:c r="E33" s="15" t="n">
        <x:f>MAX(E21:E25)</x:f>
        <x:v>1</x:v>
      </x:c>
      <x:c r="F33" s="15" t="n">
        <x:f>AVERAGE(F21:F25)</x:f>
        <x:v>0.3448275862068966</x:v>
      </x:c>
      <x:c r="G33" s="15" t="n">
        <x:f>MIN(F21:F25)</x:f>
        <x:v>0.3448275862068966</x:v>
      </x:c>
      <x:c r="H33" s="15" t="n">
        <x:f>MAX(F21:F25)</x:f>
        <x:v>0.3448275862068966</x:v>
      </x:c>
      <x:c r="I33" s="14" t="n">
        <x:f>AVERAGE(G21:G25)</x:f>
        <x:v>1</x:v>
      </x:c>
      <x:c r="J33" s="14" t="n">
        <x:f>MIN(G21:G25)</x:f>
        <x:v>1</x:v>
      </x:c>
      <x:c r="K33" s="14" t="n">
        <x:f>MAX(G21:G25)</x:f>
        <x:v>1</x:v>
      </x:c>
      <x:c r="L33" s="2"/>
    </x:row>
    <x:row r="34" ht="22" customHeight="1">
      <x:c r="A34" s="2"/>
      <x:c r="B34" s="2"/>
      <x:c r="C34" s="2"/>
      <x:c r="D34" s="2"/>
      <x:c r="E34" s="2"/>
      <x:c r="F34" s="2"/>
      <x:c r="G34" s="2"/>
      <x:c r="H34" s="2"/>
      <x:c r="I34" s="2"/>
      <x:c r="J34" s="2"/>
      <x:c r="K34" s="2"/>
      <x:c r="L34" s="2"/>
    </x:row>
    <x:row r="35" ht="22" customHeight="1">
      <x:c r="A35" s="2"/>
      <x:c r="B35" s="2"/>
      <x:c r="C35" s="2"/>
      <x:c r="D35" s="2"/>
      <x:c r="E35" s="2"/>
      <x:c r="F35" s="2"/>
      <x:c r="G35" s="2"/>
      <x:c r="H35" s="2"/>
      <x:c r="I35" s="2"/>
      <x:c r="J35" s="2"/>
      <x:c r="K35" s="2"/>
      <x:c r="L35" s="2"/>
    </x:row>
    <x:row r="36" ht="22" customHeight="1">
      <x:c r="A36" s="2" t="str">
        <x:v>Scenario</x:v>
      </x:c>
      <x:c r="B36" s="2" t="str">
        <x:v>Unique top-10 IDs</x:v>
      </x:c>
      <x:c r="C36" s="2" t="str">
        <x:v>Mean pairwise Jaccard</x:v>
      </x:c>
      <x:c r="D36" s="2" t="str">
        <x:v>Interpretation</x:v>
      </x:c>
      <x:c r="E36" s="2"/>
      <x:c r="F36" s="2"/>
      <x:c r="G36" s="2"/>
      <x:c r="H36" s="2"/>
      <x:c r="I36" s="2"/>
      <x:c r="J36" s="2"/>
      <x:c r="K36" s="2"/>
      <x:c r="L36" s="2"/>
    </x:row>
    <x:row r="37" ht="22" customHeight="1">
      <x:c r="A37" s="2" t="str">
        <x:v>S27</x:v>
      </x:c>
      <x:c r="B37" s="2" t="n">
        <x:v>35</x:v>
      </x:c>
      <x:c r="C37" s="14" t="n">
        <x:v>0.11984004127966975</x:v>
      </x:c>
      <x:c r="D37" s="2" t="str">
        <x:v>Different identities can retain the same graded quality.</x:v>
      </x:c>
      <x:c r="E37" s="2"/>
      <x:c r="F37" s="2"/>
      <x:c r="G37" s="2"/>
      <x:c r="H37" s="2"/>
      <x:c r="I37" s="2"/>
      <x:c r="J37" s="2"/>
      <x:c r="K37" s="2"/>
      <x:c r="L37" s="2"/>
    </x:row>
    <x:row r="38" ht="22" customHeight="1">
      <x:c r="A38" s="2" t="str">
        <x:v>S29</x:v>
      </x:c>
      <x:c r="B38" s="2" t="n">
        <x:v>26</x:v>
      </x:c>
      <x:c r="C38" s="14" t="n">
        <x:v>0.28550420168067225</x:v>
      </x:c>
      <x:c r="D38" s="2" t="str">
        <x:v>Different identities can retain the same graded quality.</x:v>
      </x:c>
      <x:c r="E38" s="2"/>
      <x:c r="F38" s="2"/>
      <x:c r="G38" s="2"/>
      <x:c r="H38" s="2"/>
      <x:c r="I38" s="2"/>
      <x:c r="J38" s="2"/>
      <x:c r="K38" s="2"/>
      <x:c r="L38" s="2"/>
    </x:row>
    <x:row r="39" ht="22" customHeight="1">
      <x:c r="A39" s="2"/>
      <x:c r="B39" s="2"/>
      <x:c r="C39" s="2"/>
      <x:c r="D39" s="2"/>
      <x:c r="E39" s="2"/>
      <x:c r="F39" s="2"/>
      <x:c r="G39" s="2"/>
      <x:c r="H39" s="2"/>
      <x:c r="I39" s="2"/>
      <x:c r="J39" s="2"/>
      <x:c r="K39" s="2"/>
      <x:c r="L39" s="2"/>
    </x:row>
  </x:sheetData>
  <x:pageMargins left="0.7" right="0.7" top="0.75" bottom="0.75" header="0.3" footer="0.3"/>
</x:worksheet>
</file>

<file path=xl/worksheets/sheet4.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11.109999656677246" hidden="0" customWidth="1"/>
    <x:col min="2" max="2" width="13.329999923706055" hidden="0" customWidth="1"/>
    <x:col min="3" max="3" width="20" hidden="0" customWidth="1"/>
    <x:col min="4" max="4" width="20" hidden="0" customWidth="1"/>
    <x:col min="5" max="5" width="17.780000686645508" hidden="0" customWidth="1"/>
    <x:col min="6" max="6" width="12.220000267028809" hidden="0" customWidth="1"/>
    <x:col min="7" max="7" width="36.66999816894531" hidden="0" customWidth="1"/>
    <x:col min="8" max="8" width="18.889999389648438" hidden="0" customWidth="1"/>
    <x:col min="9" max="9" width="52.220001220703125" hidden="0" customWidth="1"/>
  </x:cols>
  <x:sheetData>
    <x:row r="1" ht="22" customHeight="1">
      <x:c r="A1" s="2"/>
      <x:c r="B1" s="2"/>
      <x:c r="C1" s="2"/>
      <x:c r="D1" s="2"/>
      <x:c r="E1" s="2"/>
      <x:c r="F1" s="2"/>
      <x:c r="G1" s="2"/>
      <x:c r="H1" s="2"/>
      <x:c r="I1" s="2"/>
      <x:c r="J1" s="2"/>
      <x:c r="K1" s="2"/>
      <x:c r="L1" s="2"/>
    </x:row>
    <x:row r="2" ht="22" customHeight="1">
      <x:c r="A2" s="3" t="str">
        <x:v>Historical complex scenario results</x:v>
      </x:c>
      <x:c r="B2" s="2"/>
      <x:c r="C2" s="2"/>
      <x:c r="D2" s="2"/>
      <x:c r="E2" s="2"/>
      <x:c r="F2" s="2"/>
      <x:c r="G2" s="2"/>
      <x:c r="H2" s="2"/>
      <x:c r="I2" s="2"/>
      <x:c r="J2" s="2"/>
      <x:c r="K2" s="2"/>
      <x:c r="L2" s="2"/>
    </x:row>
    <x:row r="3" ht="22" customHeight="1">
      <x:c r="A3" s="4" t="str">
        <x:v>60 cases retained as a non-blocking stress study. Recorded outcomes are unchanged.</x:v>
      </x:c>
      <x:c r="B3" s="2"/>
      <x:c r="C3" s="2"/>
      <x:c r="D3" s="2"/>
      <x:c r="E3" s="2"/>
      <x:c r="F3" s="2"/>
      <x:c r="G3" s="2"/>
      <x:c r="H3" s="2"/>
      <x:c r="I3" s="2"/>
      <x:c r="J3" s="2"/>
      <x:c r="K3" s="2"/>
      <x:c r="L3" s="2"/>
    </x:row>
    <x:row r="4" ht="22" customHeight="1">
      <x:c r="A4" s="2"/>
      <x:c r="B4" s="2"/>
      <x:c r="C4" s="2"/>
      <x:c r="D4" s="2"/>
      <x:c r="E4" s="2"/>
      <x:c r="F4" s="2"/>
      <x:c r="G4" s="2"/>
      <x:c r="H4" s="2"/>
      <x:c r="I4" s="2"/>
      <x:c r="J4" s="2"/>
      <x:c r="K4" s="2"/>
      <x:c r="L4" s="2"/>
    </x:row>
    <x:row r="5" ht="36" customHeight="1">
      <x:c r="A5" s="8" t="str">
        <x:v>Case ID</x:v>
      </x:c>
      <x:c r="B5" s="8" t="str">
        <x:v>Authored turns</x:v>
      </x:c>
      <x:c r="C5" s="8" t="str">
        <x:v>Baseline final status</x:v>
      </x:c>
      <x:c r="D5" s="8" t="str">
        <x:v>Repaired final status</x:v>
      </x:c>
      <x:c r="E5" s="8" t="str">
        <x:v>Every turn completed 1=yes</x:v>
      </x:c>
      <x:c r="F5" s="8" t="str">
        <x:v>Failed turns</x:v>
      </x:c>
      <x:c r="G5" s="8" t="str">
        <x:v>Final failure category</x:v>
      </x:c>
      <x:c r="H5" s="8" t="str">
        <x:v>Fresh displayed listings</x:v>
      </x:c>
      <x:c r="I5" s="8" t="str">
        <x:v>Observed final outcome</x:v>
      </x:c>
      <x:c r="J5" s="2"/>
      <x:c r="K5" s="2"/>
      <x:c r="L5" s="2"/>
    </x:row>
    <x:row r="6" ht="22" customHeight="1">
      <x:c r="A6" s="2" t="str">
        <x:v>BT001</x:v>
      </x:c>
      <x:c r="B6" s="11" t="n">
        <x:v>1</x:v>
      </x:c>
      <x:c r="C6" s="2" t="str">
        <x:v>failed</x:v>
      </x:c>
      <x:c r="D6" s="2" t="str">
        <x:v>failed</x:v>
      </x:c>
      <x:c r="E6" s="11" t="n">
        <x:v>0</x:v>
      </x:c>
      <x:c r="F6" s="11" t="n">
        <x:v>1</x:v>
      </x:c>
      <x:c r="G6" s="2" t="str">
        <x:v>a_semantic_audit</x:v>
      </x:c>
      <x:c r="H6" s="11" t="n">
        <x:v>0</x:v>
      </x:c>
      <x:c r="I6" s="2" t="str">
        <x:v>final_operation_failed</x:v>
      </x:c>
      <x:c r="J6" s="2"/>
      <x:c r="K6" s="2"/>
      <x:c r="L6" s="2"/>
    </x:row>
    <x:row r="7" ht="22" customHeight="1">
      <x:c r="A7" s="2" t="str">
        <x:v>BT002</x:v>
      </x:c>
      <x:c r="B7" s="11" t="n">
        <x:v>1</x:v>
      </x:c>
      <x:c r="C7" s="2" t="str">
        <x:v>failed</x:v>
      </x:c>
      <x:c r="D7" s="2" t="str">
        <x:v>completed</x:v>
      </x:c>
      <x:c r="E7" s="11" t="n">
        <x:v>1</x:v>
      </x:c>
      <x:c r="F7" s="11" t="n">
        <x:v>0</x:v>
      </x:c>
      <x:c r="G7" s="2" t="str"/>
      <x:c r="H7" s="11" t="n">
        <x:v>0</x:v>
      </x:c>
      <x:c r="I7" s="2" t="str">
        <x:v>recommendation_clarification_or_unsupported_criterion</x:v>
      </x:c>
      <x:c r="J7" s="2"/>
      <x:c r="K7" s="2"/>
      <x:c r="L7" s="2"/>
    </x:row>
    <x:row r="8" ht="22" customHeight="1">
      <x:c r="A8" s="2" t="str">
        <x:v>BT003</x:v>
      </x:c>
      <x:c r="B8" s="11" t="n">
        <x:v>1</x:v>
      </x:c>
      <x:c r="C8" s="2" t="str">
        <x:v>completed</x:v>
      </x:c>
      <x:c r="D8" s="2" t="str">
        <x:v>completed</x:v>
      </x:c>
      <x:c r="E8" s="11" t="n">
        <x:v>1</x:v>
      </x:c>
      <x:c r="F8" s="11" t="n">
        <x:v>0</x:v>
      </x:c>
      <x:c r="G8" s="2" t="str"/>
      <x:c r="H8" s="11" t="n">
        <x:v>0</x:v>
      </x:c>
      <x:c r="I8" s="2" t="str">
        <x:v>recommendation_clarification_or_unsupported_criterion</x:v>
      </x:c>
      <x:c r="J8" s="2"/>
      <x:c r="K8" s="2"/>
      <x:c r="L8" s="2"/>
    </x:row>
    <x:row r="9" ht="22" customHeight="1">
      <x:c r="A9" s="2" t="str">
        <x:v>BT004</x:v>
      </x:c>
      <x:c r="B9" s="11" t="n">
        <x:v>1</x:v>
      </x:c>
      <x:c r="C9" s="2" t="str">
        <x:v>failed</x:v>
      </x:c>
      <x:c r="D9" s="2" t="str">
        <x:v>completed</x:v>
      </x:c>
      <x:c r="E9" s="11" t="n">
        <x:v>1</x:v>
      </x:c>
      <x:c r="F9" s="11" t="n">
        <x:v>0</x:v>
      </x:c>
      <x:c r="G9" s="2" t="str"/>
      <x:c r="H9" s="11" t="n">
        <x:v>0</x:v>
      </x:c>
      <x:c r="I9" s="2" t="str">
        <x:v>requirement_clarification</x:v>
      </x:c>
      <x:c r="J9" s="2"/>
      <x:c r="K9" s="2"/>
      <x:c r="L9" s="2"/>
    </x:row>
    <x:row r="10" ht="22" customHeight="1">
      <x:c r="A10" s="2" t="str">
        <x:v>BT005</x:v>
      </x:c>
      <x:c r="B10" s="11" t="n">
        <x:v>1</x:v>
      </x:c>
      <x:c r="C10" s="2" t="str">
        <x:v>failed</x:v>
      </x:c>
      <x:c r="D10" s="2" t="str">
        <x:v>failed</x:v>
      </x:c>
      <x:c r="E10" s="11" t="n">
        <x:v>0</x:v>
      </x:c>
      <x:c r="F10" s="11" t="n">
        <x:v>1</x:v>
      </x:c>
      <x:c r="G10" s="2" t="str">
        <x:v>a_timeout</x:v>
      </x:c>
      <x:c r="H10" s="11" t="n">
        <x:v>0</x:v>
      </x:c>
      <x:c r="I10" s="2" t="str">
        <x:v>final_operation_failed</x:v>
      </x:c>
      <x:c r="J10" s="2"/>
      <x:c r="K10" s="2"/>
      <x:c r="L10" s="2"/>
    </x:row>
    <x:row r="11" ht="22" customHeight="1">
      <x:c r="A11" s="2" t="str">
        <x:v>BT006</x:v>
      </x:c>
      <x:c r="B11" s="11" t="n">
        <x:v>1</x:v>
      </x:c>
      <x:c r="C11" s="2" t="str">
        <x:v>completed</x:v>
      </x:c>
      <x:c r="D11" s="2" t="str">
        <x:v>completed</x:v>
      </x:c>
      <x:c r="E11" s="11" t="n">
        <x:v>1</x:v>
      </x:c>
      <x:c r="F11" s="11" t="n">
        <x:v>0</x:v>
      </x:c>
      <x:c r="G11" s="2" t="str"/>
      <x:c r="H11" s="11" t="n">
        <x:v>0</x:v>
      </x:c>
      <x:c r="I11" s="2" t="str">
        <x:v>requirement_clarification</x:v>
      </x:c>
      <x:c r="J11" s="2"/>
      <x:c r="K11" s="2"/>
      <x:c r="L11" s="2"/>
    </x:row>
    <x:row r="12" ht="22" customHeight="1">
      <x:c r="A12" s="2" t="str">
        <x:v>BT007</x:v>
      </x:c>
      <x:c r="B12" s="11" t="n">
        <x:v>1</x:v>
      </x:c>
      <x:c r="C12" s="2" t="str">
        <x:v>failed</x:v>
      </x:c>
      <x:c r="D12" s="2" t="str">
        <x:v>failed</x:v>
      </x:c>
      <x:c r="E12" s="11" t="n">
        <x:v>0</x:v>
      </x:c>
      <x:c r="F12" s="11" t="n">
        <x:v>1</x:v>
      </x:c>
      <x:c r="G12" s="2" t="str">
        <x:v>c_language_style</x:v>
      </x:c>
      <x:c r="H12" s="11" t="n">
        <x:v>5</x:v>
      </x:c>
      <x:c r="I12" s="2" t="str">
        <x:v>final_operation_failed</x:v>
      </x:c>
      <x:c r="J12" s="2"/>
      <x:c r="K12" s="2"/>
      <x:c r="L12" s="2"/>
    </x:row>
    <x:row r="13" ht="22" customHeight="1">
      <x:c r="A13" s="2" t="str">
        <x:v>BT008</x:v>
      </x:c>
      <x:c r="B13" s="11" t="n">
        <x:v>1</x:v>
      </x:c>
      <x:c r="C13" s="2" t="str">
        <x:v>failed</x:v>
      </x:c>
      <x:c r="D13" s="2" t="str">
        <x:v>failed</x:v>
      </x:c>
      <x:c r="E13" s="11" t="n">
        <x:v>0</x:v>
      </x:c>
      <x:c r="F13" s="11" t="n">
        <x:v>1</x:v>
      </x:c>
      <x:c r="G13" s="2" t="str">
        <x:v>c_language_style</x:v>
      </x:c>
      <x:c r="H13" s="11" t="n">
        <x:v>5</x:v>
      </x:c>
      <x:c r="I13" s="2" t="str">
        <x:v>final_operation_failed</x:v>
      </x:c>
      <x:c r="J13" s="2"/>
      <x:c r="K13" s="2"/>
      <x:c r="L13" s="2"/>
    </x:row>
    <x:row r="14" ht="22" customHeight="1">
      <x:c r="A14" s="2" t="str">
        <x:v>BT009</x:v>
      </x:c>
      <x:c r="B14" s="11" t="n">
        <x:v>1</x:v>
      </x:c>
      <x:c r="C14" s="2" t="str">
        <x:v>failed</x:v>
      </x:c>
      <x:c r="D14" s="2" t="str">
        <x:v>completed</x:v>
      </x:c>
      <x:c r="E14" s="11" t="n">
        <x:v>1</x:v>
      </x:c>
      <x:c r="F14" s="11" t="n">
        <x:v>0</x:v>
      </x:c>
      <x:c r="G14" s="2" t="str"/>
      <x:c r="H14" s="11" t="n">
        <x:v>0</x:v>
      </x:c>
      <x:c r="I14" s="2" t="str">
        <x:v>recommendation_clarification_or_unsupported_criterion</x:v>
      </x:c>
      <x:c r="J14" s="2"/>
      <x:c r="K14" s="2"/>
      <x:c r="L14" s="2"/>
    </x:row>
    <x:row r="15" ht="22" customHeight="1">
      <x:c r="A15" s="2" t="str">
        <x:v>BT010</x:v>
      </x:c>
      <x:c r="B15" s="11" t="n">
        <x:v>1</x:v>
      </x:c>
      <x:c r="C15" s="2" t="str">
        <x:v>completed</x:v>
      </x:c>
      <x:c r="D15" s="2" t="str">
        <x:v>completed</x:v>
      </x:c>
      <x:c r="E15" s="11" t="n">
        <x:v>1</x:v>
      </x:c>
      <x:c r="F15" s="11" t="n">
        <x:v>0</x:v>
      </x:c>
      <x:c r="G15" s="2" t="str"/>
      <x:c r="H15" s="11" t="n">
        <x:v>0</x:v>
      </x:c>
      <x:c r="I15" s="2" t="str">
        <x:v>requirement_clarification</x:v>
      </x:c>
      <x:c r="J15" s="2"/>
      <x:c r="K15" s="2"/>
      <x:c r="L15" s="2"/>
    </x:row>
    <x:row r="16" ht="22" customHeight="1">
      <x:c r="A16" s="2" t="str">
        <x:v>BT011</x:v>
      </x:c>
      <x:c r="B16" s="11" t="n">
        <x:v>1</x:v>
      </x:c>
      <x:c r="C16" s="2" t="str">
        <x:v>failed</x:v>
      </x:c>
      <x:c r="D16" s="2" t="str">
        <x:v>completed</x:v>
      </x:c>
      <x:c r="E16" s="11" t="n">
        <x:v>1</x:v>
      </x:c>
      <x:c r="F16" s="11" t="n">
        <x:v>0</x:v>
      </x:c>
      <x:c r="G16" s="2" t="str"/>
      <x:c r="H16" s="11" t="n">
        <x:v>0</x:v>
      </x:c>
      <x:c r="I16" s="2" t="str">
        <x:v>requirement_clarification</x:v>
      </x:c>
      <x:c r="J16" s="2"/>
      <x:c r="K16" s="2"/>
      <x:c r="L16" s="2"/>
    </x:row>
    <x:row r="17" ht="22" customHeight="1">
      <x:c r="A17" s="2" t="str">
        <x:v>BT012</x:v>
      </x:c>
      <x:c r="B17" s="11" t="n">
        <x:v>1</x:v>
      </x:c>
      <x:c r="C17" s="2" t="str">
        <x:v>failed</x:v>
      </x:c>
      <x:c r="D17" s="2" t="str">
        <x:v>failed</x:v>
      </x:c>
      <x:c r="E17" s="11" t="n">
        <x:v>0</x:v>
      </x:c>
      <x:c r="F17" s="11" t="n">
        <x:v>1</x:v>
      </x:c>
      <x:c r="G17" s="2" t="str">
        <x:v>c_language_style</x:v>
      </x:c>
      <x:c r="H17" s="11" t="n">
        <x:v>5</x:v>
      </x:c>
      <x:c r="I17" s="2" t="str">
        <x:v>final_operation_failed</x:v>
      </x:c>
      <x:c r="J17" s="2"/>
      <x:c r="K17" s="2"/>
      <x:c r="L17" s="2"/>
    </x:row>
    <x:row r="18" ht="22" customHeight="1">
      <x:c r="A18" s="2" t="str">
        <x:v>BT013</x:v>
      </x:c>
      <x:c r="B18" s="11" t="n">
        <x:v>1</x:v>
      </x:c>
      <x:c r="C18" s="2" t="str">
        <x:v>completed</x:v>
      </x:c>
      <x:c r="D18" s="2" t="str">
        <x:v>failed</x:v>
      </x:c>
      <x:c r="E18" s="11" t="n">
        <x:v>0</x:v>
      </x:c>
      <x:c r="F18" s="11" t="n">
        <x:v>1</x:v>
      </x:c>
      <x:c r="G18" s="2" t="str">
        <x:v>a_schema_or_extraction_validation</x:v>
      </x:c>
      <x:c r="H18" s="11" t="n">
        <x:v>0</x:v>
      </x:c>
      <x:c r="I18" s="2" t="str">
        <x:v>final_operation_failed</x:v>
      </x:c>
      <x:c r="J18" s="2"/>
      <x:c r="K18" s="2"/>
      <x:c r="L18" s="2"/>
    </x:row>
    <x:row r="19" ht="22" customHeight="1">
      <x:c r="A19" s="2" t="str">
        <x:v>BT014</x:v>
      </x:c>
      <x:c r="B19" s="11" t="n">
        <x:v>1</x:v>
      </x:c>
      <x:c r="C19" s="2" t="str">
        <x:v>failed</x:v>
      </x:c>
      <x:c r="D19" s="2" t="str">
        <x:v>completed</x:v>
      </x:c>
      <x:c r="E19" s="11" t="n">
        <x:v>1</x:v>
      </x:c>
      <x:c r="F19" s="11" t="n">
        <x:v>0</x:v>
      </x:c>
      <x:c r="G19" s="2" t="str"/>
      <x:c r="H19" s="11" t="n">
        <x:v>0</x:v>
      </x:c>
      <x:c r="I19" s="2" t="str">
        <x:v>recommendation_clarification_or_unsupported_criterion</x:v>
      </x:c>
      <x:c r="J19" s="2"/>
      <x:c r="K19" s="2"/>
      <x:c r="L19" s="2"/>
    </x:row>
    <x:row r="20" ht="22" customHeight="1">
      <x:c r="A20" s="2" t="str">
        <x:v>BT015</x:v>
      </x:c>
      <x:c r="B20" s="11" t="n">
        <x:v>1</x:v>
      </x:c>
      <x:c r="C20" s="2" t="str">
        <x:v>completed</x:v>
      </x:c>
      <x:c r="D20" s="2" t="str">
        <x:v>completed</x:v>
      </x:c>
      <x:c r="E20" s="11" t="n">
        <x:v>1</x:v>
      </x:c>
      <x:c r="F20" s="11" t="n">
        <x:v>0</x:v>
      </x:c>
      <x:c r="G20" s="2" t="str"/>
      <x:c r="H20" s="11" t="n">
        <x:v>0</x:v>
      </x:c>
      <x:c r="I20" s="2" t="str">
        <x:v>recommendation_clarification_or_unsupported_criterion</x:v>
      </x:c>
      <x:c r="J20" s="2"/>
      <x:c r="K20" s="2"/>
      <x:c r="L20" s="2"/>
    </x:row>
    <x:row r="21" ht="22" customHeight="1">
      <x:c r="A21" s="2" t="str">
        <x:v>BT016</x:v>
      </x:c>
      <x:c r="B21" s="11" t="n">
        <x:v>1</x:v>
      </x:c>
      <x:c r="C21" s="2" t="str">
        <x:v>failed</x:v>
      </x:c>
      <x:c r="D21" s="2" t="str">
        <x:v>failed</x:v>
      </x:c>
      <x:c r="E21" s="11" t="n">
        <x:v>0</x:v>
      </x:c>
      <x:c r="F21" s="11" t="n">
        <x:v>1</x:v>
      </x:c>
      <x:c r="G21" s="2" t="str">
        <x:v>a_timeout</x:v>
      </x:c>
      <x:c r="H21" s="11" t="n">
        <x:v>0</x:v>
      </x:c>
      <x:c r="I21" s="2" t="str">
        <x:v>final_operation_failed</x:v>
      </x:c>
      <x:c r="J21" s="2"/>
      <x:c r="K21" s="2"/>
      <x:c r="L21" s="2"/>
    </x:row>
    <x:row r="22" ht="22" customHeight="1">
      <x:c r="A22" s="2" t="str">
        <x:v>BT017</x:v>
      </x:c>
      <x:c r="B22" s="11" t="n">
        <x:v>1</x:v>
      </x:c>
      <x:c r="C22" s="2" t="str">
        <x:v>completed</x:v>
      </x:c>
      <x:c r="D22" s="2" t="str">
        <x:v>completed</x:v>
      </x:c>
      <x:c r="E22" s="11" t="n">
        <x:v>1</x:v>
      </x:c>
      <x:c r="F22" s="11" t="n">
        <x:v>0</x:v>
      </x:c>
      <x:c r="G22" s="2" t="str"/>
      <x:c r="H22" s="11" t="n">
        <x:v>0</x:v>
      </x:c>
      <x:c r="I22" s="2" t="str">
        <x:v>recommendation_clarification_or_unsupported_criterion</x:v>
      </x:c>
      <x:c r="J22" s="2"/>
      <x:c r="K22" s="2"/>
      <x:c r="L22" s="2"/>
    </x:row>
    <x:row r="23" ht="22" customHeight="1">
      <x:c r="A23" s="2" t="str">
        <x:v>BT018</x:v>
      </x:c>
      <x:c r="B23" s="11" t="n">
        <x:v>1</x:v>
      </x:c>
      <x:c r="C23" s="2" t="str">
        <x:v>failed</x:v>
      </x:c>
      <x:c r="D23" s="2" t="str">
        <x:v>failed</x:v>
      </x:c>
      <x:c r="E23" s="11" t="n">
        <x:v>0</x:v>
      </x:c>
      <x:c r="F23" s="11" t="n">
        <x:v>1</x:v>
      </x:c>
      <x:c r="G23" s="2" t="str">
        <x:v>c_language_style</x:v>
      </x:c>
      <x:c r="H23" s="11" t="n">
        <x:v>5</x:v>
      </x:c>
      <x:c r="I23" s="2" t="str">
        <x:v>final_operation_failed</x:v>
      </x:c>
      <x:c r="J23" s="2"/>
      <x:c r="K23" s="2"/>
      <x:c r="L23" s="2"/>
    </x:row>
    <x:row r="24" ht="22" customHeight="1">
      <x:c r="A24" s="2" t="str">
        <x:v>BT019</x:v>
      </x:c>
      <x:c r="B24" s="11" t="n">
        <x:v>1</x:v>
      </x:c>
      <x:c r="C24" s="2" t="str">
        <x:v>completed</x:v>
      </x:c>
      <x:c r="D24" s="2" t="str">
        <x:v>completed</x:v>
      </x:c>
      <x:c r="E24" s="11" t="n">
        <x:v>1</x:v>
      </x:c>
      <x:c r="F24" s="11" t="n">
        <x:v>0</x:v>
      </x:c>
      <x:c r="G24" s="2" t="str"/>
      <x:c r="H24" s="11" t="n">
        <x:v>0</x:v>
      </x:c>
      <x:c r="I24" s="2" t="str">
        <x:v>recommendation_clarification_or_unsupported_criterion</x:v>
      </x:c>
      <x:c r="J24" s="2"/>
      <x:c r="K24" s="2"/>
      <x:c r="L24" s="2"/>
    </x:row>
    <x:row r="25" ht="22" customHeight="1">
      <x:c r="A25" s="2" t="str">
        <x:v>BT020</x:v>
      </x:c>
      <x:c r="B25" s="11" t="n">
        <x:v>1</x:v>
      </x:c>
      <x:c r="C25" s="2" t="str">
        <x:v>failed</x:v>
      </x:c>
      <x:c r="D25" s="2" t="str">
        <x:v>completed</x:v>
      </x:c>
      <x:c r="E25" s="11" t="n">
        <x:v>1</x:v>
      </x:c>
      <x:c r="F25" s="11" t="n">
        <x:v>0</x:v>
      </x:c>
      <x:c r="G25" s="2" t="str"/>
      <x:c r="H25" s="11" t="n">
        <x:v>0</x:v>
      </x:c>
      <x:c r="I25" s="2" t="str">
        <x:v>requirement_clarification</x:v>
      </x:c>
      <x:c r="J25" s="2"/>
      <x:c r="K25" s="2"/>
      <x:c r="L25" s="2"/>
    </x:row>
    <x:row r="26" ht="22" customHeight="1">
      <x:c r="A26" s="2" t="str">
        <x:v>BT021</x:v>
      </x:c>
      <x:c r="B26" s="11" t="n">
        <x:v>1</x:v>
      </x:c>
      <x:c r="C26" s="2" t="str">
        <x:v>failed</x:v>
      </x:c>
      <x:c r="D26" s="2" t="str">
        <x:v>failed</x:v>
      </x:c>
      <x:c r="E26" s="11" t="n">
        <x:v>0</x:v>
      </x:c>
      <x:c r="F26" s="11" t="n">
        <x:v>1</x:v>
      </x:c>
      <x:c r="G26" s="2" t="str">
        <x:v>c_language_style</x:v>
      </x:c>
      <x:c r="H26" s="11" t="n">
        <x:v>5</x:v>
      </x:c>
      <x:c r="I26" s="2" t="str">
        <x:v>final_operation_failed</x:v>
      </x:c>
      <x:c r="J26" s="2"/>
      <x:c r="K26" s="2"/>
      <x:c r="L26" s="2"/>
    </x:row>
    <x:row r="27" ht="22" customHeight="1">
      <x:c r="A27" s="2" t="str">
        <x:v>BT022</x:v>
      </x:c>
      <x:c r="B27" s="11" t="n">
        <x:v>1</x:v>
      </x:c>
      <x:c r="C27" s="2" t="str">
        <x:v>failed</x:v>
      </x:c>
      <x:c r="D27" s="2" t="str">
        <x:v>failed</x:v>
      </x:c>
      <x:c r="E27" s="11" t="n">
        <x:v>0</x:v>
      </x:c>
      <x:c r="F27" s="11" t="n">
        <x:v>1</x:v>
      </x:c>
      <x:c r="G27" s="2" t="str">
        <x:v>a_semantic_audit</x:v>
      </x:c>
      <x:c r="H27" s="11" t="n">
        <x:v>0</x:v>
      </x:c>
      <x:c r="I27" s="2" t="str">
        <x:v>final_operation_failed</x:v>
      </x:c>
      <x:c r="J27" s="2"/>
      <x:c r="K27" s="2"/>
      <x:c r="L27" s="2"/>
    </x:row>
    <x:row r="28" ht="22" customHeight="1">
      <x:c r="A28" s="2" t="str">
        <x:v>BT023</x:v>
      </x:c>
      <x:c r="B28" s="11" t="n">
        <x:v>1</x:v>
      </x:c>
      <x:c r="C28" s="2" t="str">
        <x:v>failed</x:v>
      </x:c>
      <x:c r="D28" s="2" t="str">
        <x:v>failed</x:v>
      </x:c>
      <x:c r="E28" s="11" t="n">
        <x:v>0</x:v>
      </x:c>
      <x:c r="F28" s="11" t="n">
        <x:v>1</x:v>
      </x:c>
      <x:c r="G28" s="2" t="str">
        <x:v>b_recommendation_failure</x:v>
      </x:c>
      <x:c r="H28" s="11" t="n">
        <x:v>0</x:v>
      </x:c>
      <x:c r="I28" s="2" t="str">
        <x:v>final_operation_failed</x:v>
      </x:c>
      <x:c r="J28" s="2"/>
      <x:c r="K28" s="2"/>
      <x:c r="L28" s="2"/>
    </x:row>
    <x:row r="29" ht="22" customHeight="1">
      <x:c r="A29" s="2" t="str">
        <x:v>BT024</x:v>
      </x:c>
      <x:c r="B29" s="11" t="n">
        <x:v>1</x:v>
      </x:c>
      <x:c r="C29" s="2" t="str">
        <x:v>failed</x:v>
      </x:c>
      <x:c r="D29" s="2" t="str">
        <x:v>failed</x:v>
      </x:c>
      <x:c r="E29" s="11" t="n">
        <x:v>0</x:v>
      </x:c>
      <x:c r="F29" s="11" t="n">
        <x:v>1</x:v>
      </x:c>
      <x:c r="G29" s="2" t="str">
        <x:v>c_response_schema_or_validation</x:v>
      </x:c>
      <x:c r="H29" s="11" t="n">
        <x:v>5</x:v>
      </x:c>
      <x:c r="I29" s="2" t="str">
        <x:v>final_operation_failed</x:v>
      </x:c>
      <x:c r="J29" s="2"/>
      <x:c r="K29" s="2"/>
      <x:c r="L29" s="2"/>
    </x:row>
    <x:row r="30" ht="22" customHeight="1">
      <x:c r="A30" s="2" t="str">
        <x:v>BT025</x:v>
      </x:c>
      <x:c r="B30" s="11" t="n">
        <x:v>1</x:v>
      </x:c>
      <x:c r="C30" s="2" t="str">
        <x:v>failed</x:v>
      </x:c>
      <x:c r="D30" s="2" t="str">
        <x:v>failed</x:v>
      </x:c>
      <x:c r="E30" s="11" t="n">
        <x:v>0</x:v>
      </x:c>
      <x:c r="F30" s="11" t="n">
        <x:v>1</x:v>
      </x:c>
      <x:c r="G30" s="2" t="str">
        <x:v>a_schema_or_extraction_validation</x:v>
      </x:c>
      <x:c r="H30" s="11" t="n">
        <x:v>0</x:v>
      </x:c>
      <x:c r="I30" s="2" t="str">
        <x:v>final_operation_failed</x:v>
      </x:c>
      <x:c r="J30" s="2"/>
      <x:c r="K30" s="2"/>
      <x:c r="L30" s="2"/>
    </x:row>
    <x:row r="31" ht="22" customHeight="1">
      <x:c r="A31" s="2" t="str">
        <x:v>BT026</x:v>
      </x:c>
      <x:c r="B31" s="11" t="n">
        <x:v>1</x:v>
      </x:c>
      <x:c r="C31" s="2" t="str">
        <x:v>failed</x:v>
      </x:c>
      <x:c r="D31" s="2" t="str">
        <x:v>completed</x:v>
      </x:c>
      <x:c r="E31" s="11" t="n">
        <x:v>1</x:v>
      </x:c>
      <x:c r="F31" s="11" t="n">
        <x:v>0</x:v>
      </x:c>
      <x:c r="G31" s="2" t="str"/>
      <x:c r="H31" s="11" t="n">
        <x:v>0</x:v>
      </x:c>
      <x:c r="I31" s="2" t="str">
        <x:v>requirement_clarification</x:v>
      </x:c>
      <x:c r="J31" s="2"/>
      <x:c r="K31" s="2"/>
      <x:c r="L31" s="2"/>
    </x:row>
    <x:row r="32" ht="22" customHeight="1">
      <x:c r="A32" s="2" t="str">
        <x:v>BT027</x:v>
      </x:c>
      <x:c r="B32" s="11" t="n">
        <x:v>1</x:v>
      </x:c>
      <x:c r="C32" s="2" t="str">
        <x:v>completed</x:v>
      </x:c>
      <x:c r="D32" s="2" t="str">
        <x:v>completed</x:v>
      </x:c>
      <x:c r="E32" s="11" t="n">
        <x:v>1</x:v>
      </x:c>
      <x:c r="F32" s="11" t="n">
        <x:v>0</x:v>
      </x:c>
      <x:c r="G32" s="2" t="str"/>
      <x:c r="H32" s="11" t="n">
        <x:v>0</x:v>
      </x:c>
      <x:c r="I32" s="2" t="str">
        <x:v>recommendation_clarification_or_unsupported_criterion</x:v>
      </x:c>
      <x:c r="J32" s="2"/>
      <x:c r="K32" s="2"/>
      <x:c r="L32" s="2"/>
    </x:row>
    <x:row r="33" ht="22" customHeight="1">
      <x:c r="A33" s="2" t="str">
        <x:v>BT028</x:v>
      </x:c>
      <x:c r="B33" s="11" t="n">
        <x:v>1</x:v>
      </x:c>
      <x:c r="C33" s="2" t="str">
        <x:v>failed</x:v>
      </x:c>
      <x:c r="D33" s="2" t="str">
        <x:v>completed</x:v>
      </x:c>
      <x:c r="E33" s="11" t="n">
        <x:v>1</x:v>
      </x:c>
      <x:c r="F33" s="11" t="n">
        <x:v>0</x:v>
      </x:c>
      <x:c r="G33" s="2" t="str"/>
      <x:c r="H33" s="11" t="n">
        <x:v>0</x:v>
      </x:c>
      <x:c r="I33" s="2" t="str">
        <x:v>requirement_clarification</x:v>
      </x:c>
      <x:c r="J33" s="2"/>
      <x:c r="K33" s="2"/>
      <x:c r="L33" s="2"/>
    </x:row>
    <x:row r="34" ht="22" customHeight="1">
      <x:c r="A34" s="2" t="str">
        <x:v>BT029</x:v>
      </x:c>
      <x:c r="B34" s="11" t="n">
        <x:v>1</x:v>
      </x:c>
      <x:c r="C34" s="2" t="str">
        <x:v>failed</x:v>
      </x:c>
      <x:c r="D34" s="2" t="str">
        <x:v>failed</x:v>
      </x:c>
      <x:c r="E34" s="11" t="n">
        <x:v>0</x:v>
      </x:c>
      <x:c r="F34" s="11" t="n">
        <x:v>1</x:v>
      </x:c>
      <x:c r="G34" s="2" t="str">
        <x:v>a_timeout</x:v>
      </x:c>
      <x:c r="H34" s="11" t="n">
        <x:v>0</x:v>
      </x:c>
      <x:c r="I34" s="2" t="str">
        <x:v>final_operation_failed</x:v>
      </x:c>
      <x:c r="J34" s="2"/>
      <x:c r="K34" s="2"/>
      <x:c r="L34" s="2"/>
    </x:row>
    <x:row r="35" ht="22" customHeight="1">
      <x:c r="A35" s="2" t="str">
        <x:v>BT030</x:v>
      </x:c>
      <x:c r="B35" s="11" t="n">
        <x:v>1</x:v>
      </x:c>
      <x:c r="C35" s="2" t="str">
        <x:v>failed</x:v>
      </x:c>
      <x:c r="D35" s="2" t="str">
        <x:v>completed</x:v>
      </x:c>
      <x:c r="E35" s="11" t="n">
        <x:v>1</x:v>
      </x:c>
      <x:c r="F35" s="11" t="n">
        <x:v>0</x:v>
      </x:c>
      <x:c r="G35" s="2" t="str"/>
      <x:c r="H35" s="11" t="n">
        <x:v>0</x:v>
      </x:c>
      <x:c r="I35" s="2" t="str">
        <x:v>recommendation_clarification_or_unsupported_criterion</x:v>
      </x:c>
      <x:c r="J35" s="2"/>
      <x:c r="K35" s="2"/>
      <x:c r="L35" s="2"/>
    </x:row>
    <x:row r="36" ht="22" customHeight="1">
      <x:c r="A36" s="2" t="str">
        <x:v>BT031</x:v>
      </x:c>
      <x:c r="B36" s="11" t="n">
        <x:v>1</x:v>
      </x:c>
      <x:c r="C36" s="2" t="str">
        <x:v>completed</x:v>
      </x:c>
      <x:c r="D36" s="2" t="str">
        <x:v>completed</x:v>
      </x:c>
      <x:c r="E36" s="11" t="n">
        <x:v>1</x:v>
      </x:c>
      <x:c r="F36" s="11" t="n">
        <x:v>0</x:v>
      </x:c>
      <x:c r="G36" s="2" t="str"/>
      <x:c r="H36" s="11" t="n">
        <x:v>0</x:v>
      </x:c>
      <x:c r="I36" s="2" t="str">
        <x:v>recommendation_clarification_or_unsupported_criterion</x:v>
      </x:c>
      <x:c r="J36" s="2"/>
      <x:c r="K36" s="2"/>
      <x:c r="L36" s="2"/>
    </x:row>
    <x:row r="37" ht="22" customHeight="1">
      <x:c r="A37" s="2" t="str">
        <x:v>BT032</x:v>
      </x:c>
      <x:c r="B37" s="11" t="n">
        <x:v>1</x:v>
      </x:c>
      <x:c r="C37" s="2" t="str">
        <x:v>failed</x:v>
      </x:c>
      <x:c r="D37" s="2" t="str">
        <x:v>completed</x:v>
      </x:c>
      <x:c r="E37" s="11" t="n">
        <x:v>1</x:v>
      </x:c>
      <x:c r="F37" s="11" t="n">
        <x:v>0</x:v>
      </x:c>
      <x:c r="G37" s="2" t="str"/>
      <x:c r="H37" s="11" t="n">
        <x:v>0</x:v>
      </x:c>
      <x:c r="I37" s="2" t="str">
        <x:v>requirement_clarification</x:v>
      </x:c>
      <x:c r="J37" s="2"/>
      <x:c r="K37" s="2"/>
      <x:c r="L37" s="2"/>
    </x:row>
    <x:row r="38" ht="22" customHeight="1">
      <x:c r="A38" s="2" t="str">
        <x:v>BT033</x:v>
      </x:c>
      <x:c r="B38" s="11" t="n">
        <x:v>1</x:v>
      </x:c>
      <x:c r="C38" s="2" t="str">
        <x:v>failed</x:v>
      </x:c>
      <x:c r="D38" s="2" t="str">
        <x:v>completed</x:v>
      </x:c>
      <x:c r="E38" s="11" t="n">
        <x:v>1</x:v>
      </x:c>
      <x:c r="F38" s="11" t="n">
        <x:v>0</x:v>
      </x:c>
      <x:c r="G38" s="2" t="str"/>
      <x:c r="H38" s="11" t="n">
        <x:v>0</x:v>
      </x:c>
      <x:c r="I38" s="2" t="str">
        <x:v>recommendation_clarification_or_unsupported_criterion</x:v>
      </x:c>
      <x:c r="J38" s="2"/>
      <x:c r="K38" s="2"/>
      <x:c r="L38" s="2"/>
    </x:row>
    <x:row r="39" ht="22" customHeight="1">
      <x:c r="A39" s="2" t="str">
        <x:v>BT034</x:v>
      </x:c>
      <x:c r="B39" s="11" t="n">
        <x:v>1</x:v>
      </x:c>
      <x:c r="C39" s="2" t="str">
        <x:v>completed</x:v>
      </x:c>
      <x:c r="D39" s="2" t="str">
        <x:v>completed</x:v>
      </x:c>
      <x:c r="E39" s="11" t="n">
        <x:v>1</x:v>
      </x:c>
      <x:c r="F39" s="11" t="n">
        <x:v>0</x:v>
      </x:c>
      <x:c r="G39" s="2" t="str"/>
      <x:c r="H39" s="11" t="n">
        <x:v>0</x:v>
      </x:c>
      <x:c r="I39" s="2" t="str">
        <x:v>recommendation_clarification_or_unsupported_criterion</x:v>
      </x:c>
      <x:c r="J39" s="2"/>
      <x:c r="K39" s="2"/>
      <x:c r="L39" s="2"/>
    </x:row>
    <x:row r="40" ht="22" customHeight="1">
      <x:c r="A40" s="2" t="str">
        <x:v>BT035</x:v>
      </x:c>
      <x:c r="B40" s="11" t="n">
        <x:v>1</x:v>
      </x:c>
      <x:c r="C40" s="2" t="str">
        <x:v>completed</x:v>
      </x:c>
      <x:c r="D40" s="2" t="str">
        <x:v>completed</x:v>
      </x:c>
      <x:c r="E40" s="11" t="n">
        <x:v>1</x:v>
      </x:c>
      <x:c r="F40" s="11" t="n">
        <x:v>0</x:v>
      </x:c>
      <x:c r="G40" s="2" t="str"/>
      <x:c r="H40" s="11" t="n">
        <x:v>0</x:v>
      </x:c>
      <x:c r="I40" s="2" t="str">
        <x:v>recommendation_clarification_or_unsupported_criterion</x:v>
      </x:c>
      <x:c r="J40" s="2"/>
      <x:c r="K40" s="2"/>
      <x:c r="L40" s="2"/>
    </x:row>
    <x:row r="41" ht="22" customHeight="1">
      <x:c r="A41" s="2" t="str">
        <x:v>BT036</x:v>
      </x:c>
      <x:c r="B41" s="11" t="n">
        <x:v>1</x:v>
      </x:c>
      <x:c r="C41" s="2" t="str">
        <x:v>completed</x:v>
      </x:c>
      <x:c r="D41" s="2" t="str">
        <x:v>completed</x:v>
      </x:c>
      <x:c r="E41" s="11" t="n">
        <x:v>1</x:v>
      </x:c>
      <x:c r="F41" s="11" t="n">
        <x:v>0</x:v>
      </x:c>
      <x:c r="G41" s="2" t="str"/>
      <x:c r="H41" s="11" t="n">
        <x:v>0</x:v>
      </x:c>
      <x:c r="I41" s="2" t="str">
        <x:v>recommendation_clarification_or_unsupported_criterion</x:v>
      </x:c>
      <x:c r="J41" s="2"/>
      <x:c r="K41" s="2"/>
      <x:c r="L41" s="2"/>
    </x:row>
    <x:row r="42" ht="22" customHeight="1">
      <x:c r="A42" s="2" t="str">
        <x:v>BT037</x:v>
      </x:c>
      <x:c r="B42" s="11" t="n">
        <x:v>1</x:v>
      </x:c>
      <x:c r="C42" s="2" t="str">
        <x:v>failed</x:v>
      </x:c>
      <x:c r="D42" s="2" t="str">
        <x:v>failed</x:v>
      </x:c>
      <x:c r="E42" s="11" t="n">
        <x:v>0</x:v>
      </x:c>
      <x:c r="F42" s="11" t="n">
        <x:v>1</x:v>
      </x:c>
      <x:c r="G42" s="2" t="str">
        <x:v>a_timeout</x:v>
      </x:c>
      <x:c r="H42" s="11" t="n">
        <x:v>0</x:v>
      </x:c>
      <x:c r="I42" s="2" t="str">
        <x:v>final_operation_failed</x:v>
      </x:c>
      <x:c r="J42" s="2"/>
      <x:c r="K42" s="2"/>
      <x:c r="L42" s="2"/>
    </x:row>
    <x:row r="43" ht="22" customHeight="1">
      <x:c r="A43" s="2" t="str">
        <x:v>BT038</x:v>
      </x:c>
      <x:c r="B43" s="11" t="n">
        <x:v>1</x:v>
      </x:c>
      <x:c r="C43" s="2" t="str">
        <x:v>completed</x:v>
      </x:c>
      <x:c r="D43" s="2" t="str">
        <x:v>failed</x:v>
      </x:c>
      <x:c r="E43" s="11" t="n">
        <x:v>0</x:v>
      </x:c>
      <x:c r="F43" s="11" t="n">
        <x:v>1</x:v>
      </x:c>
      <x:c r="G43" s="2" t="str">
        <x:v>b_recommendation_business_error</x:v>
      </x:c>
      <x:c r="H43" s="11" t="n">
        <x:v>0</x:v>
      </x:c>
      <x:c r="I43" s="2" t="str">
        <x:v>final_operation_failed</x:v>
      </x:c>
      <x:c r="J43" s="2"/>
      <x:c r="K43" s="2"/>
      <x:c r="L43" s="2"/>
    </x:row>
    <x:row r="44" ht="22" customHeight="1">
      <x:c r="A44" s="2" t="str">
        <x:v>BT039</x:v>
      </x:c>
      <x:c r="B44" s="11" t="n">
        <x:v>1</x:v>
      </x:c>
      <x:c r="C44" s="2" t="str">
        <x:v>failed</x:v>
      </x:c>
      <x:c r="D44" s="2" t="str">
        <x:v>completed</x:v>
      </x:c>
      <x:c r="E44" s="11" t="n">
        <x:v>1</x:v>
      </x:c>
      <x:c r="F44" s="11" t="n">
        <x:v>0</x:v>
      </x:c>
      <x:c r="G44" s="2" t="str"/>
      <x:c r="H44" s="11" t="n">
        <x:v>0</x:v>
      </x:c>
      <x:c r="I44" s="2" t="str">
        <x:v>recommendation_clarification_or_unsupported_criterion</x:v>
      </x:c>
      <x:c r="J44" s="2"/>
      <x:c r="K44" s="2"/>
      <x:c r="L44" s="2"/>
    </x:row>
    <x:row r="45" ht="22" customHeight="1">
      <x:c r="A45" s="2" t="str">
        <x:v>BT040</x:v>
      </x:c>
      <x:c r="B45" s="11" t="n">
        <x:v>1</x:v>
      </x:c>
      <x:c r="C45" s="2" t="str">
        <x:v>completed</x:v>
      </x:c>
      <x:c r="D45" s="2" t="str">
        <x:v>completed</x:v>
      </x:c>
      <x:c r="E45" s="11" t="n">
        <x:v>1</x:v>
      </x:c>
      <x:c r="F45" s="11" t="n">
        <x:v>0</x:v>
      </x:c>
      <x:c r="G45" s="2" t="str"/>
      <x:c r="H45" s="11" t="n">
        <x:v>0</x:v>
      </x:c>
      <x:c r="I45" s="2" t="str">
        <x:v>completed_other_or_no_fresh_list</x:v>
      </x:c>
      <x:c r="J45" s="2"/>
      <x:c r="K45" s="2"/>
      <x:c r="L45" s="2"/>
    </x:row>
    <x:row r="46" ht="22" customHeight="1">
      <x:c r="A46" s="2" t="str">
        <x:v>BT041</x:v>
      </x:c>
      <x:c r="B46" s="11" t="n">
        <x:v>3</x:v>
      </x:c>
      <x:c r="C46" s="2" t="str">
        <x:v>failed</x:v>
      </x:c>
      <x:c r="D46" s="2" t="str">
        <x:v>completed</x:v>
      </x:c>
      <x:c r="E46" s="11" t="n">
        <x:v>1</x:v>
      </x:c>
      <x:c r="F46" s="11" t="n">
        <x:v>0</x:v>
      </x:c>
      <x:c r="G46" s="2" t="str"/>
      <x:c r="H46" s="11" t="n">
        <x:v>0</x:v>
      </x:c>
      <x:c r="I46" s="2" t="str">
        <x:v>recommendation_clarification_or_unsupported_criterion</x:v>
      </x:c>
      <x:c r="J46" s="2"/>
      <x:c r="K46" s="2"/>
      <x:c r="L46" s="2"/>
    </x:row>
    <x:row r="47" ht="22" customHeight="1">
      <x:c r="A47" s="2" t="str">
        <x:v>BT042</x:v>
      </x:c>
      <x:c r="B47" s="11" t="n">
        <x:v>3</x:v>
      </x:c>
      <x:c r="C47" s="2" t="str">
        <x:v>failed</x:v>
      </x:c>
      <x:c r="D47" s="2" t="str">
        <x:v>failed</x:v>
      </x:c>
      <x:c r="E47" s="11" t="n">
        <x:v>0</x:v>
      </x:c>
      <x:c r="F47" s="11" t="n">
        <x:v>1</x:v>
      </x:c>
      <x:c r="G47" s="2" t="str">
        <x:v>a_semantic_audit</x:v>
      </x:c>
      <x:c r="H47" s="11" t="n">
        <x:v>0</x:v>
      </x:c>
      <x:c r="I47" s="2" t="str">
        <x:v>final_operation_failed</x:v>
      </x:c>
      <x:c r="J47" s="2"/>
      <x:c r="K47" s="2"/>
      <x:c r="L47" s="2"/>
    </x:row>
    <x:row r="48" ht="22" customHeight="1">
      <x:c r="A48" s="2" t="str">
        <x:v>BT043</x:v>
      </x:c>
      <x:c r="B48" s="11" t="n">
        <x:v>3</x:v>
      </x:c>
      <x:c r="C48" s="2" t="str">
        <x:v>failed</x:v>
      </x:c>
      <x:c r="D48" s="2" t="str">
        <x:v>completed</x:v>
      </x:c>
      <x:c r="E48" s="11" t="n">
        <x:v>1</x:v>
      </x:c>
      <x:c r="F48" s="11" t="n">
        <x:v>0</x:v>
      </x:c>
      <x:c r="G48" s="2" t="str"/>
      <x:c r="H48" s="11" t="n">
        <x:v>0</x:v>
      </x:c>
      <x:c r="I48" s="2" t="str">
        <x:v>completed_other_or_no_fresh_list</x:v>
      </x:c>
      <x:c r="J48" s="2"/>
      <x:c r="K48" s="2"/>
      <x:c r="L48" s="2"/>
    </x:row>
    <x:row r="49" ht="22" customHeight="1">
      <x:c r="A49" s="2" t="str">
        <x:v>BT044</x:v>
      </x:c>
      <x:c r="B49" s="11" t="n">
        <x:v>3</x:v>
      </x:c>
      <x:c r="C49" s="2" t="str">
        <x:v>completed</x:v>
      </x:c>
      <x:c r="D49" s="2" t="str">
        <x:v>failed</x:v>
      </x:c>
      <x:c r="E49" s="11" t="n">
        <x:v>0</x:v>
      </x:c>
      <x:c r="F49" s="11" t="n">
        <x:v>2</x:v>
      </x:c>
      <x:c r="G49" s="2" t="str">
        <x:v>a_schema_or_extraction_validation</x:v>
      </x:c>
      <x:c r="H49" s="11" t="n">
        <x:v>0</x:v>
      </x:c>
      <x:c r="I49" s="2" t="str">
        <x:v>final_operation_failed</x:v>
      </x:c>
      <x:c r="J49" s="2"/>
      <x:c r="K49" s="2"/>
      <x:c r="L49" s="2"/>
    </x:row>
    <x:row r="50" ht="22" customHeight="1">
      <x:c r="A50" s="2" t="str">
        <x:v>BT045</x:v>
      </x:c>
      <x:c r="B50" s="11" t="n">
        <x:v>3</x:v>
      </x:c>
      <x:c r="C50" s="2" t="str">
        <x:v>failed</x:v>
      </x:c>
      <x:c r="D50" s="2" t="str">
        <x:v>completed</x:v>
      </x:c>
      <x:c r="E50" s="11" t="n">
        <x:v>1</x:v>
      </x:c>
      <x:c r="F50" s="11" t="n">
        <x:v>0</x:v>
      </x:c>
      <x:c r="G50" s="2" t="str"/>
      <x:c r="H50" s="11" t="n">
        <x:v>0</x:v>
      </x:c>
      <x:c r="I50" s="2" t="str">
        <x:v>recommendation_clarification_or_unsupported_criterion</x:v>
      </x:c>
      <x:c r="J50" s="2"/>
      <x:c r="K50" s="2"/>
      <x:c r="L50" s="2"/>
    </x:row>
    <x:row r="51" ht="22" customHeight="1">
      <x:c r="A51" s="2" t="str">
        <x:v>BT046</x:v>
      </x:c>
      <x:c r="B51" s="11" t="n">
        <x:v>3</x:v>
      </x:c>
      <x:c r="C51" s="2" t="str">
        <x:v>completed</x:v>
      </x:c>
      <x:c r="D51" s="2" t="str">
        <x:v>completed</x:v>
      </x:c>
      <x:c r="E51" s="11" t="n">
        <x:v>1</x:v>
      </x:c>
      <x:c r="F51" s="11" t="n">
        <x:v>0</x:v>
      </x:c>
      <x:c r="G51" s="2" t="str"/>
      <x:c r="H51" s="11" t="n">
        <x:v>0</x:v>
      </x:c>
      <x:c r="I51" s="2" t="str">
        <x:v>recommendation_clarification_or_unsupported_criterion</x:v>
      </x:c>
      <x:c r="J51" s="2"/>
      <x:c r="K51" s="2"/>
      <x:c r="L51" s="2"/>
    </x:row>
    <x:row r="52" ht="22" customHeight="1">
      <x:c r="A52" s="2" t="str">
        <x:v>BT047</x:v>
      </x:c>
      <x:c r="B52" s="11" t="n">
        <x:v>3</x:v>
      </x:c>
      <x:c r="C52" s="2" t="str">
        <x:v>failed</x:v>
      </x:c>
      <x:c r="D52" s="2" t="str">
        <x:v>completed</x:v>
      </x:c>
      <x:c r="E52" s="11" t="n">
        <x:v>1</x:v>
      </x:c>
      <x:c r="F52" s="11" t="n">
        <x:v>0</x:v>
      </x:c>
      <x:c r="G52" s="2" t="str"/>
      <x:c r="H52" s="11" t="n">
        <x:v>0</x:v>
      </x:c>
      <x:c r="I52" s="2" t="str">
        <x:v>requirement_clarification</x:v>
      </x:c>
      <x:c r="J52" s="2"/>
      <x:c r="K52" s="2"/>
      <x:c r="L52" s="2"/>
    </x:row>
    <x:row r="53" ht="22" customHeight="1">
      <x:c r="A53" s="2" t="str">
        <x:v>BT048</x:v>
      </x:c>
      <x:c r="B53" s="11" t="n">
        <x:v>3</x:v>
      </x:c>
      <x:c r="C53" s="2" t="str">
        <x:v>completed</x:v>
      </x:c>
      <x:c r="D53" s="2" t="str">
        <x:v>completed</x:v>
      </x:c>
      <x:c r="E53" s="11" t="n">
        <x:v>1</x:v>
      </x:c>
      <x:c r="F53" s="11" t="n">
        <x:v>0</x:v>
      </x:c>
      <x:c r="G53" s="2" t="str"/>
      <x:c r="H53" s="11" t="n">
        <x:v>0</x:v>
      </x:c>
      <x:c r="I53" s="2" t="str">
        <x:v>recommendation_clarification_or_unsupported_criterion</x:v>
      </x:c>
      <x:c r="J53" s="2"/>
      <x:c r="K53" s="2"/>
      <x:c r="L53" s="2"/>
    </x:row>
    <x:row r="54" ht="22" customHeight="1">
      <x:c r="A54" s="2" t="str">
        <x:v>BT049</x:v>
      </x:c>
      <x:c r="B54" s="11" t="n">
        <x:v>4</x:v>
      </x:c>
      <x:c r="C54" s="2" t="str">
        <x:v>completed</x:v>
      </x:c>
      <x:c r="D54" s="2" t="str">
        <x:v>completed</x:v>
      </x:c>
      <x:c r="E54" s="11" t="n">
        <x:v>0</x:v>
      </x:c>
      <x:c r="F54" s="11" t="n">
        <x:v>1</x:v>
      </x:c>
      <x:c r="G54" s="2" t="str"/>
      <x:c r="H54" s="11" t="n">
        <x:v>0</x:v>
      </x:c>
      <x:c r="I54" s="2" t="str">
        <x:v>completed_other_or_no_fresh_list</x:v>
      </x:c>
      <x:c r="J54" s="2"/>
      <x:c r="K54" s="2"/>
      <x:c r="L54" s="2"/>
    </x:row>
    <x:row r="55" ht="22" customHeight="1">
      <x:c r="A55" s="2" t="str">
        <x:v>BT050</x:v>
      </x:c>
      <x:c r="B55" s="11" t="n">
        <x:v>4</x:v>
      </x:c>
      <x:c r="C55" s="2" t="str">
        <x:v>completed</x:v>
      </x:c>
      <x:c r="D55" s="2" t="str">
        <x:v>completed</x:v>
      </x:c>
      <x:c r="E55" s="11" t="n">
        <x:v>0</x:v>
      </x:c>
      <x:c r="F55" s="11" t="n">
        <x:v>1</x:v>
      </x:c>
      <x:c r="G55" s="2" t="str"/>
      <x:c r="H55" s="11" t="n">
        <x:v>0</x:v>
      </x:c>
      <x:c r="I55" s="2" t="str">
        <x:v>recommendation_clarification_or_unsupported_criterion</x:v>
      </x:c>
      <x:c r="J55" s="2"/>
      <x:c r="K55" s="2"/>
      <x:c r="L55" s="2"/>
    </x:row>
    <x:row r="56" ht="22" customHeight="1">
      <x:c r="A56" s="2" t="str">
        <x:v>BT051</x:v>
      </x:c>
      <x:c r="B56" s="11" t="n">
        <x:v>4</x:v>
      </x:c>
      <x:c r="C56" s="2" t="str">
        <x:v>failed</x:v>
      </x:c>
      <x:c r="D56" s="2" t="str">
        <x:v>failed</x:v>
      </x:c>
      <x:c r="E56" s="11" t="n">
        <x:v>0</x:v>
      </x:c>
      <x:c r="F56" s="11" t="n">
        <x:v>1</x:v>
      </x:c>
      <x:c r="G56" s="2" t="str">
        <x:v>b_recommendation_business_error</x:v>
      </x:c>
      <x:c r="H56" s="11" t="n">
        <x:v>0</x:v>
      </x:c>
      <x:c r="I56" s="2" t="str">
        <x:v>final_operation_failed</x:v>
      </x:c>
      <x:c r="J56" s="2"/>
      <x:c r="K56" s="2"/>
      <x:c r="L56" s="2"/>
    </x:row>
    <x:row r="57" ht="22" customHeight="1">
      <x:c r="A57" s="2" t="str">
        <x:v>BT052</x:v>
      </x:c>
      <x:c r="B57" s="11" t="n">
        <x:v>4</x:v>
      </x:c>
      <x:c r="C57" s="2" t="str">
        <x:v>completed</x:v>
      </x:c>
      <x:c r="D57" s="2" t="str">
        <x:v>completed</x:v>
      </x:c>
      <x:c r="E57" s="11" t="n">
        <x:v>1</x:v>
      </x:c>
      <x:c r="F57" s="11" t="n">
        <x:v>0</x:v>
      </x:c>
      <x:c r="G57" s="2" t="str"/>
      <x:c r="H57" s="11" t="n">
        <x:v>0</x:v>
      </x:c>
      <x:c r="I57" s="2" t="str">
        <x:v>completed_other_or_no_fresh_list</x:v>
      </x:c>
      <x:c r="J57" s="2"/>
      <x:c r="K57" s="2"/>
      <x:c r="L57" s="2"/>
    </x:row>
    <x:row r="58" ht="22" customHeight="1">
      <x:c r="A58" s="2" t="str">
        <x:v>BT053</x:v>
      </x:c>
      <x:c r="B58" s="11" t="n">
        <x:v>4</x:v>
      </x:c>
      <x:c r="C58" s="2" t="str">
        <x:v>failed</x:v>
      </x:c>
      <x:c r="D58" s="2" t="str">
        <x:v>completed</x:v>
      </x:c>
      <x:c r="E58" s="11" t="n">
        <x:v>0</x:v>
      </x:c>
      <x:c r="F58" s="11" t="n">
        <x:v>1</x:v>
      </x:c>
      <x:c r="G58" s="2" t="str"/>
      <x:c r="H58" s="11" t="n">
        <x:v>0</x:v>
      </x:c>
      <x:c r="I58" s="2" t="str">
        <x:v>recommendation_clarification_or_unsupported_criterion</x:v>
      </x:c>
      <x:c r="J58" s="2"/>
      <x:c r="K58" s="2"/>
      <x:c r="L58" s="2"/>
    </x:row>
    <x:row r="59" ht="22" customHeight="1">
      <x:c r="A59" s="2" t="str">
        <x:v>BT054</x:v>
      </x:c>
      <x:c r="B59" s="11" t="n">
        <x:v>4</x:v>
      </x:c>
      <x:c r="C59" s="2" t="str">
        <x:v>failed</x:v>
      </x:c>
      <x:c r="D59" s="2" t="str">
        <x:v>failed</x:v>
      </x:c>
      <x:c r="E59" s="11" t="n">
        <x:v>0</x:v>
      </x:c>
      <x:c r="F59" s="11" t="n">
        <x:v>2</x:v>
      </x:c>
      <x:c r="G59" s="2" t="str">
        <x:v>a_timeout</x:v>
      </x:c>
      <x:c r="H59" s="11" t="n">
        <x:v>0</x:v>
      </x:c>
      <x:c r="I59" s="2" t="str">
        <x:v>final_operation_failed</x:v>
      </x:c>
      <x:c r="J59" s="2"/>
      <x:c r="K59" s="2"/>
      <x:c r="L59" s="2"/>
    </x:row>
    <x:row r="60" ht="22" customHeight="1">
      <x:c r="A60" s="2" t="str">
        <x:v>BT055</x:v>
      </x:c>
      <x:c r="B60" s="11" t="n">
        <x:v>4</x:v>
      </x:c>
      <x:c r="C60" s="2" t="str">
        <x:v>failed</x:v>
      </x:c>
      <x:c r="D60" s="2" t="str">
        <x:v>completed</x:v>
      </x:c>
      <x:c r="E60" s="11" t="n">
        <x:v>0</x:v>
      </x:c>
      <x:c r="F60" s="11" t="n">
        <x:v>2</x:v>
      </x:c>
      <x:c r="G60" s="2" t="str"/>
      <x:c r="H60" s="11" t="n">
        <x:v>0</x:v>
      </x:c>
      <x:c r="I60" s="2" t="str">
        <x:v>recommendation_clarification_or_unsupported_criterion</x:v>
      </x:c>
      <x:c r="J60" s="2"/>
      <x:c r="K60" s="2"/>
      <x:c r="L60" s="2"/>
    </x:row>
    <x:row r="61" ht="22" customHeight="1">
      <x:c r="A61" s="2" t="str">
        <x:v>BT056</x:v>
      </x:c>
      <x:c r="B61" s="11" t="n">
        <x:v>4</x:v>
      </x:c>
      <x:c r="C61" s="2" t="str">
        <x:v>completed</x:v>
      </x:c>
      <x:c r="D61" s="2" t="str">
        <x:v>completed</x:v>
      </x:c>
      <x:c r="E61" s="11" t="n">
        <x:v>1</x:v>
      </x:c>
      <x:c r="F61" s="11" t="n">
        <x:v>0</x:v>
      </x:c>
      <x:c r="G61" s="2" t="str"/>
      <x:c r="H61" s="11" t="n">
        <x:v>0</x:v>
      </x:c>
      <x:c r="I61" s="2" t="str">
        <x:v>recommendation_clarification_or_unsupported_criterion</x:v>
      </x:c>
      <x:c r="J61" s="2"/>
      <x:c r="K61" s="2"/>
      <x:c r="L61" s="2"/>
    </x:row>
    <x:row r="62" ht="22" customHeight="1">
      <x:c r="A62" s="2" t="str">
        <x:v>BT057</x:v>
      </x:c>
      <x:c r="B62" s="11" t="n">
        <x:v>5</x:v>
      </x:c>
      <x:c r="C62" s="2" t="str">
        <x:v>failed</x:v>
      </x:c>
      <x:c r="D62" s="2" t="str">
        <x:v>failed</x:v>
      </x:c>
      <x:c r="E62" s="11" t="n">
        <x:v>0</x:v>
      </x:c>
      <x:c r="F62" s="11" t="n">
        <x:v>4</x:v>
      </x:c>
      <x:c r="G62" s="2" t="str">
        <x:v>a_timeout</x:v>
      </x:c>
      <x:c r="H62" s="11" t="n">
        <x:v>0</x:v>
      </x:c>
      <x:c r="I62" s="2" t="str">
        <x:v>final_operation_failed</x:v>
      </x:c>
      <x:c r="J62" s="2"/>
      <x:c r="K62" s="2"/>
      <x:c r="L62" s="2"/>
    </x:row>
    <x:row r="63" ht="22" customHeight="1">
      <x:c r="A63" s="2" t="str">
        <x:v>BT058</x:v>
      </x:c>
      <x:c r="B63" s="11" t="n">
        <x:v>5</x:v>
      </x:c>
      <x:c r="C63" s="2" t="str">
        <x:v>failed</x:v>
      </x:c>
      <x:c r="D63" s="2" t="str">
        <x:v>completed</x:v>
      </x:c>
      <x:c r="E63" s="11" t="n">
        <x:v>0</x:v>
      </x:c>
      <x:c r="F63" s="11" t="n">
        <x:v>2</x:v>
      </x:c>
      <x:c r="G63" s="2" t="str"/>
      <x:c r="H63" s="11" t="n">
        <x:v>0</x:v>
      </x:c>
      <x:c r="I63" s="2" t="str">
        <x:v>requirement_clarification</x:v>
      </x:c>
      <x:c r="J63" s="2"/>
      <x:c r="K63" s="2"/>
      <x:c r="L63" s="2"/>
    </x:row>
    <x:row r="64" ht="22" customHeight="1">
      <x:c r="A64" s="2" t="str">
        <x:v>BT059</x:v>
      </x:c>
      <x:c r="B64" s="11" t="n">
        <x:v>5</x:v>
      </x:c>
      <x:c r="C64" s="2" t="str">
        <x:v>completed</x:v>
      </x:c>
      <x:c r="D64" s="2" t="str">
        <x:v>completed</x:v>
      </x:c>
      <x:c r="E64" s="11" t="n">
        <x:v>1</x:v>
      </x:c>
      <x:c r="F64" s="11" t="n">
        <x:v>0</x:v>
      </x:c>
      <x:c r="G64" s="2" t="str"/>
      <x:c r="H64" s="11" t="n">
        <x:v>0</x:v>
      </x:c>
      <x:c r="I64" s="2" t="str">
        <x:v>recommendation_clarification_or_unsupported_criterion</x:v>
      </x:c>
      <x:c r="J64" s="2"/>
      <x:c r="K64" s="2"/>
      <x:c r="L64" s="2"/>
    </x:row>
    <x:row r="65" ht="22" customHeight="1">
      <x:c r="A65" s="2" t="str">
        <x:v>BT060</x:v>
      </x:c>
      <x:c r="B65" s="11" t="n">
        <x:v>5</x:v>
      </x:c>
      <x:c r="C65" s="2" t="str">
        <x:v>failed</x:v>
      </x:c>
      <x:c r="D65" s="2" t="str">
        <x:v>completed</x:v>
      </x:c>
      <x:c r="E65" s="11" t="n">
        <x:v>1</x:v>
      </x:c>
      <x:c r="F65" s="11" t="n">
        <x:v>0</x:v>
      </x:c>
      <x:c r="G65" s="2" t="str"/>
      <x:c r="H65" s="11" t="n">
        <x:v>0</x:v>
      </x:c>
      <x:c r="I65" s="2" t="str">
        <x:v>recommendation_clarification_or_unsupported_criterion</x:v>
      </x:c>
      <x:c r="J65" s="2"/>
      <x:c r="K65" s="2"/>
      <x:c r="L65" s="2"/>
    </x:row>
  </x:sheetData>
  <x:conditionalFormatting sqref="D6:D65">
    <x:cfRule type="containsText" dxfId="1" priority="1" operator="containsText" text="failed"/>
  </x:conditionalFormatting>
  <x:pageMargins left="0.7" right="0.7" top="0.75" bottom="0.75" header="0.3" footer="0.3"/>
</x:worksheet>
</file>

<file path=xl/worksheets/sheet5.xml><?xml version="1.0" encoding="utf-8"?>
<x:worksheet xmlns:x="http://schemas.openxmlformats.org/spreadsheetml/2006/main">
  <x:sheetViews>
    <x:sheetView showGridLines="0" workbookViewId="0">
      <x:pane xSplit="3" ySplit="5" topLeftCell="D6" activePane="bottomRight" state="frozen"/>
    </x:sheetView>
  </x:sheetViews>
  <x:sheetFormatPr defaultRowHeight="15"/>
  <x:cols>
    <x:col min="1" max="1" width="23.889999389648438" hidden="0" customWidth="1"/>
    <x:col min="2" max="2" width="9.4399995803833" hidden="0" customWidth="1"/>
    <x:col min="3" max="3" width="15" hidden="0" customWidth="1"/>
    <x:col min="4" max="4" width="11.109999656677246" hidden="0" customWidth="1"/>
    <x:col min="5" max="5" width="13.329999923706055" hidden="0" customWidth="1"/>
    <x:col min="6" max="6" width="12.779999732971191" hidden="0" customWidth="1"/>
    <x:col min="7" max="7" width="12.220000267028809" hidden="0" customWidth="1"/>
    <x:col min="8" max="8" width="10" hidden="0" customWidth="1"/>
    <x:col min="9" max="9" width="9.4399995803833" hidden="0" customWidth="1"/>
    <x:col min="10" max="10" width="28.889999389648438" hidden="0" customWidth="1"/>
    <x:col min="11" max="11" width="14.4399995803833" hidden="0" customWidth="1"/>
    <x:col min="12" max="12" width="13.329999923706055" hidden="0" customWidth="1"/>
    <x:col min="13" max="13" width="12.220000267028809" hidden="0" customWidth="1"/>
    <x:col min="14" max="14" width="10.5600004196167" hidden="0" customWidth="1"/>
    <x:col min="15" max="15" width="20.559999465942383" hidden="0" customWidth="1"/>
    <x:col min="16" max="16" width="68.88999938964844" hidden="0" customWidth="1"/>
    <x:col min="17" max="17" width="55.560001373291016" hidden="0" customWidth="1"/>
    <x:col min="18" max="18" width="35.560001373291016" hidden="0" customWidth="1"/>
  </x:cols>
  <x:sheetData>
    <x:row r="1" ht="22" customHeight="1">
      <x:c r="A1" s="2"/>
      <x:c r="B1" s="2"/>
      <x:c r="C1" s="2"/>
      <x:c r="D1" s="2"/>
      <x:c r="E1" s="2"/>
      <x:c r="F1" s="2"/>
      <x:c r="G1" s="2"/>
      <x:c r="H1" s="2"/>
      <x:c r="I1" s="2"/>
      <x:c r="J1" s="2"/>
      <x:c r="K1" s="2"/>
      <x:c r="L1" s="2"/>
      <x:c r="M1" s="2"/>
      <x:c r="N1" s="2"/>
      <x:c r="O1" s="2"/>
      <x:c r="P1" s="2"/>
      <x:c r="Q1" s="2"/>
      <x:c r="R1" s="2"/>
    </x:row>
    <x:row r="2" ht="22" customHeight="1">
      <x:c r="A2" s="3" t="str">
        <x:v>Scenario listing judgments</x:v>
      </x:c>
      <x:c r="B2" s="2"/>
      <x:c r="C2" s="2"/>
      <x:c r="D2" s="2"/>
      <x:c r="E2" s="2"/>
      <x:c r="F2" s="2"/>
      <x:c r="G2" s="2"/>
      <x:c r="H2" s="2"/>
      <x:c r="I2" s="2"/>
      <x:c r="J2" s="2"/>
      <x:c r="K2" s="2"/>
      <x:c r="L2" s="2"/>
      <x:c r="M2" s="2"/>
      <x:c r="N2" s="2"/>
      <x:c r="O2" s="2"/>
      <x:c r="P2" s="2"/>
      <x:c r="Q2" s="2"/>
      <x:c r="R2" s="2"/>
    </x:row>
    <x:row r="3" ht="22" customHeight="1">
      <x:c r="A3" s="4" t="str">
        <x:v>Source: original 619 judgments plus the new frozen source rubric and recorded pool additions. See the English report and inputs/Relevance_Rubric_EN.json.</x:v>
      </x:c>
      <x:c r="B3" s="2"/>
      <x:c r="C3" s="2"/>
      <x:c r="D3" s="2"/>
      <x:c r="E3" s="2"/>
      <x:c r="F3" s="2"/>
      <x:c r="G3" s="2"/>
      <x:c r="H3" s="2"/>
      <x:c r="I3" s="2"/>
      <x:c r="J3" s="2"/>
      <x:c r="K3" s="2"/>
      <x:c r="L3" s="2"/>
      <x:c r="M3" s="2"/>
      <x:c r="N3" s="2"/>
      <x:c r="O3" s="2"/>
      <x:c r="P3" s="2"/>
      <x:c r="Q3" s="2"/>
      <x:c r="R3" s="2"/>
      <x:c r="T3" t="str">
        <x:v>Frozen grades and historical notes retained. No human-review gate. Overrides are optional.</x:v>
      </x:c>
    </x:row>
    <x:row r="4" ht="22" customHeight="1">
      <x:c r="A4" s="2"/>
      <x:c r="B4" s="2"/>
      <x:c r="C4" s="2"/>
      <x:c r="D4" s="2"/>
      <x:c r="E4" s="2"/>
      <x:c r="F4" s="2"/>
      <x:c r="G4" s="2"/>
      <x:c r="H4" s="2"/>
      <x:c r="I4" s="2"/>
      <x:c r="J4" s="2"/>
      <x:c r="K4" s="2"/>
      <x:c r="L4" s="2"/>
      <x:c r="M4" s="2"/>
      <x:c r="N4" s="2"/>
      <x:c r="O4" s="2"/>
      <x:c r="P4" s="2"/>
      <x:c r="Q4" s="2"/>
      <x:c r="R4" s="2"/>
    </x:row>
    <x:row r="5" ht="36" customHeight="1">
      <x:c r="A5" s="8" t="str">
        <x:v>Rating key</x:v>
      </x:c>
      <x:c r="B5" s="8" t="str">
        <x:v>Scenario</x:v>
      </x:c>
      <x:c r="C5" s="8" t="str">
        <x:v>Listing ID</x:v>
      </x:c>
      <x:c r="D5" s="8" t="str">
        <x:v>Frozen grade</x:v>
      </x:c>
      <x:c r="E5" s="8" t="str">
        <x:v>Optional override</x:v>
      </x:c>
      <x:c r="F5" s="8" t="str">
        <x:v>Effective grade</x:v>
      </x:c>
      <x:c r="G5" s="8" t="str">
        <x:v>Numeric grade</x:v>
      </x:c>
      <x:c r="H5" s="8" t="str">
        <x:v>Relevant</x:v>
      </x:c>
      <x:c r="I5" s="8" t="str">
        <x:v>Gain</x:v>
      </x:c>
      <x:c r="J5" s="8" t="str">
        <x:v>Origin</x:v>
      </x:c>
      <x:c r="K5" s="8" t="str">
        <x:v>Rent SGD/month</x:v>
      </x:c>
      <x:c r="L5" s="8" t="str">
        <x:v>Reported beds</x:v>
      </x:c>
      <x:c r="M5" s="8" t="str">
        <x:v>Area sqft</x:v>
      </x:c>
      <x:c r="N5" s="8" t="str">
        <x:v>District</x:v>
      </x:c>
      <x:c r="O5" s="8" t="str">
        <x:v>Property type</x:v>
      </x:c>
      <x:c r="P5" s="8" t="str">
        <x:v>Source URL</x:v>
      </x:c>
      <x:c r="Q5" s="8" t="str">
        <x:v>Rationale</x:v>
      </x:c>
      <x:c r="R5" s="8" t="str">
        <x:v>Optional note</x:v>
      </x:c>
    </x:row>
    <x:row r="6" ht="15" hidden="0" customHeight="1">
      <x:c r="A6" s="2" t="str">
        <x:v>S01|23762265</x:v>
      </x:c>
      <x:c r="B6" s="2" t="str">
        <x:v>S01</x:v>
      </x:c>
      <x:c r="C6" s="2" t="str">
        <x:v>23762265</x:v>
      </x:c>
      <x:c r="D6" s="2" t="str">
        <x:v>U</x:v>
      </x:c>
      <x:c r="E6" s="9"/>
      <x:c r="F6" s="2" t="str">
        <x:f>IF(E6="",D6,IF(E6="U","U",IF(AND(ISNUMBER(E6),E6&gt;=0,E6&lt;=3,INT(E6)=E6),E6,"Invalid")))</x:f>
        <x:v>U</x:v>
      </x:c>
      <x:c r="G6" s="2" t="n">
        <x:f>IF(ISNUMBER(F6),1,0)</x:f>
        <x:v>0</x:v>
      </x:c>
      <x:c r="H6" s="2" t="n">
        <x:f>IF(ISNUMBER(F6),IF(F6&gt;=2,1,0),0)</x:f>
        <x:v>0</x:v>
      </x:c>
      <x:c r="I6" s="11" t="n">
        <x:f>IF(ISNUMBER(F6),2^F6-1,0)</x:f>
        <x:v>0</x:v>
      </x:c>
      <x:c r="J6" s="2" t="str">
        <x:v>Retained original 577</x:v>
      </x:c>
      <x:c r="K6" s="10" t="n">
        <x:v>850</x:v>
      </x:c>
      <x:c r="L6" s="10"/>
      <x:c r="M6" s="10" t="n">
        <x:v>120</x:v>
      </x:c>
      <x:c r="N6" s="2" t="str">
        <x:v>D25</x:v>
      </x:c>
      <x:c r="O6" s="2" t="str">
        <x:v>hdb flat</x:v>
      </x:c>
      <x:c r="P6" s="2" t="str">
        <x:v>https://www.propertyguru.com.sg/listing/hdb-for-rent-139-marsiling-road-23762265</x:v>
      </x:c>
      <x:c r="Q6" s="12" t="str">
        <x:v>No known hard failure. Cannot verify: reported bedrooms.</x:v>
      </x:c>
      <x:c r="R6" s="13"/>
    </x:row>
    <x:row r="7" ht="24" hidden="0" customHeight="1">
      <x:c r="A7" s="2" t="str">
        <x:v>S01|500269855</x:v>
      </x:c>
      <x:c r="B7" s="2" t="str">
        <x:v>S01</x:v>
      </x:c>
      <x:c r="C7" s="2" t="str">
        <x:v>500269855</x:v>
      </x:c>
      <x:c r="D7" s="2" t="n">
        <x:v>2</x:v>
      </x:c>
      <x:c r="E7" s="9"/>
      <x:c r="F7" s="2" t="n">
        <x:f>IF(E7="",D7,IF(E7="U","U",IF(AND(ISNUMBER(E7),E7&gt;=0,E7&lt;=3,INT(E7)=E7),E7,"Invalid")))</x:f>
        <x:v>2</x:v>
      </x:c>
      <x:c r="G7" s="2" t="n">
        <x:f>IF(ISNUMBER(F7),1,0)</x:f>
        <x:v>1</x:v>
      </x:c>
      <x:c r="H7" s="2" t="n">
        <x:f>IF(ISNUMBER(F7),IF(F7&gt;=2,1,0),0)</x:f>
        <x:v>1</x:v>
      </x:c>
      <x:c r="I7" s="11" t="n">
        <x:f>IF(ISNUMBER(F7),2^F7-1,0)</x:f>
        <x:v>3</x:v>
      </x:c>
      <x:c r="J7" s="2" t="str">
        <x:v>Retained original 577</x:v>
      </x:c>
      <x:c r="K7" s="10" t="n">
        <x:v>1200</x:v>
      </x:c>
      <x:c r="L7" s="10" t="n">
        <x:v>1</x:v>
      </x:c>
      <x:c r="M7" s="10" t="n">
        <x:v>108</x:v>
      </x:c>
      <x:c r="N7" s="2" t="str">
        <x:v>D12</x:v>
      </x:c>
      <x:c r="O7" s="2" t="str">
        <x:v>hdb flat</x:v>
      </x:c>
      <x:c r="P7" s="2" t="str">
        <x:v>https://www.propertyguru.com.sg/listing/hdb-for-rent-138c-lorong-1a-toa-payoh-500269855</x:v>
      </x:c>
      <x:c r="Q7" s="12" t="str">
        <x:v>Hard requirements pass. SGD 1,200/month, area 108 sqft. Rent offers savings, with a clear shortfall in the secondary size preference.</x:v>
      </x:c>
      <x:c r="R7" s="13"/>
    </x:row>
    <x:row r="8" ht="24" hidden="0" customHeight="1">
      <x:c r="A8" s="2" t="str">
        <x:v>S01|500281545</x:v>
      </x:c>
      <x:c r="B8" s="2" t="str">
        <x:v>S01</x:v>
      </x:c>
      <x:c r="C8" s="2" t="str">
        <x:v>500281545</x:v>
      </x:c>
      <x:c r="D8" s="2" t="n">
        <x:v>3</x:v>
      </x:c>
      <x:c r="E8" s="9"/>
      <x:c r="F8" s="2" t="n">
        <x:f>IF(E8="",D8,IF(E8="U","U",IF(AND(ISNUMBER(E8),E8&gt;=0,E8&lt;=3,INT(E8)=E8),E8,"Invalid")))</x:f>
        <x:v>3</x:v>
      </x:c>
      <x:c r="G8" s="2" t="n">
        <x:f>IF(ISNUMBER(F8),1,0)</x:f>
        <x:v>1</x:v>
      </x:c>
      <x:c r="H8" s="2" t="n">
        <x:f>IF(ISNUMBER(F8),IF(F8&gt;=2,1,0),0)</x:f>
        <x:v>1</x:v>
      </x:c>
      <x:c r="I8" s="11" t="n">
        <x:f>IF(ISNUMBER(F8),2^F8-1,0)</x:f>
        <x:v>7</x:v>
      </x:c>
      <x:c r="J8" s="2" t="str">
        <x:v>Retained original 577</x:v>
      </x:c>
      <x:c r="K8" s="10" t="n">
        <x:v>700</x:v>
      </x:c>
      <x:c r="L8" s="10" t="n">
        <x:v>3</x:v>
      </x:c>
      <x:c r="M8" s="10" t="n">
        <x:v>904</x:v>
      </x:c>
      <x:c r="N8" s="2" t="str">
        <x:v>D18</x:v>
      </x:c>
      <x:c r="O8" s="2" t="str">
        <x:v>hdb flat</x:v>
      </x:c>
      <x:c r="P8" s="2" t="str">
        <x:v>https://www.propertyguru.com.sg/listing/hdb-for-rent-832-tampines-street-82-500281545</x:v>
      </x:c>
      <x:c r="Q8" s="12" t="str">
        <x:v>Hard requirements pass. SGD 700/month, area 904 sqft. Low rent and the reported area meets the secondary size preference.</x:v>
      </x:c>
      <x:c r="R8" s="13"/>
    </x:row>
    <x:row r="9" ht="24" hidden="0" customHeight="1">
      <x:c r="A9" s="2" t="str">
        <x:v>S01|500266384</x:v>
      </x:c>
      <x:c r="B9" s="2" t="str">
        <x:v>S01</x:v>
      </x:c>
      <x:c r="C9" s="2" t="str">
        <x:v>500266384</x:v>
      </x:c>
      <x:c r="D9" s="2" t="n">
        <x:v>3</x:v>
      </x:c>
      <x:c r="E9" s="9"/>
      <x:c r="F9" s="2" t="n">
        <x:f>IF(E9="",D9,IF(E9="U","U",IF(AND(ISNUMBER(E9),E9&gt;=0,E9&lt;=3,INT(E9)=E9),E9,"Invalid")))</x:f>
        <x:v>3</x:v>
      </x:c>
      <x:c r="G9" s="2" t="n">
        <x:f>IF(ISNUMBER(F9),1,0)</x:f>
        <x:v>1</x:v>
      </x:c>
      <x:c r="H9" s="2" t="n">
        <x:f>IF(ISNUMBER(F9),IF(F9&gt;=2,1,0),0)</x:f>
        <x:v>1</x:v>
      </x:c>
      <x:c r="I9" s="11" t="n">
        <x:f>IF(ISNUMBER(F9),2^F9-1,0)</x:f>
        <x:v>7</x:v>
      </x:c>
      <x:c r="J9" s="2" t="str">
        <x:v>Retained original 577</x:v>
      </x:c>
      <x:c r="K9" s="10" t="n">
        <x:v>950</x:v>
      </x:c>
      <x:c r="L9" s="10" t="n">
        <x:v>1</x:v>
      </x:c>
      <x:c r="M9" s="10" t="n">
        <x:v>1087</x:v>
      </x:c>
      <x:c r="N9" s="2" t="str">
        <x:v>D25</x:v>
      </x:c>
      <x:c r="O9" s="2" t="str">
        <x:v>hdb flat</x:v>
      </x:c>
      <x:c r="P9" s="2" t="str">
        <x:v>https://www.propertyguru.com.sg/listing/hdb-for-rent-659-woodlands-ring-road-500266384</x:v>
      </x:c>
      <x:c r="Q9" s="12" t="str">
        <x:v>Hard requirements pass. SGD 950/month, area 1,087 sqft. Low rent and the reported area meets the secondary size preference.</x:v>
      </x:c>
      <x:c r="R9" s="13"/>
    </x:row>
    <x:row r="10" ht="15" hidden="0" customHeight="1">
      <x:c r="A10" s="2" t="str">
        <x:v>S01|25397469</x:v>
      </x:c>
      <x:c r="B10" s="2" t="str">
        <x:v>S01</x:v>
      </x:c>
      <x:c r="C10" s="2" t="str">
        <x:v>25397469</x:v>
      </x:c>
      <x:c r="D10" s="2" t="n">
        <x:v>0</x:v>
      </x:c>
      <x:c r="E10" s="9"/>
      <x:c r="F10" s="2" t="n">
        <x:f>IF(E10="",D10,IF(E10="U","U",IF(AND(ISNUMBER(E10),E10&gt;=0,E10&lt;=3,INT(E10)=E10),E10,"Invalid")))</x:f>
        <x:v>0</x:v>
      </x:c>
      <x:c r="G10" s="2" t="n">
        <x:f>IF(ISNUMBER(F10),1,0)</x:f>
        <x:v>1</x:v>
      </x:c>
      <x:c r="H10" s="2" t="n">
        <x:f>IF(ISNUMBER(F10),IF(F10&gt;=2,1,0),0)</x:f>
        <x:v>0</x:v>
      </x:c>
      <x:c r="I10" s="11" t="n">
        <x:f>IF(ISNUMBER(F10),2^F10-1,0)</x:f>
        <x:v>0</x:v>
      </x:c>
      <x:c r="J10" s="2" t="str">
        <x:v>Retained original 577</x:v>
      </x:c>
      <x:c r="K10" s="10" t="n">
        <x:v>1500</x:v>
      </x:c>
      <x:c r="L10" s="10" t="n">
        <x:v>0</x:v>
      </x:c>
      <x:c r="M10" s="10"/>
      <x:c r="N10" s="2" t="str">
        <x:v>D18</x:v>
      </x:c>
      <x:c r="O10" s="2" t="str">
        <x:v>detached house</x:v>
      </x:c>
      <x:c r="P10" s="2" t="str">
        <x:v>https://www.propertyguru.com.sg/listing/for-rent-775-upper-changi-road-east-25397469</x:v>
      </x:c>
      <x:c r="Q10" s="12" t="str">
        <x:v>Hard failure: Reported bedrooms 0; required &gt;= 1.</x:v>
      </x:c>
      <x:c r="R10" s="13"/>
    </x:row>
    <x:row r="11" ht="24" hidden="0" customHeight="1">
      <x:c r="A11" s="2" t="str">
        <x:v>S01|21644298</x:v>
      </x:c>
      <x:c r="B11" s="2" t="str">
        <x:v>S01</x:v>
      </x:c>
      <x:c r="C11" s="2" t="str">
        <x:v>21644298</x:v>
      </x:c>
      <x:c r="D11" s="2" t="n">
        <x:v>2</x:v>
      </x:c>
      <x:c r="E11" s="9"/>
      <x:c r="F11" s="2" t="n">
        <x:f>IF(E11="",D11,IF(E11="U","U",IF(AND(ISNUMBER(E11),E11&gt;=0,E11&lt;=3,INT(E11)=E11),E11,"Invalid")))</x:f>
        <x:v>2</x:v>
      </x:c>
      <x:c r="G11" s="2" t="n">
        <x:f>IF(ISNUMBER(F11),1,0)</x:f>
        <x:v>1</x:v>
      </x:c>
      <x:c r="H11" s="2" t="n">
        <x:f>IF(ISNUMBER(F11),IF(F11&gt;=2,1,0),0)</x:f>
        <x:v>1</x:v>
      </x:c>
      <x:c r="I11" s="11" t="n">
        <x:f>IF(ISNUMBER(F11),2^F11-1,0)</x:f>
        <x:v>3</x:v>
      </x:c>
      <x:c r="J11" s="2" t="str">
        <x:v>Retained original 577</x:v>
      </x:c>
      <x:c r="K11" s="10" t="n">
        <x:v>500</x:v>
      </x:c>
      <x:c r="L11" s="10" t="n">
        <x:v>1</x:v>
      </x:c>
      <x:c r="M11" s="10" t="n">
        <x:v>215</x:v>
      </x:c>
      <x:c r="N11" s="2" t="str">
        <x:v>D25</x:v>
      </x:c>
      <x:c r="O11" s="2" t="str">
        <x:v>hdb flat</x:v>
      </x:c>
      <x:c r="P11" s="2" t="str">
        <x:v>https://www.propertyguru.com.sg/listing/hdb-for-rent-605-woodlands-drive-42-21644298</x:v>
      </x:c>
      <x:c r="Q11" s="12" t="str">
        <x:v>Hard requirements pass. SGD 500/month, area 215 sqft. Rent offers savings, with a clear shortfall in the secondary size preference.</x:v>
      </x:c>
      <x:c r="R11" s="13"/>
    </x:row>
    <x:row r="12" ht="15" hidden="0" customHeight="1">
      <x:c r="A12" s="2" t="str">
        <x:v>S01|24489502</x:v>
      </x:c>
      <x:c r="B12" s="2" t="str">
        <x:v>S01</x:v>
      </x:c>
      <x:c r="C12" s="2" t="str">
        <x:v>24489502</x:v>
      </x:c>
      <x:c r="D12" s="2" t="n">
        <x:v>0</x:v>
      </x:c>
      <x:c r="E12" s="9"/>
      <x:c r="F12" s="2" t="n">
        <x:f>IF(E12="",D12,IF(E12="U","U",IF(AND(ISNUMBER(E12),E12&gt;=0,E12&lt;=3,INT(E12)=E12),E12,"Invalid")))</x:f>
        <x:v>0</x:v>
      </x:c>
      <x:c r="G12" s="2" t="n">
        <x:f>IF(ISNUMBER(F12),1,0)</x:f>
        <x:v>1</x:v>
      </x:c>
      <x:c r="H12" s="2" t="n">
        <x:f>IF(ISNUMBER(F12),IF(F12&gt;=2,1,0),0)</x:f>
        <x:v>0</x:v>
      </x:c>
      <x:c r="I12" s="11" t="n">
        <x:f>IF(ISNUMBER(F12),2^F12-1,0)</x:f>
        <x:v>0</x:v>
      </x:c>
      <x:c r="J12" s="2" t="str">
        <x:v>Retained original 577</x:v>
      </x:c>
      <x:c r="K12" s="10" t="n">
        <x:v>2050</x:v>
      </x:c>
      <x:c r="L12" s="10"/>
      <x:c r="M12" s="10" t="n">
        <x:v>250</x:v>
      </x:c>
      <x:c r="N12" s="2" t="str">
        <x:v>D18</x:v>
      </x:c>
      <x:c r="O12" s="2" t="str">
        <x:v>executive condominium</x:v>
      </x:c>
      <x:c r="P12" s="2" t="str">
        <x:v>https://www.propertyguru.com.sg/listing/for-rent-watercolours-24489502</x:v>
      </x:c>
      <x:c r="Q12" s="12" t="str">
        <x:v>Hard failure: Rent (SGD/month) 2,050; required &lt;= 2,000.</x:v>
      </x:c>
      <x:c r="R12" s="13"/>
    </x:row>
    <x:row r="13" ht="24" hidden="0" customHeight="1">
      <x:c r="A13" s="2" t="str">
        <x:v>S01|500211232</x:v>
      </x:c>
      <x:c r="B13" s="2" t="str">
        <x:v>S01</x:v>
      </x:c>
      <x:c r="C13" s="2" t="str">
        <x:v>500211232</x:v>
      </x:c>
      <x:c r="D13" s="2" t="n">
        <x:v>2</x:v>
      </x:c>
      <x:c r="E13" s="9"/>
      <x:c r="F13" s="2" t="n">
        <x:f>IF(E13="",D13,IF(E13="U","U",IF(AND(ISNUMBER(E13),E13&gt;=0,E13&lt;=3,INT(E13)=E13),E13,"Invalid")))</x:f>
        <x:v>2</x:v>
      </x:c>
      <x:c r="G13" s="2" t="n">
        <x:f>IF(ISNUMBER(F13),1,0)</x:f>
        <x:v>1</x:v>
      </x:c>
      <x:c r="H13" s="2" t="n">
        <x:f>IF(ISNUMBER(F13),IF(F13&gt;=2,1,0),0)</x:f>
        <x:v>1</x:v>
      </x:c>
      <x:c r="I13" s="11" t="n">
        <x:f>IF(ISNUMBER(F13),2^F13-1,0)</x:f>
        <x:v>3</x:v>
      </x:c>
      <x:c r="J13" s="2" t="str">
        <x:v>Retained original 577</x:v>
      </x:c>
      <x:c r="K13" s="10" t="n">
        <x:v>550</x:v>
      </x:c>
      <x:c r="L13" s="10" t="n">
        <x:v>1</x:v>
      </x:c>
      <x:c r="M13" s="10"/>
      <x:c r="N13" s="2" t="str">
        <x:v>D20</x:v>
      </x:c>
      <x:c r="O13" s="2" t="str">
        <x:v>hdb flat</x:v>
      </x:c>
      <x:c r="P13" s="2" t="str">
        <x:v>https://www.propertyguru.com.sg/listing/hdb-for-rent-629-ang-mo-kio-avenue-4-500211232</x:v>
      </x:c>
      <x:c r="Q13" s="12" t="str">
        <x:v>Hard requirements pass. SGD 550/month, area Unknown sqft. Low rent is attractive; the preferred floor area cannot be verified.</x:v>
      </x:c>
      <x:c r="R13" s="13"/>
    </x:row>
    <x:row r="14" ht="24" hidden="0" customHeight="1">
      <x:c r="A14" s="2" t="str">
        <x:v>S01|500248279</x:v>
      </x:c>
      <x:c r="B14" s="2" t="str">
        <x:v>S01</x:v>
      </x:c>
      <x:c r="C14" s="2" t="str">
        <x:v>500248279</x:v>
      </x:c>
      <x:c r="D14" s="2" t="n">
        <x:v>1</x:v>
      </x:c>
      <x:c r="E14" s="9"/>
      <x:c r="F14" s="2" t="n">
        <x:f>IF(E14="",D14,IF(E14="U","U",IF(AND(ISNUMBER(E14),E14&gt;=0,E14&lt;=3,INT(E14)=E14),E14,"Invalid")))</x:f>
        <x:v>1</x:v>
      </x:c>
      <x:c r="G14" s="2" t="n">
        <x:f>IF(ISNUMBER(F14),1,0)</x:f>
        <x:v>1</x:v>
      </x:c>
      <x:c r="H14" s="2" t="n">
        <x:f>IF(ISNUMBER(F14),IF(F14&gt;=2,1,0),0)</x:f>
        <x:v>0</x:v>
      </x:c>
      <x:c r="I14" s="11" t="n">
        <x:f>IF(ISNUMBER(F14),2^F14-1,0)</x:f>
        <x:v>1</x:v>
      </x:c>
      <x:c r="J14" s="2" t="str">
        <x:v>Retained original 577</x:v>
      </x:c>
      <x:c r="K14" s="10" t="n">
        <x:v>1400</x:v>
      </x:c>
      <x:c r="L14" s="10" t="n">
        <x:v>1</x:v>
      </x:c>
      <x:c r="M14" s="10" t="n">
        <x:v>161</x:v>
      </x:c>
      <x:c r="N14" s="2" t="str">
        <x:v>D02</x:v>
      </x:c>
      <x:c r="O14" s="2" t="str">
        <x:v>hdb flat</x:v>
      </x:c>
      <x:c r="P14" s="2" t="str">
        <x:v>https://www.propertyguru.com.sg/listing/hdb-for-rent-106-spottiswoode-park-road-500248279</x:v>
      </x:c>
      <x:c r="Q14" s="12" t="str">
        <x:v>Hard requirements pass. SGD 1,400/month, area 161 sqft. Several choices cost less; this listing also misses the size preference.</x:v>
      </x:c>
      <x:c r="R14" s="13"/>
    </x:row>
    <x:row r="15" ht="15" hidden="0" customHeight="1">
      <x:c r="A15" s="2" t="str">
        <x:v>S01|500200787</x:v>
      </x:c>
      <x:c r="B15" s="2" t="str">
        <x:v>S01</x:v>
      </x:c>
      <x:c r="C15" s="2" t="str">
        <x:v>500200787</x:v>
      </x:c>
      <x:c r="D15" s="2" t="str">
        <x:v>U</x:v>
      </x:c>
      <x:c r="E15" s="9"/>
      <x:c r="F15" s="2" t="str">
        <x:f>IF(E15="",D15,IF(E15="U","U",IF(AND(ISNUMBER(E15),E15&gt;=0,E15&lt;=3,INT(E15)=E15),E15,"Invalid")))</x:f>
        <x:v>U</x:v>
      </x:c>
      <x:c r="G15" s="2" t="n">
        <x:f>IF(ISNUMBER(F15),1,0)</x:f>
        <x:v>0</x:v>
      </x:c>
      <x:c r="H15" s="2" t="n">
        <x:f>IF(ISNUMBER(F15),IF(F15&gt;=2,1,0),0)</x:f>
        <x:v>0</x:v>
      </x:c>
      <x:c r="I15" s="11" t="n">
        <x:f>IF(ISNUMBER(F15),2^F15-1,0)</x:f>
        <x:v>0</x:v>
      </x:c>
      <x:c r="J15" s="2" t="str">
        <x:v>Retained original 577</x:v>
      </x:c>
      <x:c r="K15" s="10" t="n">
        <x:v>1700</x:v>
      </x:c>
      <x:c r="L15" s="10"/>
      <x:c r="M15" s="10" t="n">
        <x:v>220</x:v>
      </x:c>
      <x:c r="N15" s="2" t="str">
        <x:v>D08</x:v>
      </x:c>
      <x:c r="O15" s="2" t="str">
        <x:v>walk-up apartment</x:v>
      </x:c>
      <x:c r="P15" s="2" t="str">
        <x:v>https://www.propertyguru.com.sg/listing/for-rent-coliwoo-lavender-collection-perfect-for-students-from-lasalle-nafa-kaplan-500200787</x:v>
      </x:c>
      <x:c r="Q15" s="12" t="str">
        <x:v>No known hard failure. Cannot verify: reported bedrooms.</x:v>
      </x:c>
      <x:c r="R15" s="13"/>
    </x:row>
    <x:row r="16" ht="24" hidden="0" customHeight="1">
      <x:c r="A16" s="2" t="str">
        <x:v>S01|500287640</x:v>
      </x:c>
      <x:c r="B16" s="2" t="str">
        <x:v>S01</x:v>
      </x:c>
      <x:c r="C16" s="2" t="str">
        <x:v>500287640</x:v>
      </x:c>
      <x:c r="D16" s="2" t="n">
        <x:v>2</x:v>
      </x:c>
      <x:c r="E16" s="9"/>
      <x:c r="F16" s="2" t="n">
        <x:f>IF(E16="",D16,IF(E16="U","U",IF(AND(ISNUMBER(E16),E16&gt;=0,E16&lt;=3,INT(E16)=E16),E16,"Invalid")))</x:f>
        <x:v>2</x:v>
      </x:c>
      <x:c r="G16" s="2" t="n">
        <x:f>IF(ISNUMBER(F16),1,0)</x:f>
        <x:v>1</x:v>
      </x:c>
      <x:c r="H16" s="2" t="n">
        <x:f>IF(ISNUMBER(F16),IF(F16&gt;=2,1,0),0)</x:f>
        <x:v>1</x:v>
      </x:c>
      <x:c r="I16" s="11" t="n">
        <x:f>IF(ISNUMBER(F16),2^F16-1,0)</x:f>
        <x:v>3</x:v>
      </x:c>
      <x:c r="J16" s="2" t="str">
        <x:v>Retained original 577</x:v>
      </x:c>
      <x:c r="K16" s="10" t="n">
        <x:v>900</x:v>
      </x:c>
      <x:c r="L16" s="10" t="n">
        <x:v>1</x:v>
      </x:c>
      <x:c r="M16" s="10" t="n">
        <x:v>107</x:v>
      </x:c>
      <x:c r="N16" s="2" t="str">
        <x:v>D25</x:v>
      </x:c>
      <x:c r="O16" s="2" t="str">
        <x:v>hdb flat</x:v>
      </x:c>
      <x:c r="P16" s="2" t="str">
        <x:v>https://www.propertyguru.com.sg/listing/hdb-for-rent-787c-woodlands-crescent-500287640</x:v>
      </x:c>
      <x:c r="Q16" s="12" t="str">
        <x:v>Hard requirements pass. SGD 900/month, area 107 sqft. Rent offers savings, with a clear shortfall in the secondary size preference.</x:v>
      </x:c>
      <x:c r="R16" s="13"/>
    </x:row>
    <x:row r="17" ht="24" hidden="0" customHeight="1">
      <x:c r="A17" s="2" t="str">
        <x:v>S01|500267122</x:v>
      </x:c>
      <x:c r="B17" s="2" t="str">
        <x:v>S01</x:v>
      </x:c>
      <x:c r="C17" s="2" t="str">
        <x:v>500267122</x:v>
      </x:c>
      <x:c r="D17" s="2" t="n">
        <x:v>3</x:v>
      </x:c>
      <x:c r="E17" s="9"/>
      <x:c r="F17" s="2" t="n">
        <x:f>IF(E17="",D17,IF(E17="U","U",IF(AND(ISNUMBER(E17),E17&gt;=0,E17&lt;=3,INT(E17)=E17),E17,"Invalid")))</x:f>
        <x:v>3</x:v>
      </x:c>
      <x:c r="G17" s="2" t="n">
        <x:f>IF(ISNUMBER(F17),1,0)</x:f>
        <x:v>1</x:v>
      </x:c>
      <x:c r="H17" s="2" t="n">
        <x:f>IF(ISNUMBER(F17),IF(F17&gt;=2,1,0),0)</x:f>
        <x:v>1</x:v>
      </x:c>
      <x:c r="I17" s="11" t="n">
        <x:f>IF(ISNUMBER(F17),2^F17-1,0)</x:f>
        <x:v>7</x:v>
      </x:c>
      <x:c r="J17" s="2" t="str">
        <x:v>Retained original 577</x:v>
      </x:c>
      <x:c r="K17" s="10" t="n">
        <x:v>550</x:v>
      </x:c>
      <x:c r="L17" s="10" t="n">
        <x:v>1</x:v>
      </x:c>
      <x:c r="M17" s="10" t="n">
        <x:v>2152</x:v>
      </x:c>
      <x:c r="N17" s="2" t="str">
        <x:v>D27</x:v>
      </x:c>
      <x:c r="O17" s="2" t="str">
        <x:v>hdb flat</x:v>
      </x:c>
      <x:c r="P17" s="2" t="str">
        <x:v>https://www.propertyguru.com.sg/listing/hdb-for-rent-749-yishun-street-72-500267122</x:v>
      </x:c>
      <x:c r="Q17" s="12" t="str">
        <x:v>Hard requirements pass. SGD 550/month, area 2,152 sqft. Low rent and the reported area meets the secondary size preference.</x:v>
      </x:c>
      <x:c r="R17" s="13"/>
    </x:row>
    <x:row r="18" ht="24" hidden="0" customHeight="1">
      <x:c r="A18" s="2" t="str">
        <x:v>S01|500276593</x:v>
      </x:c>
      <x:c r="B18" s="2" t="str">
        <x:v>S01</x:v>
      </x:c>
      <x:c r="C18" s="2" t="str">
        <x:v>500276593</x:v>
      </x:c>
      <x:c r="D18" s="2" t="n">
        <x:v>2</x:v>
      </x:c>
      <x:c r="E18" s="9"/>
      <x:c r="F18" s="2" t="n">
        <x:f>IF(E18="",D18,IF(E18="U","U",IF(AND(ISNUMBER(E18),E18&gt;=0,E18&lt;=3,INT(E18)=E18),E18,"Invalid")))</x:f>
        <x:v>2</x:v>
      </x:c>
      <x:c r="G18" s="2" t="n">
        <x:f>IF(ISNUMBER(F18),1,0)</x:f>
        <x:v>1</x:v>
      </x:c>
      <x:c r="H18" s="2" t="n">
        <x:f>IF(ISNUMBER(F18),IF(F18&gt;=2,1,0),0)</x:f>
        <x:v>1</x:v>
      </x:c>
      <x:c r="I18" s="11" t="n">
        <x:f>IF(ISNUMBER(F18),2^F18-1,0)</x:f>
        <x:v>3</x:v>
      </x:c>
      <x:c r="J18" s="2" t="str">
        <x:v>Retained original 577</x:v>
      </x:c>
      <x:c r="K18" s="10" t="n">
        <x:v>1200</x:v>
      </x:c>
      <x:c r="L18" s="10" t="n">
        <x:v>1</x:v>
      </x:c>
      <x:c r="M18" s="10" t="n">
        <x:v>1108</x:v>
      </x:c>
      <x:c r="N18" s="2" t="str">
        <x:v>D18</x:v>
      </x:c>
      <x:c r="O18" s="2" t="str">
        <x:v>hdb flat</x:v>
      </x:c>
      <x:c r="P18" s="2" t="str">
        <x:v>https://www.propertyguru.com.sg/listing/hdb-for-rent-465-tampines-street-44-500276593</x:v>
      </x:c>
      <x:c r="Q18" s="12" t="str">
        <x:v>Hard requirements pass. SGD 1,200/month, area 1,108 sqft. The size preference is met, but several qualifying choices have lower rent.</x:v>
      </x:c>
      <x:c r="R18" s="13"/>
    </x:row>
    <x:row r="19" ht="24" hidden="0" customHeight="1">
      <x:c r="A19" s="2" t="str">
        <x:v>S01|500273560</x:v>
      </x:c>
      <x:c r="B19" s="2" t="str">
        <x:v>S01</x:v>
      </x:c>
      <x:c r="C19" s="2" t="str">
        <x:v>500273560</x:v>
      </x:c>
      <x:c r="D19" s="2" t="n">
        <x:v>1</x:v>
      </x:c>
      <x:c r="E19" s="9"/>
      <x:c r="F19" s="2" t="n">
        <x:f>IF(E19="",D19,IF(E19="U","U",IF(AND(ISNUMBER(E19),E19&gt;=0,E19&lt;=3,INT(E19)=E19),E19,"Invalid")))</x:f>
        <x:v>1</x:v>
      </x:c>
      <x:c r="G19" s="2" t="n">
        <x:f>IF(ISNUMBER(F19),1,0)</x:f>
        <x:v>1</x:v>
      </x:c>
      <x:c r="H19" s="2" t="n">
        <x:f>IF(ISNUMBER(F19),IF(F19&gt;=2,1,0),0)</x:f>
        <x:v>0</x:v>
      </x:c>
      <x:c r="I19" s="11" t="n">
        <x:f>IF(ISNUMBER(F19),2^F19-1,0)</x:f>
        <x:v>1</x:v>
      </x:c>
      <x:c r="J19" s="2" t="str">
        <x:v>Retained original 577</x:v>
      </x:c>
      <x:c r="K19" s="10" t="n">
        <x:v>1800</x:v>
      </x:c>
      <x:c r="L19" s="10" t="n">
        <x:v>1</x:v>
      </x:c>
      <x:c r="M19" s="10" t="n">
        <x:v>1000</x:v>
      </x:c>
      <x:c r="N19" s="2" t="str">
        <x:v>D08</x:v>
      </x:c>
      <x:c r="O19" s="2" t="str">
        <x:v>terraced house</x:v>
      </x:c>
      <x:c r="P19" s="2" t="str">
        <x:v>https://www.propertyguru.com.sg/listing/for-rent-hindoo-road-500273560</x:v>
      </x:c>
      <x:c r="Q19" s="12" t="str">
        <x:v>Hard requirements pass. SGD 1,800/month, area 1,000 sqft. The size preference is met, but rent is at the expensive end of this candidate set.</x:v>
      </x:c>
      <x:c r="R19" s="13"/>
    </x:row>
    <x:row r="20" ht="24" hidden="0" customHeight="1">
      <x:c r="A20" s="2" t="str">
        <x:v>S01|500176293</x:v>
      </x:c>
      <x:c r="B20" s="2" t="str">
        <x:v>S01</x:v>
      </x:c>
      <x:c r="C20" s="2" t="str">
        <x:v>500176293</x:v>
      </x:c>
      <x:c r="D20" s="2" t="n">
        <x:v>1</x:v>
      </x:c>
      <x:c r="E20" s="9"/>
      <x:c r="F20" s="2" t="n">
        <x:f>IF(E20="",D20,IF(E20="U","U",IF(AND(ISNUMBER(E20),E20&gt;=0,E20&lt;=3,INT(E20)=E20),E20,"Invalid")))</x:f>
        <x:v>1</x:v>
      </x:c>
      <x:c r="G20" s="2" t="n">
        <x:f>IF(ISNUMBER(F20),1,0)</x:f>
        <x:v>1</x:v>
      </x:c>
      <x:c r="H20" s="2" t="n">
        <x:f>IF(ISNUMBER(F20),IF(F20&gt;=2,1,0),0)</x:f>
        <x:v>0</x:v>
      </x:c>
      <x:c r="I20" s="11" t="n">
        <x:f>IF(ISNUMBER(F20),2^F20-1,0)</x:f>
        <x:v>1</x:v>
      </x:c>
      <x:c r="J20" s="2" t="str">
        <x:v>Retained original 577</x:v>
      </x:c>
      <x:c r="K20" s="10" t="n">
        <x:v>1300</x:v>
      </x:c>
      <x:c r="L20" s="10" t="n">
        <x:v>1</x:v>
      </x:c>
      <x:c r="M20" s="10" t="n">
        <x:v>120</x:v>
      </x:c>
      <x:c r="N20" s="2" t="str">
        <x:v>D16</x:v>
      </x:c>
      <x:c r="O20" s="2" t="str">
        <x:v>condominium</x:v>
      </x:c>
      <x:c r="P20" s="2" t="str">
        <x:v>https://www.propertyguru.com.sg/listing/for-rent-east-meadows-500176293</x:v>
      </x:c>
      <x:c r="Q20" s="12" t="str">
        <x:v>Hard requirements pass. SGD 1,300/month, area 120 sqft. Several choices cost less; this listing also misses the size preference.</x:v>
      </x:c>
      <x:c r="R20" s="13"/>
    </x:row>
    <x:row r="21" ht="15" hidden="0" customHeight="1">
      <x:c r="A21" s="2" t="str">
        <x:v>S01|24851014</x:v>
      </x:c>
      <x:c r="B21" s="2" t="str">
        <x:v>S01</x:v>
      </x:c>
      <x:c r="C21" s="2" t="str">
        <x:v>24851014</x:v>
      </x:c>
      <x:c r="D21" s="2" t="str">
        <x:v>U</x:v>
      </x:c>
      <x:c r="E21" s="9"/>
      <x:c r="F21" s="2" t="str">
        <x:f>IF(E21="",D21,IF(E21="U","U",IF(AND(ISNUMBER(E21),E21&gt;=0,E21&lt;=3,INT(E21)=E21),E21,"Invalid")))</x:f>
        <x:v>U</x:v>
      </x:c>
      <x:c r="G21" s="2" t="n">
        <x:f>IF(ISNUMBER(F21),1,0)</x:f>
        <x:v>0</x:v>
      </x:c>
      <x:c r="H21" s="2" t="n">
        <x:f>IF(ISNUMBER(F21),IF(F21&gt;=2,1,0),0)</x:f>
        <x:v>0</x:v>
      </x:c>
      <x:c r="I21" s="11" t="n">
        <x:f>IF(ISNUMBER(F21),2^F21-1,0)</x:f>
        <x:v>0</x:v>
      </x:c>
      <x:c r="J21" s="2" t="str">
        <x:v>Retained original 577</x:v>
      </x:c>
      <x:c r="K21" s="10" t="n">
        <x:v>2000</x:v>
      </x:c>
      <x:c r="L21" s="10"/>
      <x:c r="M21" s="10" t="n">
        <x:v>353</x:v>
      </x:c>
      <x:c r="N21" s="2" t="str">
        <x:v>D11</x:v>
      </x:c>
      <x:c r="O21" s="2" t="str">
        <x:v>walk-up apartment</x:v>
      </x:c>
      <x:c r="P21" s="2" t="str">
        <x:v>https://www.propertyguru.com.sg/listing/for-rent-eng-aun-mansion-24851014</x:v>
      </x:c>
      <x:c r="Q21" s="12" t="str">
        <x:v>No known hard failure. Cannot verify: reported bedrooms.</x:v>
      </x:c>
      <x:c r="R21" s="13"/>
    </x:row>
    <x:row r="22" ht="24" hidden="0" customHeight="1">
      <x:c r="A22" s="2" t="str">
        <x:v>S01|24359119</x:v>
      </x:c>
      <x:c r="B22" s="2" t="str">
        <x:v>S01</x:v>
      </x:c>
      <x:c r="C22" s="2" t="str">
        <x:v>24359119</x:v>
      </x:c>
      <x:c r="D22" s="2" t="n">
        <x:v>1</x:v>
      </x:c>
      <x:c r="E22" s="9"/>
      <x:c r="F22" s="2" t="n">
        <x:f>IF(E22="",D22,IF(E22="U","U",IF(AND(ISNUMBER(E22),E22&gt;=0,E22&lt;=3,INT(E22)=E22),E22,"Invalid")))</x:f>
        <x:v>1</x:v>
      </x:c>
      <x:c r="G22" s="2" t="n">
        <x:f>IF(ISNUMBER(F22),1,0)</x:f>
        <x:v>1</x:v>
      </x:c>
      <x:c r="H22" s="2" t="n">
        <x:f>IF(ISNUMBER(F22),IF(F22&gt;=2,1,0),0)</x:f>
        <x:v>0</x:v>
      </x:c>
      <x:c r="I22" s="11" t="n">
        <x:f>IF(ISNUMBER(F22),2^F22-1,0)</x:f>
        <x:v>1</x:v>
      </x:c>
      <x:c r="J22" s="2" t="str">
        <x:v>Retained original 577</x:v>
      </x:c>
      <x:c r="K22" s="10" t="n">
        <x:v>1800</x:v>
      </x:c>
      <x:c r="L22" s="10" t="n">
        <x:v>1</x:v>
      </x:c>
      <x:c r="M22" s="10" t="n">
        <x:v>650</x:v>
      </x:c>
      <x:c r="N22" s="2" t="str">
        <x:v>D28</x:v>
      </x:c>
      <x:c r="O22" s="2" t="str">
        <x:v>corner terrace</x:v>
      </x:c>
      <x:c r="P22" s="2" t="str">
        <x:v>https://www.propertyguru.com.sg/listing/for-rent-yio-chu-kang-24359119</x:v>
      </x:c>
      <x:c r="Q22" s="12" t="str">
        <x:v>Hard requirements pass. SGD 1,800/month, area 650 sqft. The size preference is met, but rent is at the expensive end of this candidate set.</x:v>
      </x:c>
      <x:c r="R22" s="13"/>
    </x:row>
    <x:row r="23" ht="24" hidden="0" customHeight="1">
      <x:c r="A23" s="2" t="str">
        <x:v>S01|500270347</x:v>
      </x:c>
      <x:c r="B23" s="2" t="str">
        <x:v>S01</x:v>
      </x:c>
      <x:c r="C23" s="2" t="str">
        <x:v>500270347</x:v>
      </x:c>
      <x:c r="D23" s="2" t="n">
        <x:v>3</x:v>
      </x:c>
      <x:c r="E23" s="9"/>
      <x:c r="F23" s="2" t="n">
        <x:f>IF(E23="",D23,IF(E23="U","U",IF(AND(ISNUMBER(E23),E23&gt;=0,E23&lt;=3,INT(E23)=E23),E23,"Invalid")))</x:f>
        <x:v>3</x:v>
      </x:c>
      <x:c r="G23" s="2" t="n">
        <x:f>IF(ISNUMBER(F23),1,0)</x:f>
        <x:v>1</x:v>
      </x:c>
      <x:c r="H23" s="2" t="n">
        <x:f>IF(ISNUMBER(F23),IF(F23&gt;=2,1,0),0)</x:f>
        <x:v>1</x:v>
      </x:c>
      <x:c r="I23" s="11" t="n">
        <x:f>IF(ISNUMBER(F23),2^F23-1,0)</x:f>
        <x:v>7</x:v>
      </x:c>
      <x:c r="J23" s="2" t="str">
        <x:v>Retained original 577</x:v>
      </x:c>
      <x:c r="K23" s="10" t="n">
        <x:v>850</x:v>
      </x:c>
      <x:c r="L23" s="10" t="n">
        <x:v>1</x:v>
      </x:c>
      <x:c r="M23" s="10" t="n">
        <x:v>904</x:v>
      </x:c>
      <x:c r="N23" s="2" t="str">
        <x:v>D27</x:v>
      </x:c>
      <x:c r="O23" s="2" t="str">
        <x:v>hdb flat</x:v>
      </x:c>
      <x:c r="P23" s="2" t="str">
        <x:v>https://www.propertyguru.com.sg/listing/hdb-for-rent-655-yishun-avenue-4-500270347</x:v>
      </x:c>
      <x:c r="Q23" s="12" t="str">
        <x:v>Hard requirements pass. SGD 850/month, area 904 sqft. Low rent and the reported area meets the secondary size preference.</x:v>
      </x:c>
      <x:c r="R23" s="13"/>
    </x:row>
    <x:row r="24" ht="15" hidden="0" customHeight="1">
      <x:c r="A24" s="2" t="str">
        <x:v>S01|21342955</x:v>
      </x:c>
      <x:c r="B24" s="2" t="str">
        <x:v>S01</x:v>
      </x:c>
      <x:c r="C24" s="2" t="str">
        <x:v>21342955</x:v>
      </x:c>
      <x:c r="D24" s="2" t="n">
        <x:v>0</x:v>
      </x:c>
      <x:c r="E24" s="9"/>
      <x:c r="F24" s="2" t="n">
        <x:f>IF(E24="",D24,IF(E24="U","U",IF(AND(ISNUMBER(E24),E24&gt;=0,E24&lt;=3,INT(E24)=E24),E24,"Invalid")))</x:f>
        <x:v>0</x:v>
      </x:c>
      <x:c r="G24" s="2" t="n">
        <x:f>IF(ISNUMBER(F24),1,0)</x:f>
        <x:v>1</x:v>
      </x:c>
      <x:c r="H24" s="2" t="n">
        <x:f>IF(ISNUMBER(F24),IF(F24&gt;=2,1,0),0)</x:f>
        <x:v>0</x:v>
      </x:c>
      <x:c r="I24" s="11" t="n">
        <x:f>IF(ISNUMBER(F24),2^F24-1,0)</x:f>
        <x:v>0</x:v>
      </x:c>
      <x:c r="J24" s="2" t="str">
        <x:v>Retained original 577</x:v>
      </x:c>
      <x:c r="K24" s="10" t="n">
        <x:v>2050</x:v>
      </x:c>
      <x:c r="L24" s="10" t="n">
        <x:v>1</x:v>
      </x:c>
      <x:c r="M24" s="10" t="n">
        <x:v>231</x:v>
      </x:c>
      <x:c r="N24" s="2" t="str">
        <x:v>D23</x:v>
      </x:c>
      <x:c r="O24" s="2" t="str">
        <x:v>hdb flat</x:v>
      </x:c>
      <x:c r="P24" s="2" t="str">
        <x:v>https://www.propertyguru.com.sg/listing/hdb-for-rent-224-bukit-batok-street-21-21342955</x:v>
      </x:c>
      <x:c r="Q24" s="12" t="str">
        <x:v>Hard failure: Rent (SGD/month) 2,050; required &lt;= 2,000.</x:v>
      </x:c>
      <x:c r="R24" s="13"/>
    </x:row>
    <x:row r="25" ht="15" hidden="0" customHeight="1">
      <x:c r="A25" s="2" t="str">
        <x:v>S01|500246929</x:v>
      </x:c>
      <x:c r="B25" s="2" t="str">
        <x:v>S01</x:v>
      </x:c>
      <x:c r="C25" s="2" t="str">
        <x:v>500246929</x:v>
      </x:c>
      <x:c r="D25" s="2" t="n">
        <x:v>0</x:v>
      </x:c>
      <x:c r="E25" s="9"/>
      <x:c r="F25" s="2" t="n">
        <x:f>IF(E25="",D25,IF(E25="U","U",IF(AND(ISNUMBER(E25),E25&gt;=0,E25&lt;=3,INT(E25)=E25),E25,"Invalid")))</x:f>
        <x:v>0</x:v>
      </x:c>
      <x:c r="G25" s="2" t="n">
        <x:f>IF(ISNUMBER(F25),1,0)</x:f>
        <x:v>1</x:v>
      </x:c>
      <x:c r="H25" s="2" t="n">
        <x:f>IF(ISNUMBER(F25),IF(F25&gt;=2,1,0),0)</x:f>
        <x:v>0</x:v>
      </x:c>
      <x:c r="I25" s="11" t="n">
        <x:f>IF(ISNUMBER(F25),2^F25-1,0)</x:f>
        <x:v>0</x:v>
      </x:c>
      <x:c r="J25" s="2" t="str">
        <x:v>Retained original 577</x:v>
      </x:c>
      <x:c r="K25" s="10" t="n">
        <x:v>1050</x:v>
      </x:c>
      <x:c r="L25" s="10" t="n">
        <x:v>0</x:v>
      </x:c>
      <x:c r="M25" s="10"/>
      <x:c r="N25" s="2" t="str">
        <x:v>D18</x:v>
      </x:c>
      <x:c r="O25" s="2" t="str">
        <x:v>condominium</x:v>
      </x:c>
      <x:c r="P25" s="2" t="str">
        <x:v>https://www.propertyguru.com.sg/listing/for-rent-simei-green-condominium-500246929</x:v>
      </x:c>
      <x:c r="Q25" s="12" t="str">
        <x:v>Hard failure: Reported bedrooms 0; required &gt;= 1.</x:v>
      </x:c>
      <x:c r="R25" s="13"/>
    </x:row>
    <x:row r="26" ht="24" hidden="0" customHeight="1">
      <x:c r="A26" s="2" t="str">
        <x:v>S01|12620560</x:v>
      </x:c>
      <x:c r="B26" s="2" t="str">
        <x:v>S01</x:v>
      </x:c>
      <x:c r="C26" s="2" t="str">
        <x:v>12620560</x:v>
      </x:c>
      <x:c r="D26" s="2" t="n">
        <x:v>3</x:v>
      </x:c>
      <x:c r="E26" s="9"/>
      <x:c r="F26" s="2" t="n">
        <x:f>IF(E26="",D26,IF(E26="U","U",IF(AND(ISNUMBER(E26),E26&gt;=0,E26&lt;=3,INT(E26)=E26),E26,"Invalid")))</x:f>
        <x:v>3</x:v>
      </x:c>
      <x:c r="G26" s="2" t="n">
        <x:f>IF(ISNUMBER(F26),1,0)</x:f>
        <x:v>1</x:v>
      </x:c>
      <x:c r="H26" s="2" t="n">
        <x:f>IF(ISNUMBER(F26),IF(F26&gt;=2,1,0),0)</x:f>
        <x:v>1</x:v>
      </x:c>
      <x:c r="I26" s="11" t="n">
        <x:f>IF(ISNUMBER(F26),2^F26-1,0)</x:f>
        <x:v>7</x:v>
      </x:c>
      <x:c r="J26" s="2" t="str">
        <x:v>Retained original 577</x:v>
      </x:c>
      <x:c r="K26" s="10" t="n">
        <x:v>850</x:v>
      </x:c>
      <x:c r="L26" s="10" t="n">
        <x:v>1</x:v>
      </x:c>
      <x:c r="M26" s="10" t="n">
        <x:v>1291</x:v>
      </x:c>
      <x:c r="N26" s="2" t="str">
        <x:v>D10</x:v>
      </x:c>
      <x:c r="O26" s="2" t="str">
        <x:v>hdb flat</x:v>
      </x:c>
      <x:c r="P26" s="2" t="str">
        <x:v>https://www.propertyguru.com.sg/listing/hdb-for-rent-1-queen-s-road-12620560</x:v>
      </x:c>
      <x:c r="Q26" s="12" t="str">
        <x:v>Hard requirements pass. SGD 850/month, area 1,291 sqft. Low rent and the reported area meets the secondary size preference.</x:v>
      </x:c>
      <x:c r="R26" s="13"/>
    </x:row>
    <x:row r="27" ht="15" hidden="0" customHeight="1">
      <x:c r="A27" s="2" t="str">
        <x:v>S01|25578549</x:v>
      </x:c>
      <x:c r="B27" s="2" t="str">
        <x:v>S01</x:v>
      </x:c>
      <x:c r="C27" s="2" t="str">
        <x:v>25578549</x:v>
      </x:c>
      <x:c r="D27" s="2" t="n">
        <x:v>0</x:v>
      </x:c>
      <x:c r="E27" s="9"/>
      <x:c r="F27" s="2" t="n">
        <x:f>IF(E27="",D27,IF(E27="U","U",IF(AND(ISNUMBER(E27),E27&gt;=0,E27&lt;=3,INT(E27)=E27),E27,"Invalid")))</x:f>
        <x:v>0</x:v>
      </x:c>
      <x:c r="G27" s="2" t="n">
        <x:f>IF(ISNUMBER(F27),1,0)</x:f>
        <x:v>1</x:v>
      </x:c>
      <x:c r="H27" s="2" t="n">
        <x:f>IF(ISNUMBER(F27),IF(F27&gt;=2,1,0),0)</x:f>
        <x:v>0</x:v>
      </x:c>
      <x:c r="I27" s="11" t="n">
        <x:f>IF(ISNUMBER(F27),2^F27-1,0)</x:f>
        <x:v>0</x:v>
      </x:c>
      <x:c r="J27" s="2" t="str">
        <x:v>Retained original 577</x:v>
      </x:c>
      <x:c r="K27" s="10" t="n">
        <x:v>2050</x:v>
      </x:c>
      <x:c r="L27" s="10"/>
      <x:c r="M27" s="10" t="n">
        <x:v>180</x:v>
      </x:c>
      <x:c r="N27" s="2" t="str">
        <x:v>D19</x:v>
      </x:c>
      <x:c r="O27" s="2" t="str">
        <x:v>condominium</x:v>
      </x:c>
      <x:c r="P27" s="2" t="str">
        <x:v>https://www.propertyguru.com.sg/listing/for-rent-botanique-at-bartley-25578549</x:v>
      </x:c>
      <x:c r="Q27" s="12" t="str">
        <x:v>Hard failure: Rent (SGD/month) 2,050; required &lt;= 2,000.</x:v>
      </x:c>
      <x:c r="R27" s="13"/>
    </x:row>
    <x:row r="28" ht="24" hidden="0" customHeight="1">
      <x:c r="A28" s="2" t="str">
        <x:v>S01|500285316</x:v>
      </x:c>
      <x:c r="B28" s="2" t="str">
        <x:v>S01</x:v>
      </x:c>
      <x:c r="C28" s="2" t="str">
        <x:v>500285316</x:v>
      </x:c>
      <x:c r="D28" s="2" t="n">
        <x:v>2</x:v>
      </x:c>
      <x:c r="E28" s="9"/>
      <x:c r="F28" s="2" t="n">
        <x:f>IF(E28="",D28,IF(E28="U","U",IF(AND(ISNUMBER(E28),E28&gt;=0,E28&lt;=3,INT(E28)=E28),E28,"Invalid")))</x:f>
        <x:v>2</x:v>
      </x:c>
      <x:c r="G28" s="2" t="n">
        <x:f>IF(ISNUMBER(F28),1,0)</x:f>
        <x:v>1</x:v>
      </x:c>
      <x:c r="H28" s="2" t="n">
        <x:f>IF(ISNUMBER(F28),IF(F28&gt;=2,1,0),0)</x:f>
        <x:v>1</x:v>
      </x:c>
      <x:c r="I28" s="11" t="n">
        <x:f>IF(ISNUMBER(F28),2^F28-1,0)</x:f>
        <x:v>3</x:v>
      </x:c>
      <x:c r="J28" s="2" t="str">
        <x:v>Retained original 577</x:v>
      </x:c>
      <x:c r="K28" s="10" t="n">
        <x:v>500</x:v>
      </x:c>
      <x:c r="L28" s="10" t="n">
        <x:v>1</x:v>
      </x:c>
      <x:c r="M28" s="10" t="n">
        <x:v>90</x:v>
      </x:c>
      <x:c r="N28" s="2" t="str">
        <x:v>D25</x:v>
      </x:c>
      <x:c r="O28" s="2" t="str">
        <x:v>hdb flat</x:v>
      </x:c>
      <x:c r="P28" s="2" t="str">
        <x:v>https://www.propertyguru.com.sg/listing/hdb-for-rent-728-woodlands-circle-500285316</x:v>
      </x:c>
      <x:c r="Q28" s="12" t="str">
        <x:v>Hard requirements pass. SGD 500/month, area 90 sqft. Rent offers savings, with a clear shortfall in the secondary size preference.</x:v>
      </x:c>
      <x:c r="R28" s="13"/>
    </x:row>
    <x:row r="29" ht="24" hidden="0" customHeight="1">
      <x:c r="A29" s="2" t="str">
        <x:v>S01|21026007</x:v>
      </x:c>
      <x:c r="B29" s="2" t="str">
        <x:v>S01</x:v>
      </x:c>
      <x:c r="C29" s="2" t="str">
        <x:v>21026007</x:v>
      </x:c>
      <x:c r="D29" s="2" t="n">
        <x:v>2</x:v>
      </x:c>
      <x:c r="E29" s="9"/>
      <x:c r="F29" s="2" t="n">
        <x:f>IF(E29="",D29,IF(E29="U","U",IF(AND(ISNUMBER(E29),E29&gt;=0,E29&lt;=3,INT(E29)=E29),E29,"Invalid")))</x:f>
        <x:v>2</x:v>
      </x:c>
      <x:c r="G29" s="2" t="n">
        <x:f>IF(ISNUMBER(F29),1,0)</x:f>
        <x:v>1</x:v>
      </x:c>
      <x:c r="H29" s="2" t="n">
        <x:f>IF(ISNUMBER(F29),IF(F29&gt;=2,1,0),0)</x:f>
        <x:v>1</x:v>
      </x:c>
      <x:c r="I29" s="11" t="n">
        <x:f>IF(ISNUMBER(F29),2^F29-1,0)</x:f>
        <x:v>3</x:v>
      </x:c>
      <x:c r="J29" s="2" t="str">
        <x:v>Retained original 577</x:v>
      </x:c>
      <x:c r="K29" s="10" t="n">
        <x:v>450</x:v>
      </x:c>
      <x:c r="L29" s="10" t="n">
        <x:v>3</x:v>
      </x:c>
      <x:c r="M29" s="10" t="n">
        <x:v>100</x:v>
      </x:c>
      <x:c r="N29" s="2" t="str">
        <x:v>D25</x:v>
      </x:c>
      <x:c r="O29" s="2" t="str">
        <x:v>hdb flat</x:v>
      </x:c>
      <x:c r="P29" s="2" t="str">
        <x:v>https://www.propertyguru.com.sg/listing/hdb-for-rent-764a-woodlands-circle-21026007</x:v>
      </x:c>
      <x:c r="Q29" s="12" t="str">
        <x:v>Hard requirements pass. SGD 450/month, area 100 sqft. Rent offers savings, with a clear shortfall in the secondary size preference.</x:v>
      </x:c>
      <x:c r="R29" s="13"/>
    </x:row>
    <x:row r="30" ht="24" hidden="0" customHeight="1">
      <x:c r="A30" s="2" t="str">
        <x:v>S01|500266385</x:v>
      </x:c>
      <x:c r="B30" s="2" t="str">
        <x:v>S01</x:v>
      </x:c>
      <x:c r="C30" s="2" t="str">
        <x:v>500266385</x:v>
      </x:c>
      <x:c r="D30" s="2" t="n">
        <x:v>3</x:v>
      </x:c>
      <x:c r="E30" s="9"/>
      <x:c r="F30" s="2" t="n">
        <x:f>IF(E30="",D30,IF(E30="U","U",IF(AND(ISNUMBER(E30),E30&gt;=0,E30&lt;=3,INT(E30)=E30),E30,"Invalid")))</x:f>
        <x:v>3</x:v>
      </x:c>
      <x:c r="G30" s="2" t="n">
        <x:f>IF(ISNUMBER(F30),1,0)</x:f>
        <x:v>1</x:v>
      </x:c>
      <x:c r="H30" s="2" t="n">
        <x:f>IF(ISNUMBER(F30),IF(F30&gt;=2,1,0),0)</x:f>
        <x:v>1</x:v>
      </x:c>
      <x:c r="I30" s="11" t="n">
        <x:f>IF(ISNUMBER(F30),2^F30-1,0)</x:f>
        <x:v>7</x:v>
      </x:c>
      <x:c r="J30" s="2" t="str">
        <x:v>Retained original 577</x:v>
      </x:c>
      <x:c r="K30" s="10" t="n">
        <x:v>900</x:v>
      </x:c>
      <x:c r="L30" s="10" t="n">
        <x:v>1</x:v>
      </x:c>
      <x:c r="M30" s="10" t="n">
        <x:v>13896</x:v>
      </x:c>
      <x:c r="N30" s="2" t="str">
        <x:v>D25</x:v>
      </x:c>
      <x:c r="O30" s="2" t="str">
        <x:v>hdb flat</x:v>
      </x:c>
      <x:c r="P30" s="2" t="str">
        <x:v>https://www.propertyguru.com.sg/listing/hdb-for-rent-557-woodlands-drive-53-500266385</x:v>
      </x:c>
      <x:c r="Q30" s="12" t="str">
        <x:v>Hard requirements pass. SGD 900/month, area 13,896 sqft. Low rent and the reported area meets the secondary size preference.</x:v>
      </x:c>
      <x:c r="R30" s="13"/>
    </x:row>
    <x:row r="31" ht="24" hidden="0" customHeight="1">
      <x:c r="A31" s="2" t="str">
        <x:v>S02|25370926</x:v>
      </x:c>
      <x:c r="B31" s="2" t="str">
        <x:v>S02</x:v>
      </x:c>
      <x:c r="C31" s="2" t="str">
        <x:v>25370926</x:v>
      </x:c>
      <x:c r="D31" s="2" t="n">
        <x:v>1</x:v>
      </x:c>
      <x:c r="E31" s="9"/>
      <x:c r="F31" s="2" t="n">
        <x:f>IF(E31="",D31,IF(E31="U","U",IF(AND(ISNUMBER(E31),E31&gt;=0,E31&lt;=3,INT(E31)=E31),E31,"Invalid")))</x:f>
        <x:v>1</x:v>
      </x:c>
      <x:c r="G31" s="2" t="n">
        <x:f>IF(ISNUMBER(F31),1,0)</x:f>
        <x:v>1</x:v>
      </x:c>
      <x:c r="H31" s="2" t="n">
        <x:f>IF(ISNUMBER(F31),IF(F31&gt;=2,1,0),0)</x:f>
        <x:v>0</x:v>
      </x:c>
      <x:c r="I31" s="11" t="n">
        <x:f>IF(ISNUMBER(F31),2^F31-1,0)</x:f>
        <x:v>1</x:v>
      </x:c>
      <x:c r="J31" s="2" t="str">
        <x:v>Retained original 577</x:v>
      </x:c>
      <x:c r="K31" s="10" t="n">
        <x:v>1800</x:v>
      </x:c>
      <x:c r="L31" s="10" t="n">
        <x:v>1</x:v>
      </x:c>
      <x:c r="M31" s="10" t="n">
        <x:v>130</x:v>
      </x:c>
      <x:c r="N31" s="2" t="str">
        <x:v>D09</x:v>
      </x:c>
      <x:c r="O31" s="2" t="str">
        <x:v>apartment</x:v>
      </x:c>
      <x:c r="P31" s="2" t="str">
        <x:v>https://www.propertyguru.com.sg/listing/for-rent-288-river-valley-road-25370926</x:v>
      </x:c>
      <x:c r="Q31" s="12" t="str">
        <x:v>Hard requirements pass. area 130 sqft. A small reported area compared with the 517-1,000 sqft qualifying alternatives.</x:v>
      </x:c>
      <x:c r="R31" s="13"/>
    </x:row>
    <x:row r="32" ht="24" hidden="0" customHeight="1">
      <x:c r="A32" s="2" t="str">
        <x:v>S02|500278958</x:v>
      </x:c>
      <x:c r="B32" s="2" t="str">
        <x:v>S02</x:v>
      </x:c>
      <x:c r="C32" s="2" t="str">
        <x:v>500278958</x:v>
      </x:c>
      <x:c r="D32" s="2" t="n">
        <x:v>3</x:v>
      </x:c>
      <x:c r="E32" s="9"/>
      <x:c r="F32" s="2" t="n">
        <x:f>IF(E32="",D32,IF(E32="U","U",IF(AND(ISNUMBER(E32),E32&gt;=0,E32&lt;=3,INT(E32)=E32),E32,"Invalid")))</x:f>
        <x:v>3</x:v>
      </x:c>
      <x:c r="G32" s="2" t="n">
        <x:f>IF(ISNUMBER(F32),1,0)</x:f>
        <x:v>1</x:v>
      </x:c>
      <x:c r="H32" s="2" t="n">
        <x:f>IF(ISNUMBER(F32),IF(F32&gt;=2,1,0),0)</x:f>
        <x:v>1</x:v>
      </x:c>
      <x:c r="I32" s="11" t="n">
        <x:f>IF(ISNUMBER(F32),2^F32-1,0)</x:f>
        <x:v>7</x:v>
      </x:c>
      <x:c r="J32" s="2" t="str">
        <x:v>Retained original 577</x:v>
      </x:c>
      <x:c r="K32" s="10" t="n">
        <x:v>1800</x:v>
      </x:c>
      <x:c r="L32" s="10" t="n">
        <x:v>1</x:v>
      </x:c>
      <x:c r="M32" s="10" t="n">
        <x:v>1000</x:v>
      </x:c>
      <x:c r="N32" s="2" t="str">
        <x:v>D08</x:v>
      </x:c>
      <x:c r="O32" s="2" t="str">
        <x:v>terraced house</x:v>
      </x:c>
      <x:c r="P32" s="2" t="str">
        <x:v>https://www.propertyguru.com.sg/listing/for-rent-hindoo-road-500278958</x:v>
      </x:c>
      <x:c r="Q32" s="12" t="str">
        <x:v>Hard requirements pass. area 1,000 sqft. Among the largest reported areas in this exact-rent candidate set.</x:v>
      </x:c>
      <x:c r="R32" s="13"/>
    </x:row>
    <x:row r="33" ht="24" hidden="0" customHeight="1">
      <x:c r="A33" s="2" t="str">
        <x:v>S02|500210552</x:v>
      </x:c>
      <x:c r="B33" s="2" t="str">
        <x:v>S02</x:v>
      </x:c>
      <x:c r="C33" s="2" t="str">
        <x:v>500210552</x:v>
      </x:c>
      <x:c r="D33" s="2" t="n">
        <x:v>3</x:v>
      </x:c>
      <x:c r="E33" s="9"/>
      <x:c r="F33" s="2" t="n">
        <x:f>IF(E33="",D33,IF(E33="U","U",IF(AND(ISNUMBER(E33),E33&gt;=0,E33&lt;=3,INT(E33)=E33),E33,"Invalid")))</x:f>
        <x:v>3</x:v>
      </x:c>
      <x:c r="G33" s="2" t="n">
        <x:f>IF(ISNUMBER(F33),1,0)</x:f>
        <x:v>1</x:v>
      </x:c>
      <x:c r="H33" s="2" t="n">
        <x:f>IF(ISNUMBER(F33),IF(F33&gt;=2,1,0),0)</x:f>
        <x:v>1</x:v>
      </x:c>
      <x:c r="I33" s="11" t="n">
        <x:f>IF(ISNUMBER(F33),2^F33-1,0)</x:f>
        <x:v>7</x:v>
      </x:c>
      <x:c r="J33" s="2" t="str">
        <x:v>Retained original 577</x:v>
      </x:c>
      <x:c r="K33" s="10" t="n">
        <x:v>1800</x:v>
      </x:c>
      <x:c r="L33" s="10" t="n">
        <x:v>3</x:v>
      </x:c>
      <x:c r="M33" s="10" t="n">
        <x:v>980</x:v>
      </x:c>
      <x:c r="N33" s="2" t="str">
        <x:v>D21</x:v>
      </x:c>
      <x:c r="O33" s="2" t="str">
        <x:v>condominium</x:v>
      </x:c>
      <x:c r="P33" s="2" t="str">
        <x:v>https://www.propertyguru.com.sg/listing/for-rent-ki-residences-at-brookvale-500210552</x:v>
      </x:c>
      <x:c r="Q33" s="12" t="str">
        <x:v>Hard requirements pass. area 980 sqft. Among the largest reported areas in this exact-rent candidate set.</x:v>
      </x:c>
      <x:c r="R33" s="13"/>
    </x:row>
    <x:row r="34" ht="15" hidden="0" customHeight="1">
      <x:c r="A34" s="2" t="str">
        <x:v>S02|500286414</x:v>
      </x:c>
      <x:c r="B34" s="2" t="str">
        <x:v>S02</x:v>
      </x:c>
      <x:c r="C34" s="2" t="str">
        <x:v>500286414</x:v>
      </x:c>
      <x:c r="D34" s="2" t="n">
        <x:v>0</x:v>
      </x:c>
      <x:c r="E34" s="9"/>
      <x:c r="F34" s="2" t="n">
        <x:f>IF(E34="",D34,IF(E34="U","U",IF(AND(ISNUMBER(E34),E34&gt;=0,E34&lt;=3,INT(E34)=E34),E34,"Invalid")))</x:f>
        <x:v>0</x:v>
      </x:c>
      <x:c r="G34" s="2" t="n">
        <x:f>IF(ISNUMBER(F34),1,0)</x:f>
        <x:v>1</x:v>
      </x:c>
      <x:c r="H34" s="2" t="n">
        <x:f>IF(ISNUMBER(F34),IF(F34&gt;=2,1,0),0)</x:f>
        <x:v>0</x:v>
      </x:c>
      <x:c r="I34" s="11" t="n">
        <x:f>IF(ISNUMBER(F34),2^F34-1,0)</x:f>
        <x:v>0</x:v>
      </x:c>
      <x:c r="J34" s="2" t="str">
        <x:v>Retained original 577</x:v>
      </x:c>
      <x:c r="K34" s="10" t="n">
        <x:v>1849</x:v>
      </x:c>
      <x:c r="L34" s="10" t="n">
        <x:v>1</x:v>
      </x:c>
      <x:c r="M34" s="10" t="n">
        <x:v>180</x:v>
      </x:c>
      <x:c r="N34" s="2" t="str">
        <x:v>D01</x:v>
      </x:c>
      <x:c r="O34" s="2" t="str">
        <x:v>condominium</x:v>
      </x:c>
      <x:c r="P34" s="2" t="str">
        <x:v>https://www.propertyguru.com.sg/listing/for-rent-emerald-garden-500286414</x:v>
      </x:c>
      <x:c r="Q34" s="12" t="str">
        <x:v>Hard failure: Rent (SGD/month) 1,849; required = 1,800.</x:v>
      </x:c>
      <x:c r="R34" s="13"/>
    </x:row>
    <x:row r="35" ht="24" hidden="0" customHeight="1">
      <x:c r="A35" s="2" t="str">
        <x:v>S02|500234326</x:v>
      </x:c>
      <x:c r="B35" s="2" t="str">
        <x:v>S02</x:v>
      </x:c>
      <x:c r="C35" s="2" t="str">
        <x:v>500234326</x:v>
      </x:c>
      <x:c r="D35" s="2" t="n">
        <x:v>1</x:v>
      </x:c>
      <x:c r="E35" s="9"/>
      <x:c r="F35" s="2" t="n">
        <x:f>IF(E35="",D35,IF(E35="U","U",IF(AND(ISNUMBER(E35),E35&gt;=0,E35&lt;=3,INT(E35)=E35),E35,"Invalid")))</x:f>
        <x:v>1</x:v>
      </x:c>
      <x:c r="G35" s="2" t="n">
        <x:f>IF(ISNUMBER(F35),1,0)</x:f>
        <x:v>1</x:v>
      </x:c>
      <x:c r="H35" s="2" t="n">
        <x:f>IF(ISNUMBER(F35),IF(F35&gt;=2,1,0),0)</x:f>
        <x:v>0</x:v>
      </x:c>
      <x:c r="I35" s="11" t="n">
        <x:f>IF(ISNUMBER(F35),2^F35-1,0)</x:f>
        <x:v>1</x:v>
      </x:c>
      <x:c r="J35" s="2" t="str">
        <x:v>Retained original 577</x:v>
      </x:c>
      <x:c r="K35" s="10" t="n">
        <x:v>1800</x:v>
      </x:c>
      <x:c r="L35" s="10" t="n">
        <x:v>1</x:v>
      </x:c>
      <x:c r="M35" s="10" t="n">
        <x:v>100</x:v>
      </x:c>
      <x:c r="N35" s="2" t="str">
        <x:v>D08</x:v>
      </x:c>
      <x:c r="O35" s="2" t="str">
        <x:v>conservation house</x:v>
      </x:c>
      <x:c r="P35" s="2" t="str">
        <x:v>https://www.propertyguru.com.sg/listing/for-rent-pgp-building-500234326</x:v>
      </x:c>
      <x:c r="Q35" s="12" t="str">
        <x:v>Hard requirements pass. area 100 sqft. A small reported area compared with the 517-1,000 sqft qualifying alternatives.</x:v>
      </x:c>
      <x:c r="R35" s="13"/>
    </x:row>
    <x:row r="36" ht="15" hidden="0" customHeight="1">
      <x:c r="A36" s="2" t="str">
        <x:v>S02|500261692</x:v>
      </x:c>
      <x:c r="B36" s="2" t="str">
        <x:v>S02</x:v>
      </x:c>
      <x:c r="C36" s="2" t="str">
        <x:v>500261692</x:v>
      </x:c>
      <x:c r="D36" s="2" t="str">
        <x:v>U</x:v>
      </x:c>
      <x:c r="E36" s="9"/>
      <x:c r="F36" s="2" t="str">
        <x:f>IF(E36="",D36,IF(E36="U","U",IF(AND(ISNUMBER(E36),E36&gt;=0,E36&lt;=3,INT(E36)=E36),E36,"Invalid")))</x:f>
        <x:v>U</x:v>
      </x:c>
      <x:c r="G36" s="2" t="n">
        <x:f>IF(ISNUMBER(F36),1,0)</x:f>
        <x:v>0</x:v>
      </x:c>
      <x:c r="H36" s="2" t="n">
        <x:f>IF(ISNUMBER(F36),IF(F36&gt;=2,1,0),0)</x:f>
        <x:v>0</x:v>
      </x:c>
      <x:c r="I36" s="11" t="n">
        <x:f>IF(ISNUMBER(F36),2^F36-1,0)</x:f>
        <x:v>0</x:v>
      </x:c>
      <x:c r="J36" s="2" t="str">
        <x:v>Retained original 577</x:v>
      </x:c>
      <x:c r="K36" s="10" t="n">
        <x:v>1800</x:v>
      </x:c>
      <x:c r="L36" s="10"/>
      <x:c r="M36" s="10" t="n">
        <x:v>200</x:v>
      </x:c>
      <x:c r="N36" s="2" t="str">
        <x:v>D22</x:v>
      </x:c>
      <x:c r="O36" s="2" t="str">
        <x:v>hdb flat</x:v>
      </x:c>
      <x:c r="P36" s="2" t="str">
        <x:v>https://www.propertyguru.com.sg/listing/hdb-for-rent-344-jurong-east-street-31-500261692</x:v>
      </x:c>
      <x:c r="Q36" s="12" t="str">
        <x:v>No known hard failure. Cannot verify: reported bedrooms.</x:v>
      </x:c>
      <x:c r="R36" s="13"/>
    </x:row>
    <x:row r="37" ht="24" hidden="0" customHeight="1">
      <x:c r="A37" s="2" t="str">
        <x:v>S02|500286401</x:v>
      </x:c>
      <x:c r="B37" s="2" t="str">
        <x:v>S02</x:v>
      </x:c>
      <x:c r="C37" s="2" t="str">
        <x:v>500286401</x:v>
      </x:c>
      <x:c r="D37" s="2" t="n">
        <x:v>3</x:v>
      </x:c>
      <x:c r="E37" s="9"/>
      <x:c r="F37" s="2" t="n">
        <x:f>IF(E37="",D37,IF(E37="U","U",IF(AND(ISNUMBER(E37),E37&gt;=0,E37&lt;=3,INT(E37)=E37),E37,"Invalid")))</x:f>
        <x:v>3</x:v>
      </x:c>
      <x:c r="G37" s="2" t="n">
        <x:f>IF(ISNUMBER(F37),1,0)</x:f>
        <x:v>1</x:v>
      </x:c>
      <x:c r="H37" s="2" t="n">
        <x:f>IF(ISNUMBER(F37),IF(F37&gt;=2,1,0),0)</x:f>
        <x:v>1</x:v>
      </x:c>
      <x:c r="I37" s="11" t="n">
        <x:f>IF(ISNUMBER(F37),2^F37-1,0)</x:f>
        <x:v>7</x:v>
      </x:c>
      <x:c r="J37" s="2" t="str">
        <x:v>Retained original 577</x:v>
      </x:c>
      <x:c r="K37" s="10" t="n">
        <x:v>1800</x:v>
      </x:c>
      <x:c r="L37" s="10" t="n">
        <x:v>1</x:v>
      </x:c>
      <x:c r="M37" s="10" t="n">
        <x:v>1000</x:v>
      </x:c>
      <x:c r="N37" s="2" t="str">
        <x:v>D08</x:v>
      </x:c>
      <x:c r="O37" s="2" t="str">
        <x:v>terraced house</x:v>
      </x:c>
      <x:c r="P37" s="2" t="str">
        <x:v>https://www.propertyguru.com.sg/listing/for-rent-hindoo-road-500286401</x:v>
      </x:c>
      <x:c r="Q37" s="12" t="str">
        <x:v>Hard requirements pass. area 1,000 sqft. Among the largest reported areas in this exact-rent candidate set.</x:v>
      </x:c>
      <x:c r="R37" s="13"/>
    </x:row>
    <x:row r="38" ht="15" hidden="0" customHeight="1">
      <x:c r="A38" s="2" t="str">
        <x:v>S02|500244734</x:v>
      </x:c>
      <x:c r="B38" s="2" t="str">
        <x:v>S02</x:v>
      </x:c>
      <x:c r="C38" s="2" t="str">
        <x:v>500244734</x:v>
      </x:c>
      <x:c r="D38" s="2" t="n">
        <x:v>0</x:v>
      </x:c>
      <x:c r="E38" s="9"/>
      <x:c r="F38" s="2" t="n">
        <x:f>IF(E38="",D38,IF(E38="U","U",IF(AND(ISNUMBER(E38),E38&gt;=0,E38&lt;=3,INT(E38)=E38),E38,"Invalid")))</x:f>
        <x:v>0</x:v>
      </x:c>
      <x:c r="G38" s="2" t="n">
        <x:f>IF(ISNUMBER(F38),1,0)</x:f>
        <x:v>1</x:v>
      </x:c>
      <x:c r="H38" s="2" t="n">
        <x:f>IF(ISNUMBER(F38),IF(F38&gt;=2,1,0),0)</x:f>
        <x:v>0</x:v>
      </x:c>
      <x:c r="I38" s="11" t="n">
        <x:f>IF(ISNUMBER(F38),2^F38-1,0)</x:f>
        <x:v>0</x:v>
      </x:c>
      <x:c r="J38" s="2" t="str">
        <x:v>Retained original 577</x:v>
      </x:c>
      <x:c r="K38" s="10" t="n">
        <x:v>1800</x:v>
      </x:c>
      <x:c r="L38" s="10" t="n">
        <x:v>0</x:v>
      </x:c>
      <x:c r="M38" s="10"/>
      <x:c r="N38" s="2" t="str">
        <x:v>D27</x:v>
      </x:c>
      <x:c r="O38" s="2" t="str">
        <x:v>condominium</x:v>
      </x:c>
      <x:c r="P38" s="2" t="str">
        <x:v>https://www.propertyguru.com.sg/listing/for-rent-orchid-park-condominium-500244734</x:v>
      </x:c>
      <x:c r="Q38" s="12" t="str">
        <x:v>Hard failure: Reported bedrooms 0; required &gt;= 1.</x:v>
      </x:c>
      <x:c r="R38" s="13"/>
    </x:row>
    <x:row r="39" ht="24" hidden="0" customHeight="1">
      <x:c r="A39" s="2" t="str">
        <x:v>S02|24088084</x:v>
      </x:c>
      <x:c r="B39" s="2" t="str">
        <x:v>S02</x:v>
      </x:c>
      <x:c r="C39" s="2" t="str">
        <x:v>24088084</x:v>
      </x:c>
      <x:c r="D39" s="2" t="n">
        <x:v>1</x:v>
      </x:c>
      <x:c r="E39" s="9"/>
      <x:c r="F39" s="2" t="n">
        <x:f>IF(E39="",D39,IF(E39="U","U",IF(AND(ISNUMBER(E39),E39&gt;=0,E39&lt;=3,INT(E39)=E39),E39,"Invalid")))</x:f>
        <x:v>1</x:v>
      </x:c>
      <x:c r="G39" s="2" t="n">
        <x:f>IF(ISNUMBER(F39),1,0)</x:f>
        <x:v>1</x:v>
      </x:c>
      <x:c r="H39" s="2" t="n">
        <x:f>IF(ISNUMBER(F39),IF(F39&gt;=2,1,0),0)</x:f>
        <x:v>0</x:v>
      </x:c>
      <x:c r="I39" s="11" t="n">
        <x:f>IF(ISNUMBER(F39),2^F39-1,0)</x:f>
        <x:v>1</x:v>
      </x:c>
      <x:c r="J39" s="2" t="str">
        <x:v>Retained original 577</x:v>
      </x:c>
      <x:c r="K39" s="10" t="n">
        <x:v>1800</x:v>
      </x:c>
      <x:c r="L39" s="10" t="n">
        <x:v>1</x:v>
      </x:c>
      <x:c r="M39" s="10" t="n">
        <x:v>120</x:v>
      </x:c>
      <x:c r="N39" s="2" t="str">
        <x:v>D08</x:v>
      </x:c>
      <x:c r="O39" s="2" t="str">
        <x:v>shophouse</x:v>
      </x:c>
      <x:c r="P39" s="2" t="str">
        <x:v>https://www.propertyguru.com.sg/listing/for-rent-42-rowell-road-ensuite-minimum-3-months-24088084</x:v>
      </x:c>
      <x:c r="Q39" s="12" t="str">
        <x:v>Hard requirements pass. area 120 sqft. A small reported area compared with the 517-1,000 sqft qualifying alternatives.</x:v>
      </x:c>
      <x:c r="R39" s="13"/>
    </x:row>
    <x:row r="40" ht="15" hidden="0" customHeight="1">
      <x:c r="A40" s="2" t="str">
        <x:v>S02|24004684</x:v>
      </x:c>
      <x:c r="B40" s="2" t="str">
        <x:v>S02</x:v>
      </x:c>
      <x:c r="C40" s="2" t="str">
        <x:v>24004684</x:v>
      </x:c>
      <x:c r="D40" s="2" t="n">
        <x:v>0</x:v>
      </x:c>
      <x:c r="E40" s="9"/>
      <x:c r="F40" s="2" t="n">
        <x:f>IF(E40="",D40,IF(E40="U","U",IF(AND(ISNUMBER(E40),E40&gt;=0,E40&lt;=3,INT(E40)=E40),E40,"Invalid")))</x:f>
        <x:v>0</x:v>
      </x:c>
      <x:c r="G40" s="2" t="n">
        <x:f>IF(ISNUMBER(F40),1,0)</x:f>
        <x:v>1</x:v>
      </x:c>
      <x:c r="H40" s="2" t="n">
        <x:f>IF(ISNUMBER(F40),IF(F40&gt;=2,1,0),0)</x:f>
        <x:v>0</x:v>
      </x:c>
      <x:c r="I40" s="11" t="n">
        <x:f>IF(ISNUMBER(F40),2^F40-1,0)</x:f>
        <x:v>0</x:v>
      </x:c>
      <x:c r="J40" s="2" t="str">
        <x:v>Retained original 577</x:v>
      </x:c>
      <x:c r="K40" s="10" t="n">
        <x:v>1780</x:v>
      </x:c>
      <x:c r="L40" s="10" t="n">
        <x:v>1</x:v>
      </x:c>
      <x:c r="M40" s="10" t="n">
        <x:v>250</x:v>
      </x:c>
      <x:c r="N40" s="2" t="str">
        <x:v>D09</x:v>
      </x:c>
      <x:c r="O40" s="2" t="str">
        <x:v>condominium</x:v>
      </x:c>
      <x:c r="P40" s="2" t="str">
        <x:v>https://www.propertyguru.com.sg/listing/for-rent-mirage-tower-24004684</x:v>
      </x:c>
      <x:c r="Q40" s="12" t="str">
        <x:v>Hard failure: Rent (SGD/month) 1,780; required = 1,800.</x:v>
      </x:c>
      <x:c r="R40" s="13"/>
    </x:row>
    <x:row r="41" ht="24" hidden="0" customHeight="1">
      <x:c r="A41" s="2" t="str">
        <x:v>S02|500271461</x:v>
      </x:c>
      <x:c r="B41" s="2" t="str">
        <x:v>S02</x:v>
      </x:c>
      <x:c r="C41" s="2" t="str">
        <x:v>500271461</x:v>
      </x:c>
      <x:c r="D41" s="2" t="n">
        <x:v>1</x:v>
      </x:c>
      <x:c r="E41" s="9"/>
      <x:c r="F41" s="2" t="n">
        <x:f>IF(E41="",D41,IF(E41="U","U",IF(AND(ISNUMBER(E41),E41&gt;=0,E41&lt;=3,INT(E41)=E41),E41,"Invalid")))</x:f>
        <x:v>1</x:v>
      </x:c>
      <x:c r="G41" s="2" t="n">
        <x:f>IF(ISNUMBER(F41),1,0)</x:f>
        <x:v>1</x:v>
      </x:c>
      <x:c r="H41" s="2" t="n">
        <x:f>IF(ISNUMBER(F41),IF(F41&gt;=2,1,0),0)</x:f>
        <x:v>0</x:v>
      </x:c>
      <x:c r="I41" s="11" t="n">
        <x:f>IF(ISNUMBER(F41),2^F41-1,0)</x:f>
        <x:v>1</x:v>
      </x:c>
      <x:c r="J41" s="2" t="str">
        <x:v>Retained original 577</x:v>
      </x:c>
      <x:c r="K41" s="10" t="n">
        <x:v>1800</x:v>
      </x:c>
      <x:c r="L41" s="10" t="n">
        <x:v>1</x:v>
      </x:c>
      <x:c r="M41" s="10" t="n">
        <x:v>150</x:v>
      </x:c>
      <x:c r="N41" s="2" t="str">
        <x:v>D19</x:v>
      </x:c>
      <x:c r="O41" s="2" t="str">
        <x:v>apartment</x:v>
      </x:c>
      <x:c r="P41" s="2" t="str">
        <x:v>https://www.propertyguru.com.sg/listing/for-rent-kensington-square-500271461</x:v>
      </x:c>
      <x:c r="Q41" s="12" t="str">
        <x:v>Hard requirements pass. area 150 sqft. A small reported area compared with the 517-1,000 sqft qualifying alternatives.</x:v>
      </x:c>
      <x:c r="R41" s="13"/>
    </x:row>
    <x:row r="42" ht="15" hidden="0" customHeight="1">
      <x:c r="A42" s="2" t="str">
        <x:v>S02|24176559</x:v>
      </x:c>
      <x:c r="B42" s="2" t="str">
        <x:v>S02</x:v>
      </x:c>
      <x:c r="C42" s="2" t="str">
        <x:v>24176559</x:v>
      </x:c>
      <x:c r="D42" s="2" t="str">
        <x:v>U</x:v>
      </x:c>
      <x:c r="E42" s="9"/>
      <x:c r="F42" s="2" t="str">
        <x:f>IF(E42="",D42,IF(E42="U","U",IF(AND(ISNUMBER(E42),E42&gt;=0,E42&lt;=3,INT(E42)=E42),E42,"Invalid")))</x:f>
        <x:v>U</x:v>
      </x:c>
      <x:c r="G42" s="2" t="n">
        <x:f>IF(ISNUMBER(F42),1,0)</x:f>
        <x:v>0</x:v>
      </x:c>
      <x:c r="H42" s="2" t="n">
        <x:f>IF(ISNUMBER(F42),IF(F42&gt;=2,1,0),0)</x:f>
        <x:v>0</x:v>
      </x:c>
      <x:c r="I42" s="11" t="n">
        <x:f>IF(ISNUMBER(F42),2^F42-1,0)</x:f>
        <x:v>0</x:v>
      </x:c>
      <x:c r="J42" s="2" t="str">
        <x:v>Retained original 577</x:v>
      </x:c>
      <x:c r="K42" s="10" t="n">
        <x:v>1800</x:v>
      </x:c>
      <x:c r="L42" s="10"/>
      <x:c r="M42" s="10" t="n">
        <x:v>160</x:v>
      </x:c>
      <x:c r="N42" s="2" t="str">
        <x:v>D08</x:v>
      </x:c>
      <x:c r="O42" s="2" t="str">
        <x:v>apartment</x:v>
      </x:c>
      <x:c r="P42" s="2" t="str">
        <x:v>https://www.propertyguru.com.sg/listing/for-rent-private-apartment-for-professionals-and-students-24176559</x:v>
      </x:c>
      <x:c r="Q42" s="12" t="str">
        <x:v>No known hard failure. Cannot verify: reported bedrooms.</x:v>
      </x:c>
      <x:c r="R42" s="13"/>
    </x:row>
    <x:row r="43" ht="24" hidden="0" customHeight="1">
      <x:c r="A43" s="2" t="str">
        <x:v>S02|25608818</x:v>
      </x:c>
      <x:c r="B43" s="2" t="str">
        <x:v>S02</x:v>
      </x:c>
      <x:c r="C43" s="2" t="str">
        <x:v>25608818</x:v>
      </x:c>
      <x:c r="D43" s="2" t="n">
        <x:v>1</x:v>
      </x:c>
      <x:c r="E43" s="9"/>
      <x:c r="F43" s="2" t="n">
        <x:f>IF(E43="",D43,IF(E43="U","U",IF(AND(ISNUMBER(E43),E43&gt;=0,E43&lt;=3,INT(E43)=E43),E43,"Invalid")))</x:f>
        <x:v>1</x:v>
      </x:c>
      <x:c r="G43" s="2" t="n">
        <x:f>IF(ISNUMBER(F43),1,0)</x:f>
        <x:v>1</x:v>
      </x:c>
      <x:c r="H43" s="2" t="n">
        <x:f>IF(ISNUMBER(F43),IF(F43&gt;=2,1,0),0)</x:f>
        <x:v>0</x:v>
      </x:c>
      <x:c r="I43" s="11" t="n">
        <x:f>IF(ISNUMBER(F43),2^F43-1,0)</x:f>
        <x:v>1</x:v>
      </x:c>
      <x:c r="J43" s="2" t="str">
        <x:v>Retained original 577</x:v>
      </x:c>
      <x:c r="K43" s="10" t="n">
        <x:v>1800</x:v>
      </x:c>
      <x:c r="L43" s="10" t="n">
        <x:v>1</x:v>
      </x:c>
      <x:c r="M43" s="10" t="n">
        <x:v>200</x:v>
      </x:c>
      <x:c r="N43" s="2" t="str">
        <x:v>D05</x:v>
      </x:c>
      <x:c r="O43" s="2" t="str">
        <x:v>corner terrace</x:v>
      </x:c>
      <x:c r="P43" s="2" t="str">
        <x:v>https://www.propertyguru.com.sg/listing/for-rent-170-pasir-panjang-road-25608818</x:v>
      </x:c>
      <x:c r="Q43" s="12" t="str">
        <x:v>Hard requirements pass. area 200 sqft. A small reported area compared with the 517-1,000 sqft qualifying alternatives.</x:v>
      </x:c>
      <x:c r="R43" s="13"/>
    </x:row>
    <x:row r="44" ht="15" hidden="0" customHeight="1">
      <x:c r="A44" s="2" t="str">
        <x:v>S02|22233604</x:v>
      </x:c>
      <x:c r="B44" s="2" t="str">
        <x:v>S02</x:v>
      </x:c>
      <x:c r="C44" s="2" t="str">
        <x:v>22233604</x:v>
      </x:c>
      <x:c r="D44" s="2" t="n">
        <x:v>0</x:v>
      </x:c>
      <x:c r="E44" s="9"/>
      <x:c r="F44" s="2" t="n">
        <x:f>IF(E44="",D44,IF(E44="U","U",IF(AND(ISNUMBER(E44),E44&gt;=0,E44&lt;=3,INT(E44)=E44),E44,"Invalid")))</x:f>
        <x:v>0</x:v>
      </x:c>
      <x:c r="G44" s="2" t="n">
        <x:f>IF(ISNUMBER(F44),1,0)</x:f>
        <x:v>1</x:v>
      </x:c>
      <x:c r="H44" s="2" t="n">
        <x:f>IF(ISNUMBER(F44),IF(F44&gt;=2,1,0),0)</x:f>
        <x:v>0</x:v>
      </x:c>
      <x:c r="I44" s="11" t="n">
        <x:f>IF(ISNUMBER(F44),2^F44-1,0)</x:f>
        <x:v>0</x:v>
      </x:c>
      <x:c r="J44" s="2" t="str">
        <x:v>Retained original 577</x:v>
      </x:c>
      <x:c r="K44" s="10" t="n">
        <x:v>1780</x:v>
      </x:c>
      <x:c r="L44" s="10" t="n">
        <x:v>1</x:v>
      </x:c>
      <x:c r="M44" s="10" t="n">
        <x:v>200</x:v>
      </x:c>
      <x:c r="N44" s="2" t="str">
        <x:v>D09</x:v>
      </x:c>
      <x:c r="O44" s="2" t="str">
        <x:v>apartment</x:v>
      </x:c>
      <x:c r="P44" s="2" t="str">
        <x:v>https://www.propertyguru.com.sg/listing/for-rent-kim-sia-court-22233604</x:v>
      </x:c>
      <x:c r="Q44" s="12" t="str">
        <x:v>Hard failure: Rent (SGD/month) 1,780; required = 1,800.</x:v>
      </x:c>
      <x:c r="R44" s="13"/>
    </x:row>
    <x:row r="45" ht="24" hidden="0" customHeight="1">
      <x:c r="A45" s="2" t="str">
        <x:v>S02|500160959</x:v>
      </x:c>
      <x:c r="B45" s="2" t="str">
        <x:v>S02</x:v>
      </x:c>
      <x:c r="C45" s="2" t="str">
        <x:v>500160959</x:v>
      </x:c>
      <x:c r="D45" s="2" t="n">
        <x:v>1</x:v>
      </x:c>
      <x:c r="E45" s="9"/>
      <x:c r="F45" s="2" t="n">
        <x:f>IF(E45="",D45,IF(E45="U","U",IF(AND(ISNUMBER(E45),E45&gt;=0,E45&lt;=3,INT(E45)=E45),E45,"Invalid")))</x:f>
        <x:v>1</x:v>
      </x:c>
      <x:c r="G45" s="2" t="n">
        <x:f>IF(ISNUMBER(F45),1,0)</x:f>
        <x:v>1</x:v>
      </x:c>
      <x:c r="H45" s="2" t="n">
        <x:f>IF(ISNUMBER(F45),IF(F45&gt;=2,1,0),0)</x:f>
        <x:v>0</x:v>
      </x:c>
      <x:c r="I45" s="11" t="n">
        <x:f>IF(ISNUMBER(F45),2^F45-1,0)</x:f>
        <x:v>1</x:v>
      </x:c>
      <x:c r="J45" s="2" t="str">
        <x:v>Retained original 577</x:v>
      </x:c>
      <x:c r="K45" s="10" t="n">
        <x:v>1800</x:v>
      </x:c>
      <x:c r="L45" s="10" t="n">
        <x:v>1</x:v>
      </x:c>
      <x:c r="M45" s="10" t="n">
        <x:v>180</x:v>
      </x:c>
      <x:c r="N45" s="2" t="str">
        <x:v>D14</x:v>
      </x:c>
      <x:c r="O45" s="2" t="str">
        <x:v>condominium</x:v>
      </x:c>
      <x:c r="P45" s="2" t="str">
        <x:v>https://www.propertyguru.com.sg/listing/for-rent-la-brisa-500160959</x:v>
      </x:c>
      <x:c r="Q45" s="12" t="str">
        <x:v>Hard requirements pass. area 180 sqft. A small reported area compared with the 517-1,000 sqft qualifying alternatives.</x:v>
      </x:c>
      <x:c r="R45" s="13"/>
    </x:row>
    <x:row r="46" ht="15" hidden="0" customHeight="1">
      <x:c r="A46" s="2" t="str">
        <x:v>S02|500279215</x:v>
      </x:c>
      <x:c r="B46" s="2" t="str">
        <x:v>S02</x:v>
      </x:c>
      <x:c r="C46" s="2" t="str">
        <x:v>500279215</x:v>
      </x:c>
      <x:c r="D46" s="2" t="n">
        <x:v>0</x:v>
      </x:c>
      <x:c r="E46" s="9"/>
      <x:c r="F46" s="2" t="n">
        <x:f>IF(E46="",D46,IF(E46="U","U",IF(AND(ISNUMBER(E46),E46&gt;=0,E46&lt;=3,INT(E46)=E46),E46,"Invalid")))</x:f>
        <x:v>0</x:v>
      </x:c>
      <x:c r="G46" s="2" t="n">
        <x:f>IF(ISNUMBER(F46),1,0)</x:f>
        <x:v>1</x:v>
      </x:c>
      <x:c r="H46" s="2" t="n">
        <x:f>IF(ISNUMBER(F46),IF(F46&gt;=2,1,0),0)</x:f>
        <x:v>0</x:v>
      </x:c>
      <x:c r="I46" s="11" t="n">
        <x:f>IF(ISNUMBER(F46),2^F46-1,0)</x:f>
        <x:v>0</x:v>
      </x:c>
      <x:c r="J46" s="2" t="str">
        <x:v>Retained original 577</x:v>
      </x:c>
      <x:c r="K46" s="10" t="n">
        <x:v>1800</x:v>
      </x:c>
      <x:c r="L46" s="10" t="n">
        <x:v>0</x:v>
      </x:c>
      <x:c r="M46" s="10"/>
      <x:c r="N46" s="2" t="str">
        <x:v>D13</x:v>
      </x:c>
      <x:c r="O46" s="2" t="str">
        <x:v>terraced house</x:v>
      </x:c>
      <x:c r="P46" s="2" t="str">
        <x:v>https://www.propertyguru.com.sg/listing/for-rent-sennett-estate-500279215</x:v>
      </x:c>
      <x:c r="Q46" s="12" t="str">
        <x:v>Hard failure: Reported bedrooms 0; required &gt;= 1.</x:v>
      </x:c>
      <x:c r="R46" s="13"/>
    </x:row>
    <x:row r="47" ht="15" hidden="0" customHeight="1">
      <x:c r="A47" s="2" t="str">
        <x:v>S02|60104257</x:v>
      </x:c>
      <x:c r="B47" s="2" t="str">
        <x:v>S02</x:v>
      </x:c>
      <x:c r="C47" s="2" t="str">
        <x:v>60104257</x:v>
      </x:c>
      <x:c r="D47" s="2" t="n">
        <x:v>0</x:v>
      </x:c>
      <x:c r="E47" s="9"/>
      <x:c r="F47" s="2" t="n">
        <x:f>IF(E47="",D47,IF(E47="U","U",IF(AND(ISNUMBER(E47),E47&gt;=0,E47&lt;=3,INT(E47)=E47),E47,"Invalid")))</x:f>
        <x:v>0</x:v>
      </x:c>
      <x:c r="G47" s="2" t="n">
        <x:f>IF(ISNUMBER(F47),1,0)</x:f>
        <x:v>1</x:v>
      </x:c>
      <x:c r="H47" s="2" t="n">
        <x:f>IF(ISNUMBER(F47),IF(F47&gt;=2,1,0),0)</x:f>
        <x:v>0</x:v>
      </x:c>
      <x:c r="I47" s="11" t="n">
        <x:f>IF(ISNUMBER(F47),2^F47-1,0)</x:f>
        <x:v>0</x:v>
      </x:c>
      <x:c r="J47" s="2" t="str">
        <x:v>Retained original 577</x:v>
      </x:c>
      <x:c r="K47" s="10" t="n">
        <x:v>1800</x:v>
      </x:c>
      <x:c r="L47" s="10" t="n">
        <x:v>0</x:v>
      </x:c>
      <x:c r="M47" s="10"/>
      <x:c r="N47" s="2" t="str">
        <x:v>D14</x:v>
      </x:c>
      <x:c r="O47" s="2" t="str">
        <x:v>terraced house</x:v>
      </x:c>
      <x:c r="P47" s="2" t="str">
        <x:v>https://www.propertyguru.com.sg/listing/for-rent-10-lengkong-dua-near-kembangan-mrt-60104257</x:v>
      </x:c>
      <x:c r="Q47" s="12" t="str">
        <x:v>Hard failure: Reported bedrooms 0; required &gt;= 1.</x:v>
      </x:c>
      <x:c r="R47" s="13"/>
    </x:row>
    <x:row r="48" ht="24" hidden="0" customHeight="1">
      <x:c r="A48" s="2" t="str">
        <x:v>S02|500194135</x:v>
      </x:c>
      <x:c r="B48" s="2" t="str">
        <x:v>S02</x:v>
      </x:c>
      <x:c r="C48" s="2" t="str">
        <x:v>500194135</x:v>
      </x:c>
      <x:c r="D48" s="2" t="n">
        <x:v>1</x:v>
      </x:c>
      <x:c r="E48" s="9"/>
      <x:c r="F48" s="2" t="n">
        <x:f>IF(E48="",D48,IF(E48="U","U",IF(AND(ISNUMBER(E48),E48&gt;=0,E48&lt;=3,INT(E48)=E48),E48,"Invalid")))</x:f>
        <x:v>1</x:v>
      </x:c>
      <x:c r="G48" s="2" t="n">
        <x:f>IF(ISNUMBER(F48),1,0)</x:f>
        <x:v>1</x:v>
      </x:c>
      <x:c r="H48" s="2" t="n">
        <x:f>IF(ISNUMBER(F48),IF(F48&gt;=2,1,0),0)</x:f>
        <x:v>0</x:v>
      </x:c>
      <x:c r="I48" s="11" t="n">
        <x:f>IF(ISNUMBER(F48),2^F48-1,0)</x:f>
        <x:v>1</x:v>
      </x:c>
      <x:c r="J48" s="2" t="str">
        <x:v>Retained original 577</x:v>
      </x:c>
      <x:c r="K48" s="10" t="n">
        <x:v>1800</x:v>
      </x:c>
      <x:c r="L48" s="10" t="n">
        <x:v>1</x:v>
      </x:c>
      <x:c r="M48" s="10" t="n">
        <x:v>150</x:v>
      </x:c>
      <x:c r="N48" s="2" t="str">
        <x:v>D21</x:v>
      </x:c>
      <x:c r="O48" s="2" t="str">
        <x:v>condominium</x:v>
      </x:c>
      <x:c r="P48" s="2" t="str">
        <x:v>https://www.propertyguru.com.sg/listing/for-rent-high-oak-condo-500194135</x:v>
      </x:c>
      <x:c r="Q48" s="12" t="str">
        <x:v>Hard requirements pass. area 150 sqft. A small reported area compared with the 517-1,000 sqft qualifying alternatives.</x:v>
      </x:c>
      <x:c r="R48" s="13"/>
    </x:row>
    <x:row r="49" ht="24" hidden="0" customHeight="1">
      <x:c r="A49" s="2" t="str">
        <x:v>S02|500261905</x:v>
      </x:c>
      <x:c r="B49" s="2" t="str">
        <x:v>S02</x:v>
      </x:c>
      <x:c r="C49" s="2" t="str">
        <x:v>500261905</x:v>
      </x:c>
      <x:c r="D49" s="2" t="n">
        <x:v>1</x:v>
      </x:c>
      <x:c r="E49" s="9"/>
      <x:c r="F49" s="2" t="n">
        <x:f>IF(E49="",D49,IF(E49="U","U",IF(AND(ISNUMBER(E49),E49&gt;=0,E49&lt;=3,INT(E49)=E49),E49,"Invalid")))</x:f>
        <x:v>1</x:v>
      </x:c>
      <x:c r="G49" s="2" t="n">
        <x:f>IF(ISNUMBER(F49),1,0)</x:f>
        <x:v>1</x:v>
      </x:c>
      <x:c r="H49" s="2" t="n">
        <x:f>IF(ISNUMBER(F49),IF(F49&gt;=2,1,0),0)</x:f>
        <x:v>0</x:v>
      </x:c>
      <x:c r="I49" s="11" t="n">
        <x:f>IF(ISNUMBER(F49),2^F49-1,0)</x:f>
        <x:v>1</x:v>
      </x:c>
      <x:c r="J49" s="2" t="str">
        <x:v>Retained original 577</x:v>
      </x:c>
      <x:c r="K49" s="10" t="n">
        <x:v>1800</x:v>
      </x:c>
      <x:c r="L49" s="10" t="n">
        <x:v>1</x:v>
      </x:c>
      <x:c r="M49" s="10" t="n">
        <x:v>10</x:v>
      </x:c>
      <x:c r="N49" s="2" t="str">
        <x:v>D08</x:v>
      </x:c>
      <x:c r="O49" s="2" t="str">
        <x:v>condominium</x:v>
      </x:c>
      <x:c r="P49" s="2" t="str">
        <x:v>https://www.propertyguru.com.sg/listing/for-rent-piccadilly-galleria-500261905</x:v>
      </x:c>
      <x:c r="Q49" s="12" t="str">
        <x:v>Hard requirements pass. area 10 sqft. A small reported area compared with the 517-1,000 sqft qualifying alternatives.</x:v>
      </x:c>
      <x:c r="R49" s="13"/>
    </x:row>
    <x:row r="50" ht="24" hidden="0" customHeight="1">
      <x:c r="A50" s="2" t="str">
        <x:v>S02|500273560</x:v>
      </x:c>
      <x:c r="B50" s="2" t="str">
        <x:v>S02</x:v>
      </x:c>
      <x:c r="C50" s="2" t="str">
        <x:v>500273560</x:v>
      </x:c>
      <x:c r="D50" s="2" t="n">
        <x:v>3</x:v>
      </x:c>
      <x:c r="E50" s="9"/>
      <x:c r="F50" s="2" t="n">
        <x:f>IF(E50="",D50,IF(E50="U","U",IF(AND(ISNUMBER(E50),E50&gt;=0,E50&lt;=3,INT(E50)=E50),E50,"Invalid")))</x:f>
        <x:v>3</x:v>
      </x:c>
      <x:c r="G50" s="2" t="n">
        <x:f>IF(ISNUMBER(F50),1,0)</x:f>
        <x:v>1</x:v>
      </x:c>
      <x:c r="H50" s="2" t="n">
        <x:f>IF(ISNUMBER(F50),IF(F50&gt;=2,1,0),0)</x:f>
        <x:v>1</x:v>
      </x:c>
      <x:c r="I50" s="11" t="n">
        <x:f>IF(ISNUMBER(F50),2^F50-1,0)</x:f>
        <x:v>7</x:v>
      </x:c>
      <x:c r="J50" s="2" t="str">
        <x:v>Retained original 577</x:v>
      </x:c>
      <x:c r="K50" s="10" t="n">
        <x:v>1800</x:v>
      </x:c>
      <x:c r="L50" s="10" t="n">
        <x:v>1</x:v>
      </x:c>
      <x:c r="M50" s="10" t="n">
        <x:v>1000</x:v>
      </x:c>
      <x:c r="N50" s="2" t="str">
        <x:v>D08</x:v>
      </x:c>
      <x:c r="O50" s="2" t="str">
        <x:v>terraced house</x:v>
      </x:c>
      <x:c r="P50" s="2" t="str">
        <x:v>https://www.propertyguru.com.sg/listing/for-rent-hindoo-road-500273560</x:v>
      </x:c>
      <x:c r="Q50" s="12" t="str">
        <x:v>Hard requirements pass. area 1,000 sqft. Among the largest reported areas in this exact-rent candidate set.</x:v>
      </x:c>
      <x:c r="R50" s="13"/>
    </x:row>
    <x:row r="51" ht="24" hidden="0" customHeight="1">
      <x:c r="A51" s="2" t="str">
        <x:v>S02|500288393</x:v>
      </x:c>
      <x:c r="B51" s="2" t="str">
        <x:v>S02</x:v>
      </x:c>
      <x:c r="C51" s="2" t="str">
        <x:v>500288393</x:v>
      </x:c>
      <x:c r="D51" s="2" t="n">
        <x:v>2</x:v>
      </x:c>
      <x:c r="E51" s="9"/>
      <x:c r="F51" s="2" t="n">
        <x:f>IF(E51="",D51,IF(E51="U","U",IF(AND(ISNUMBER(E51),E51&gt;=0,E51&lt;=3,INT(E51)=E51),E51,"Invalid")))</x:f>
        <x:v>2</x:v>
      </x:c>
      <x:c r="G51" s="2" t="n">
        <x:f>IF(ISNUMBER(F51),1,0)</x:f>
        <x:v>1</x:v>
      </x:c>
      <x:c r="H51" s="2" t="n">
        <x:f>IF(ISNUMBER(F51),IF(F51&gt;=2,1,0),0)</x:f>
        <x:v>1</x:v>
      </x:c>
      <x:c r="I51" s="11" t="n">
        <x:f>IF(ISNUMBER(F51),2^F51-1,0)</x:f>
        <x:v>3</x:v>
      </x:c>
      <x:c r="J51" s="2" t="str">
        <x:v>Retained original 577</x:v>
      </x:c>
      <x:c r="K51" s="10" t="n">
        <x:v>1800</x:v>
      </x:c>
      <x:c r="L51" s="10" t="n">
        <x:v>1</x:v>
      </x:c>
      <x:c r="M51" s="10" t="n">
        <x:v>517</x:v>
      </x:c>
      <x:c r="N51" s="2" t="str">
        <x:v>D28</x:v>
      </x:c>
      <x:c r="O51" s="2" t="str">
        <x:v>hdb flat</x:v>
      </x:c>
      <x:c r="P51" s="2" t="str">
        <x:v>https://www.propertyguru.com.sg/listing/hdb-for-rent-455a-sengkang-west-avenue-500288393</x:v>
      </x:c>
      <x:c r="Q51" s="12" t="str">
        <x:v>Hard requirements pass. area 517 sqft. A meaningful size advantage over the small options, with larger choices still available.</x:v>
      </x:c>
      <x:c r="R51" s="13"/>
    </x:row>
    <x:row r="52" ht="24" hidden="0" customHeight="1">
      <x:c r="A52" s="2" t="str">
        <x:v>S02|24359119</x:v>
      </x:c>
      <x:c r="B52" s="2" t="str">
        <x:v>S02</x:v>
      </x:c>
      <x:c r="C52" s="2" t="str">
        <x:v>24359119</x:v>
      </x:c>
      <x:c r="D52" s="2" t="n">
        <x:v>2</x:v>
      </x:c>
      <x:c r="E52" s="9"/>
      <x:c r="F52" s="2" t="n">
        <x:f>IF(E52="",D52,IF(E52="U","U",IF(AND(ISNUMBER(E52),E52&gt;=0,E52&lt;=3,INT(E52)=E52),E52,"Invalid")))</x:f>
        <x:v>2</x:v>
      </x:c>
      <x:c r="G52" s="2" t="n">
        <x:f>IF(ISNUMBER(F52),1,0)</x:f>
        <x:v>1</x:v>
      </x:c>
      <x:c r="H52" s="2" t="n">
        <x:f>IF(ISNUMBER(F52),IF(F52&gt;=2,1,0),0)</x:f>
        <x:v>1</x:v>
      </x:c>
      <x:c r="I52" s="11" t="n">
        <x:f>IF(ISNUMBER(F52),2^F52-1,0)</x:f>
        <x:v>3</x:v>
      </x:c>
      <x:c r="J52" s="2" t="str">
        <x:v>Retained original 577</x:v>
      </x:c>
      <x:c r="K52" s="10" t="n">
        <x:v>1800</x:v>
      </x:c>
      <x:c r="L52" s="10" t="n">
        <x:v>1</x:v>
      </x:c>
      <x:c r="M52" s="10" t="n">
        <x:v>650</x:v>
      </x:c>
      <x:c r="N52" s="2" t="str">
        <x:v>D28</x:v>
      </x:c>
      <x:c r="O52" s="2" t="str">
        <x:v>corner terrace</x:v>
      </x:c>
      <x:c r="P52" s="2" t="str">
        <x:v>https://www.propertyguru.com.sg/listing/for-rent-yio-chu-kang-24359119</x:v>
      </x:c>
      <x:c r="Q52" s="12" t="str">
        <x:v>Hard requirements pass. area 650 sqft. A meaningful size advantage over the small options, with larger choices still available.</x:v>
      </x:c>
      <x:c r="R52" s="13"/>
    </x:row>
    <x:row r="53" ht="15" hidden="0" customHeight="1">
      <x:c r="A53" s="2" t="str">
        <x:v>S02|24675519</x:v>
      </x:c>
      <x:c r="B53" s="2" t="str">
        <x:v>S02</x:v>
      </x:c>
      <x:c r="C53" s="2" t="str">
        <x:v>24675519</x:v>
      </x:c>
      <x:c r="D53" s="2" t="str">
        <x:v>U</x:v>
      </x:c>
      <x:c r="E53" s="9"/>
      <x:c r="F53" s="2" t="str">
        <x:f>IF(E53="",D53,IF(E53="U","U",IF(AND(ISNUMBER(E53),E53&gt;=0,E53&lt;=3,INT(E53)=E53),E53,"Invalid")))</x:f>
        <x:v>U</x:v>
      </x:c>
      <x:c r="G53" s="2" t="n">
        <x:f>IF(ISNUMBER(F53),1,0)</x:f>
        <x:v>0</x:v>
      </x:c>
      <x:c r="H53" s="2" t="n">
        <x:f>IF(ISNUMBER(F53),IF(F53&gt;=2,1,0),0)</x:f>
        <x:v>0</x:v>
      </x:c>
      <x:c r="I53" s="11" t="n">
        <x:f>IF(ISNUMBER(F53),2^F53-1,0)</x:f>
        <x:v>0</x:v>
      </x:c>
      <x:c r="J53" s="2" t="str">
        <x:v>Retained original 577</x:v>
      </x:c>
      <x:c r="K53" s="10" t="n">
        <x:v>1800</x:v>
      </x:c>
      <x:c r="L53" s="10"/>
      <x:c r="M53" s="10" t="n">
        <x:v>250</x:v>
      </x:c>
      <x:c r="N53" s="2" t="str">
        <x:v>D14</x:v>
      </x:c>
      <x:c r="O53" s="2" t="str">
        <x:v>apartment</x:v>
      </x:c>
      <x:c r="P53" s="2" t="str">
        <x:v>https://www.propertyguru.com.sg/listing/for-rent-1-loft-24675519</x:v>
      </x:c>
      <x:c r="Q53" s="12" t="str">
        <x:v>No known hard failure. Cannot verify: reported bedrooms.</x:v>
      </x:c>
      <x:c r="R53" s="13"/>
    </x:row>
    <x:row r="54" ht="24" hidden="0" customHeight="1">
      <x:c r="A54" s="2" t="str">
        <x:v>S02|500280806</x:v>
      </x:c>
      <x:c r="B54" s="2" t="str">
        <x:v>S02</x:v>
      </x:c>
      <x:c r="C54" s="2" t="str">
        <x:v>500280806</x:v>
      </x:c>
      <x:c r="D54" s="2" t="n">
        <x:v>1</x:v>
      </x:c>
      <x:c r="E54" s="9"/>
      <x:c r="F54" s="2" t="n">
        <x:f>IF(E54="",D54,IF(E54="U","U",IF(AND(ISNUMBER(E54),E54&gt;=0,E54&lt;=3,INT(E54)=E54),E54,"Invalid")))</x:f>
        <x:v>1</x:v>
      </x:c>
      <x:c r="G54" s="2" t="n">
        <x:f>IF(ISNUMBER(F54),1,0)</x:f>
        <x:v>1</x:v>
      </x:c>
      <x:c r="H54" s="2" t="n">
        <x:f>IF(ISNUMBER(F54),IF(F54&gt;=2,1,0),0)</x:f>
        <x:v>0</x:v>
      </x:c>
      <x:c r="I54" s="11" t="n">
        <x:f>IF(ISNUMBER(F54),2^F54-1,0)</x:f>
        <x:v>1</x:v>
      </x:c>
      <x:c r="J54" s="2" t="str">
        <x:v>Retained original 577</x:v>
      </x:c>
      <x:c r="K54" s="10" t="n">
        <x:v>1800</x:v>
      </x:c>
      <x:c r="L54" s="10" t="n">
        <x:v>1</x:v>
      </x:c>
      <x:c r="M54" s="10" t="n">
        <x:v>150</x:v>
      </x:c>
      <x:c r="N54" s="2" t="str">
        <x:v>D27</x:v>
      </x:c>
      <x:c r="O54" s="2" t="str">
        <x:v>condominium</x:v>
      </x:c>
      <x:c r="P54" s="2" t="str">
        <x:v>https://www.propertyguru.com.sg/listing/for-rent-miltonia-residences-500280806</x:v>
      </x:c>
      <x:c r="Q54" s="12" t="str">
        <x:v>Hard requirements pass. area 150 sqft. A small reported area compared with the 517-1,000 sqft qualifying alternatives.</x:v>
      </x:c>
      <x:c r="R54" s="13"/>
    </x:row>
    <x:row r="55" ht="24" hidden="0" customHeight="1">
      <x:c r="A55" s="2" t="str">
        <x:v>S02|500283813</x:v>
      </x:c>
      <x:c r="B55" s="2" t="str">
        <x:v>S02</x:v>
      </x:c>
      <x:c r="C55" s="2" t="str">
        <x:v>500283813</x:v>
      </x:c>
      <x:c r="D55" s="2" t="n">
        <x:v>1</x:v>
      </x:c>
      <x:c r="E55" s="9"/>
      <x:c r="F55" s="2" t="n">
        <x:f>IF(E55="",D55,IF(E55="U","U",IF(AND(ISNUMBER(E55),E55&gt;=0,E55&lt;=3,INT(E55)=E55),E55,"Invalid")))</x:f>
        <x:v>1</x:v>
      </x:c>
      <x:c r="G55" s="2" t="n">
        <x:f>IF(ISNUMBER(F55),1,0)</x:f>
        <x:v>1</x:v>
      </x:c>
      <x:c r="H55" s="2" t="n">
        <x:f>IF(ISNUMBER(F55),IF(F55&gt;=2,1,0),0)</x:f>
        <x:v>0</x:v>
      </x:c>
      <x:c r="I55" s="11" t="n">
        <x:f>IF(ISNUMBER(F55),2^F55-1,0)</x:f>
        <x:v>1</x:v>
      </x:c>
      <x:c r="J55" s="2" t="str">
        <x:v>Retained original 577</x:v>
      </x:c>
      <x:c r="K55" s="10" t="n">
        <x:v>1800</x:v>
      </x:c>
      <x:c r="L55" s="10" t="n">
        <x:v>1</x:v>
      </x:c>
      <x:c r="M55" s="10" t="n">
        <x:v>200</x:v>
      </x:c>
      <x:c r="N55" s="2" t="str">
        <x:v>D16</x:v>
      </x:c>
      <x:c r="O55" s="2" t="str">
        <x:v>condominium</x:v>
      </x:c>
      <x:c r="P55" s="2" t="str">
        <x:v>https://www.propertyguru.com.sg/listing/for-rent-changi-court-500283813</x:v>
      </x:c>
      <x:c r="Q55" s="12" t="str">
        <x:v>Hard requirements pass. area 200 sqft. A small reported area compared with the 517-1,000 sqft qualifying alternatives.</x:v>
      </x:c>
      <x:c r="R55" s="13"/>
    </x:row>
    <x:row r="56" ht="15" hidden="0" customHeight="1">
      <x:c r="A56" s="2" t="str">
        <x:v>S03|500224932</x:v>
      </x:c>
      <x:c r="B56" s="2" t="str">
        <x:v>S03</x:v>
      </x:c>
      <x:c r="C56" s="2" t="str">
        <x:v>500224932</x:v>
      </x:c>
      <x:c r="D56" s="2" t="n">
        <x:v>0</x:v>
      </x:c>
      <x:c r="E56" s="9"/>
      <x:c r="F56" s="2" t="n">
        <x:f>IF(E56="",D56,IF(E56="U","U",IF(AND(ISNUMBER(E56),E56&gt;=0,E56&lt;=3,INT(E56)=E56),E56,"Invalid")))</x:f>
        <x:v>0</x:v>
      </x:c>
      <x:c r="G56" s="2" t="n">
        <x:f>IF(ISNUMBER(F56),1,0)</x:f>
        <x:v>1</x:v>
      </x:c>
      <x:c r="H56" s="2" t="n">
        <x:f>IF(ISNUMBER(F56),IF(F56&gt;=2,1,0),0)</x:f>
        <x:v>0</x:v>
      </x:c>
      <x:c r="I56" s="11" t="n">
        <x:f>IF(ISNUMBER(F56),2^F56-1,0)</x:f>
        <x:v>0</x:v>
      </x:c>
      <x:c r="J56" s="2" t="str">
        <x:v>Retained original 577</x:v>
      </x:c>
      <x:c r="K56" s="10" t="n">
        <x:v>2550</x:v>
      </x:c>
      <x:c r="L56" s="10"/>
      <x:c r="M56" s="10" t="n">
        <x:v>150</x:v>
      </x:c>
      <x:c r="N56" s="2" t="str">
        <x:v>D19</x:v>
      </x:c>
      <x:c r="O56" s="2" t="str">
        <x:v>apartment</x:v>
      </x:c>
      <x:c r="P56" s="2" t="str">
        <x:v>https://www.propertyguru.com.sg/listing/for-rent-serangoon-mrt-500224932</x:v>
      </x:c>
      <x:c r="Q56" s="12" t="str">
        <x:v>Hard failure: Rent (SGD/month) 2,550; required &lt;= 2,500.</x:v>
      </x:c>
      <x:c r="R56" s="13"/>
    </x:row>
    <x:row r="57" ht="36" hidden="0" customHeight="1">
      <x:c r="A57" s="2" t="str">
        <x:v>S03|500269618</x:v>
      </x:c>
      <x:c r="B57" s="2" t="str">
        <x:v>S03</x:v>
      </x:c>
      <x:c r="C57" s="2" t="str">
        <x:v>500269618</x:v>
      </x:c>
      <x:c r="D57" s="2" t="n">
        <x:v>1</x:v>
      </x:c>
      <x:c r="E57" s="9"/>
      <x:c r="F57" s="2" t="n">
        <x:f>IF(E57="",D57,IF(E57="U","U",IF(AND(ISNUMBER(E57),E57&gt;=0,E57&lt;=3,INT(E57)=E57),E57,"Invalid")))</x:f>
        <x:v>1</x:v>
      </x:c>
      <x:c r="G57" s="2" t="n">
        <x:f>IF(ISNUMBER(F57),1,0)</x:f>
        <x:v>1</x:v>
      </x:c>
      <x:c r="H57" s="2" t="n">
        <x:f>IF(ISNUMBER(F57),IF(F57&gt;=2,1,0),0)</x:f>
        <x:v>0</x:v>
      </x:c>
      <x:c r="I57" s="11" t="n">
        <x:f>IF(ISNUMBER(F57),2^F57-1,0)</x:f>
        <x:v>1</x:v>
      </x:c>
      <x:c r="J57" s="2" t="str">
        <x:v>Retained original 577</x:v>
      </x:c>
      <x:c r="K57" s="10" t="n">
        <x:v>1100</x:v>
      </x:c>
      <x:c r="L57" s="10" t="n">
        <x:v>3</x:v>
      </x:c>
      <x:c r="M57" s="10" t="n">
        <x:v>947</x:v>
      </x:c>
      <x:c r="N57" s="2" t="str">
        <x:v>D20</x:v>
      </x:c>
      <x:c r="O57" s="2" t="str">
        <x:v>hdb flat</x:v>
      </x:c>
      <x:c r="P57" s="2" t="str">
        <x:v>https://www.propertyguru.com.sg/listing/hdb-for-rent-25-sin-ming-road-500269618</x:v>
      </x:c>
      <x:c r="Q57" s="12" t="str">
        <x:v>Hard requirements pass. D20, SGD 1,100/month. The primary D05 preference is unmet. Lower rent cannot establish a strong location fit; other districts remain hard-eligible.</x:v>
      </x:c>
      <x:c r="R57" s="13"/>
    </x:row>
    <x:row r="58" ht="36" hidden="0" customHeight="1">
      <x:c r="A58" s="2" t="str">
        <x:v>S03|500274301</x:v>
      </x:c>
      <x:c r="B58" s="2" t="str">
        <x:v>S03</x:v>
      </x:c>
      <x:c r="C58" s="2" t="str">
        <x:v>500274301</x:v>
      </x:c>
      <x:c r="D58" s="2" t="n">
        <x:v>1</x:v>
      </x:c>
      <x:c r="E58" s="9"/>
      <x:c r="F58" s="2" t="n">
        <x:f>IF(E58="",D58,IF(E58="U","U",IF(AND(ISNUMBER(E58),E58&gt;=0,E58&lt;=3,INT(E58)=E58),E58,"Invalid")))</x:f>
        <x:v>1</x:v>
      </x:c>
      <x:c r="G58" s="2" t="n">
        <x:f>IF(ISNUMBER(F58),1,0)</x:f>
        <x:v>1</x:v>
      </x:c>
      <x:c r="H58" s="2" t="n">
        <x:f>IF(ISNUMBER(F58),IF(F58&gt;=2,1,0),0)</x:f>
        <x:v>0</x:v>
      </x:c>
      <x:c r="I58" s="11" t="n">
        <x:f>IF(ISNUMBER(F58),2^F58-1,0)</x:f>
        <x:v>1</x:v>
      </x:c>
      <x:c r="J58" s="2" t="str">
        <x:v>Retained original 577</x:v>
      </x:c>
      <x:c r="K58" s="10" t="n">
        <x:v>2200</x:v>
      </x:c>
      <x:c r="L58" s="10" t="n">
        <x:v>2</x:v>
      </x:c>
      <x:c r="M58" s="10" t="n">
        <x:v>700</x:v>
      </x:c>
      <x:c r="N58" s="2" t="str">
        <x:v>D27</x:v>
      </x:c>
      <x:c r="O58" s="2" t="str">
        <x:v>hdb flat</x:v>
      </x:c>
      <x:c r="P58" s="2" t="str">
        <x:v>https://www.propertyguru.com.sg/listing/hdb-for-rent-478a-yishun-street-44-500274301</x:v>
      </x:c>
      <x:c r="Q58" s="12" t="str">
        <x:v>Hard requirements pass. D27, SGD 2,200/month. The primary D05 preference is unmet. Lower rent cannot establish a strong location fit; other districts remain hard-eligible.</x:v>
      </x:c>
      <x:c r="R58" s="13"/>
    </x:row>
    <x:row r="59" ht="36" hidden="0" customHeight="1">
      <x:c r="A59" s="2" t="str">
        <x:v>S03|25280571</x:v>
      </x:c>
      <x:c r="B59" s="2" t="str">
        <x:v>S03</x:v>
      </x:c>
      <x:c r="C59" s="2" t="str">
        <x:v>25280571</x:v>
      </x:c>
      <x:c r="D59" s="2" t="n">
        <x:v>1</x:v>
      </x:c>
      <x:c r="E59" s="9"/>
      <x:c r="F59" s="2" t="n">
        <x:f>IF(E59="",D59,IF(E59="U","U",IF(AND(ISNUMBER(E59),E59&gt;=0,E59&lt;=3,INT(E59)=E59),E59,"Invalid")))</x:f>
        <x:v>1</x:v>
      </x:c>
      <x:c r="G59" s="2" t="n">
        <x:f>IF(ISNUMBER(F59),1,0)</x:f>
        <x:v>1</x:v>
      </x:c>
      <x:c r="H59" s="2" t="n">
        <x:f>IF(ISNUMBER(F59),IF(F59&gt;=2,1,0),0)</x:f>
        <x:v>0</x:v>
      </x:c>
      <x:c r="I59" s="11" t="n">
        <x:f>IF(ISNUMBER(F59),2^F59-1,0)</x:f>
        <x:v>1</x:v>
      </x:c>
      <x:c r="J59" s="2" t="str">
        <x:v>Retained original 577</x:v>
      </x:c>
      <x:c r="K59" s="10" t="n">
        <x:v>1200</x:v>
      </x:c>
      <x:c r="L59" s="10" t="n">
        <x:v>2</x:v>
      </x:c>
      <x:c r="M59" s="10" t="n">
        <x:v>300</x:v>
      </x:c>
      <x:c r="N59" s="2" t="str">
        <x:v>D08</x:v>
      </x:c>
      <x:c r="O59" s="2" t="str">
        <x:v>hdb flat</x:v>
      </x:c>
      <x:c r="P59" s="2" t="str">
        <x:v>https://www.propertyguru.com.sg/listing/hdb-for-rent-661-buffalo-road-25280571</x:v>
      </x:c>
      <x:c r="Q59" s="12" t="str">
        <x:v>Hard requirements pass. D08, SGD 1,200/month. The primary D05 preference is unmet. Lower rent cannot establish a strong location fit; other districts remain hard-eligible.</x:v>
      </x:c>
      <x:c r="R59" s="13"/>
    </x:row>
    <x:row r="60" ht="36" hidden="0" customHeight="1">
      <x:c r="A60" s="2" t="str">
        <x:v>S03|25369032</x:v>
      </x:c>
      <x:c r="B60" s="2" t="str">
        <x:v>S03</x:v>
      </x:c>
      <x:c r="C60" s="2" t="str">
        <x:v>25369032</x:v>
      </x:c>
      <x:c r="D60" s="2" t="n">
        <x:v>1</x:v>
      </x:c>
      <x:c r="E60" s="9"/>
      <x:c r="F60" s="2" t="n">
        <x:f>IF(E60="",D60,IF(E60="U","U",IF(AND(ISNUMBER(E60),E60&gt;=0,E60&lt;=3,INT(E60)=E60),E60,"Invalid")))</x:f>
        <x:v>1</x:v>
      </x:c>
      <x:c r="G60" s="2" t="n">
        <x:f>IF(ISNUMBER(F60),1,0)</x:f>
        <x:v>1</x:v>
      </x:c>
      <x:c r="H60" s="2" t="n">
        <x:f>IF(ISNUMBER(F60),IF(F60&gt;=2,1,0),0)</x:f>
        <x:v>0</x:v>
      </x:c>
      <x:c r="I60" s="11" t="n">
        <x:f>IF(ISNUMBER(F60),2^F60-1,0)</x:f>
        <x:v>1</x:v>
      </x:c>
      <x:c r="J60" s="2" t="str">
        <x:v>Retained original 577</x:v>
      </x:c>
      <x:c r="K60" s="10" t="n">
        <x:v>2500</x:v>
      </x:c>
      <x:c r="L60" s="10" t="n">
        <x:v>2</x:v>
      </x:c>
      <x:c r="M60" s="10" t="n">
        <x:v>700</x:v>
      </x:c>
      <x:c r="N60" s="2" t="str">
        <x:v>D25</x:v>
      </x:c>
      <x:c r="O60" s="2" t="str">
        <x:v>hdb flat</x:v>
      </x:c>
      <x:c r="P60" s="2" t="str">
        <x:v>https://www.propertyguru.com.sg/listing/hdb-for-rent-129-marsiling-rise-25369032</x:v>
      </x:c>
      <x:c r="Q60" s="12" t="str">
        <x:v>Hard requirements pass. D25, SGD 2,500/month. The primary D05 preference is unmet. Lower rent cannot establish a strong location fit; other districts remain hard-eligible.</x:v>
      </x:c>
      <x:c r="R60" s="13"/>
    </x:row>
    <x:row r="61" ht="15" hidden="0" customHeight="1">
      <x:c r="A61" s="2" t="str">
        <x:v>S03|24637792</x:v>
      </x:c>
      <x:c r="B61" s="2" t="str">
        <x:v>S03</x:v>
      </x:c>
      <x:c r="C61" s="2" t="str">
        <x:v>24637792</x:v>
      </x:c>
      <x:c r="D61" s="2" t="str">
        <x:v>U</x:v>
      </x:c>
      <x:c r="E61" s="9"/>
      <x:c r="F61" s="2" t="str">
        <x:f>IF(E61="",D61,IF(E61="U","U",IF(AND(ISNUMBER(E61),E61&gt;=0,E61&lt;=3,INT(E61)=E61),E61,"Invalid")))</x:f>
        <x:v>U</x:v>
      </x:c>
      <x:c r="G61" s="2" t="n">
        <x:f>IF(ISNUMBER(F61),1,0)</x:f>
        <x:v>0</x:v>
      </x:c>
      <x:c r="H61" s="2" t="n">
        <x:f>IF(ISNUMBER(F61),IF(F61&gt;=2,1,0),0)</x:f>
        <x:v>0</x:v>
      </x:c>
      <x:c r="I61" s="11" t="n">
        <x:f>IF(ISNUMBER(F61),2^F61-1,0)</x:f>
        <x:v>0</x:v>
      </x:c>
      <x:c r="J61" s="2" t="str">
        <x:v>Retained original 577</x:v>
      </x:c>
      <x:c r="K61" s="10" t="n">
        <x:v>2500</x:v>
      </x:c>
      <x:c r="L61" s="10"/>
      <x:c r="M61" s="10" t="n">
        <x:v>200</x:v>
      </x:c>
      <x:c r="N61" s="2" t="str">
        <x:v>D09</x:v>
      </x:c>
      <x:c r="O61" s="2" t="str">
        <x:v>apartment</x:v>
      </x:c>
      <x:c r="P61" s="2" t="str">
        <x:v>https://www.propertyguru.com.sg/listing/for-rent-coliwoo-orchard-suit-for-short-or-long-term-stay-rental-professional-expat-or-student-24637792</x:v>
      </x:c>
      <x:c r="Q61" s="12" t="str">
        <x:v>No known hard failure. Cannot verify: reported bedrooms.</x:v>
      </x:c>
      <x:c r="R61" s="13"/>
    </x:row>
    <x:row r="62" ht="36" hidden="0" customHeight="1">
      <x:c r="A62" s="2" t="str">
        <x:v>S03|500281545</x:v>
      </x:c>
      <x:c r="B62" s="2" t="str">
        <x:v>S03</x:v>
      </x:c>
      <x:c r="C62" s="2" t="str">
        <x:v>500281545</x:v>
      </x:c>
      <x:c r="D62" s="2" t="n">
        <x:v>1</x:v>
      </x:c>
      <x:c r="E62" s="9"/>
      <x:c r="F62" s="2" t="n">
        <x:f>IF(E62="",D62,IF(E62="U","U",IF(AND(ISNUMBER(E62),E62&gt;=0,E62&lt;=3,INT(E62)=E62),E62,"Invalid")))</x:f>
        <x:v>1</x:v>
      </x:c>
      <x:c r="G62" s="2" t="n">
        <x:f>IF(ISNUMBER(F62),1,0)</x:f>
        <x:v>1</x:v>
      </x:c>
      <x:c r="H62" s="2" t="n">
        <x:f>IF(ISNUMBER(F62),IF(F62&gt;=2,1,0),0)</x:f>
        <x:v>0</x:v>
      </x:c>
      <x:c r="I62" s="11" t="n">
        <x:f>IF(ISNUMBER(F62),2^F62-1,0)</x:f>
        <x:v>1</x:v>
      </x:c>
      <x:c r="J62" s="2" t="str">
        <x:v>Retained original 577</x:v>
      </x:c>
      <x:c r="K62" s="10" t="n">
        <x:v>700</x:v>
      </x:c>
      <x:c r="L62" s="10" t="n">
        <x:v>3</x:v>
      </x:c>
      <x:c r="M62" s="10" t="n">
        <x:v>904</x:v>
      </x:c>
      <x:c r="N62" s="2" t="str">
        <x:v>D18</x:v>
      </x:c>
      <x:c r="O62" s="2" t="str">
        <x:v>hdb flat</x:v>
      </x:c>
      <x:c r="P62" s="2" t="str">
        <x:v>https://www.propertyguru.com.sg/listing/hdb-for-rent-832-tampines-street-82-500281545</x:v>
      </x:c>
      <x:c r="Q62" s="12" t="str">
        <x:v>Hard requirements pass. D18, SGD 700/month. The primary D05 preference is unmet. Lower rent cannot establish a strong location fit; other districts remain hard-eligible.</x:v>
      </x:c>
      <x:c r="R62" s="13"/>
    </x:row>
    <x:row r="63" ht="36" hidden="0" customHeight="1">
      <x:c r="A63" s="2" t="str">
        <x:v>S03|500249442</x:v>
      </x:c>
      <x:c r="B63" s="2" t="str">
        <x:v>S03</x:v>
      </x:c>
      <x:c r="C63" s="2" t="str">
        <x:v>500249442</x:v>
      </x:c>
      <x:c r="D63" s="2" t="n">
        <x:v>1</x:v>
      </x:c>
      <x:c r="E63" s="9"/>
      <x:c r="F63" s="2" t="n">
        <x:f>IF(E63="",D63,IF(E63="U","U",IF(AND(ISNUMBER(E63),E63&gt;=0,E63&lt;=3,INT(E63)=E63),E63,"Invalid")))</x:f>
        <x:v>1</x:v>
      </x:c>
      <x:c r="G63" s="2" t="n">
        <x:f>IF(ISNUMBER(F63),1,0)</x:f>
        <x:v>1</x:v>
      </x:c>
      <x:c r="H63" s="2" t="n">
        <x:f>IF(ISNUMBER(F63),IF(F63&gt;=2,1,0),0)</x:f>
        <x:v>0</x:v>
      </x:c>
      <x:c r="I63" s="11" t="n">
        <x:f>IF(ISNUMBER(F63),2^F63-1,0)</x:f>
        <x:v>1</x:v>
      </x:c>
      <x:c r="J63" s="2" t="str">
        <x:v>Retained original 577</x:v>
      </x:c>
      <x:c r="K63" s="10" t="n">
        <x:v>2500</x:v>
      </x:c>
      <x:c r="L63" s="10" t="n">
        <x:v>2</x:v>
      </x:c>
      <x:c r="M63" s="10" t="n">
        <x:v>721</x:v>
      </x:c>
      <x:c r="N63" s="2" t="str">
        <x:v>D19</x:v>
      </x:c>
      <x:c r="O63" s="2" t="str">
        <x:v>hdb flat</x:v>
      </x:c>
      <x:c r="P63" s="2" t="str">
        <x:v>https://www.propertyguru.com.sg/listing/hdb-for-rent-309-hougang-avenue-5-500249442</x:v>
      </x:c>
      <x:c r="Q63" s="12" t="str">
        <x:v>Hard requirements pass. D19, SGD 2,500/month. The primary D05 preference is unmet. Lower rent cannot establish a strong location fit; other districts remain hard-eligible.</x:v>
      </x:c>
      <x:c r="R63" s="13"/>
    </x:row>
    <x:row r="64" ht="15" hidden="0" customHeight="1">
      <x:c r="A64" s="2" t="str">
        <x:v>S03|500263724</x:v>
      </x:c>
      <x:c r="B64" s="2" t="str">
        <x:v>S03</x:v>
      </x:c>
      <x:c r="C64" s="2" t="str">
        <x:v>500263724</x:v>
      </x:c>
      <x:c r="D64" s="2" t="n">
        <x:v>0</x:v>
      </x:c>
      <x:c r="E64" s="9"/>
      <x:c r="F64" s="2" t="n">
        <x:f>IF(E64="",D64,IF(E64="U","U",IF(AND(ISNUMBER(E64),E64&gt;=0,E64&lt;=3,INT(E64)=E64),E64,"Invalid")))</x:f>
        <x:v>0</x:v>
      </x:c>
      <x:c r="G64" s="2" t="n">
        <x:f>IF(ISNUMBER(F64),1,0)</x:f>
        <x:v>1</x:v>
      </x:c>
      <x:c r="H64" s="2" t="n">
        <x:f>IF(ISNUMBER(F64),IF(F64&gt;=2,1,0),0)</x:f>
        <x:v>0</x:v>
      </x:c>
      <x:c r="I64" s="11" t="n">
        <x:f>IF(ISNUMBER(F64),2^F64-1,0)</x:f>
        <x:v>0</x:v>
      </x:c>
      <x:c r="J64" s="2" t="str">
        <x:v>Retained original 577</x:v>
      </x:c>
      <x:c r="K64" s="10" t="n">
        <x:v>2540</x:v>
      </x:c>
      <x:c r="L64" s="10"/>
      <x:c r="M64" s="10" t="n">
        <x:v>200</x:v>
      </x:c>
      <x:c r="N64" s="2" t="str">
        <x:v>D17</x:v>
      </x:c>
      <x:c r="O64" s="2" t="str">
        <x:v>apartment</x:v>
      </x:c>
      <x:c r="P64" s="2" t="str">
        <x:v>https://www.propertyguru.com.sg/listing/for-rent-coliwoo-changi-resort-500263724</x:v>
      </x:c>
      <x:c r="Q64" s="12" t="str">
        <x:v>Hard failure: Rent (SGD/month) 2,540; required &lt;= 2,500.</x:v>
      </x:c>
      <x:c r="R64" s="13"/>
    </x:row>
    <x:row r="65" ht="15" hidden="0" customHeight="1">
      <x:c r="A65" s="2" t="str">
        <x:v>S03|500278672</x:v>
      </x:c>
      <x:c r="B65" s="2" t="str">
        <x:v>S03</x:v>
      </x:c>
      <x:c r="C65" s="2" t="str">
        <x:v>500278672</x:v>
      </x:c>
      <x:c r="D65" s="2" t="n">
        <x:v>0</x:v>
      </x:c>
      <x:c r="E65" s="9"/>
      <x:c r="F65" s="2" t="n">
        <x:f>IF(E65="",D65,IF(E65="U","U",IF(AND(ISNUMBER(E65),E65&gt;=0,E65&lt;=3,INT(E65)=E65),E65,"Invalid")))</x:f>
        <x:v>0</x:v>
      </x:c>
      <x:c r="G65" s="2" t="n">
        <x:f>IF(ISNUMBER(F65),1,0)</x:f>
        <x:v>1</x:v>
      </x:c>
      <x:c r="H65" s="2" t="n">
        <x:f>IF(ISNUMBER(F65),IF(F65&gt;=2,1,0),0)</x:f>
        <x:v>0</x:v>
      </x:c>
      <x:c r="I65" s="11" t="n">
        <x:f>IF(ISNUMBER(F65),2^F65-1,0)</x:f>
        <x:v>0</x:v>
      </x:c>
      <x:c r="J65" s="2" t="str">
        <x:v>Retained original 577</x:v>
      </x:c>
      <x:c r="K65" s="10" t="n">
        <x:v>2550</x:v>
      </x:c>
      <x:c r="L65" s="10"/>
      <x:c r="M65" s="10" t="n">
        <x:v>301</x:v>
      </x:c>
      <x:c r="N65" s="2" t="str">
        <x:v>D12</x:v>
      </x:c>
      <x:c r="O65" s="2" t="str">
        <x:v>condominium</x:v>
      </x:c>
      <x:c r="P65" s="2" t="str">
        <x:v>https://www.propertyguru.com.sg/listing/for-rent-gem-residences-500278672</x:v>
      </x:c>
      <x:c r="Q65" s="12" t="str">
        <x:v>Hard failure: Rent (SGD/month) 2,550; required &lt;= 2,500.</x:v>
      </x:c>
      <x:c r="R65" s="13"/>
    </x:row>
    <x:row r="66" ht="36" hidden="0" customHeight="1">
      <x:c r="A66" s="2" t="str">
        <x:v>S03|500273485</x:v>
      </x:c>
      <x:c r="B66" s="2" t="str">
        <x:v>S03</x:v>
      </x:c>
      <x:c r="C66" s="2" t="str">
        <x:v>500273485</x:v>
      </x:c>
      <x:c r="D66" s="2" t="n">
        <x:v>1</x:v>
      </x:c>
      <x:c r="E66" s="9"/>
      <x:c r="F66" s="2" t="n">
        <x:f>IF(E66="",D66,IF(E66="U","U",IF(AND(ISNUMBER(E66),E66&gt;=0,E66&lt;=3,INT(E66)=E66),E66,"Invalid")))</x:f>
        <x:v>1</x:v>
      </x:c>
      <x:c r="G66" s="2" t="n">
        <x:f>IF(ISNUMBER(F66),1,0)</x:f>
        <x:v>1</x:v>
      </x:c>
      <x:c r="H66" s="2" t="n">
        <x:f>IF(ISNUMBER(F66),IF(F66&gt;=2,1,0),0)</x:f>
        <x:v>0</x:v>
      </x:c>
      <x:c r="I66" s="11" t="n">
        <x:f>IF(ISNUMBER(F66),2^F66-1,0)</x:f>
        <x:v>1</x:v>
      </x:c>
      <x:c r="J66" s="2" t="str">
        <x:v>Retained original 577</x:v>
      </x:c>
      <x:c r="K66" s="10" t="n">
        <x:v>2500</x:v>
      </x:c>
      <x:c r="L66" s="10" t="n">
        <x:v>2</x:v>
      </x:c>
      <x:c r="M66" s="10" t="n">
        <x:v>690</x:v>
      </x:c>
      <x:c r="N66" s="2" t="str">
        <x:v>D19</x:v>
      </x:c>
      <x:c r="O66" s="2" t="str">
        <x:v>hdb flat</x:v>
      </x:c>
      <x:c r="P66" s="2" t="str">
        <x:v>https://www.propertyguru.com.sg/listing/hdb-for-rent-2-hougang-avenue-3-500273485</x:v>
      </x:c>
      <x:c r="Q66" s="12" t="str">
        <x:v>Hard requirements pass. D19, SGD 2,500/month. The primary D05 preference is unmet. Lower rent cannot establish a strong location fit; other districts remain hard-eligible.</x:v>
      </x:c>
      <x:c r="R66" s="13"/>
    </x:row>
    <x:row r="67" ht="36" hidden="0" customHeight="1">
      <x:c r="A67" s="2" t="str">
        <x:v>S03|500256762</x:v>
      </x:c>
      <x:c r="B67" s="2" t="str">
        <x:v>S03</x:v>
      </x:c>
      <x:c r="C67" s="2" t="str">
        <x:v>500256762</x:v>
      </x:c>
      <x:c r="D67" s="2" t="n">
        <x:v>1</x:v>
      </x:c>
      <x:c r="E67" s="9"/>
      <x:c r="F67" s="2" t="n">
        <x:f>IF(E67="",D67,IF(E67="U","U",IF(AND(ISNUMBER(E67),E67&gt;=0,E67&lt;=3,INT(E67)=E67),E67,"Invalid")))</x:f>
        <x:v>1</x:v>
      </x:c>
      <x:c r="G67" s="2" t="n">
        <x:f>IF(ISNUMBER(F67),1,0)</x:f>
        <x:v>1</x:v>
      </x:c>
      <x:c r="H67" s="2" t="n">
        <x:f>IF(ISNUMBER(F67),IF(F67&gt;=2,1,0),0)</x:f>
        <x:v>0</x:v>
      </x:c>
      <x:c r="I67" s="11" t="n">
        <x:f>IF(ISNUMBER(F67),2^F67-1,0)</x:f>
        <x:v>1</x:v>
      </x:c>
      <x:c r="J67" s="2" t="str">
        <x:v>Retained original 577</x:v>
      </x:c>
      <x:c r="K67" s="10" t="n">
        <x:v>2300</x:v>
      </x:c>
      <x:c r="L67" s="10" t="n">
        <x:v>2</x:v>
      </x:c>
      <x:c r="M67" s="10" t="n">
        <x:v>200</x:v>
      </x:c>
      <x:c r="N67" s="2" t="str">
        <x:v>D19</x:v>
      </x:c>
      <x:c r="O67" s="2" t="str">
        <x:v>hdb flat</x:v>
      </x:c>
      <x:c r="P67" s="2" t="str">
        <x:v>https://www.propertyguru.com.sg/listing/hdb-for-rent-980b-buangkok-crescent-500256762</x:v>
      </x:c>
      <x:c r="Q67" s="12" t="str">
        <x:v>Hard requirements pass. D19, SGD 2,300/month. The primary D05 preference is unmet. Lower rent cannot establish a strong location fit; other districts remain hard-eligible.</x:v>
      </x:c>
      <x:c r="R67" s="13"/>
    </x:row>
    <x:row r="68" ht="15" hidden="0" customHeight="1">
      <x:c r="A68" s="2" t="str">
        <x:v>S03|500207090</x:v>
      </x:c>
      <x:c r="B68" s="2" t="str">
        <x:v>S03</x:v>
      </x:c>
      <x:c r="C68" s="2" t="str">
        <x:v>500207090</x:v>
      </x:c>
      <x:c r="D68" s="2" t="str">
        <x:v>U</x:v>
      </x:c>
      <x:c r="E68" s="9"/>
      <x:c r="F68" s="2" t="str">
        <x:f>IF(E68="",D68,IF(E68="U","U",IF(AND(ISNUMBER(E68),E68&gt;=0,E68&lt;=3,INT(E68)=E68),E68,"Invalid")))</x:f>
        <x:v>U</x:v>
      </x:c>
      <x:c r="G68" s="2" t="n">
        <x:f>IF(ISNUMBER(F68),1,0)</x:f>
        <x:v>0</x:v>
      </x:c>
      <x:c r="H68" s="2" t="n">
        <x:f>IF(ISNUMBER(F68),IF(F68&gt;=2,1,0),0)</x:f>
        <x:v>0</x:v>
      </x:c>
      <x:c r="I68" s="11" t="n">
        <x:f>IF(ISNUMBER(F68),2^F68-1,0)</x:f>
        <x:v>0</x:v>
      </x:c>
      <x:c r="J68" s="2" t="str">
        <x:v>Retained original 577</x:v>
      </x:c>
      <x:c r="K68" s="10" t="n">
        <x:v>2500</x:v>
      </x:c>
      <x:c r="L68" s="10"/>
      <x:c r="M68" s="10" t="n">
        <x:v>250</x:v>
      </x:c>
      <x:c r="N68" s="2" t="str">
        <x:v>D09</x:v>
      </x:c>
      <x:c r="O68" s="2" t="str">
        <x:v>apartment</x:v>
      </x:c>
      <x:c r="P68" s="2" t="str">
        <x:v>https://www.propertyguru.com.sg/listing/for-rent-coliwoo-orchard-mins-walk-to-mrt-mount-elizabeth-shopping-500207090</x:v>
      </x:c>
      <x:c r="Q68" s="12" t="str">
        <x:v>No known hard failure. Cannot verify: reported bedrooms.</x:v>
      </x:c>
      <x:c r="R68" s="13"/>
    </x:row>
    <x:row r="69" ht="15" hidden="0" customHeight="1">
      <x:c r="A69" s="2" t="str">
        <x:v>S03|12620560</x:v>
      </x:c>
      <x:c r="B69" s="2" t="str">
        <x:v>S03</x:v>
      </x:c>
      <x:c r="C69" s="2" t="str">
        <x:v>12620560</x:v>
      </x:c>
      <x:c r="D69" s="2" t="n">
        <x:v>0</x:v>
      </x:c>
      <x:c r="E69" s="9"/>
      <x:c r="F69" s="2" t="n">
        <x:f>IF(E69="",D69,IF(E69="U","U",IF(AND(ISNUMBER(E69),E69&gt;=0,E69&lt;=3,INT(E69)=E69),E69,"Invalid")))</x:f>
        <x:v>0</x:v>
      </x:c>
      <x:c r="G69" s="2" t="n">
        <x:f>IF(ISNUMBER(F69),1,0)</x:f>
        <x:v>1</x:v>
      </x:c>
      <x:c r="H69" s="2" t="n">
        <x:f>IF(ISNUMBER(F69),IF(F69&gt;=2,1,0),0)</x:f>
        <x:v>0</x:v>
      </x:c>
      <x:c r="I69" s="11" t="n">
        <x:f>IF(ISNUMBER(F69),2^F69-1,0)</x:f>
        <x:v>0</x:v>
      </x:c>
      <x:c r="J69" s="2" t="str">
        <x:v>Retained original 577</x:v>
      </x:c>
      <x:c r="K69" s="10" t="n">
        <x:v>850</x:v>
      </x:c>
      <x:c r="L69" s="10" t="n">
        <x:v>1</x:v>
      </x:c>
      <x:c r="M69" s="10" t="n">
        <x:v>1291</x:v>
      </x:c>
      <x:c r="N69" s="2" t="str">
        <x:v>D10</x:v>
      </x:c>
      <x:c r="O69" s="2" t="str">
        <x:v>hdb flat</x:v>
      </x:c>
      <x:c r="P69" s="2" t="str">
        <x:v>https://www.propertyguru.com.sg/listing/hdb-for-rent-1-queen-s-road-12620560</x:v>
      </x:c>
      <x:c r="Q69" s="12" t="str">
        <x:v>Hard failure: Reported bedrooms 1; required &gt;= 2.</x:v>
      </x:c>
      <x:c r="R69" s="13"/>
    </x:row>
    <x:row r="70" ht="36" hidden="0" customHeight="1">
      <x:c r="A70" s="2" t="str">
        <x:v>S03|21789856</x:v>
      </x:c>
      <x:c r="B70" s="2" t="str">
        <x:v>S03</x:v>
      </x:c>
      <x:c r="C70" s="2" t="str">
        <x:v>21789856</x:v>
      </x:c>
      <x:c r="D70" s="2" t="n">
        <x:v>1</x:v>
      </x:c>
      <x:c r="E70" s="9"/>
      <x:c r="F70" s="2" t="n">
        <x:f>IF(E70="",D70,IF(E70="U","U",IF(AND(ISNUMBER(E70),E70&gt;=0,E70&lt;=3,INT(E70)=E70),E70,"Invalid")))</x:f>
        <x:v>1</x:v>
      </x:c>
      <x:c r="G70" s="2" t="n">
        <x:f>IF(ISNUMBER(F70),1,0)</x:f>
        <x:v>1</x:v>
      </x:c>
      <x:c r="H70" s="2" t="n">
        <x:f>IF(ISNUMBER(F70),IF(F70&gt;=2,1,0),0)</x:f>
        <x:v>0</x:v>
      </x:c>
      <x:c r="I70" s="11" t="n">
        <x:f>IF(ISNUMBER(F70),2^F70-1,0)</x:f>
        <x:v>1</x:v>
      </x:c>
      <x:c r="J70" s="2" t="str">
        <x:v>Retained original 577</x:v>
      </x:c>
      <x:c r="K70" s="10" t="n">
        <x:v>2250</x:v>
      </x:c>
      <x:c r="L70" s="10" t="n">
        <x:v>2</x:v>
      </x:c>
      <x:c r="M70" s="10" t="n">
        <x:v>645</x:v>
      </x:c>
      <x:c r="N70" s="2" t="str">
        <x:v>D20</x:v>
      </x:c>
      <x:c r="O70" s="2" t="str">
        <x:v>hdb flat</x:v>
      </x:c>
      <x:c r="P70" s="2" t="str">
        <x:v>https://www.propertyguru.com.sg/listing/hdb-for-rent-137-bishan-street-12-21789856</x:v>
      </x:c>
      <x:c r="Q70" s="12" t="str">
        <x:v>Hard requirements pass. D20, SGD 2,250/month. The primary D05 preference is unmet. Lower rent cannot establish a strong location fit; other districts remain hard-eligible.</x:v>
      </x:c>
      <x:c r="R70" s="13"/>
    </x:row>
    <x:row r="71" ht="15" hidden="0" customHeight="1">
      <x:c r="A71" s="2" t="str">
        <x:v>S03|21320657</x:v>
      </x:c>
      <x:c r="B71" s="2" t="str">
        <x:v>S03</x:v>
      </x:c>
      <x:c r="C71" s="2" t="str">
        <x:v>21320657</x:v>
      </x:c>
      <x:c r="D71" s="2" t="n">
        <x:v>0</x:v>
      </x:c>
      <x:c r="E71" s="9"/>
      <x:c r="F71" s="2" t="n">
        <x:f>IF(E71="",D71,IF(E71="U","U",IF(AND(ISNUMBER(E71),E71&gt;=0,E71&lt;=3,INT(E71)=E71),E71,"Invalid")))</x:f>
        <x:v>0</x:v>
      </x:c>
      <x:c r="G71" s="2" t="n">
        <x:f>IF(ISNUMBER(F71),1,0)</x:f>
        <x:v>1</x:v>
      </x:c>
      <x:c r="H71" s="2" t="n">
        <x:f>IF(ISNUMBER(F71),IF(F71&gt;=2,1,0),0)</x:f>
        <x:v>0</x:v>
      </x:c>
      <x:c r="I71" s="11" t="n">
        <x:f>IF(ISNUMBER(F71),2^F71-1,0)</x:f>
        <x:v>0</x:v>
      </x:c>
      <x:c r="J71" s="2" t="str">
        <x:v>Retained original 577</x:v>
      </x:c>
      <x:c r="K71" s="10" t="n">
        <x:v>2200</x:v>
      </x:c>
      <x:c r="L71" s="10" t="n">
        <x:v>1</x:v>
      </x:c>
      <x:c r="M71" s="10" t="n">
        <x:v>377</x:v>
      </x:c>
      <x:c r="N71" s="2" t="str">
        <x:v>D18</x:v>
      </x:c>
      <x:c r="O71" s="2" t="str">
        <x:v>condominium</x:v>
      </x:c>
      <x:c r="P71" s="2" t="str">
        <x:v>https://www.propertyguru.com.sg/listing/for-rent-the-santorini-21320657</x:v>
      </x:c>
      <x:c r="Q71" s="12" t="str">
        <x:v>Hard failure: Reported bedrooms 1; required &gt;= 2.</x:v>
      </x:c>
      <x:c r="R71" s="13"/>
    </x:row>
    <x:row r="72" ht="36" hidden="0" customHeight="1">
      <x:c r="A72" s="2" t="str">
        <x:v>S03|24181068</x:v>
      </x:c>
      <x:c r="B72" s="2" t="str">
        <x:v>S03</x:v>
      </x:c>
      <x:c r="C72" s="2" t="str">
        <x:v>24181068</x:v>
      </x:c>
      <x:c r="D72" s="2" t="n">
        <x:v>1</x:v>
      </x:c>
      <x:c r="E72" s="9"/>
      <x:c r="F72" s="2" t="n">
        <x:f>IF(E72="",D72,IF(E72="U","U",IF(AND(ISNUMBER(E72),E72&gt;=0,E72&lt;=3,INT(E72)=E72),E72,"Invalid")))</x:f>
        <x:v>1</x:v>
      </x:c>
      <x:c r="G72" s="2" t="n">
        <x:f>IF(ISNUMBER(F72),1,0)</x:f>
        <x:v>1</x:v>
      </x:c>
      <x:c r="H72" s="2" t="n">
        <x:f>IF(ISNUMBER(F72),IF(F72&gt;=2,1,0),0)</x:f>
        <x:v>0</x:v>
      </x:c>
      <x:c r="I72" s="11" t="n">
        <x:f>IF(ISNUMBER(F72),2^F72-1,0)</x:f>
        <x:v>1</x:v>
      </x:c>
      <x:c r="J72" s="2" t="str">
        <x:v>Retained original 577</x:v>
      </x:c>
      <x:c r="K72" s="10" t="n">
        <x:v>2400</x:v>
      </x:c>
      <x:c r="L72" s="10" t="n">
        <x:v>2</x:v>
      </x:c>
      <x:c r="M72" s="10" t="n">
        <x:v>732</x:v>
      </x:c>
      <x:c r="N72" s="2" t="str">
        <x:v>D27</x:v>
      </x:c>
      <x:c r="O72" s="2" t="str">
        <x:v>hdb flat</x:v>
      </x:c>
      <x:c r="P72" s="2" t="str">
        <x:v>https://www.propertyguru.com.sg/listing/hdb-for-rent-134-yishun-street-11-24181068</x:v>
      </x:c>
      <x:c r="Q72" s="12" t="str">
        <x:v>Hard requirements pass. D27, SGD 2,400/month. The primary D05 preference is unmet. Lower rent cannot establish a strong location fit; other districts remain hard-eligible.</x:v>
      </x:c>
      <x:c r="R72" s="13"/>
    </x:row>
    <x:row r="73" ht="36" hidden="0" customHeight="1">
      <x:c r="A73" s="2" t="str">
        <x:v>S03|500127611</x:v>
      </x:c>
      <x:c r="B73" s="2" t="str">
        <x:v>S03</x:v>
      </x:c>
      <x:c r="C73" s="2" t="str">
        <x:v>500127611</x:v>
      </x:c>
      <x:c r="D73" s="2" t="n">
        <x:v>1</x:v>
      </x:c>
      <x:c r="E73" s="9"/>
      <x:c r="F73" s="2" t="n">
        <x:f>IF(E73="",D73,IF(E73="U","U",IF(AND(ISNUMBER(E73),E73&gt;=0,E73&lt;=3,INT(E73)=E73),E73,"Invalid")))</x:f>
        <x:v>1</x:v>
      </x:c>
      <x:c r="G73" s="2" t="n">
        <x:f>IF(ISNUMBER(F73),1,0)</x:f>
        <x:v>1</x:v>
      </x:c>
      <x:c r="H73" s="2" t="n">
        <x:f>IF(ISNUMBER(F73),IF(F73&gt;=2,1,0),0)</x:f>
        <x:v>0</x:v>
      </x:c>
      <x:c r="I73" s="11" t="n">
        <x:f>IF(ISNUMBER(F73),2^F73-1,0)</x:f>
        <x:v>1</x:v>
      </x:c>
      <x:c r="J73" s="2" t="str">
        <x:v>Retained original 577</x:v>
      </x:c>
      <x:c r="K73" s="10" t="n">
        <x:v>1450</x:v>
      </x:c>
      <x:c r="L73" s="10" t="n">
        <x:v>2</x:v>
      </x:c>
      <x:c r="M73" s="10" t="n">
        <x:v>100</x:v>
      </x:c>
      <x:c r="N73" s="2" t="str">
        <x:v>D10</x:v>
      </x:c>
      <x:c r="O73" s="2" t="str">
        <x:v>walk-up apartment</x:v>
      </x:c>
      <x:c r="P73" s="2" t="str">
        <x:v>https://www.propertyguru.com.sg/listing/for-rent-sixth-avenue-walk-up-apartment-500127611</x:v>
      </x:c>
      <x:c r="Q73" s="12" t="str">
        <x:v>Hard requirements pass. D10, SGD 1,450/month. The primary D05 preference is unmet. Lower rent cannot establish a strong location fit; other districts remain hard-eligible.</x:v>
      </x:c>
      <x:c r="R73" s="13"/>
    </x:row>
    <x:row r="74" ht="36" hidden="0" customHeight="1">
      <x:c r="A74" s="2" t="str">
        <x:v>S03|21026007</x:v>
      </x:c>
      <x:c r="B74" s="2" t="str">
        <x:v>S03</x:v>
      </x:c>
      <x:c r="C74" s="2" t="str">
        <x:v>21026007</x:v>
      </x:c>
      <x:c r="D74" s="2" t="n">
        <x:v>1</x:v>
      </x:c>
      <x:c r="E74" s="9"/>
      <x:c r="F74" s="2" t="n">
        <x:f>IF(E74="",D74,IF(E74="U","U",IF(AND(ISNUMBER(E74),E74&gt;=0,E74&lt;=3,INT(E74)=E74),E74,"Invalid")))</x:f>
        <x:v>1</x:v>
      </x:c>
      <x:c r="G74" s="2" t="n">
        <x:f>IF(ISNUMBER(F74),1,0)</x:f>
        <x:v>1</x:v>
      </x:c>
      <x:c r="H74" s="2" t="n">
        <x:f>IF(ISNUMBER(F74),IF(F74&gt;=2,1,0),0)</x:f>
        <x:v>0</x:v>
      </x:c>
      <x:c r="I74" s="11" t="n">
        <x:f>IF(ISNUMBER(F74),2^F74-1,0)</x:f>
        <x:v>1</x:v>
      </x:c>
      <x:c r="J74" s="2" t="str">
        <x:v>Retained original 577</x:v>
      </x:c>
      <x:c r="K74" s="10" t="n">
        <x:v>450</x:v>
      </x:c>
      <x:c r="L74" s="10" t="n">
        <x:v>3</x:v>
      </x:c>
      <x:c r="M74" s="10" t="n">
        <x:v>100</x:v>
      </x:c>
      <x:c r="N74" s="2" t="str">
        <x:v>D25</x:v>
      </x:c>
      <x:c r="O74" s="2" t="str">
        <x:v>hdb flat</x:v>
      </x:c>
      <x:c r="P74" s="2" t="str">
        <x:v>https://www.propertyguru.com.sg/listing/hdb-for-rent-764a-woodlands-circle-21026007</x:v>
      </x:c>
      <x:c r="Q74" s="12" t="str">
        <x:v>Hard requirements pass. D25, SGD 450/month. The primary D05 preference is unmet. Lower rent cannot establish a strong location fit; other districts remain hard-eligible.</x:v>
      </x:c>
      <x:c r="R74" s="13"/>
    </x:row>
    <x:row r="75" ht="15" hidden="0" customHeight="1">
      <x:c r="A75" s="2" t="str">
        <x:v>S03|25408130</x:v>
      </x:c>
      <x:c r="B75" s="2" t="str">
        <x:v>S03</x:v>
      </x:c>
      <x:c r="C75" s="2" t="str">
        <x:v>25408130</x:v>
      </x:c>
      <x:c r="D75" s="2" t="str">
        <x:v>U</x:v>
      </x:c>
      <x:c r="E75" s="9"/>
      <x:c r="F75" s="2" t="str">
        <x:f>IF(E75="",D75,IF(E75="U","U",IF(AND(ISNUMBER(E75),E75&gt;=0,E75&lt;=3,INT(E75)=E75),E75,"Invalid")))</x:f>
        <x:v>U</x:v>
      </x:c>
      <x:c r="G75" s="2" t="n">
        <x:f>IF(ISNUMBER(F75),1,0)</x:f>
        <x:v>0</x:v>
      </x:c>
      <x:c r="H75" s="2" t="n">
        <x:f>IF(ISNUMBER(F75),IF(F75&gt;=2,1,0),0)</x:f>
        <x:v>0</x:v>
      </x:c>
      <x:c r="I75" s="11" t="n">
        <x:f>IF(ISNUMBER(F75),2^F75-1,0)</x:f>
        <x:v>0</x:v>
      </x:c>
      <x:c r="J75" s="2" t="str">
        <x:v>Retained original 577</x:v>
      </x:c>
      <x:c r="K75" s="10" t="n">
        <x:v>2400</x:v>
      </x:c>
      <x:c r="L75" s="10"/>
      <x:c r="M75" s="10" t="n">
        <x:v>150</x:v>
      </x:c>
      <x:c r="N75" s="2" t="str">
        <x:v>D09</x:v>
      </x:c>
      <x:c r="O75" s="2" t="str">
        <x:v>apartment</x:v>
      </x:c>
      <x:c r="P75" s="2" t="str">
        <x:v>https://www.propertyguru.com.sg/listing/for-rent-coliwoo-river-valley-288-various-types-of-rooms-25408130</x:v>
      </x:c>
      <x:c r="Q75" s="12" t="str">
        <x:v>No known hard failure. Cannot verify: reported bedrooms.</x:v>
      </x:c>
      <x:c r="R75" s="13"/>
    </x:row>
    <x:row r="76" ht="36" hidden="0" customHeight="1">
      <x:c r="A76" s="2" t="str">
        <x:v>S03|60023928</x:v>
      </x:c>
      <x:c r="B76" s="2" t="str">
        <x:v>S03</x:v>
      </x:c>
      <x:c r="C76" s="2" t="str">
        <x:v>60023928</x:v>
      </x:c>
      <x:c r="D76" s="2" t="n">
        <x:v>1</x:v>
      </x:c>
      <x:c r="E76" s="9"/>
      <x:c r="F76" s="2" t="n">
        <x:f>IF(E76="",D76,IF(E76="U","U",IF(AND(ISNUMBER(E76),E76&gt;=0,E76&lt;=3,INT(E76)=E76),E76,"Invalid")))</x:f>
        <x:v>1</x:v>
      </x:c>
      <x:c r="G76" s="2" t="n">
        <x:f>IF(ISNUMBER(F76),1,0)</x:f>
        <x:v>1</x:v>
      </x:c>
      <x:c r="H76" s="2" t="n">
        <x:f>IF(ISNUMBER(F76),IF(F76&gt;=2,1,0),0)</x:f>
        <x:v>0</x:v>
      </x:c>
      <x:c r="I76" s="11" t="n">
        <x:f>IF(ISNUMBER(F76),2^F76-1,0)</x:f>
        <x:v>1</x:v>
      </x:c>
      <x:c r="J76" s="2" t="str">
        <x:v>Retained original 577</x:v>
      </x:c>
      <x:c r="K76" s="10" t="n">
        <x:v>800</x:v>
      </x:c>
      <x:c r="L76" s="10" t="n">
        <x:v>2</x:v>
      </x:c>
      <x:c r="M76" s="10" t="n">
        <x:v>120</x:v>
      </x:c>
      <x:c r="N76" s="2" t="str">
        <x:v>D27</x:v>
      </x:c>
      <x:c r="O76" s="2" t="str">
        <x:v>hdb flat</x:v>
      </x:c>
      <x:c r="P76" s="2" t="str">
        <x:v>https://www.propertyguru.com.sg/listing/hdb-for-rent-203-yishun-street-21-60023928</x:v>
      </x:c>
      <x:c r="Q76" s="12" t="str">
        <x:v>Hard requirements pass. D27, SGD 800/month. The primary D05 preference is unmet. Lower rent cannot establish a strong location fit; other districts remain hard-eligible.</x:v>
      </x:c>
      <x:c r="R76" s="13"/>
    </x:row>
    <x:row r="77" ht="36" hidden="0" customHeight="1">
      <x:c r="A77" s="2" t="str">
        <x:v>S03|25549139</x:v>
      </x:c>
      <x:c r="B77" s="2" t="str">
        <x:v>S03</x:v>
      </x:c>
      <x:c r="C77" s="2" t="str">
        <x:v>25549139</x:v>
      </x:c>
      <x:c r="D77" s="2" t="n">
        <x:v>1</x:v>
      </x:c>
      <x:c r="E77" s="9"/>
      <x:c r="F77" s="2" t="n">
        <x:f>IF(E77="",D77,IF(E77="U","U",IF(AND(ISNUMBER(E77),E77&gt;=0,E77&lt;=3,INT(E77)=E77),E77,"Invalid")))</x:f>
        <x:v>1</x:v>
      </x:c>
      <x:c r="G77" s="2" t="n">
        <x:f>IF(ISNUMBER(F77),1,0)</x:f>
        <x:v>1</x:v>
      </x:c>
      <x:c r="H77" s="2" t="n">
        <x:f>IF(ISNUMBER(F77),IF(F77&gt;=2,1,0),0)</x:f>
        <x:v>0</x:v>
      </x:c>
      <x:c r="I77" s="11" t="n">
        <x:f>IF(ISNUMBER(F77),2^F77-1,0)</x:f>
        <x:v>1</x:v>
      </x:c>
      <x:c r="J77" s="2" t="str">
        <x:v>Retained original 577</x:v>
      </x:c>
      <x:c r="K77" s="10" t="n">
        <x:v>1150</x:v>
      </x:c>
      <x:c r="L77" s="10" t="n">
        <x:v>6</x:v>
      </x:c>
      <x:c r="M77" s="10" t="n">
        <x:v>120</x:v>
      </x:c>
      <x:c r="N77" s="2" t="str">
        <x:v>D22</x:v>
      </x:c>
      <x:c r="O77" s="2" t="str">
        <x:v>condominium</x:v>
      </x:c>
      <x:c r="P77" s="2" t="str">
        <x:v>https://www.propertyguru.com.sg/listing/for-rent-parc-oasis-25549139</x:v>
      </x:c>
      <x:c r="Q77" s="12" t="str">
        <x:v>Hard requirements pass. D22, SGD 1,150/month. The primary D05 preference is unmet. Lower rent cannot establish a strong location fit; other districts remain hard-eligible.</x:v>
      </x:c>
      <x:c r="R77" s="13"/>
    </x:row>
    <x:row r="78" ht="36" hidden="0" customHeight="1">
      <x:c r="A78" s="2" t="str">
        <x:v>S03|25544801</x:v>
      </x:c>
      <x:c r="B78" s="2" t="str">
        <x:v>S03</x:v>
      </x:c>
      <x:c r="C78" s="2" t="str">
        <x:v>25544801</x:v>
      </x:c>
      <x:c r="D78" s="2" t="n">
        <x:v>1</x:v>
      </x:c>
      <x:c r="E78" s="9"/>
      <x:c r="F78" s="2" t="n">
        <x:f>IF(E78="",D78,IF(E78="U","U",IF(AND(ISNUMBER(E78),E78&gt;=0,E78&lt;=3,INT(E78)=E78),E78,"Invalid")))</x:f>
        <x:v>1</x:v>
      </x:c>
      <x:c r="G78" s="2" t="n">
        <x:f>IF(ISNUMBER(F78),1,0)</x:f>
        <x:v>1</x:v>
      </x:c>
      <x:c r="H78" s="2" t="n">
        <x:f>IF(ISNUMBER(F78),IF(F78&gt;=2,1,0),0)</x:f>
        <x:v>0</x:v>
      </x:c>
      <x:c r="I78" s="11" t="n">
        <x:f>IF(ISNUMBER(F78),2^F78-1,0)</x:f>
        <x:v>1</x:v>
      </x:c>
      <x:c r="J78" s="2" t="str">
        <x:v>Retained original 577</x:v>
      </x:c>
      <x:c r="K78" s="10" t="n">
        <x:v>950</x:v>
      </x:c>
      <x:c r="L78" s="10" t="n">
        <x:v>7</x:v>
      </x:c>
      <x:c r="M78" s="10" t="n">
        <x:v>100</x:v>
      </x:c>
      <x:c r="N78" s="2" t="str">
        <x:v>D16</x:v>
      </x:c>
      <x:c r="O78" s="2" t="str">
        <x:v>condominium</x:v>
      </x:c>
      <x:c r="P78" s="2" t="str">
        <x:v>https://www.propertyguru.com.sg/listing/for-rent-the-bayshore-25544801</x:v>
      </x:c>
      <x:c r="Q78" s="12" t="str">
        <x:v>Hard requirements pass. D16, SGD 950/month. The primary D05 preference is unmet. Lower rent cannot establish a strong location fit; other districts remain hard-eligible.</x:v>
      </x:c>
      <x:c r="R78" s="13"/>
    </x:row>
    <x:row r="79" ht="36" hidden="0" customHeight="1">
      <x:c r="A79" s="2" t="str">
        <x:v>S03|24215747</x:v>
      </x:c>
      <x:c r="B79" s="2" t="str">
        <x:v>S03</x:v>
      </x:c>
      <x:c r="C79" s="2" t="str">
        <x:v>24215747</x:v>
      </x:c>
      <x:c r="D79" s="2" t="n">
        <x:v>1</x:v>
      </x:c>
      <x:c r="E79" s="9"/>
      <x:c r="F79" s="2" t="n">
        <x:f>IF(E79="",D79,IF(E79="U","U",IF(AND(ISNUMBER(E79),E79&gt;=0,E79&lt;=3,INT(E79)=E79),E79,"Invalid")))</x:f>
        <x:v>1</x:v>
      </x:c>
      <x:c r="G79" s="2" t="n">
        <x:f>IF(ISNUMBER(F79),1,0)</x:f>
        <x:v>1</x:v>
      </x:c>
      <x:c r="H79" s="2" t="n">
        <x:f>IF(ISNUMBER(F79),IF(F79&gt;=2,1,0),0)</x:f>
        <x:v>0</x:v>
      </x:c>
      <x:c r="I79" s="11" t="n">
        <x:f>IF(ISNUMBER(F79),2^F79-1,0)</x:f>
        <x:v>1</x:v>
      </x:c>
      <x:c r="J79" s="2" t="str">
        <x:v>Retained original 577</x:v>
      </x:c>
      <x:c r="K79" s="10" t="n">
        <x:v>2300</x:v>
      </x:c>
      <x:c r="L79" s="10" t="n">
        <x:v>2</x:v>
      </x:c>
      <x:c r="M79" s="10" t="n">
        <x:v>904</x:v>
      </x:c>
      <x:c r="N79" s="2" t="str">
        <x:v>D27</x:v>
      </x:c>
      <x:c r="O79" s="2" t="str">
        <x:v>hdb flat</x:v>
      </x:c>
      <x:c r="P79" s="2" t="str">
        <x:v>https://www.propertyguru.com.sg/listing/hdb-for-rent-423-yishun-avenue-11-24215747</x:v>
      </x:c>
      <x:c r="Q79" s="12" t="str">
        <x:v>Hard requirements pass. D27, SGD 2,300/month. The primary D05 preference is unmet. Lower rent cannot establish a strong location fit; other districts remain hard-eligible.</x:v>
      </x:c>
      <x:c r="R79" s="13"/>
    </x:row>
    <x:row r="80" ht="36" hidden="0" customHeight="1">
      <x:c r="A80" s="2" t="str">
        <x:v>S03|60060332</x:v>
      </x:c>
      <x:c r="B80" s="2" t="str">
        <x:v>S03</x:v>
      </x:c>
      <x:c r="C80" s="2" t="str">
        <x:v>60060332</x:v>
      </x:c>
      <x:c r="D80" s="2" t="n">
        <x:v>1</x:v>
      </x:c>
      <x:c r="E80" s="9"/>
      <x:c r="F80" s="2" t="n">
        <x:f>IF(E80="",D80,IF(E80="U","U",IF(AND(ISNUMBER(E80),E80&gt;=0,E80&lt;=3,INT(E80)=E80),E80,"Invalid")))</x:f>
        <x:v>1</x:v>
      </x:c>
      <x:c r="G80" s="2" t="n">
        <x:f>IF(ISNUMBER(F80),1,0)</x:f>
        <x:v>1</x:v>
      </x:c>
      <x:c r="H80" s="2" t="n">
        <x:f>IF(ISNUMBER(F80),IF(F80&gt;=2,1,0),0)</x:f>
        <x:v>0</x:v>
      </x:c>
      <x:c r="I80" s="11" t="n">
        <x:f>IF(ISNUMBER(F80),2^F80-1,0)</x:f>
        <x:v>1</x:v>
      </x:c>
      <x:c r="J80" s="2" t="str">
        <x:v>Retained original 577</x:v>
      </x:c>
      <x:c r="K80" s="10" t="n">
        <x:v>2400</x:v>
      </x:c>
      <x:c r="L80" s="10" t="n">
        <x:v>2</x:v>
      </x:c>
      <x:c r="M80" s="10" t="n">
        <x:v>800</x:v>
      </x:c>
      <x:c r="N80" s="2" t="str">
        <x:v>D19</x:v>
      </x:c>
      <x:c r="O80" s="2" t="str">
        <x:v>hdb flat</x:v>
      </x:c>
      <x:c r="P80" s="2" t="str">
        <x:v>https://www.propertyguru.com.sg/listing/hdb-for-rent-239-hougang-street-22-60060332</x:v>
      </x:c>
      <x:c r="Q80" s="12" t="str">
        <x:v>Hard requirements pass. D19, SGD 2,400/month. The primary D05 preference is unmet. Lower rent cannot establish a strong location fit; other districts remain hard-eligible.</x:v>
      </x:c>
      <x:c r="R80" s="13"/>
    </x:row>
    <x:row r="81" ht="15" hidden="0" customHeight="1">
      <x:c r="A81" s="2" t="str">
        <x:v>S04|21707927</x:v>
      </x:c>
      <x:c r="B81" s="2" t="str">
        <x:v>S04</x:v>
      </x:c>
      <x:c r="C81" s="2" t="str">
        <x:v>21707927</x:v>
      </x:c>
      <x:c r="D81" s="2" t="n">
        <x:v>0</x:v>
      </x:c>
      <x:c r="E81" s="9"/>
      <x:c r="F81" s="2" t="n">
        <x:f>IF(E81="",D81,IF(E81="U","U",IF(AND(ISNUMBER(E81),E81&gt;=0,E81&lt;=3,INT(E81)=E81),E81,"Invalid")))</x:f>
        <x:v>0</x:v>
      </x:c>
      <x:c r="G81" s="2" t="n">
        <x:f>IF(ISNUMBER(F81),1,0)</x:f>
        <x:v>1</x:v>
      </x:c>
      <x:c r="H81" s="2" t="n">
        <x:f>IF(ISNUMBER(F81),IF(F81&gt;=2,1,0),0)</x:f>
        <x:v>0</x:v>
      </x:c>
      <x:c r="I81" s="11" t="n">
        <x:f>IF(ISNUMBER(F81),2^F81-1,0)</x:f>
        <x:v>0</x:v>
      </x:c>
      <x:c r="J81" s="2" t="str">
        <x:v>Retained original 577</x:v>
      </x:c>
      <x:c r="K81" s="10" t="n">
        <x:v>3600</x:v>
      </x:c>
      <x:c r="L81" s="10" t="n">
        <x:v>1</x:v>
      </x:c>
      <x:c r="M81" s="10" t="n">
        <x:v>700</x:v>
      </x:c>
      <x:c r="N81" s="2" t="str">
        <x:v>D05</x:v>
      </x:c>
      <x:c r="O81" s="2" t="str">
        <x:v>condominium</x:v>
      </x:c>
      <x:c r="P81" s="2" t="str">
        <x:v>https://www.propertyguru.com.sg/listing/for-rent-viva-vista-21707927</x:v>
      </x:c>
      <x:c r="Q81" s="12" t="str">
        <x:v>Hard failure: Reported bedrooms 1; required &gt;= 2.</x:v>
      </x:c>
      <x:c r="R81" s="13"/>
    </x:row>
    <x:row r="82" ht="24" hidden="0" customHeight="1">
      <x:c r="A82" s="2" t="str">
        <x:v>S04|25621373</x:v>
      </x:c>
      <x:c r="B82" s="2" t="str">
        <x:v>S04</x:v>
      </x:c>
      <x:c r="C82" s="2" t="str">
        <x:v>25621373</x:v>
      </x:c>
      <x:c r="D82" s="2" t="n">
        <x:v>1</x:v>
      </x:c>
      <x:c r="E82" s="9"/>
      <x:c r="F82" s="2" t="n">
        <x:f>IF(E82="",D82,IF(E82="U","U",IF(AND(ISNUMBER(E82),E82&gt;=0,E82&lt;=3,INT(E82)=E82),E82,"Invalid")))</x:f>
        <x:v>1</x:v>
      </x:c>
      <x:c r="G82" s="2" t="n">
        <x:f>IF(ISNUMBER(F82),1,0)</x:f>
        <x:v>1</x:v>
      </x:c>
      <x:c r="H82" s="2" t="n">
        <x:f>IF(ISNUMBER(F82),IF(F82&gt;=2,1,0),0)</x:f>
        <x:v>0</x:v>
      </x:c>
      <x:c r="I82" s="11" t="n">
        <x:f>IF(ISNUMBER(F82),2^F82-1,0)</x:f>
        <x:v>1</x:v>
      </x:c>
      <x:c r="J82" s="2" t="str">
        <x:v>Retained original 577</x:v>
      </x:c>
      <x:c r="K82" s="10" t="n">
        <x:v>3800</x:v>
      </x:c>
      <x:c r="L82" s="10" t="n">
        <x:v>2</x:v>
      </x:c>
      <x:c r="M82" s="10" t="n">
        <x:v>570</x:v>
      </x:c>
      <x:c r="N82" s="2" t="str">
        <x:v>D05</x:v>
      </x:c>
      <x:c r="O82" s="2" t="str">
        <x:v>apartment</x:v>
      </x:c>
      <x:c r="P82" s="2" t="str">
        <x:v>https://www.propertyguru.com.sg/listing/for-rent-icon-pasir-panjang-25621373</x:v>
      </x:c>
      <x:c r="Q82" s="12" t="str">
        <x:v>Hard requirements pass. area 570 sqft, SGD 3,800/month. Small reported area despite the primary preference for space; stronger alternatives exist.</x:v>
      </x:c>
      <x:c r="R82" s="13"/>
    </x:row>
    <x:row r="83" ht="24" hidden="0" customHeight="1">
      <x:c r="A83" s="2" t="str">
        <x:v>S04|500256005</x:v>
      </x:c>
      <x:c r="B83" s="2" t="str">
        <x:v>S04</x:v>
      </x:c>
      <x:c r="C83" s="2" t="str">
        <x:v>500256005</x:v>
      </x:c>
      <x:c r="D83" s="2" t="n">
        <x:v>1</x:v>
      </x:c>
      <x:c r="E83" s="9"/>
      <x:c r="F83" s="2" t="n">
        <x:f>IF(E83="",D83,IF(E83="U","U",IF(AND(ISNUMBER(E83),E83&gt;=0,E83&lt;=3,INT(E83)=E83),E83,"Invalid")))</x:f>
        <x:v>1</x:v>
      </x:c>
      <x:c r="G83" s="2" t="n">
        <x:f>IF(ISNUMBER(F83),1,0)</x:f>
        <x:v>1</x:v>
      </x:c>
      <x:c r="H83" s="2" t="n">
        <x:f>IF(ISNUMBER(F83),IF(F83&gt;=2,1,0),0)</x:f>
        <x:v>0</x:v>
      </x:c>
      <x:c r="I83" s="11" t="n">
        <x:f>IF(ISNUMBER(F83),2^F83-1,0)</x:f>
        <x:v>1</x:v>
      </x:c>
      <x:c r="J83" s="2" t="str">
        <x:v>Retained original 577</x:v>
      </x:c>
      <x:c r="K83" s="10" t="n">
        <x:v>3100</x:v>
      </x:c>
      <x:c r="L83" s="10" t="n">
        <x:v>2</x:v>
      </x:c>
      <x:c r="M83" s="10" t="n">
        <x:v>67</x:v>
      </x:c>
      <x:c r="N83" s="2" t="str">
        <x:v>D05</x:v>
      </x:c>
      <x:c r="O83" s="2" t="str">
        <x:v>hdb flat</x:v>
      </x:c>
      <x:c r="P83" s="2" t="str">
        <x:v>https://www.propertyguru.com.sg/listing/hdb-for-rent-351-clementi-avenue-2-500256005</x:v>
      </x:c>
      <x:c r="Q83" s="12" t="str">
        <x:v>Hard requirements pass. area 67 sqft, SGD 3,100/month. Small reported area despite the primary preference for space; stronger alternatives exist.</x:v>
      </x:c>
      <x:c r="R83" s="13"/>
    </x:row>
    <x:row r="84" ht="15" hidden="0" customHeight="1">
      <x:c r="A84" s="2" t="str">
        <x:v>S04|24205038</x:v>
      </x:c>
      <x:c r="B84" s="2" t="str">
        <x:v>S04</x:v>
      </x:c>
      <x:c r="C84" s="2" t="str">
        <x:v>24205038</x:v>
      </x:c>
      <x:c r="D84" s="2" t="n">
        <x:v>0</x:v>
      </x:c>
      <x:c r="E84" s="9"/>
      <x:c r="F84" s="2" t="n">
        <x:f>IF(E84="",D84,IF(E84="U","U",IF(AND(ISNUMBER(E84),E84&gt;=0,E84&lt;=3,INT(E84)=E84),E84,"Invalid")))</x:f>
        <x:v>0</x:v>
      </x:c>
      <x:c r="G84" s="2" t="n">
        <x:f>IF(ISNUMBER(F84),1,0)</x:f>
        <x:v>1</x:v>
      </x:c>
      <x:c r="H84" s="2" t="n">
        <x:f>IF(ISNUMBER(F84),IF(F84&gt;=2,1,0),0)</x:f>
        <x:v>0</x:v>
      </x:c>
      <x:c r="I84" s="11" t="n">
        <x:f>IF(ISNUMBER(F84),2^F84-1,0)</x:f>
        <x:v>0</x:v>
      </x:c>
      <x:c r="J84" s="2" t="str">
        <x:v>Retained original 577</x:v>
      </x:c>
      <x:c r="K84" s="10" t="n">
        <x:v>1590</x:v>
      </x:c>
      <x:c r="L84" s="10" t="n">
        <x:v>1</x:v>
      </x:c>
      <x:c r="M84" s="10" t="n">
        <x:v>150</x:v>
      </x:c>
      <x:c r="N84" s="2" t="str">
        <x:v>D05</x:v>
      </x:c>
      <x:c r="O84" s="2" t="str">
        <x:v>terraced house</x:v>
      </x:c>
      <x:c r="P84" s="2" t="str">
        <x:v>https://www.propertyguru.com.sg/listing/for-rent-west-coast-drive-24205038</x:v>
      </x:c>
      <x:c r="Q84" s="12" t="str">
        <x:v>Hard failure: Reported bedrooms 1; required &gt;= 2.</x:v>
      </x:c>
      <x:c r="R84" s="13"/>
    </x:row>
    <x:row r="85" ht="15" hidden="0" customHeight="1">
      <x:c r="A85" s="2" t="str">
        <x:v>S04|500279678</x:v>
      </x:c>
      <x:c r="B85" s="2" t="str">
        <x:v>S04</x:v>
      </x:c>
      <x:c r="C85" s="2" t="str">
        <x:v>500279678</x:v>
      </x:c>
      <x:c r="D85" s="2" t="n">
        <x:v>0</x:v>
      </x:c>
      <x:c r="E85" s="9"/>
      <x:c r="F85" s="2" t="n">
        <x:f>IF(E85="",D85,IF(E85="U","U",IF(AND(ISNUMBER(E85),E85&gt;=0,E85&lt;=3,INT(E85)=E85),E85,"Invalid")))</x:f>
        <x:v>0</x:v>
      </x:c>
      <x:c r="G85" s="2" t="n">
        <x:f>IF(ISNUMBER(F85),1,0)</x:f>
        <x:v>1</x:v>
      </x:c>
      <x:c r="H85" s="2" t="n">
        <x:f>IF(ISNUMBER(F85),IF(F85&gt;=2,1,0),0)</x:f>
        <x:v>0</x:v>
      </x:c>
      <x:c r="I85" s="11" t="n">
        <x:f>IF(ISNUMBER(F85),2^F85-1,0)</x:f>
        <x:v>0</x:v>
      </x:c>
      <x:c r="J85" s="2" t="str">
        <x:v>Retained original 577</x:v>
      </x:c>
      <x:c r="K85" s="10" t="n">
        <x:v>4200</x:v>
      </x:c>
      <x:c r="L85" s="10" t="n">
        <x:v>3</x:v>
      </x:c>
      <x:c r="M85" s="10" t="n">
        <x:v>990</x:v>
      </x:c>
      <x:c r="N85" s="2" t="str">
        <x:v>D05</x:v>
      </x:c>
      <x:c r="O85" s="2" t="str">
        <x:v>hdb flat</x:v>
      </x:c>
      <x:c r="P85" s="2" t="str">
        <x:v>https://www.propertyguru.com.sg/listing/hdb-for-rent-341-clementi-avenue-5-500279678</x:v>
      </x:c>
      <x:c r="Q85" s="12" t="str">
        <x:v>Hard failure: Rent (SGD/month) 4,200; required &lt;= 4,000.</x:v>
      </x:c>
      <x:c r="R85" s="13"/>
    </x:row>
    <x:row r="86" ht="24" hidden="0" customHeight="1">
      <x:c r="A86" s="2" t="str">
        <x:v>S04|60011302</x:v>
      </x:c>
      <x:c r="B86" s="2" t="str">
        <x:v>S04</x:v>
      </x:c>
      <x:c r="C86" s="2" t="str">
        <x:v>60011302</x:v>
      </x:c>
      <x:c r="D86" s="2" t="n">
        <x:v>2</x:v>
      </x:c>
      <x:c r="E86" s="9"/>
      <x:c r="F86" s="2" t="n">
        <x:f>IF(E86="",D86,IF(E86="U","U",IF(AND(ISNUMBER(E86),E86&gt;=0,E86&lt;=3,INT(E86)=E86),E86,"Invalid")))</x:f>
        <x:v>2</x:v>
      </x:c>
      <x:c r="G86" s="2" t="n">
        <x:f>IF(ISNUMBER(F86),1,0)</x:f>
        <x:v>1</x:v>
      </x:c>
      <x:c r="H86" s="2" t="n">
        <x:f>IF(ISNUMBER(F86),IF(F86&gt;=2,1,0),0)</x:f>
        <x:v>1</x:v>
      </x:c>
      <x:c r="I86" s="11" t="n">
        <x:f>IF(ISNUMBER(F86),2^F86-1,0)</x:f>
        <x:v>3</x:v>
      </x:c>
      <x:c r="J86" s="2" t="str">
        <x:v>Retained original 577</x:v>
      </x:c>
      <x:c r="K86" s="10" t="n">
        <x:v>3600</x:v>
      </x:c>
      <x:c r="L86" s="10" t="n">
        <x:v>2</x:v>
      </x:c>
      <x:c r="M86" s="10" t="n">
        <x:v>861</x:v>
      </x:c>
      <x:c r="N86" s="2" t="str">
        <x:v>D05</x:v>
      </x:c>
      <x:c r="O86" s="2" t="str">
        <x:v>hdb flat</x:v>
      </x:c>
      <x:c r="P86" s="2" t="str">
        <x:v>https://www.propertyguru.com.sg/listing/hdb-for-rent-450-clementi-avenue-3-60011302</x:v>
      </x:c>
      <x:c r="Q86" s="12" t="str">
        <x:v>Hard requirements pass. area 861 sqft, SGD 3,600/month. A workable space-and-rent trade-off, with larger or better-balanced alternatives in the set.</x:v>
      </x:c>
      <x:c r="R86" s="13"/>
    </x:row>
    <x:row r="87" ht="15" hidden="0" customHeight="1">
      <x:c r="A87" s="2" t="str">
        <x:v>S04|23810065</x:v>
      </x:c>
      <x:c r="B87" s="2" t="str">
        <x:v>S04</x:v>
      </x:c>
      <x:c r="C87" s="2" t="str">
        <x:v>23810065</x:v>
      </x:c>
      <x:c r="D87" s="2" t="n">
        <x:v>0</x:v>
      </x:c>
      <x:c r="E87" s="9"/>
      <x:c r="F87" s="2" t="n">
        <x:f>IF(E87="",D87,IF(E87="U","U",IF(AND(ISNUMBER(E87),E87&gt;=0,E87&lt;=3,INT(E87)=E87),E87,"Invalid")))</x:f>
        <x:v>0</x:v>
      </x:c>
      <x:c r="G87" s="2" t="n">
        <x:f>IF(ISNUMBER(F87),1,0)</x:f>
        <x:v>1</x:v>
      </x:c>
      <x:c r="H87" s="2" t="n">
        <x:f>IF(ISNUMBER(F87),IF(F87&gt;=2,1,0),0)</x:f>
        <x:v>0</x:v>
      </x:c>
      <x:c r="I87" s="11" t="n">
        <x:f>IF(ISNUMBER(F87),2^F87-1,0)</x:f>
        <x:v>0</x:v>
      </x:c>
      <x:c r="J87" s="2" t="str">
        <x:v>Retained original 577</x:v>
      </x:c>
      <x:c r="K87" s="10" t="n">
        <x:v>3500</x:v>
      </x:c>
      <x:c r="L87" s="10" t="n">
        <x:v>3</x:v>
      </x:c>
      <x:c r="M87" s="10" t="n">
        <x:v>968</x:v>
      </x:c>
      <x:c r="N87" s="2" t="str">
        <x:v>D19</x:v>
      </x:c>
      <x:c r="O87" s="2" t="str">
        <x:v>hdb flat</x:v>
      </x:c>
      <x:c r="P87" s="2" t="str">
        <x:v>https://www.propertyguru.com.sg/listing/hdb-for-rent-160b-punggol-central-23810065</x:v>
      </x:c>
      <x:c r="Q87" s="12" t="str">
        <x:v>Hard failure: District D19; required = D05.</x:v>
      </x:c>
      <x:c r="R87" s="13"/>
    </x:row>
    <x:row r="88" ht="24" hidden="0" customHeight="1">
      <x:c r="A88" s="2" t="str">
        <x:v>S04|500267173</x:v>
      </x:c>
      <x:c r="B88" s="2" t="str">
        <x:v>S04</x:v>
      </x:c>
      <x:c r="C88" s="2" t="str">
        <x:v>500267173</x:v>
      </x:c>
      <x:c r="D88" s="2" t="n">
        <x:v>2</x:v>
      </x:c>
      <x:c r="E88" s="9"/>
      <x:c r="F88" s="2" t="n">
        <x:f>IF(E88="",D88,IF(E88="U","U",IF(AND(ISNUMBER(E88),E88&gt;=0,E88&lt;=3,INT(E88)=E88),E88,"Invalid")))</x:f>
        <x:v>2</x:v>
      </x:c>
      <x:c r="G88" s="2" t="n">
        <x:f>IF(ISNUMBER(F88),1,0)</x:f>
        <x:v>1</x:v>
      </x:c>
      <x:c r="H88" s="2" t="n">
        <x:f>IF(ISNUMBER(F88),IF(F88&gt;=2,1,0),0)</x:f>
        <x:v>1</x:v>
      </x:c>
      <x:c r="I88" s="11" t="n">
        <x:f>IF(ISNUMBER(F88),2^F88-1,0)</x:f>
        <x:v>3</x:v>
      </x:c>
      <x:c r="J88" s="2" t="str">
        <x:v>Retained original 577</x:v>
      </x:c>
      <x:c r="K88" s="10" t="n">
        <x:v>3000</x:v>
      </x:c>
      <x:c r="L88" s="10" t="n">
        <x:v>2</x:v>
      </x:c>
      <x:c r="M88" s="10" t="n">
        <x:v>721</x:v>
      </x:c>
      <x:c r="N88" s="2" t="str">
        <x:v>D05</x:v>
      </x:c>
      <x:c r="O88" s="2" t="str">
        <x:v>hdb flat</x:v>
      </x:c>
      <x:c r="P88" s="2" t="str">
        <x:v>https://www.propertyguru.com.sg/listing/hdb-for-rent-306-clementi-avenue-4-500267173</x:v>
      </x:c>
      <x:c r="Q88" s="12" t="str">
        <x:v>Hard requirements pass. area 721 sqft, SGD 3,000/month. A workable space-and-rent trade-off, with larger or better-balanced alternatives in the set.</x:v>
      </x:c>
      <x:c r="R88" s="13"/>
    </x:row>
    <x:row r="89" ht="24" hidden="0" customHeight="1">
      <x:c r="A89" s="2" t="str">
        <x:v>S04|500249657</x:v>
      </x:c>
      <x:c r="B89" s="2" t="str">
        <x:v>S04</x:v>
      </x:c>
      <x:c r="C89" s="2" t="str">
        <x:v>500249657</x:v>
      </x:c>
      <x:c r="D89" s="2" t="n">
        <x:v>2</x:v>
      </x:c>
      <x:c r="E89" s="9"/>
      <x:c r="F89" s="2" t="n">
        <x:f>IF(E89="",D89,IF(E89="U","U",IF(AND(ISNUMBER(E89),E89&gt;=0,E89&lt;=3,INT(E89)=E89),E89,"Invalid")))</x:f>
        <x:v>2</x:v>
      </x:c>
      <x:c r="G89" s="2" t="n">
        <x:f>IF(ISNUMBER(F89),1,0)</x:f>
        <x:v>1</x:v>
      </x:c>
      <x:c r="H89" s="2" t="n">
        <x:f>IF(ISNUMBER(F89),IF(F89&gt;=2,1,0),0)</x:f>
        <x:v>1</x:v>
      </x:c>
      <x:c r="I89" s="11" t="n">
        <x:f>IF(ISNUMBER(F89),2^F89-1,0)</x:f>
        <x:v>3</x:v>
      </x:c>
      <x:c r="J89" s="2" t="str">
        <x:v>Retained original 577</x:v>
      </x:c>
      <x:c r="K89" s="10" t="n">
        <x:v>3100</x:v>
      </x:c>
      <x:c r="L89" s="10" t="n">
        <x:v>2</x:v>
      </x:c>
      <x:c r="M89" s="10" t="n">
        <x:v>732</x:v>
      </x:c>
      <x:c r="N89" s="2" t="str">
        <x:v>D05</x:v>
      </x:c>
      <x:c r="O89" s="2" t="str">
        <x:v>hdb flat</x:v>
      </x:c>
      <x:c r="P89" s="2" t="str">
        <x:v>https://www.propertyguru.com.sg/listing/hdb-for-rent-374-clementi-avenue-4-500249657</x:v>
      </x:c>
      <x:c r="Q89" s="12" t="str">
        <x:v>Hard requirements pass. area 732 sqft, SGD 3,100/month. A workable space-and-rent trade-off, with larger or better-balanced alternatives in the set.</x:v>
      </x:c>
      <x:c r="R89" s="13"/>
    </x:row>
    <x:row r="90" ht="15" hidden="0" customHeight="1">
      <x:c r="A90" s="2" t="str">
        <x:v>S04|500186462</x:v>
      </x:c>
      <x:c r="B90" s="2" t="str">
        <x:v>S04</x:v>
      </x:c>
      <x:c r="C90" s="2" t="str">
        <x:v>500186462</x:v>
      </x:c>
      <x:c r="D90" s="2" t="str">
        <x:v>U</x:v>
      </x:c>
      <x:c r="E90" s="9"/>
      <x:c r="F90" s="2" t="str">
        <x:f>IF(E90="",D90,IF(E90="U","U",IF(AND(ISNUMBER(E90),E90&gt;=0,E90&lt;=3,INT(E90)=E90),E90,"Invalid")))</x:f>
        <x:v>U</x:v>
      </x:c>
      <x:c r="G90" s="2" t="n">
        <x:f>IF(ISNUMBER(F90),1,0)</x:f>
        <x:v>0</x:v>
      </x:c>
      <x:c r="H90" s="2" t="n">
        <x:f>IF(ISNUMBER(F90),IF(F90&gt;=2,1,0),0)</x:f>
        <x:v>0</x:v>
      </x:c>
      <x:c r="I90" s="11" t="n">
        <x:f>IF(ISNUMBER(F90),2^F90-1,0)</x:f>
        <x:v>0</x:v>
      </x:c>
      <x:c r="J90" s="2" t="str">
        <x:v>Retained original 577</x:v>
      </x:c>
      <x:c r="K90" s="10" t="n">
        <x:v>2800</x:v>
      </x:c>
      <x:c r="L90" s="10"/>
      <x:c r="M90" s="10" t="n">
        <x:v>120</x:v>
      </x:c>
      <x:c r="N90" s="2" t="str">
        <x:v>D05</x:v>
      </x:c>
      <x:c r="O90" s="2" t="str">
        <x:v>apartment</x:v>
      </x:c>
      <x:c r="P90" s="2" t="str">
        <x:v>https://www.propertyguru.com.sg/listing/for-rent-lyf-one-north-singapore-80-nepal-park-singapore-139409-500186462</x:v>
      </x:c>
      <x:c r="Q90" s="12" t="str">
        <x:v>No known hard failure. Cannot verify: reported bedrooms.</x:v>
      </x:c>
      <x:c r="R90" s="13"/>
    </x:row>
    <x:row r="91" ht="24" hidden="0" customHeight="1">
      <x:c r="A91" s="2" t="str">
        <x:v>S04|23509141</x:v>
      </x:c>
      <x:c r="B91" s="2" t="str">
        <x:v>S04</x:v>
      </x:c>
      <x:c r="C91" s="2" t="str">
        <x:v>23509141</x:v>
      </x:c>
      <x:c r="D91" s="2" t="n">
        <x:v>3</x:v>
      </x:c>
      <x:c r="E91" s="9"/>
      <x:c r="F91" s="2" t="n">
        <x:f>IF(E91="",D91,IF(E91="U","U",IF(AND(ISNUMBER(E91),E91&gt;=0,E91&lt;=3,INT(E91)=E91),E91,"Invalid")))</x:f>
        <x:v>3</x:v>
      </x:c>
      <x:c r="G91" s="2" t="n">
        <x:f>IF(ISNUMBER(F91),1,0)</x:f>
        <x:v>1</x:v>
      </x:c>
      <x:c r="H91" s="2" t="n">
        <x:f>IF(ISNUMBER(F91),IF(F91&gt;=2,1,0),0)</x:f>
        <x:v>1</x:v>
      </x:c>
      <x:c r="I91" s="11" t="n">
        <x:f>IF(ISNUMBER(F91),2^F91-1,0)</x:f>
        <x:v>7</x:v>
      </x:c>
      <x:c r="J91" s="2" t="str">
        <x:v>Retained original 577</x:v>
      </x:c>
      <x:c r="K91" s="10" t="n">
        <x:v>3988</x:v>
      </x:c>
      <x:c r="L91" s="10" t="n">
        <x:v>3</x:v>
      </x:c>
      <x:c r="M91" s="10" t="n">
        <x:v>1270</x:v>
      </x:c>
      <x:c r="N91" s="2" t="str">
        <x:v>D05</x:v>
      </x:c>
      <x:c r="O91" s="2" t="str">
        <x:v>hdb flat</x:v>
      </x:c>
      <x:c r="P91" s="2" t="str">
        <x:v>https://www.propertyguru.com.sg/listing/hdb-for-rent-717-clementi-west-street-2-23509141</x:v>
      </x:c>
      <x:c r="Q91" s="12" t="str">
        <x:v>Hard requirements pass. area 1,270 sqft, SGD 3,988/month. One of the largest reported areas; the higher rent is a trade-off under the space-first preference.</x:v>
      </x:c>
      <x:c r="R91" s="13"/>
    </x:row>
    <x:row r="92" ht="15" hidden="0" customHeight="1">
      <x:c r="A92" s="2" t="str">
        <x:v>S04|60100685</x:v>
      </x:c>
      <x:c r="B92" s="2" t="str">
        <x:v>S04</x:v>
      </x:c>
      <x:c r="C92" s="2" t="str">
        <x:v>60100685</x:v>
      </x:c>
      <x:c r="D92" s="2" t="str">
        <x:v>U</x:v>
      </x:c>
      <x:c r="E92" s="9"/>
      <x:c r="F92" s="2" t="str">
        <x:f>IF(E92="",D92,IF(E92="U","U",IF(AND(ISNUMBER(E92),E92&gt;=0,E92&lt;=3,INT(E92)=E92),E92,"Invalid")))</x:f>
        <x:v>U</x:v>
      </x:c>
      <x:c r="G92" s="2" t="n">
        <x:f>IF(ISNUMBER(F92),1,0)</x:f>
        <x:v>0</x:v>
      </x:c>
      <x:c r="H92" s="2" t="n">
        <x:f>IF(ISNUMBER(F92),IF(F92&gt;=2,1,0),0)</x:f>
        <x:v>0</x:v>
      </x:c>
      <x:c r="I92" s="11" t="n">
        <x:f>IF(ISNUMBER(F92),2^F92-1,0)</x:f>
        <x:v>0</x:v>
      </x:c>
      <x:c r="J92" s="2" t="str">
        <x:v>Retained original 577</x:v>
      </x:c>
      <x:c r="K92" s="10" t="n">
        <x:v>2800</x:v>
      </x:c>
      <x:c r="L92" s="10"/>
      <x:c r="M92" s="10" t="n">
        <x:v>300</x:v>
      </x:c>
      <x:c r="N92" s="2" t="str">
        <x:v>D05</x:v>
      </x:c>
      <x:c r="O92" s="2" t="str">
        <x:v>terraced house</x:v>
      </x:c>
      <x:c r="P92" s="2" t="str">
        <x:v>https://www.propertyguru.com.sg/listing/for-rent-406f-pasir-panjang-road-60100685</x:v>
      </x:c>
      <x:c r="Q92" s="12" t="str">
        <x:v>No known hard failure. Cannot verify: reported bedrooms.</x:v>
      </x:c>
      <x:c r="R92" s="13"/>
    </x:row>
    <x:row r="93" ht="24" hidden="0" customHeight="1">
      <x:c r="A93" s="2" t="str">
        <x:v>S04|18689152</x:v>
      </x:c>
      <x:c r="B93" s="2" t="str">
        <x:v>S04</x:v>
      </x:c>
      <x:c r="C93" s="2" t="str">
        <x:v>18689152</x:v>
      </x:c>
      <x:c r="D93" s="2" t="n">
        <x:v>3</x:v>
      </x:c>
      <x:c r="E93" s="9"/>
      <x:c r="F93" s="2" t="n">
        <x:f>IF(E93="",D93,IF(E93="U","U",IF(AND(ISNUMBER(E93),E93&gt;=0,E93&lt;=3,INT(E93)=E93),E93,"Invalid")))</x:f>
        <x:v>3</x:v>
      </x:c>
      <x:c r="G93" s="2" t="n">
        <x:f>IF(ISNUMBER(F93),1,0)</x:f>
        <x:v>1</x:v>
      </x:c>
      <x:c r="H93" s="2" t="n">
        <x:f>IF(ISNUMBER(F93),IF(F93&gt;=2,1,0),0)</x:f>
        <x:v>1</x:v>
      </x:c>
      <x:c r="I93" s="11" t="n">
        <x:f>IF(ISNUMBER(F93),2^F93-1,0)</x:f>
        <x:v>7</x:v>
      </x:c>
      <x:c r="J93" s="2" t="str">
        <x:v>Retained original 577</x:v>
      </x:c>
      <x:c r="K93" s="10" t="n">
        <x:v>3350</x:v>
      </x:c>
      <x:c r="L93" s="10" t="n">
        <x:v>2</x:v>
      </x:c>
      <x:c r="M93" s="10" t="n">
        <x:v>969</x:v>
      </x:c>
      <x:c r="N93" s="2" t="str">
        <x:v>D05</x:v>
      </x:c>
      <x:c r="O93" s="2" t="str">
        <x:v>hdb flat</x:v>
      </x:c>
      <x:c r="P93" s="2" t="str">
        <x:v>https://www.propertyguru.com.sg/listing/hdb-for-rent-508-west-coast-drive-18689152</x:v>
      </x:c>
      <x:c r="Q93" s="12" t="str">
        <x:v>Hard requirements pass. area 969 sqft, SGD 3,350/month. Substantial reported space combined with lower rent than the largest options.</x:v>
      </x:c>
      <x:c r="R93" s="13"/>
    </x:row>
    <x:row r="94" ht="24" hidden="0" customHeight="1">
      <x:c r="A94" s="2" t="str">
        <x:v>S04|20617351</x:v>
      </x:c>
      <x:c r="B94" s="2" t="str">
        <x:v>S04</x:v>
      </x:c>
      <x:c r="C94" s="2" t="str">
        <x:v>20617351</x:v>
      </x:c>
      <x:c r="D94" s="2" t="n">
        <x:v>2</x:v>
      </x:c>
      <x:c r="E94" s="9"/>
      <x:c r="F94" s="2" t="n">
        <x:f>IF(E94="",D94,IF(E94="U","U",IF(AND(ISNUMBER(E94),E94&gt;=0,E94&lt;=3,INT(E94)=E94),E94,"Invalid")))</x:f>
        <x:v>2</x:v>
      </x:c>
      <x:c r="G94" s="2" t="n">
        <x:f>IF(ISNUMBER(F94),1,0)</x:f>
        <x:v>1</x:v>
      </x:c>
      <x:c r="H94" s="2" t="n">
        <x:f>IF(ISNUMBER(F94),IF(F94&gt;=2,1,0),0)</x:f>
        <x:v>1</x:v>
      </x:c>
      <x:c r="I94" s="11" t="n">
        <x:f>IF(ISNUMBER(F94),2^F94-1,0)</x:f>
        <x:v>3</x:v>
      </x:c>
      <x:c r="J94" s="2" t="str">
        <x:v>Retained original 577</x:v>
      </x:c>
      <x:c r="K94" s="10" t="n">
        <x:v>3000</x:v>
      </x:c>
      <x:c r="L94" s="10" t="n">
        <x:v>2</x:v>
      </x:c>
      <x:c r="M94" s="10" t="n">
        <x:v>700</x:v>
      </x:c>
      <x:c r="N94" s="2" t="str">
        <x:v>D05</x:v>
      </x:c>
      <x:c r="O94" s="2" t="str">
        <x:v>hdb flat</x:v>
      </x:c>
      <x:c r="P94" s="2" t="str">
        <x:v>https://www.propertyguru.com.sg/listing/hdb-for-rent-354-clementi-avenue-2-20617351</x:v>
      </x:c>
      <x:c r="Q94" s="12" t="str">
        <x:v>Hard requirements pass. area 700 sqft, SGD 3,000/month. A workable space-and-rent trade-off, with larger or better-balanced alternatives in the set.</x:v>
      </x:c>
      <x:c r="R94" s="13"/>
    </x:row>
    <x:row r="95" ht="15" hidden="0" customHeight="1">
      <x:c r="A95" s="2" t="str">
        <x:v>S04|500278815</x:v>
      </x:c>
      <x:c r="B95" s="2" t="str">
        <x:v>S04</x:v>
      </x:c>
      <x:c r="C95" s="2" t="str">
        <x:v>500278815</x:v>
      </x:c>
      <x:c r="D95" s="2" t="str">
        <x:v>U</x:v>
      </x:c>
      <x:c r="E95" s="9"/>
      <x:c r="F95" s="2" t="str">
        <x:f>IF(E95="",D95,IF(E95="U","U",IF(AND(ISNUMBER(E95),E95&gt;=0,E95&lt;=3,INT(E95)=E95),E95,"Invalid")))</x:f>
        <x:v>U</x:v>
      </x:c>
      <x:c r="G95" s="2" t="n">
        <x:f>IF(ISNUMBER(F95),1,0)</x:f>
        <x:v>0</x:v>
      </x:c>
      <x:c r="H95" s="2" t="n">
        <x:f>IF(ISNUMBER(F95),IF(F95&gt;=2,1,0),0)</x:f>
        <x:v>0</x:v>
      </x:c>
      <x:c r="I95" s="11" t="n">
        <x:f>IF(ISNUMBER(F95),2^F95-1,0)</x:f>
        <x:v>0</x:v>
      </x:c>
      <x:c r="J95" s="2" t="str">
        <x:v>Retained original 577</x:v>
      </x:c>
      <x:c r="K95" s="10" t="n">
        <x:v>2500</x:v>
      </x:c>
      <x:c r="L95" s="10"/>
      <x:c r="M95" s="10" t="n">
        <x:v>360</x:v>
      </x:c>
      <x:c r="N95" s="2" t="str">
        <x:v>D05</x:v>
      </x:c>
      <x:c r="O95" s="2" t="str">
        <x:v>hdb flat</x:v>
      </x:c>
      <x:c r="P95" s="2" t="str">
        <x:v>https://www.propertyguru.com.sg/listing/hdb-for-rent-345-clementi-avenue-5-500278815</x:v>
      </x:c>
      <x:c r="Q95" s="12" t="str">
        <x:v>No known hard failure. Cannot verify: reported bedrooms.</x:v>
      </x:c>
      <x:c r="R95" s="13"/>
    </x:row>
    <x:row r="96" ht="24" hidden="0" customHeight="1">
      <x:c r="A96" s="2" t="str">
        <x:v>S04|21046537</x:v>
      </x:c>
      <x:c r="B96" s="2" t="str">
        <x:v>S04</x:v>
      </x:c>
      <x:c r="C96" s="2" t="str">
        <x:v>21046537</x:v>
      </x:c>
      <x:c r="D96" s="2" t="n">
        <x:v>2</x:v>
      </x:c>
      <x:c r="E96" s="9"/>
      <x:c r="F96" s="2" t="n">
        <x:f>IF(E96="",D96,IF(E96="U","U",IF(AND(ISNUMBER(E96),E96&gt;=0,E96&lt;=3,INT(E96)=E96),E96,"Invalid")))</x:f>
        <x:v>2</x:v>
      </x:c>
      <x:c r="G96" s="2" t="n">
        <x:f>IF(ISNUMBER(F96),1,0)</x:f>
        <x:v>1</x:v>
      </x:c>
      <x:c r="H96" s="2" t="n">
        <x:f>IF(ISNUMBER(F96),IF(F96&gt;=2,1,0),0)</x:f>
        <x:v>1</x:v>
      </x:c>
      <x:c r="I96" s="11" t="n">
        <x:f>IF(ISNUMBER(F96),2^F96-1,0)</x:f>
        <x:v>3</x:v>
      </x:c>
      <x:c r="J96" s="2" t="str">
        <x:v>Retained original 577</x:v>
      </x:c>
      <x:c r="K96" s="10" t="n">
        <x:v>3600</x:v>
      </x:c>
      <x:c r="L96" s="10" t="n">
        <x:v>2</x:v>
      </x:c>
      <x:c r="M96" s="10" t="n">
        <x:v>800</x:v>
      </x:c>
      <x:c r="N96" s="2" t="str">
        <x:v>D05</x:v>
      </x:c>
      <x:c r="O96" s="2" t="str">
        <x:v>hdb flat</x:v>
      </x:c>
      <x:c r="P96" s="2" t="str">
        <x:v>https://www.propertyguru.com.sg/listing/hdb-for-rent-2-dover-road-21046537</x:v>
      </x:c>
      <x:c r="Q96" s="12" t="str">
        <x:v>Hard requirements pass. area 800 sqft, SGD 3,600/month. A workable space-and-rent trade-off, with larger or better-balanced alternatives in the set.</x:v>
      </x:c>
      <x:c r="R96" s="13"/>
    </x:row>
    <x:row r="97" ht="24" hidden="0" customHeight="1">
      <x:c r="A97" s="2" t="str">
        <x:v>S04|500266415</x:v>
      </x:c>
      <x:c r="B97" s="2" t="str">
        <x:v>S04</x:v>
      </x:c>
      <x:c r="C97" s="2" t="str">
        <x:v>500266415</x:v>
      </x:c>
      <x:c r="D97" s="2" t="n">
        <x:v>3</x:v>
      </x:c>
      <x:c r="E97" s="9"/>
      <x:c r="F97" s="2" t="n">
        <x:f>IF(E97="",D97,IF(E97="U","U",IF(AND(ISNUMBER(E97),E97&gt;=0,E97&lt;=3,INT(E97)=E97),E97,"Invalid")))</x:f>
        <x:v>3</x:v>
      </x:c>
      <x:c r="G97" s="2" t="n">
        <x:f>IF(ISNUMBER(F97),1,0)</x:f>
        <x:v>1</x:v>
      </x:c>
      <x:c r="H97" s="2" t="n">
        <x:f>IF(ISNUMBER(F97),IF(F97&gt;=2,1,0),0)</x:f>
        <x:v>1</x:v>
      </x:c>
      <x:c r="I97" s="11" t="n">
        <x:f>IF(ISNUMBER(F97),2^F97-1,0)</x:f>
        <x:v>7</x:v>
      </x:c>
      <x:c r="J97" s="2" t="str">
        <x:v>Retained original 577</x:v>
      </x:c>
      <x:c r="K97" s="10" t="n">
        <x:v>3300</x:v>
      </x:c>
      <x:c r="L97" s="10" t="n">
        <x:v>2</x:v>
      </x:c>
      <x:c r="M97" s="10" t="n">
        <x:v>980</x:v>
      </x:c>
      <x:c r="N97" s="2" t="str">
        <x:v>D05</x:v>
      </x:c>
      <x:c r="O97" s="2" t="str">
        <x:v>hdb flat</x:v>
      </x:c>
      <x:c r="P97" s="2" t="str">
        <x:v>https://www.propertyguru.com.sg/listing/hdb-for-rent-511-west-coast-drive-500266415</x:v>
      </x:c>
      <x:c r="Q97" s="12" t="str">
        <x:v>Hard requirements pass. area 980 sqft, SGD 3,300/month. Substantial reported space combined with lower rent than the largest options.</x:v>
      </x:c>
      <x:c r="R97" s="13"/>
    </x:row>
    <x:row r="98" ht="24" hidden="0" customHeight="1">
      <x:c r="A98" s="2" t="str">
        <x:v>S04|20205305</x:v>
      </x:c>
      <x:c r="B98" s="2" t="str">
        <x:v>S04</x:v>
      </x:c>
      <x:c r="C98" s="2" t="str">
        <x:v>20205305</x:v>
      </x:c>
      <x:c r="D98" s="2" t="n">
        <x:v>2</x:v>
      </x:c>
      <x:c r="E98" s="9"/>
      <x:c r="F98" s="2" t="n">
        <x:f>IF(E98="",D98,IF(E98="U","U",IF(AND(ISNUMBER(E98),E98&gt;=0,E98&lt;=3,INT(E98)=E98),E98,"Invalid")))</x:f>
        <x:v>2</x:v>
      </x:c>
      <x:c r="G98" s="2" t="n">
        <x:f>IF(ISNUMBER(F98),1,0)</x:f>
        <x:v>1</x:v>
      </x:c>
      <x:c r="H98" s="2" t="n">
        <x:f>IF(ISNUMBER(F98),IF(F98&gt;=2,1,0),0)</x:f>
        <x:v>1</x:v>
      </x:c>
      <x:c r="I98" s="11" t="n">
        <x:f>IF(ISNUMBER(F98),2^F98-1,0)</x:f>
        <x:v>3</x:v>
      </x:c>
      <x:c r="J98" s="2" t="str">
        <x:v>Retained original 577</x:v>
      </x:c>
      <x:c r="K98" s="10" t="n">
        <x:v>3200</x:v>
      </x:c>
      <x:c r="L98" s="10" t="n">
        <x:v>2</x:v>
      </x:c>
      <x:c r="M98" s="10" t="n">
        <x:v>721</x:v>
      </x:c>
      <x:c r="N98" s="2" t="str">
        <x:v>D05</x:v>
      </x:c>
      <x:c r="O98" s="2" t="str">
        <x:v>hdb flat</x:v>
      </x:c>
      <x:c r="P98" s="2" t="str">
        <x:v>https://www.propertyguru.com.sg/listing/hdb-for-rent-379-clementi-avenue-5-20205305</x:v>
      </x:c>
      <x:c r="Q98" s="12" t="str">
        <x:v>Hard requirements pass. area 721 sqft, SGD 3,200/month. A workable space-and-rent trade-off, with larger or better-balanced alternatives in the set.</x:v>
      </x:c>
      <x:c r="R98" s="13"/>
    </x:row>
    <x:row r="99" ht="15" hidden="0" customHeight="1">
      <x:c r="A99" s="2" t="str">
        <x:v>S04|24491935</x:v>
      </x:c>
      <x:c r="B99" s="2" t="str">
        <x:v>S04</x:v>
      </x:c>
      <x:c r="C99" s="2" t="str">
        <x:v>24491935</x:v>
      </x:c>
      <x:c r="D99" s="2" t="n">
        <x:v>0</x:v>
      </x:c>
      <x:c r="E99" s="9"/>
      <x:c r="F99" s="2" t="n">
        <x:f>IF(E99="",D99,IF(E99="U","U",IF(AND(ISNUMBER(E99),E99&gt;=0,E99&lt;=3,INT(E99)=E99),E99,"Invalid")))</x:f>
        <x:v>0</x:v>
      </x:c>
      <x:c r="G99" s="2" t="n">
        <x:f>IF(ISNUMBER(F99),1,0)</x:f>
        <x:v>1</x:v>
      </x:c>
      <x:c r="H99" s="2" t="n">
        <x:f>IF(ISNUMBER(F99),IF(F99&gt;=2,1,0),0)</x:f>
        <x:v>0</x:v>
      </x:c>
      <x:c r="I99" s="11" t="n">
        <x:f>IF(ISNUMBER(F99),2^F99-1,0)</x:f>
        <x:v>0</x:v>
      </x:c>
      <x:c r="J99" s="2" t="str">
        <x:v>Retained original 577</x:v>
      </x:c>
      <x:c r="K99" s="10" t="n">
        <x:v>4200</x:v>
      </x:c>
      <x:c r="L99" s="10" t="n">
        <x:v>2</x:v>
      </x:c>
      <x:c r="M99" s="10" t="n">
        <x:v>646</x:v>
      </x:c>
      <x:c r="N99" s="2" t="str">
        <x:v>D05</x:v>
      </x:c>
      <x:c r="O99" s="2" t="str">
        <x:v>condominium</x:v>
      </x:c>
      <x:c r="P99" s="2" t="str">
        <x:v>https://www.propertyguru.com.sg/listing/for-rent-parc-riviera-24491935</x:v>
      </x:c>
      <x:c r="Q99" s="12" t="str">
        <x:v>Hard failure: Rent (SGD/month) 4,200; required &lt;= 4,000.</x:v>
      </x:c>
      <x:c r="R99" s="13"/>
    </x:row>
    <x:row r="100" ht="24" hidden="0" customHeight="1">
      <x:c r="A100" s="2" t="str">
        <x:v>S04|25300986</x:v>
      </x:c>
      <x:c r="B100" s="2" t="str">
        <x:v>S04</x:v>
      </x:c>
      <x:c r="C100" s="2" t="str">
        <x:v>25300986</x:v>
      </x:c>
      <x:c r="D100" s="2" t="n">
        <x:v>2</x:v>
      </x:c>
      <x:c r="E100" s="9"/>
      <x:c r="F100" s="2" t="n">
        <x:f>IF(E100="",D100,IF(E100="U","U",IF(AND(ISNUMBER(E100),E100&gt;=0,E100&lt;=3,INT(E100)=E100),E100,"Invalid")))</x:f>
        <x:v>2</x:v>
      </x:c>
      <x:c r="G100" s="2" t="n">
        <x:f>IF(ISNUMBER(F100),1,0)</x:f>
        <x:v>1</x:v>
      </x:c>
      <x:c r="H100" s="2" t="n">
        <x:f>IF(ISNUMBER(F100),IF(F100&gt;=2,1,0),0)</x:f>
        <x:v>1</x:v>
      </x:c>
      <x:c r="I100" s="11" t="n">
        <x:f>IF(ISNUMBER(F100),2^F100-1,0)</x:f>
        <x:v>3</x:v>
      </x:c>
      <x:c r="J100" s="2" t="str">
        <x:v>Retained original 577</x:v>
      </x:c>
      <x:c r="K100" s="10" t="n">
        <x:v>3200</x:v>
      </x:c>
      <x:c r="L100" s="10" t="n">
        <x:v>2</x:v>
      </x:c>
      <x:c r="M100" s="10" t="n">
        <x:v>721</x:v>
      </x:c>
      <x:c r="N100" s="2" t="str">
        <x:v>D05</x:v>
      </x:c>
      <x:c r="O100" s="2" t="str">
        <x:v>hdb flat</x:v>
      </x:c>
      <x:c r="P100" s="2" t="str">
        <x:v>https://www.propertyguru.com.sg/listing/hdb-for-rent-354-clementi-avenue-2-25300986</x:v>
      </x:c>
      <x:c r="Q100" s="12" t="str">
        <x:v>Hard requirements pass. area 721 sqft, SGD 3,200/month. A workable space-and-rent trade-off, with larger or better-balanced alternatives in the set.</x:v>
      </x:c>
      <x:c r="R100" s="13"/>
    </x:row>
    <x:row r="101" ht="24" hidden="0" customHeight="1">
      <x:c r="A101" s="2" t="str">
        <x:v>S04|24981163</x:v>
      </x:c>
      <x:c r="B101" s="2" t="str">
        <x:v>S04</x:v>
      </x:c>
      <x:c r="C101" s="2" t="str">
        <x:v>24981163</x:v>
      </x:c>
      <x:c r="D101" s="2" t="n">
        <x:v>2</x:v>
      </x:c>
      <x:c r="E101" s="9"/>
      <x:c r="F101" s="2" t="n">
        <x:f>IF(E101="",D101,IF(E101="U","U",IF(AND(ISNUMBER(E101),E101&gt;=0,E101&lt;=3,INT(E101)=E101),E101,"Invalid")))</x:f>
        <x:v>2</x:v>
      </x:c>
      <x:c r="G101" s="2" t="n">
        <x:f>IF(ISNUMBER(F101),1,0)</x:f>
        <x:v>1</x:v>
      </x:c>
      <x:c r="H101" s="2" t="n">
        <x:f>IF(ISNUMBER(F101),IF(F101&gt;=2,1,0),0)</x:f>
        <x:v>1</x:v>
      </x:c>
      <x:c r="I101" s="11" t="n">
        <x:f>IF(ISNUMBER(F101),2^F101-1,0)</x:f>
        <x:v>3</x:v>
      </x:c>
      <x:c r="J101" s="2" t="str">
        <x:v>Retained original 577</x:v>
      </x:c>
      <x:c r="K101" s="10" t="n">
        <x:v>3800</x:v>
      </x:c>
      <x:c r="L101" s="10" t="n">
        <x:v>3</x:v>
      </x:c>
      <x:c r="M101" s="10" t="n">
        <x:v>1012</x:v>
      </x:c>
      <x:c r="N101" s="2" t="str">
        <x:v>D05</x:v>
      </x:c>
      <x:c r="O101" s="2" t="str">
        <x:v>hdb flat</x:v>
      </x:c>
      <x:c r="P101" s="2" t="str">
        <x:v>https://www.propertyguru.com.sg/listing/hdb-for-rent-381-clementi-avenue-5-24981163</x:v>
      </x:c>
      <x:c r="Q101" s="12" t="str">
        <x:v>Hard requirements pass. area 1,012 sqft, SGD 3,800/month. A workable space-and-rent trade-off, with larger or better-balanced alternatives in the set.</x:v>
      </x:c>
      <x:c r="R101" s="13"/>
    </x:row>
    <x:row r="102" ht="24" hidden="0" customHeight="1">
      <x:c r="A102" s="2" t="str">
        <x:v>S04|500183381</x:v>
      </x:c>
      <x:c r="B102" s="2" t="str">
        <x:v>S04</x:v>
      </x:c>
      <x:c r="C102" s="2" t="str">
        <x:v>500183381</x:v>
      </x:c>
      <x:c r="D102" s="2" t="n">
        <x:v>2</x:v>
      </x:c>
      <x:c r="E102" s="9"/>
      <x:c r="F102" s="2" t="n">
        <x:f>IF(E102="",D102,IF(E102="U","U",IF(AND(ISNUMBER(E102),E102&gt;=0,E102&lt;=3,INT(E102)=E102),E102,"Invalid")))</x:f>
        <x:v>2</x:v>
      </x:c>
      <x:c r="G102" s="2" t="n">
        <x:f>IF(ISNUMBER(F102),1,0)</x:f>
        <x:v>1</x:v>
      </x:c>
      <x:c r="H102" s="2" t="n">
        <x:f>IF(ISNUMBER(F102),IF(F102&gt;=2,1,0),0)</x:f>
        <x:v>1</x:v>
      </x:c>
      <x:c r="I102" s="11" t="n">
        <x:f>IF(ISNUMBER(F102),2^F102-1,0)</x:f>
        <x:v>3</x:v>
      </x:c>
      <x:c r="J102" s="2" t="str">
        <x:v>Retained original 577</x:v>
      </x:c>
      <x:c r="K102" s="10" t="n">
        <x:v>3500</x:v>
      </x:c>
      <x:c r="L102" s="10" t="n">
        <x:v>2</x:v>
      </x:c>
      <x:c r="M102" s="10" t="n">
        <x:v>721</x:v>
      </x:c>
      <x:c r="N102" s="2" t="str">
        <x:v>D05</x:v>
      </x:c>
      <x:c r="O102" s="2" t="str">
        <x:v>hdb flat</x:v>
      </x:c>
      <x:c r="P102" s="2" t="str">
        <x:v>https://www.propertyguru.com.sg/listing/hdb-for-rent-330-clementi-avenue-2-500183381</x:v>
      </x:c>
      <x:c r="Q102" s="12" t="str">
        <x:v>Hard requirements pass. area 721 sqft, SGD 3,500/month. A workable space-and-rent trade-off, with larger or better-balanced alternatives in the set.</x:v>
      </x:c>
      <x:c r="R102" s="13"/>
    </x:row>
    <x:row r="103" ht="24" hidden="0" customHeight="1">
      <x:c r="A103" s="2" t="str">
        <x:v>S04|500282878</x:v>
      </x:c>
      <x:c r="B103" s="2" t="str">
        <x:v>S04</x:v>
      </x:c>
      <x:c r="C103" s="2" t="str">
        <x:v>500282878</x:v>
      </x:c>
      <x:c r="D103" s="2" t="n">
        <x:v>2</x:v>
      </x:c>
      <x:c r="E103" s="9"/>
      <x:c r="F103" s="2" t="n">
        <x:f>IF(E103="",D103,IF(E103="U","U",IF(AND(ISNUMBER(E103),E103&gt;=0,E103&lt;=3,INT(E103)=E103),E103,"Invalid")))</x:f>
        <x:v>2</x:v>
      </x:c>
      <x:c r="G103" s="2" t="n">
        <x:f>IF(ISNUMBER(F103),1,0)</x:f>
        <x:v>1</x:v>
      </x:c>
      <x:c r="H103" s="2" t="n">
        <x:f>IF(ISNUMBER(F103),IF(F103&gt;=2,1,0),0)</x:f>
        <x:v>1</x:v>
      </x:c>
      <x:c r="I103" s="11" t="n">
        <x:f>IF(ISNUMBER(F103),2^F103-1,0)</x:f>
        <x:v>3</x:v>
      </x:c>
      <x:c r="J103" s="2" t="str">
        <x:v>Retained original 577</x:v>
      </x:c>
      <x:c r="K103" s="10" t="n">
        <x:v>3200</x:v>
      </x:c>
      <x:c r="L103" s="10" t="n">
        <x:v>2</x:v>
      </x:c>
      <x:c r="M103" s="10" t="n">
        <x:v>721</x:v>
      </x:c>
      <x:c r="N103" s="2" t="str">
        <x:v>D05</x:v>
      </x:c>
      <x:c r="O103" s="2" t="str">
        <x:v>hdb flat</x:v>
      </x:c>
      <x:c r="P103" s="2" t="str">
        <x:v>https://www.propertyguru.com.sg/listing/hdb-for-rent-329-clementi-avenue-2-500282878</x:v>
      </x:c>
      <x:c r="Q103" s="12" t="str">
        <x:v>Hard requirements pass. area 721 sqft, SGD 3,200/month. A workable space-and-rent trade-off, with larger or better-balanced alternatives in the set.</x:v>
      </x:c>
      <x:c r="R103" s="13"/>
    </x:row>
    <x:row r="104" ht="24" hidden="0" customHeight="1">
      <x:c r="A104" s="2" t="str">
        <x:v>S04|500164225</x:v>
      </x:c>
      <x:c r="B104" s="2" t="str">
        <x:v>S04</x:v>
      </x:c>
      <x:c r="C104" s="2" t="str">
        <x:v>500164225</x:v>
      </x:c>
      <x:c r="D104" s="2" t="n">
        <x:v>3</x:v>
      </x:c>
      <x:c r="E104" s="9"/>
      <x:c r="F104" s="2" t="n">
        <x:f>IF(E104="",D104,IF(E104="U","U",IF(AND(ISNUMBER(E104),E104&gt;=0,E104&lt;=3,INT(E104)=E104),E104,"Invalid")))</x:f>
        <x:v>3</x:v>
      </x:c>
      <x:c r="G104" s="2" t="n">
        <x:f>IF(ISNUMBER(F104),1,0)</x:f>
        <x:v>1</x:v>
      </x:c>
      <x:c r="H104" s="2" t="n">
        <x:f>IF(ISNUMBER(F104),IF(F104&gt;=2,1,0),0)</x:f>
        <x:v>1</x:v>
      </x:c>
      <x:c r="I104" s="11" t="n">
        <x:f>IF(ISNUMBER(F104),2^F104-1,0)</x:f>
        <x:v>7</x:v>
      </x:c>
      <x:c r="J104" s="2" t="str">
        <x:v>Retained original 577</x:v>
      </x:c>
      <x:c r="K104" s="10" t="n">
        <x:v>3999</x:v>
      </x:c>
      <x:c r="L104" s="10" t="n">
        <x:v>3</x:v>
      </x:c>
      <x:c r="M104" s="10" t="n">
        <x:v>1238</x:v>
      </x:c>
      <x:c r="N104" s="2" t="str">
        <x:v>D05</x:v>
      </x:c>
      <x:c r="O104" s="2" t="str">
        <x:v>hdb flat</x:v>
      </x:c>
      <x:c r="P104" s="2" t="str">
        <x:v>https://www.propertyguru.com.sg/listing/hdb-for-rent-604-clementi-west-street-1-500164225</x:v>
      </x:c>
      <x:c r="Q104" s="12" t="str">
        <x:v>Hard requirements pass. area 1,238 sqft, SGD 3,999/month. One of the largest reported areas; the higher rent is a trade-off under the space-first preference.</x:v>
      </x:c>
      <x:c r="R104" s="13"/>
    </x:row>
    <x:row r="105" ht="24" hidden="0" customHeight="1">
      <x:c r="A105" s="2" t="str">
        <x:v>S04|500262756</x:v>
      </x:c>
      <x:c r="B105" s="2" t="str">
        <x:v>S04</x:v>
      </x:c>
      <x:c r="C105" s="2" t="str">
        <x:v>500262756</x:v>
      </x:c>
      <x:c r="D105" s="2" t="n">
        <x:v>2</x:v>
      </x:c>
      <x:c r="E105" s="9"/>
      <x:c r="F105" s="2" t="n">
        <x:f>IF(E105="",D105,IF(E105="U","U",IF(AND(ISNUMBER(E105),E105&gt;=0,E105&lt;=3,INT(E105)=E105),E105,"Invalid")))</x:f>
        <x:v>2</x:v>
      </x:c>
      <x:c r="G105" s="2" t="n">
        <x:f>IF(ISNUMBER(F105),1,0)</x:f>
        <x:v>1</x:v>
      </x:c>
      <x:c r="H105" s="2" t="n">
        <x:f>IF(ISNUMBER(F105),IF(F105&gt;=2,1,0),0)</x:f>
        <x:v>1</x:v>
      </x:c>
      <x:c r="I105" s="11" t="n">
        <x:f>IF(ISNUMBER(F105),2^F105-1,0)</x:f>
        <x:v>3</x:v>
      </x:c>
      <x:c r="J105" s="2" t="str">
        <x:v>Retained original 577</x:v>
      </x:c>
      <x:c r="K105" s="10" t="n">
        <x:v>3000</x:v>
      </x:c>
      <x:c r="L105" s="10" t="n">
        <x:v>2</x:v>
      </x:c>
      <x:c r="M105" s="10" t="n">
        <x:v>699</x:v>
      </x:c>
      <x:c r="N105" s="2" t="str">
        <x:v>D05</x:v>
      </x:c>
      <x:c r="O105" s="2" t="str">
        <x:v>hdb flat</x:v>
      </x:c>
      <x:c r="P105" s="2" t="str">
        <x:v>https://www.propertyguru.com.sg/listing/hdb-for-rent-2-dover-road-500262756</x:v>
      </x:c>
      <x:c r="Q105" s="12" t="str">
        <x:v>Hard requirements pass. area 699 sqft, SGD 3,000/month. A workable space-and-rent trade-off, with larger or better-balanced alternatives in the set.</x:v>
      </x:c>
      <x:c r="R105" s="13"/>
    </x:row>
    <x:row r="106" ht="24" hidden="0" customHeight="1">
      <x:c r="A106" s="2" t="str">
        <x:v>S05|23454442</x:v>
      </x:c>
      <x:c r="B106" s="2" t="str">
        <x:v>S05</x:v>
      </x:c>
      <x:c r="C106" s="2" t="str">
        <x:v>23454442</x:v>
      </x:c>
      <x:c r="D106" s="2" t="n">
        <x:v>1</x:v>
      </x:c>
      <x:c r="E106" s="9"/>
      <x:c r="F106" s="2" t="n">
        <x:f>IF(E106="",D106,IF(E106="U","U",IF(AND(ISNUMBER(E106),E106&gt;=0,E106&lt;=3,INT(E106)=E106),E106,"Invalid")))</x:f>
        <x:v>1</x:v>
      </x:c>
      <x:c r="G106" s="2" t="n">
        <x:f>IF(ISNUMBER(F106),1,0)</x:f>
        <x:v>1</x:v>
      </x:c>
      <x:c r="H106" s="2" t="n">
        <x:f>IF(ISNUMBER(F106),IF(F106&gt;=2,1,0),0)</x:f>
        <x:v>0</x:v>
      </x:c>
      <x:c r="I106" s="11" t="n">
        <x:f>IF(ISNUMBER(F106),2^F106-1,0)</x:f>
        <x:v>1</x:v>
      </x:c>
      <x:c r="J106" s="2" t="str">
        <x:v>Retained original 577</x:v>
      </x:c>
      <x:c r="K106" s="10" t="n">
        <x:v>3500</x:v>
      </x:c>
      <x:c r="L106" s="10" t="n">
        <x:v>3</x:v>
      </x:c>
      <x:c r="M106" s="10" t="n">
        <x:v>699</x:v>
      </x:c>
      <x:c r="N106" s="2" t="str">
        <x:v>D10</x:v>
      </x:c>
      <x:c r="O106" s="2" t="str">
        <x:v>hdb flat</x:v>
      </x:c>
      <x:c r="P106" s="2" t="str">
        <x:v>https://www.propertyguru.com.sg/listing/hdb-for-rent-1-ghim-moh-road-23454442</x:v>
      </x:c>
      <x:c r="Q106" s="12" t="str">
        <x:v>Hard requirements pass. area 699 sqft, SGD 3,500/month. The reported area falls short of the primary size preference; cheaper rent alone does not fulfil it.</x:v>
      </x:c>
      <x:c r="R106" s="13"/>
    </x:row>
    <x:row r="107" ht="15" hidden="0" customHeight="1">
      <x:c r="A107" s="2" t="str">
        <x:v>S05|24866516</x:v>
      </x:c>
      <x:c r="B107" s="2" t="str">
        <x:v>S05</x:v>
      </x:c>
      <x:c r="C107" s="2" t="str">
        <x:v>24866516</x:v>
      </x:c>
      <x:c r="D107" s="2" t="n">
        <x:v>0</x:v>
      </x:c>
      <x:c r="E107" s="9"/>
      <x:c r="F107" s="2" t="n">
        <x:f>IF(E107="",D107,IF(E107="U","U",IF(AND(ISNUMBER(E107),E107&gt;=0,E107&lt;=3,INT(E107)=E107),E107,"Invalid")))</x:f>
        <x:v>0</x:v>
      </x:c>
      <x:c r="G107" s="2" t="n">
        <x:f>IF(ISNUMBER(F107),1,0)</x:f>
        <x:v>1</x:v>
      </x:c>
      <x:c r="H107" s="2" t="n">
        <x:f>IF(ISNUMBER(F107),IF(F107&gt;=2,1,0),0)</x:f>
        <x:v>0</x:v>
      </x:c>
      <x:c r="I107" s="11" t="n">
        <x:f>IF(ISNUMBER(F107),2^F107-1,0)</x:f>
        <x:v>0</x:v>
      </x:c>
      <x:c r="J107" s="2" t="str">
        <x:v>Retained original 577</x:v>
      </x:c>
      <x:c r="K107" s="10" t="n">
        <x:v>3000</x:v>
      </x:c>
      <x:c r="L107" s="10" t="n">
        <x:v>2</x:v>
      </x:c>
      <x:c r="M107" s="10" t="n">
        <x:v>700</x:v>
      </x:c>
      <x:c r="N107" s="2" t="str">
        <x:v>D10</x:v>
      </x:c>
      <x:c r="O107" s="2" t="str">
        <x:v>hdb flat</x:v>
      </x:c>
      <x:c r="P107" s="2" t="str">
        <x:v>https://www.propertyguru.com.sg/listing/hdb-for-rent-6-ghim-moh-road-24866516</x:v>
      </x:c>
      <x:c r="Q107" s="12" t="str">
        <x:v>Hard failure: Reported bedrooms 2; required &gt;= 3.</x:v>
      </x:c>
      <x:c r="R107" s="13"/>
    </x:row>
    <x:row r="108" ht="15" hidden="0" customHeight="1">
      <x:c r="A108" s="2" t="str">
        <x:v>S05|500152958</x:v>
      </x:c>
      <x:c r="B108" s="2" t="str">
        <x:v>S05</x:v>
      </x:c>
      <x:c r="C108" s="2" t="str">
        <x:v>500152958</x:v>
      </x:c>
      <x:c r="D108" s="2" t="n">
        <x:v>0</x:v>
      </x:c>
      <x:c r="E108" s="9"/>
      <x:c r="F108" s="2" t="n">
        <x:f>IF(E108="",D108,IF(E108="U","U",IF(AND(ISNUMBER(E108),E108&gt;=0,E108&lt;=3,INT(E108)=E108),E108,"Invalid")))</x:f>
        <x:v>0</x:v>
      </x:c>
      <x:c r="G108" s="2" t="n">
        <x:f>IF(ISNUMBER(F108),1,0)</x:f>
        <x:v>1</x:v>
      </x:c>
      <x:c r="H108" s="2" t="n">
        <x:f>IF(ISNUMBER(F108),IF(F108&gt;=2,1,0),0)</x:f>
        <x:v>0</x:v>
      </x:c>
      <x:c r="I108" s="11" t="n">
        <x:f>IF(ISNUMBER(F108),2^F108-1,0)</x:f>
        <x:v>0</x:v>
      </x:c>
      <x:c r="J108" s="2" t="str">
        <x:v>Retained original 577</x:v>
      </x:c>
      <x:c r="K108" s="10" t="n">
        <x:v>5300</x:v>
      </x:c>
      <x:c r="L108" s="10" t="n">
        <x:v>2</x:v>
      </x:c>
      <x:c r="M108" s="10" t="n">
        <x:v>936</x:v>
      </x:c>
      <x:c r="N108" s="2" t="str">
        <x:v>D10</x:v>
      </x:c>
      <x:c r="O108" s="2" t="str">
        <x:v>apartment</x:v>
      </x:c>
      <x:c r="P108" s="2" t="str">
        <x:v>https://www.propertyguru.com.sg/listing/for-rent-the-hermitage-500152958</x:v>
      </x:c>
      <x:c r="Q108" s="12" t="str">
        <x:v>Hard failure: Reported bedrooms 2; required &gt;= 3.</x:v>
      </x:c>
      <x:c r="R108" s="13"/>
    </x:row>
    <x:row r="109" ht="24" hidden="0" customHeight="1">
      <x:c r="A109" s="2" t="str">
        <x:v>S05|24572583</x:v>
      </x:c>
      <x:c r="B109" s="2" t="str">
        <x:v>S05</x:v>
      </x:c>
      <x:c r="C109" s="2" t="str">
        <x:v>24572583</x:v>
      </x:c>
      <x:c r="D109" s="2" t="n">
        <x:v>2</x:v>
      </x:c>
      <x:c r="E109" s="9"/>
      <x:c r="F109" s="2" t="n">
        <x:f>IF(E109="",D109,IF(E109="U","U",IF(AND(ISNUMBER(E109),E109&gt;=0,E109&lt;=3,INT(E109)=E109),E109,"Invalid")))</x:f>
        <x:v>2</x:v>
      </x:c>
      <x:c r="G109" s="2" t="n">
        <x:f>IF(ISNUMBER(F109),1,0)</x:f>
        <x:v>1</x:v>
      </x:c>
      <x:c r="H109" s="2" t="n">
        <x:f>IF(ISNUMBER(F109),IF(F109&gt;=2,1,0),0)</x:f>
        <x:v>1</x:v>
      </x:c>
      <x:c r="I109" s="11" t="n">
        <x:f>IF(ISNUMBER(F109),2^F109-1,0)</x:f>
        <x:v>3</x:v>
      </x:c>
      <x:c r="J109" s="2" t="str">
        <x:v>Retained original 577</x:v>
      </x:c>
      <x:c r="K109" s="10" t="n">
        <x:v>6500</x:v>
      </x:c>
      <x:c r="L109" s="10" t="n">
        <x:v>3</x:v>
      </x:c>
      <x:c r="M109" s="10" t="n">
        <x:v>1700</x:v>
      </x:c>
      <x:c r="N109" s="2" t="str">
        <x:v>D10</x:v>
      </x:c>
      <x:c r="O109" s="2" t="str">
        <x:v>condominium</x:v>
      </x:c>
      <x:c r="P109" s="2" t="str">
        <x:v>https://www.propertyguru.com.sg/listing/for-rent-ridgewood-condominium-24572583</x:v>
      </x:c>
      <x:c r="Q109" s="12" t="str">
        <x:v>Hard requirements pass. area 1,700 sqft, SGD 6,500/month. The preferred size is met, but rent is near the cap and cheaper size-matching options exist.</x:v>
      </x:c>
      <x:c r="R109" s="13"/>
    </x:row>
    <x:row r="110" ht="15" hidden="0" customHeight="1">
      <x:c r="A110" s="2" t="str">
        <x:v>S05|500266705</x:v>
      </x:c>
      <x:c r="B110" s="2" t="str">
        <x:v>S05</x:v>
      </x:c>
      <x:c r="C110" s="2" t="str">
        <x:v>500266705</x:v>
      </x:c>
      <x:c r="D110" s="2" t="str">
        <x:v>U</x:v>
      </x:c>
      <x:c r="E110" s="9"/>
      <x:c r="F110" s="2" t="str">
        <x:f>IF(E110="",D110,IF(E110="U","U",IF(AND(ISNUMBER(E110),E110&gt;=0,E110&lt;=3,INT(E110)=E110),E110,"Invalid")))</x:f>
        <x:v>U</x:v>
      </x:c>
      <x:c r="G110" s="2" t="n">
        <x:f>IF(ISNUMBER(F110),1,0)</x:f>
        <x:v>0</x:v>
      </x:c>
      <x:c r="H110" s="2" t="n">
        <x:f>IF(ISNUMBER(F110),IF(F110&gt;=2,1,0),0)</x:f>
        <x:v>0</x:v>
      </x:c>
      <x:c r="I110" s="11" t="n">
        <x:f>IF(ISNUMBER(F110),2^F110-1,0)</x:f>
        <x:v>0</x:v>
      </x:c>
      <x:c r="J110" s="2" t="str">
        <x:v>Retained original 577</x:v>
      </x:c>
      <x:c r="K110" s="10" t="n">
        <x:v>3800</x:v>
      </x:c>
      <x:c r="L110" s="10"/>
      <x:c r="M110" s="10" t="n">
        <x:v>350</x:v>
      </x:c>
      <x:c r="N110" s="2" t="str">
        <x:v>D10</x:v>
      </x:c>
      <x:c r="O110" s="2" t="str">
        <x:v>apartment</x:v>
      </x:c>
      <x:c r="P110" s="2" t="str">
        <x:v>https://www.propertyguru.com.sg/listing/for-rent-the-assembly-at-stevens-service-residences-500266705</x:v>
      </x:c>
      <x:c r="Q110" s="12" t="str">
        <x:v>No known hard failure. Cannot verify: reported bedrooms.</x:v>
      </x:c>
      <x:c r="R110" s="13"/>
    </x:row>
    <x:row r="111" ht="24" hidden="0" customHeight="1">
      <x:c r="A111" s="2" t="str">
        <x:v>S05|25230947</x:v>
      </x:c>
      <x:c r="B111" s="2" t="str">
        <x:v>S05</x:v>
      </x:c>
      <x:c r="C111" s="2" t="str">
        <x:v>25230947</x:v>
      </x:c>
      <x:c r="D111" s="2" t="n">
        <x:v>1</x:v>
      </x:c>
      <x:c r="E111" s="9"/>
      <x:c r="F111" s="2" t="n">
        <x:f>IF(E111="",D111,IF(E111="U","U",IF(AND(ISNUMBER(E111),E111&gt;=0,E111&lt;=3,INT(E111)=E111),E111,"Invalid")))</x:f>
        <x:v>1</x:v>
      </x:c>
      <x:c r="G111" s="2" t="n">
        <x:f>IF(ISNUMBER(F111),1,0)</x:f>
        <x:v>1</x:v>
      </x:c>
      <x:c r="H111" s="2" t="n">
        <x:f>IF(ISNUMBER(F111),IF(F111&gt;=2,1,0),0)</x:f>
        <x:v>0</x:v>
      </x:c>
      <x:c r="I111" s="11" t="n">
        <x:f>IF(ISNUMBER(F111),2^F111-1,0)</x:f>
        <x:v>1</x:v>
      </x:c>
      <x:c r="J111" s="2" t="str">
        <x:v>Retained original 577</x:v>
      </x:c>
      <x:c r="K111" s="10" t="n">
        <x:v>5900</x:v>
      </x:c>
      <x:c r="L111" s="10" t="n">
        <x:v>4</x:v>
      </x:c>
      <x:c r="M111" s="10" t="n">
        <x:v>1335</x:v>
      </x:c>
      <x:c r="N111" s="2" t="str">
        <x:v>D10</x:v>
      </x:c>
      <x:c r="O111" s="2" t="str">
        <x:v>hdb flat</x:v>
      </x:c>
      <x:c r="P111" s="2" t="str">
        <x:v>https://www.propertyguru.com.sg/listing/hdb-for-rent-3-holland-close-25230947</x:v>
      </x:c>
      <x:c r="Q111" s="12" t="str">
        <x:v>Hard requirements pass. area 1,335 sqft, SGD 5,900/month. The reported area falls short of the primary size preference; cheaper rent alone does not fulfil it.</x:v>
      </x:c>
      <x:c r="R111" s="13"/>
    </x:row>
    <x:row r="112" ht="24" hidden="0" customHeight="1">
      <x:c r="A112" s="2" t="str">
        <x:v>S05|500281102</x:v>
      </x:c>
      <x:c r="B112" s="2" t="str">
        <x:v>S05</x:v>
      </x:c>
      <x:c r="C112" s="2" t="str">
        <x:v>500281102</x:v>
      </x:c>
      <x:c r="D112" s="2" t="n">
        <x:v>2</x:v>
      </x:c>
      <x:c r="E112" s="9"/>
      <x:c r="F112" s="2" t="n">
        <x:f>IF(E112="",D112,IF(E112="U","U",IF(AND(ISNUMBER(E112),E112&gt;=0,E112&lt;=3,INT(E112)=E112),E112,"Invalid")))</x:f>
        <x:v>2</x:v>
      </x:c>
      <x:c r="G112" s="2" t="n">
        <x:f>IF(ISNUMBER(F112),1,0)</x:f>
        <x:v>1</x:v>
      </x:c>
      <x:c r="H112" s="2" t="n">
        <x:f>IF(ISNUMBER(F112),IF(F112&gt;=2,1,0),0)</x:f>
        <x:v>1</x:v>
      </x:c>
      <x:c r="I112" s="11" t="n">
        <x:f>IF(ISNUMBER(F112),2^F112-1,0)</x:f>
        <x:v>3</x:v>
      </x:c>
      <x:c r="J112" s="2" t="str">
        <x:v>Retained original 577</x:v>
      </x:c>
      <x:c r="K112" s="10" t="n">
        <x:v>6000</x:v>
      </x:c>
      <x:c r="L112" s="10" t="n">
        <x:v>3</x:v>
      </x:c>
      <x:c r="M112" s="10" t="n">
        <x:v>1411</x:v>
      </x:c>
      <x:c r="N112" s="2" t="str">
        <x:v>D10</x:v>
      </x:c>
      <x:c r="O112" s="2" t="str">
        <x:v>apartment</x:v>
      </x:c>
      <x:c r="P112" s="2" t="str">
        <x:v>https://www.propertyguru.com.sg/listing/for-rent-jervois-grove-500281102</x:v>
      </x:c>
      <x:c r="Q112" s="12" t="str">
        <x:v>Hard requirements pass. area 1,411 sqft, SGD 6,000/month. The area is only modestly below the soft target; this remains a trade-off, not a hard failure.</x:v>
      </x:c>
      <x:c r="R112" s="13"/>
    </x:row>
    <x:row r="113" ht="24" hidden="0" customHeight="1">
      <x:c r="A113" s="2" t="str">
        <x:v>S05|25431334</x:v>
      </x:c>
      <x:c r="B113" s="2" t="str">
        <x:v>S05</x:v>
      </x:c>
      <x:c r="C113" s="2" t="str">
        <x:v>25431334</x:v>
      </x:c>
      <x:c r="D113" s="2" t="n">
        <x:v>1</x:v>
      </x:c>
      <x:c r="E113" s="9"/>
      <x:c r="F113" s="2" t="n">
        <x:f>IF(E113="",D113,IF(E113="U","U",IF(AND(ISNUMBER(E113),E113&gt;=0,E113&lt;=3,INT(E113)=E113),E113,"Invalid")))</x:f>
        <x:v>1</x:v>
      </x:c>
      <x:c r="G113" s="2" t="n">
        <x:f>IF(ISNUMBER(F113),1,0)</x:f>
        <x:v>1</x:v>
      </x:c>
      <x:c r="H113" s="2" t="n">
        <x:f>IF(ISNUMBER(F113),IF(F113&gt;=2,1,0),0)</x:f>
        <x:v>0</x:v>
      </x:c>
      <x:c r="I113" s="11" t="n">
        <x:f>IF(ISNUMBER(F113),2^F113-1,0)</x:f>
        <x:v>1</x:v>
      </x:c>
      <x:c r="J113" s="2" t="str">
        <x:v>Retained original 577</x:v>
      </x:c>
      <x:c r="K113" s="10" t="n">
        <x:v>4800</x:v>
      </x:c>
      <x:c r="L113" s="10" t="n">
        <x:v>3</x:v>
      </x:c>
      <x:c r="M113" s="10" t="n">
        <x:v>936</x:v>
      </x:c>
      <x:c r="N113" s="2" t="str">
        <x:v>D10</x:v>
      </x:c>
      <x:c r="O113" s="2" t="str">
        <x:v>hdb flat</x:v>
      </x:c>
      <x:c r="P113" s="2" t="str">
        <x:v>https://www.propertyguru.com.sg/listing/hdb-for-rent-18b-holland-drive-25431334</x:v>
      </x:c>
      <x:c r="Q113" s="12" t="str">
        <x:v>Hard requirements pass. area 936 sqft, SGD 4,800/month. The reported area falls short of the primary size preference; cheaper rent alone does not fulfil it.</x:v>
      </x:c>
      <x:c r="R113" s="13"/>
    </x:row>
    <x:row r="114" ht="24" hidden="0" customHeight="1">
      <x:c r="A114" s="2" t="str">
        <x:v>S05|500092043</x:v>
      </x:c>
      <x:c r="B114" s="2" t="str">
        <x:v>S05</x:v>
      </x:c>
      <x:c r="C114" s="2" t="str">
        <x:v>500092043</x:v>
      </x:c>
      <x:c r="D114" s="2" t="n">
        <x:v>3</x:v>
      </x:c>
      <x:c r="E114" s="9"/>
      <x:c r="F114" s="2" t="n">
        <x:f>IF(E114="",D114,IF(E114="U","U",IF(AND(ISNUMBER(E114),E114&gt;=0,E114&lt;=3,INT(E114)=E114),E114,"Invalid")))</x:f>
        <x:v>3</x:v>
      </x:c>
      <x:c r="G114" s="2" t="n">
        <x:f>IF(ISNUMBER(F114),1,0)</x:f>
        <x:v>1</x:v>
      </x:c>
      <x:c r="H114" s="2" t="n">
        <x:f>IF(ISNUMBER(F114),IF(F114&gt;=2,1,0),0)</x:f>
        <x:v>1</x:v>
      </x:c>
      <x:c r="I114" s="11" t="n">
        <x:f>IF(ISNUMBER(F114),2^F114-1,0)</x:f>
        <x:v>7</x:v>
      </x:c>
      <x:c r="J114" s="2" t="str">
        <x:v>Retained original 577</x:v>
      </x:c>
      <x:c r="K114" s="10" t="n">
        <x:v>5500</x:v>
      </x:c>
      <x:c r="L114" s="10" t="n">
        <x:v>3</x:v>
      </x:c>
      <x:c r="M114" s="10" t="n">
        <x:v>1500</x:v>
      </x:c>
      <x:c r="N114" s="2" t="str">
        <x:v>D10</x:v>
      </x:c>
      <x:c r="O114" s="2" t="str">
        <x:v>condominium</x:v>
      </x:c>
      <x:c r="P114" s="2" t="str">
        <x:v>https://www.propertyguru.com.sg/listing/for-rent-rainbow-mansions-500092043</x:v>
      </x:c>
      <x:c r="Q114" s="12" t="str">
        <x:v>Hard requirements pass. area 1,500 sqft, SGD 5,500/month. The preferred size is met at a lower rent than several other size-matching choices.</x:v>
      </x:c>
      <x:c r="R114" s="13"/>
    </x:row>
    <x:row r="115" ht="15" hidden="0" customHeight="1">
      <x:c r="A115" s="2" t="str">
        <x:v>S05|24936408</x:v>
      </x:c>
      <x:c r="B115" s="2" t="str">
        <x:v>S05</x:v>
      </x:c>
      <x:c r="C115" s="2" t="str">
        <x:v>24936408</x:v>
      </x:c>
      <x:c r="D115" s="2" t="n">
        <x:v>0</x:v>
      </x:c>
      <x:c r="E115" s="9"/>
      <x:c r="F115" s="2" t="n">
        <x:f>IF(E115="",D115,IF(E115="U","U",IF(AND(ISNUMBER(E115),E115&gt;=0,E115&lt;=3,INT(E115)=E115),E115,"Invalid")))</x:f>
        <x:v>0</x:v>
      </x:c>
      <x:c r="G115" s="2" t="n">
        <x:f>IF(ISNUMBER(F115),1,0)</x:f>
        <x:v>1</x:v>
      </x:c>
      <x:c r="H115" s="2" t="n">
        <x:f>IF(ISNUMBER(F115),IF(F115&gt;=2,1,0),0)</x:f>
        <x:v>0</x:v>
      </x:c>
      <x:c r="I115" s="11" t="n">
        <x:f>IF(ISNUMBER(F115),2^F115-1,0)</x:f>
        <x:v>0</x:v>
      </x:c>
      <x:c r="J115" s="2" t="str">
        <x:v>Retained original 577</x:v>
      </x:c>
      <x:c r="K115" s="10" t="n">
        <x:v>6667</x:v>
      </x:c>
      <x:c r="L115" s="10" t="n">
        <x:v>3</x:v>
      </x:c>
      <x:c r="M115" s="10" t="n">
        <x:v>1668</x:v>
      </x:c>
      <x:c r="N115" s="2" t="str">
        <x:v>D10</x:v>
      </x:c>
      <x:c r="O115" s="2" t="str">
        <x:v>condominium</x:v>
      </x:c>
      <x:c r="P115" s="2" t="str">
        <x:v>https://www.propertyguru.com.sg/listing/for-rent-jervois-lodge-24936408</x:v>
      </x:c>
      <x:c r="Q115" s="12" t="str">
        <x:v>Hard failure: Rent (SGD/month) 6,667; required &lt;= 6,500.</x:v>
      </x:c>
      <x:c r="R115" s="13"/>
    </x:row>
    <x:row r="116" ht="24" hidden="0" customHeight="1">
      <x:c r="A116" s="2" t="str">
        <x:v>S05|24424470</x:v>
      </x:c>
      <x:c r="B116" s="2" t="str">
        <x:v>S05</x:v>
      </x:c>
      <x:c r="C116" s="2" t="str">
        <x:v>24424470</x:v>
      </x:c>
      <x:c r="D116" s="2" t="n">
        <x:v>1</x:v>
      </x:c>
      <x:c r="E116" s="9"/>
      <x:c r="F116" s="2" t="n">
        <x:f>IF(E116="",D116,IF(E116="U","U",IF(AND(ISNUMBER(E116),E116&gt;=0,E116&lt;=3,INT(E116)=E116),E116,"Invalid")))</x:f>
        <x:v>1</x:v>
      </x:c>
      <x:c r="G116" s="2" t="n">
        <x:f>IF(ISNUMBER(F116),1,0)</x:f>
        <x:v>1</x:v>
      </x:c>
      <x:c r="H116" s="2" t="n">
        <x:f>IF(ISNUMBER(F116),IF(F116&gt;=2,1,0),0)</x:f>
        <x:v>0</x:v>
      </x:c>
      <x:c r="I116" s="11" t="n">
        <x:f>IF(ISNUMBER(F116),2^F116-1,0)</x:f>
        <x:v>1</x:v>
      </x:c>
      <x:c r="J116" s="2" t="str">
        <x:v>Retained original 577</x:v>
      </x:c>
      <x:c r="K116" s="10" t="n">
        <x:v>5500</x:v>
      </x:c>
      <x:c r="L116" s="10" t="n">
        <x:v>3</x:v>
      </x:c>
      <x:c r="M116" s="10" t="n">
        <x:v>1119</x:v>
      </x:c>
      <x:c r="N116" s="2" t="str">
        <x:v>D10</x:v>
      </x:c>
      <x:c r="O116" s="2" t="str">
        <x:v>apartment</x:v>
      </x:c>
      <x:c r="P116" s="2" t="str">
        <x:v>https://www.propertyguru.com.sg/listing/for-rent-proximo-24424470</x:v>
      </x:c>
      <x:c r="Q116" s="12" t="str">
        <x:v>Hard requirements pass. area 1,119 sqft, SGD 5,500/month. The reported area falls short of the primary size preference; cheaper rent alone does not fulfil it.</x:v>
      </x:c>
      <x:c r="R116" s="13"/>
    </x:row>
    <x:row r="117" ht="24" hidden="0" customHeight="1">
      <x:c r="A117" s="2" t="str">
        <x:v>S05|22280837</x:v>
      </x:c>
      <x:c r="B117" s="2" t="str">
        <x:v>S05</x:v>
      </x:c>
      <x:c r="C117" s="2" t="str">
        <x:v>22280837</x:v>
      </x:c>
      <x:c r="D117" s="2" t="n">
        <x:v>2</x:v>
      </x:c>
      <x:c r="E117" s="9"/>
      <x:c r="F117" s="2" t="n">
        <x:f>IF(E117="",D117,IF(E117="U","U",IF(AND(ISNUMBER(E117),E117&gt;=0,E117&lt;=3,INT(E117)=E117),E117,"Invalid")))</x:f>
        <x:v>2</x:v>
      </x:c>
      <x:c r="G117" s="2" t="n">
        <x:f>IF(ISNUMBER(F117),1,0)</x:f>
        <x:v>1</x:v>
      </x:c>
      <x:c r="H117" s="2" t="n">
        <x:f>IF(ISNUMBER(F117),IF(F117&gt;=2,1,0),0)</x:f>
        <x:v>1</x:v>
      </x:c>
      <x:c r="I117" s="11" t="n">
        <x:f>IF(ISNUMBER(F117),2^F117-1,0)</x:f>
        <x:v>3</x:v>
      </x:c>
      <x:c r="J117" s="2" t="str">
        <x:v>Retained original 577</x:v>
      </x:c>
      <x:c r="K117" s="10" t="n">
        <x:v>6300</x:v>
      </x:c>
      <x:c r="L117" s="10" t="n">
        <x:v>3</x:v>
      </x:c>
      <x:c r="M117" s="10" t="n">
        <x:v>1744</x:v>
      </x:c>
      <x:c r="N117" s="2" t="str">
        <x:v>D10</x:v>
      </x:c>
      <x:c r="O117" s="2" t="str">
        <x:v>condominium</x:v>
      </x:c>
      <x:c r="P117" s="2" t="str">
        <x:v>https://www.propertyguru.com.sg/listing/for-rent-ridgewood-condominium-22280837</x:v>
      </x:c>
      <x:c r="Q117" s="12" t="str">
        <x:v>Hard requirements pass. area 1,744 sqft, SGD 6,300/month. The preferred size is met, but rent is near the cap and cheaper size-matching options exist.</x:v>
      </x:c>
      <x:c r="R117" s="13"/>
    </x:row>
    <x:row r="118" ht="24" hidden="0" customHeight="1">
      <x:c r="A118" s="2" t="str">
        <x:v>S05|500195969</x:v>
      </x:c>
      <x:c r="B118" s="2" t="str">
        <x:v>S05</x:v>
      </x:c>
      <x:c r="C118" s="2" t="str">
        <x:v>500195969</x:v>
      </x:c>
      <x:c r="D118" s="2" t="n">
        <x:v>1</x:v>
      </x:c>
      <x:c r="E118" s="9"/>
      <x:c r="F118" s="2" t="n">
        <x:f>IF(E118="",D118,IF(E118="U","U",IF(AND(ISNUMBER(E118),E118&gt;=0,E118&lt;=3,INT(E118)=E118),E118,"Invalid")))</x:f>
        <x:v>1</x:v>
      </x:c>
      <x:c r="G118" s="2" t="n">
        <x:f>IF(ISNUMBER(F118),1,0)</x:f>
        <x:v>1</x:v>
      </x:c>
      <x:c r="H118" s="2" t="n">
        <x:f>IF(ISNUMBER(F118),IF(F118&gt;=2,1,0),0)</x:f>
        <x:v>0</x:v>
      </x:c>
      <x:c r="I118" s="11" t="n">
        <x:f>IF(ISNUMBER(F118),2^F118-1,0)</x:f>
        <x:v>1</x:v>
      </x:c>
      <x:c r="J118" s="2" t="str">
        <x:v>Retained original 577</x:v>
      </x:c>
      <x:c r="K118" s="10" t="n">
        <x:v>6000</x:v>
      </x:c>
      <x:c r="L118" s="10" t="n">
        <x:v>3</x:v>
      </x:c>
      <x:c r="M118" s="10" t="n">
        <x:v>851</x:v>
      </x:c>
      <x:c r="N118" s="2" t="str">
        <x:v>D10</x:v>
      </x:c>
      <x:c r="O118" s="2" t="str">
        <x:v>condominium</x:v>
      </x:c>
      <x:c r="P118" s="2" t="str">
        <x:v>https://www.propertyguru.com.sg/listing/for-rent-rv-residences-500195969</x:v>
      </x:c>
      <x:c r="Q118" s="12" t="str">
        <x:v>Hard requirements pass. area 851 sqft, SGD 6,000/month. The reported area falls short of the primary size preference; cheaper rent alone does not fulfil it.</x:v>
      </x:c>
      <x:c r="R118" s="13"/>
    </x:row>
    <x:row r="119" ht="15" hidden="0" customHeight="1">
      <x:c r="A119" s="2" t="str">
        <x:v>S05|19213816</x:v>
      </x:c>
      <x:c r="B119" s="2" t="str">
        <x:v>S05</x:v>
      </x:c>
      <x:c r="C119" s="2" t="str">
        <x:v>19213816</x:v>
      </x:c>
      <x:c r="D119" s="2" t="n">
        <x:v>0</x:v>
      </x:c>
      <x:c r="E119" s="9"/>
      <x:c r="F119" s="2" t="n">
        <x:f>IF(E119="",D119,IF(E119="U","U",IF(AND(ISNUMBER(E119),E119&gt;=0,E119&lt;=3,INT(E119)=E119),E119,"Invalid")))</x:f>
        <x:v>0</x:v>
      </x:c>
      <x:c r="G119" s="2" t="n">
        <x:f>IF(ISNUMBER(F119),1,0)</x:f>
        <x:v>1</x:v>
      </x:c>
      <x:c r="H119" s="2" t="n">
        <x:f>IF(ISNUMBER(F119),IF(F119&gt;=2,1,0),0)</x:f>
        <x:v>0</x:v>
      </x:c>
      <x:c r="I119" s="11" t="n">
        <x:f>IF(ISNUMBER(F119),2^F119-1,0)</x:f>
        <x:v>0</x:v>
      </x:c>
      <x:c r="J119" s="2" t="str">
        <x:v>Retained original 577</x:v>
      </x:c>
      <x:c r="K119" s="10" t="n">
        <x:v>6600</x:v>
      </x:c>
      <x:c r="L119" s="10" t="n">
        <x:v>3</x:v>
      </x:c>
      <x:c r="M119" s="10" t="n">
        <x:v>1302</x:v>
      </x:c>
      <x:c r="N119" s="2" t="str">
        <x:v>D10</x:v>
      </x:c>
      <x:c r="O119" s="2" t="str">
        <x:v>condominium</x:v>
      </x:c>
      <x:c r="P119" s="2" t="str">
        <x:v>https://www.propertyguru.com.sg/listing/for-rent-the-tessarina-19213816</x:v>
      </x:c>
      <x:c r="Q119" s="12" t="str">
        <x:v>Hard failure: Rent (SGD/month) 6,600; required &lt;= 6,500.</x:v>
      </x:c>
      <x:c r="R119" s="13"/>
    </x:row>
    <x:row r="120" ht="24" hidden="0" customHeight="1">
      <x:c r="A120" s="2" t="str">
        <x:v>S05|500266134</x:v>
      </x:c>
      <x:c r="B120" s="2" t="str">
        <x:v>S05</x:v>
      </x:c>
      <x:c r="C120" s="2" t="str">
        <x:v>500266134</x:v>
      </x:c>
      <x:c r="D120" s="2" t="n">
        <x:v>2</x:v>
      </x:c>
      <x:c r="E120" s="9"/>
      <x:c r="F120" s="2" t="n">
        <x:f>IF(E120="",D120,IF(E120="U","U",IF(AND(ISNUMBER(E120),E120&gt;=0,E120&lt;=3,INT(E120)=E120),E120,"Invalid")))</x:f>
        <x:v>2</x:v>
      </x:c>
      <x:c r="G120" s="2" t="n">
        <x:f>IF(ISNUMBER(F120),1,0)</x:f>
        <x:v>1</x:v>
      </x:c>
      <x:c r="H120" s="2" t="n">
        <x:f>IF(ISNUMBER(F120),IF(F120&gt;=2,1,0),0)</x:f>
        <x:v>1</x:v>
      </x:c>
      <x:c r="I120" s="11" t="n">
        <x:f>IF(ISNUMBER(F120),2^F120-1,0)</x:f>
        <x:v>3</x:v>
      </x:c>
      <x:c r="J120" s="2" t="str">
        <x:v>Retained original 577</x:v>
      </x:c>
      <x:c r="K120" s="10" t="n">
        <x:v>6500</x:v>
      </x:c>
      <x:c r="L120" s="10" t="n">
        <x:v>3</x:v>
      </x:c>
      <x:c r="M120" s="10" t="n">
        <x:v>1657</x:v>
      </x:c>
      <x:c r="N120" s="2" t="str">
        <x:v>D10</x:v>
      </x:c>
      <x:c r="O120" s="2" t="str">
        <x:v>condominium</x:v>
      </x:c>
      <x:c r="P120" s="2" t="str">
        <x:v>https://www.propertyguru.com.sg/listing/for-rent-fairlodge-500266134</x:v>
      </x:c>
      <x:c r="Q120" s="12" t="str">
        <x:v>Hard requirements pass. area 1,657 sqft, SGD 6,500/month. The preferred size is met, but rent is near the cap and cheaper size-matching options exist.</x:v>
      </x:c>
      <x:c r="R120" s="13"/>
    </x:row>
    <x:row r="121" ht="24" hidden="0" customHeight="1">
      <x:c r="A121" s="2" t="str">
        <x:v>S05|25368286</x:v>
      </x:c>
      <x:c r="B121" s="2" t="str">
        <x:v>S05</x:v>
      </x:c>
      <x:c r="C121" s="2" t="str">
        <x:v>25368286</x:v>
      </x:c>
      <x:c r="D121" s="2" t="n">
        <x:v>1</x:v>
      </x:c>
      <x:c r="E121" s="9"/>
      <x:c r="F121" s="2" t="n">
        <x:f>IF(E121="",D121,IF(E121="U","U",IF(AND(ISNUMBER(E121),E121&gt;=0,E121&lt;=3,INT(E121)=E121),E121,"Invalid")))</x:f>
        <x:v>1</x:v>
      </x:c>
      <x:c r="G121" s="2" t="n">
        <x:f>IF(ISNUMBER(F121),1,0)</x:f>
        <x:v>1</x:v>
      </x:c>
      <x:c r="H121" s="2" t="n">
        <x:f>IF(ISNUMBER(F121),IF(F121&gt;=2,1,0),0)</x:f>
        <x:v>0</x:v>
      </x:c>
      <x:c r="I121" s="11" t="n">
        <x:f>IF(ISNUMBER(F121),2^F121-1,0)</x:f>
        <x:v>1</x:v>
      </x:c>
      <x:c r="J121" s="2" t="str">
        <x:v>Retained original 577</x:v>
      </x:c>
      <x:c r="K121" s="10" t="n">
        <x:v>3499</x:v>
      </x:c>
      <x:c r="L121" s="10" t="n">
        <x:v>3</x:v>
      </x:c>
      <x:c r="M121" s="10" t="n">
        <x:v>699</x:v>
      </x:c>
      <x:c r="N121" s="2" t="str">
        <x:v>D10</x:v>
      </x:c>
      <x:c r="O121" s="2" t="str">
        <x:v>hdb flat</x:v>
      </x:c>
      <x:c r="P121" s="2" t="str">
        <x:v>https://www.propertyguru.com.sg/listing/hdb-for-rent-9-holland-avenue-25368286</x:v>
      </x:c>
      <x:c r="Q121" s="12" t="str">
        <x:v>Hard requirements pass. area 699 sqft, SGD 3,499/month. The reported area falls short of the primary size preference; cheaper rent alone does not fulfil it.</x:v>
      </x:c>
      <x:c r="R121" s="13"/>
    </x:row>
    <x:row r="122" ht="15" hidden="0" customHeight="1">
      <x:c r="A122" s="2" t="str">
        <x:v>S05|500284522</x:v>
      </x:c>
      <x:c r="B122" s="2" t="str">
        <x:v>S05</x:v>
      </x:c>
      <x:c r="C122" s="2" t="str">
        <x:v>500284522</x:v>
      </x:c>
      <x:c r="D122" s="2" t="str">
        <x:v>U</x:v>
      </x:c>
      <x:c r="E122" s="9"/>
      <x:c r="F122" s="2" t="str">
        <x:f>IF(E122="",D122,IF(E122="U","U",IF(AND(ISNUMBER(E122),E122&gt;=0,E122&lt;=3,INT(E122)=E122),E122,"Invalid")))</x:f>
        <x:v>U</x:v>
      </x:c>
      <x:c r="G122" s="2" t="n">
        <x:f>IF(ISNUMBER(F122),1,0)</x:f>
        <x:v>0</x:v>
      </x:c>
      <x:c r="H122" s="2" t="n">
        <x:f>IF(ISNUMBER(F122),IF(F122&gt;=2,1,0),0)</x:f>
        <x:v>0</x:v>
      </x:c>
      <x:c r="I122" s="11" t="n">
        <x:f>IF(ISNUMBER(F122),2^F122-1,0)</x:f>
        <x:v>0</x:v>
      </x:c>
      <x:c r="J122" s="2" t="str">
        <x:v>Retained original 577</x:v>
      </x:c>
      <x:c r="K122" s="10" t="n">
        <x:v>2800</x:v>
      </x:c>
      <x:c r="L122" s="10"/>
      <x:c r="M122" s="10" t="n">
        <x:v>250</x:v>
      </x:c>
      <x:c r="N122" s="2" t="str">
        <x:v>D10</x:v>
      </x:c>
      <x:c r="O122" s="2" t="str">
        <x:v>condominium</x:v>
      </x:c>
      <x:c r="P122" s="2" t="str">
        <x:v>https://www.propertyguru.com.sg/listing/for-rent-melrose-park-500284522</x:v>
      </x:c>
      <x:c r="Q122" s="12" t="str">
        <x:v>No known hard failure. Cannot verify: reported bedrooms.</x:v>
      </x:c>
      <x:c r="R122" s="13"/>
    </x:row>
    <x:row r="123" ht="15" hidden="0" customHeight="1">
      <x:c r="A123" s="2" t="str">
        <x:v>S05|25484671</x:v>
      </x:c>
      <x:c r="B123" s="2" t="str">
        <x:v>S05</x:v>
      </x:c>
      <x:c r="C123" s="2" t="str">
        <x:v>25484671</x:v>
      </x:c>
      <x:c r="D123" s="2" t="str">
        <x:v>U</x:v>
      </x:c>
      <x:c r="E123" s="9"/>
      <x:c r="F123" s="2" t="str">
        <x:f>IF(E123="",D123,IF(E123="U","U",IF(AND(ISNUMBER(E123),E123&gt;=0,E123&lt;=3,INT(E123)=E123),E123,"Invalid")))</x:f>
        <x:v>U</x:v>
      </x:c>
      <x:c r="G123" s="2" t="n">
        <x:f>IF(ISNUMBER(F123),1,0)</x:f>
        <x:v>0</x:v>
      </x:c>
      <x:c r="H123" s="2" t="n">
        <x:f>IF(ISNUMBER(F123),IF(F123&gt;=2,1,0),0)</x:f>
        <x:v>0</x:v>
      </x:c>
      <x:c r="I123" s="11" t="n">
        <x:f>IF(ISNUMBER(F123),2^F123-1,0)</x:f>
        <x:v>0</x:v>
      </x:c>
      <x:c r="J123" s="2" t="str">
        <x:v>Retained original 577</x:v>
      </x:c>
      <x:c r="K123" s="10" t="n">
        <x:v>2150</x:v>
      </x:c>
      <x:c r="L123" s="10"/>
      <x:c r="M123" s="10" t="n">
        <x:v>250</x:v>
      </x:c>
      <x:c r="N123" s="2" t="str">
        <x:v>D10</x:v>
      </x:c>
      <x:c r="O123" s="2" t="str">
        <x:v>apartment</x:v>
      </x:c>
      <x:c r="P123" s="2" t="str">
        <x:v>https://www.propertyguru.com.sg/listing/for-rent-coliwoo-studios-1a-lutheran-25484671</x:v>
      </x:c>
      <x:c r="Q123" s="12" t="str">
        <x:v>No known hard failure. Cannot verify: reported bedrooms.</x:v>
      </x:c>
      <x:c r="R123" s="13"/>
    </x:row>
    <x:row r="124" ht="24" hidden="0" customHeight="1">
      <x:c r="A124" s="2" t="str">
        <x:v>S05|20676599</x:v>
      </x:c>
      <x:c r="B124" s="2" t="str">
        <x:v>S05</x:v>
      </x:c>
      <x:c r="C124" s="2" t="str">
        <x:v>20676599</x:v>
      </x:c>
      <x:c r="D124" s="2" t="n">
        <x:v>3</x:v>
      </x:c>
      <x:c r="E124" s="9"/>
      <x:c r="F124" s="2" t="n">
        <x:f>IF(E124="",D124,IF(E124="U","U",IF(AND(ISNUMBER(E124),E124&gt;=0,E124&lt;=3,INT(E124)=E124),E124,"Invalid")))</x:f>
        <x:v>3</x:v>
      </x:c>
      <x:c r="G124" s="2" t="n">
        <x:f>IF(ISNUMBER(F124),1,0)</x:f>
        <x:v>1</x:v>
      </x:c>
      <x:c r="H124" s="2" t="n">
        <x:f>IF(ISNUMBER(F124),IF(F124&gt;=2,1,0),0)</x:f>
        <x:v>1</x:v>
      </x:c>
      <x:c r="I124" s="11" t="n">
        <x:f>IF(ISNUMBER(F124),2^F124-1,0)</x:f>
        <x:v>7</x:v>
      </x:c>
      <x:c r="J124" s="2" t="str">
        <x:v>Retained original 577</x:v>
      </x:c>
      <x:c r="K124" s="10" t="n">
        <x:v>5900</x:v>
      </x:c>
      <x:c r="L124" s="10" t="n">
        <x:v>3</x:v>
      </x:c>
      <x:c r="M124" s="10" t="n">
        <x:v>1744</x:v>
      </x:c>
      <x:c r="N124" s="2" t="str">
        <x:v>D10</x:v>
      </x:c>
      <x:c r="O124" s="2" t="str">
        <x:v>condominium</x:v>
      </x:c>
      <x:c r="P124" s="2" t="str">
        <x:v>https://www.propertyguru.com.sg/listing/for-rent-ridgewood-condominium-20676599</x:v>
      </x:c>
      <x:c r="Q124" s="12" t="str">
        <x:v>Hard requirements pass. area 1,744 sqft, SGD 5,900/month. The preferred size is met at a lower rent than several other size-matching choices.</x:v>
      </x:c>
      <x:c r="R124" s="13"/>
    </x:row>
    <x:row r="125" ht="24" hidden="0" customHeight="1">
      <x:c r="A125" s="2" t="str">
        <x:v>S05|500267519</x:v>
      </x:c>
      <x:c r="B125" s="2" t="str">
        <x:v>S05</x:v>
      </x:c>
      <x:c r="C125" s="2" t="str">
        <x:v>500267519</x:v>
      </x:c>
      <x:c r="D125" s="2" t="n">
        <x:v>1</x:v>
      </x:c>
      <x:c r="E125" s="9"/>
      <x:c r="F125" s="2" t="n">
        <x:f>IF(E125="",D125,IF(E125="U","U",IF(AND(ISNUMBER(E125),E125&gt;=0,E125&lt;=3,INT(E125)=E125),E125,"Invalid")))</x:f>
        <x:v>1</x:v>
      </x:c>
      <x:c r="G125" s="2" t="n">
        <x:f>IF(ISNUMBER(F125),1,0)</x:f>
        <x:v>1</x:v>
      </x:c>
      <x:c r="H125" s="2" t="n">
        <x:f>IF(ISNUMBER(F125),IF(F125&gt;=2,1,0),0)</x:f>
        <x:v>0</x:v>
      </x:c>
      <x:c r="I125" s="11" t="n">
        <x:f>IF(ISNUMBER(F125),2^F125-1,0)</x:f>
        <x:v>1</x:v>
      </x:c>
      <x:c r="J125" s="2" t="str">
        <x:v>Retained original 577</x:v>
      </x:c>
      <x:c r="K125" s="10" t="n">
        <x:v>4900</x:v>
      </x:c>
      <x:c r="L125" s="10" t="n">
        <x:v>4</x:v>
      </x:c>
      <x:c r="M125" s="10" t="n">
        <x:v>1200</x:v>
      </x:c>
      <x:c r="N125" s="2" t="str">
        <x:v>D10</x:v>
      </x:c>
      <x:c r="O125" s="2" t="str">
        <x:v>apartment</x:v>
      </x:c>
      <x:c r="P125" s="2" t="str">
        <x:v>https://www.propertyguru.com.sg/listing/for-rent-619-bukit-timah-500267519</x:v>
      </x:c>
      <x:c r="Q125" s="12" t="str">
        <x:v>Hard requirements pass. area 1,200 sqft, SGD 4,900/month. The reported area falls short of the primary size preference; cheaper rent alone does not fulfil it.</x:v>
      </x:c>
      <x:c r="R125" s="13"/>
    </x:row>
    <x:row r="126" ht="24" hidden="0" customHeight="1">
      <x:c r="A126" s="2" t="str">
        <x:v>S05|500257662</x:v>
      </x:c>
      <x:c r="B126" s="2" t="str">
        <x:v>S05</x:v>
      </x:c>
      <x:c r="C126" s="2" t="str">
        <x:v>500257662</x:v>
      </x:c>
      <x:c r="D126" s="2" t="n">
        <x:v>2</x:v>
      </x:c>
      <x:c r="E126" s="9"/>
      <x:c r="F126" s="2" t="n">
        <x:f>IF(E126="",D126,IF(E126="U","U",IF(AND(ISNUMBER(E126),E126&gt;=0,E126&lt;=3,INT(E126)=E126),E126,"Invalid")))</x:f>
        <x:v>2</x:v>
      </x:c>
      <x:c r="G126" s="2" t="n">
        <x:f>IF(ISNUMBER(F126),1,0)</x:f>
        <x:v>1</x:v>
      </x:c>
      <x:c r="H126" s="2" t="n">
        <x:f>IF(ISNUMBER(F126),IF(F126&gt;=2,1,0),0)</x:f>
        <x:v>1</x:v>
      </x:c>
      <x:c r="I126" s="11" t="n">
        <x:f>IF(ISNUMBER(F126),2^F126-1,0)</x:f>
        <x:v>3</x:v>
      </x:c>
      <x:c r="J126" s="2" t="str">
        <x:v>Retained original 577</x:v>
      </x:c>
      <x:c r="K126" s="10" t="n">
        <x:v>6500</x:v>
      </x:c>
      <x:c r="L126" s="10" t="n">
        <x:v>3</x:v>
      </x:c>
      <x:c r="M126" s="10" t="n">
        <x:v>1744</x:v>
      </x:c>
      <x:c r="N126" s="2" t="str">
        <x:v>D10</x:v>
      </x:c>
      <x:c r="O126" s="2" t="str">
        <x:v>condominium</x:v>
      </x:c>
      <x:c r="P126" s="2" t="str">
        <x:v>https://www.propertyguru.com.sg/listing/for-rent-ridgewood-condominium-500257662</x:v>
      </x:c>
      <x:c r="Q126" s="12" t="str">
        <x:v>Hard requirements pass. area 1,744 sqft, SGD 6,500/month. The preferred size is met, but rent is near the cap and cheaper size-matching options exist.</x:v>
      </x:c>
      <x:c r="R126" s="13"/>
    </x:row>
    <x:row r="127" ht="24" hidden="0" customHeight="1">
      <x:c r="A127" s="2" t="str">
        <x:v>S05|25141944</x:v>
      </x:c>
      <x:c r="B127" s="2" t="str">
        <x:v>S05</x:v>
      </x:c>
      <x:c r="C127" s="2" t="str">
        <x:v>25141944</x:v>
      </x:c>
      <x:c r="D127" s="2" t="n">
        <x:v>2</x:v>
      </x:c>
      <x:c r="E127" s="9"/>
      <x:c r="F127" s="2" t="n">
        <x:f>IF(E127="",D127,IF(E127="U","U",IF(AND(ISNUMBER(E127),E127&gt;=0,E127&lt;=3,INT(E127)=E127),E127,"Invalid")))</x:f>
        <x:v>2</x:v>
      </x:c>
      <x:c r="G127" s="2" t="n">
        <x:f>IF(ISNUMBER(F127),1,0)</x:f>
        <x:v>1</x:v>
      </x:c>
      <x:c r="H127" s="2" t="n">
        <x:f>IF(ISNUMBER(F127),IF(F127&gt;=2,1,0),0)</x:f>
        <x:v>1</x:v>
      </x:c>
      <x:c r="I127" s="11" t="n">
        <x:f>IF(ISNUMBER(F127),2^F127-1,0)</x:f>
        <x:v>3</x:v>
      </x:c>
      <x:c r="J127" s="2" t="str">
        <x:v>Retained original 577</x:v>
      </x:c>
      <x:c r="K127" s="10" t="n">
        <x:v>6300</x:v>
      </x:c>
      <x:c r="L127" s="10" t="n">
        <x:v>3</x:v>
      </x:c>
      <x:c r="M127" s="10" t="n">
        <x:v>1507</x:v>
      </x:c>
      <x:c r="N127" s="2" t="str">
        <x:v>D10</x:v>
      </x:c>
      <x:c r="O127" s="2" t="str">
        <x:v>condominium</x:v>
      </x:c>
      <x:c r="P127" s="2" t="str">
        <x:v>https://www.propertyguru.com.sg/listing/for-rent-the-serenade-holland-25141944</x:v>
      </x:c>
      <x:c r="Q127" s="12" t="str">
        <x:v>Hard requirements pass. area 1,507 sqft, SGD 6,300/month. The preferred size is met, but rent is near the cap and cheaper size-matching options exist.</x:v>
      </x:c>
      <x:c r="R127" s="13"/>
    </x:row>
    <x:row r="128" ht="15" hidden="0" customHeight="1">
      <x:c r="A128" s="2" t="str">
        <x:v>S05|500226736</x:v>
      </x:c>
      <x:c r="B128" s="2" t="str">
        <x:v>S05</x:v>
      </x:c>
      <x:c r="C128" s="2" t="str">
        <x:v>500226736</x:v>
      </x:c>
      <x:c r="D128" s="2" t="n">
        <x:v>0</x:v>
      </x:c>
      <x:c r="E128" s="9"/>
      <x:c r="F128" s="2" t="n">
        <x:f>IF(E128="",D128,IF(E128="U","U",IF(AND(ISNUMBER(E128),E128&gt;=0,E128&lt;=3,INT(E128)=E128),E128,"Invalid")))</x:f>
        <x:v>0</x:v>
      </x:c>
      <x:c r="G128" s="2" t="n">
        <x:f>IF(ISNUMBER(F128),1,0)</x:f>
        <x:v>1</x:v>
      </x:c>
      <x:c r="H128" s="2" t="n">
        <x:f>IF(ISNUMBER(F128),IF(F128&gt;=2,1,0),0)</x:f>
        <x:v>0</x:v>
      </x:c>
      <x:c r="I128" s="11" t="n">
        <x:f>IF(ISNUMBER(F128),2^F128-1,0)</x:f>
        <x:v>0</x:v>
      </x:c>
      <x:c r="J128" s="2" t="str">
        <x:v>Retained original 577</x:v>
      </x:c>
      <x:c r="K128" s="10" t="n">
        <x:v>5300</x:v>
      </x:c>
      <x:c r="L128" s="10" t="n">
        <x:v>3</x:v>
      </x:c>
      <x:c r="M128" s="10" t="n">
        <x:v>958</x:v>
      </x:c>
      <x:c r="N128" s="2" t="str">
        <x:v>D20</x:v>
      </x:c>
      <x:c r="O128" s="2" t="str">
        <x:v>condominium</x:v>
      </x:c>
      <x:c r="P128" s="2" t="str">
        <x:v>https://www.propertyguru.com.sg/listing/for-rent-amo-residence-500226736</x:v>
      </x:c>
      <x:c r="Q128" s="12" t="str">
        <x:v>Hard failure: District D20; required = D10.</x:v>
      </x:c>
      <x:c r="R128" s="13"/>
    </x:row>
    <x:row r="129" ht="24" hidden="0" customHeight="1">
      <x:c r="A129" s="2" t="str">
        <x:v>S05|500273255</x:v>
      </x:c>
      <x:c r="B129" s="2" t="str">
        <x:v>S05</x:v>
      </x:c>
      <x:c r="C129" s="2" t="str">
        <x:v>500273255</x:v>
      </x:c>
      <x:c r="D129" s="2" t="n">
        <x:v>1</x:v>
      </x:c>
      <x:c r="E129" s="9"/>
      <x:c r="F129" s="2" t="n">
        <x:f>IF(E129="",D129,IF(E129="U","U",IF(AND(ISNUMBER(E129),E129&gt;=0,E129&lt;=3,INT(E129)=E129),E129,"Invalid")))</x:f>
        <x:v>1</x:v>
      </x:c>
      <x:c r="G129" s="2" t="n">
        <x:f>IF(ISNUMBER(F129),1,0)</x:f>
        <x:v>1</x:v>
      </x:c>
      <x:c r="H129" s="2" t="n">
        <x:f>IF(ISNUMBER(F129),IF(F129&gt;=2,1,0),0)</x:f>
        <x:v>0</x:v>
      </x:c>
      <x:c r="I129" s="11" t="n">
        <x:f>IF(ISNUMBER(F129),2^F129-1,0)</x:f>
        <x:v>1</x:v>
      </x:c>
      <x:c r="J129" s="2" t="str">
        <x:v>Retained original 577</x:v>
      </x:c>
      <x:c r="K129" s="10" t="n">
        <x:v>4150</x:v>
      </x:c>
      <x:c r="L129" s="10" t="n">
        <x:v>3</x:v>
      </x:c>
      <x:c r="M129" s="10" t="n">
        <x:v>1280</x:v>
      </x:c>
      <x:c r="N129" s="2" t="str">
        <x:v>D10</x:v>
      </x:c>
      <x:c r="O129" s="2" t="str">
        <x:v>hdb flat</x:v>
      </x:c>
      <x:c r="P129" s="2" t="str">
        <x:v>https://www.propertyguru.com.sg/listing/hdb-for-rent-8-ghim-moh-road-500273255</x:v>
      </x:c>
      <x:c r="Q129" s="12" t="str">
        <x:v>Hard requirements pass. area 1,280 sqft, SGD 4,150/month. The reported area falls short of the primary size preference; cheaper rent alone does not fulfil it.</x:v>
      </x:c>
      <x:c r="R129" s="13"/>
    </x:row>
    <x:row r="130" ht="24" hidden="0" customHeight="1">
      <x:c r="A130" s="2" t="str">
        <x:v>S05|500285609</x:v>
      </x:c>
      <x:c r="B130" s="2" t="str">
        <x:v>S05</x:v>
      </x:c>
      <x:c r="C130" s="2" t="str">
        <x:v>500285609</x:v>
      </x:c>
      <x:c r="D130" s="2" t="n">
        <x:v>1</x:v>
      </x:c>
      <x:c r="E130" s="9"/>
      <x:c r="F130" s="2" t="n">
        <x:f>IF(E130="",D130,IF(E130="U","U",IF(AND(ISNUMBER(E130),E130&gt;=0,E130&lt;=3,INT(E130)=E130),E130,"Invalid")))</x:f>
        <x:v>1</x:v>
      </x:c>
      <x:c r="G130" s="2" t="n">
        <x:f>IF(ISNUMBER(F130),1,0)</x:f>
        <x:v>1</x:v>
      </x:c>
      <x:c r="H130" s="2" t="n">
        <x:f>IF(ISNUMBER(F130),IF(F130&gt;=2,1,0),0)</x:f>
        <x:v>0</x:v>
      </x:c>
      <x:c r="I130" s="11" t="n">
        <x:f>IF(ISNUMBER(F130),2^F130-1,0)</x:f>
        <x:v>1</x:v>
      </x:c>
      <x:c r="J130" s="2" t="str">
        <x:v>Retained original 577</x:v>
      </x:c>
      <x:c r="K130" s="10" t="n">
        <x:v>3400</x:v>
      </x:c>
      <x:c r="L130" s="10" t="n">
        <x:v>3</x:v>
      </x:c>
      <x:c r="M130" s="10" t="n">
        <x:v>699</x:v>
      </x:c>
      <x:c r="N130" s="2" t="str">
        <x:v>D10</x:v>
      </x:c>
      <x:c r="O130" s="2" t="str">
        <x:v>hdb flat</x:v>
      </x:c>
      <x:c r="P130" s="2" t="str">
        <x:v>https://www.propertyguru.com.sg/listing/hdb-for-rent-9-holland-avenue-500285609</x:v>
      </x:c>
      <x:c r="Q130" s="12" t="str">
        <x:v>Hard requirements pass. area 699 sqft, SGD 3,400/month. The reported area falls short of the primary size preference; cheaper rent alone does not fulfil it.</x:v>
      </x:c>
      <x:c r="R130" s="13"/>
    </x:row>
    <x:row r="131" ht="24" hidden="0" customHeight="1">
      <x:c r="A131" s="2" t="str">
        <x:v>S06|500245773</x:v>
      </x:c>
      <x:c r="B131" s="2" t="str">
        <x:v>S06</x:v>
      </x:c>
      <x:c r="C131" s="2" t="str">
        <x:v>500245773</x:v>
      </x:c>
      <x:c r="D131" s="2" t="n">
        <x:v>1</x:v>
      </x:c>
      <x:c r="E131" s="9"/>
      <x:c r="F131" s="2" t="n">
        <x:f>IF(E131="",D131,IF(E131="U","U",IF(AND(ISNUMBER(E131),E131&gt;=0,E131&lt;=3,INT(E131)=E131),E131,"Invalid")))</x:f>
        <x:v>1</x:v>
      </x:c>
      <x:c r="G131" s="2" t="n">
        <x:f>IF(ISNUMBER(F131),1,0)</x:f>
        <x:v>1</x:v>
      </x:c>
      <x:c r="H131" s="2" t="n">
        <x:f>IF(ISNUMBER(F131),IF(F131&gt;=2,1,0),0)</x:f>
        <x:v>0</x:v>
      </x:c>
      <x:c r="I131" s="11" t="n">
        <x:f>IF(ISNUMBER(F131),2^F131-1,0)</x:f>
        <x:v>1</x:v>
      </x:c>
      <x:c r="J131" s="2" t="str">
        <x:v>Retained original 577</x:v>
      </x:c>
      <x:c r="K131" s="10" t="n">
        <x:v>3100</x:v>
      </x:c>
      <x:c r="L131" s="10" t="n">
        <x:v>2</x:v>
      </x:c>
      <x:c r="M131" s="10" t="n">
        <x:v>634</x:v>
      </x:c>
      <x:c r="N131" s="2" t="str">
        <x:v>D10</x:v>
      </x:c>
      <x:c r="O131" s="2" t="str">
        <x:v>hdb flat</x:v>
      </x:c>
      <x:c r="P131" s="2" t="str">
        <x:v>https://www.propertyguru.com.sg/listing/hdb-for-rent-8-holland-avenue-500245773</x:v>
      </x:c>
      <x:c r="Q131" s="12" t="str">
        <x:v>Hard requirements pass. HDB Flat, area 634 sqft. The primary condominium preference is unmet; the mandatory type was not restricted.</x:v>
      </x:c>
      <x:c r="R131" s="13"/>
    </x:row>
    <x:row r="132" ht="24" hidden="0" customHeight="1">
      <x:c r="A132" s="2" t="str">
        <x:v>S06|500257625</x:v>
      </x:c>
      <x:c r="B132" s="2" t="str">
        <x:v>S06</x:v>
      </x:c>
      <x:c r="C132" s="2" t="str">
        <x:v>500257625</x:v>
      </x:c>
      <x:c r="D132" s="2" t="n">
        <x:v>2</x:v>
      </x:c>
      <x:c r="E132" s="9"/>
      <x:c r="F132" s="2" t="n">
        <x:f>IF(E132="",D132,IF(E132="U","U",IF(AND(ISNUMBER(E132),E132&gt;=0,E132&lt;=3,INT(E132)=E132),E132,"Invalid")))</x:f>
        <x:v>2</x:v>
      </x:c>
      <x:c r="G132" s="2" t="n">
        <x:f>IF(ISNUMBER(F132),1,0)</x:f>
        <x:v>1</x:v>
      </x:c>
      <x:c r="H132" s="2" t="n">
        <x:f>IF(ISNUMBER(F132),IF(F132&gt;=2,1,0),0)</x:f>
        <x:v>1</x:v>
      </x:c>
      <x:c r="I132" s="11" t="n">
        <x:f>IF(ISNUMBER(F132),2^F132-1,0)</x:f>
        <x:v>3</x:v>
      </x:c>
      <x:c r="J132" s="2" t="str">
        <x:v>Retained original 577</x:v>
      </x:c>
      <x:c r="K132" s="10" t="n">
        <x:v>4700</x:v>
      </x:c>
      <x:c r="L132" s="10" t="n">
        <x:v>2</x:v>
      </x:c>
      <x:c r="M132" s="10" t="n">
        <x:v>614</x:v>
      </x:c>
      <x:c r="N132" s="2" t="str">
        <x:v>D09</x:v>
      </x:c>
      <x:c r="O132" s="2" t="str">
        <x:v>condominium</x:v>
      </x:c>
      <x:c r="P132" s="2" t="str">
        <x:v>https://www.propertyguru.com.sg/listing/for-rent-kopar-at-newton-500257625</x:v>
      </x:c>
      <x:c r="Q132" s="12" t="str">
        <x:v>Hard requirements pass. Condominium, area 614 sqft. The condominium preference is met, with a size trade-off against larger qualifying condominiums.</x:v>
      </x:c>
      <x:c r="R132" s="13"/>
    </x:row>
    <x:row r="133" ht="24" hidden="0" customHeight="1">
      <x:c r="A133" s="2" t="str">
        <x:v>S06|23763863</x:v>
      </x:c>
      <x:c r="B133" s="2" t="str">
        <x:v>S06</x:v>
      </x:c>
      <x:c r="C133" s="2" t="str">
        <x:v>23763863</x:v>
      </x:c>
      <x:c r="D133" s="2" t="n">
        <x:v>1</x:v>
      </x:c>
      <x:c r="E133" s="9"/>
      <x:c r="F133" s="2" t="n">
        <x:f>IF(E133="",D133,IF(E133="U","U",IF(AND(ISNUMBER(E133),E133&gt;=0,E133&lt;=3,INT(E133)=E133),E133,"Invalid")))</x:f>
        <x:v>1</x:v>
      </x:c>
      <x:c r="G133" s="2" t="n">
        <x:f>IF(ISNUMBER(F133),1,0)</x:f>
        <x:v>1</x:v>
      </x:c>
      <x:c r="H133" s="2" t="n">
        <x:f>IF(ISNUMBER(F133),IF(F133&gt;=2,1,0),0)</x:f>
        <x:v>0</x:v>
      </x:c>
      <x:c r="I133" s="11" t="n">
        <x:f>IF(ISNUMBER(F133),2^F133-1,0)</x:f>
        <x:v>1</x:v>
      </x:c>
      <x:c r="J133" s="2" t="str">
        <x:v>Retained original 577</x:v>
      </x:c>
      <x:c r="K133" s="10" t="n">
        <x:v>3100</x:v>
      </x:c>
      <x:c r="L133" s="10" t="n">
        <x:v>2</x:v>
      </x:c>
      <x:c r="M133" s="10" t="n">
        <x:v>635</x:v>
      </x:c>
      <x:c r="N133" s="2" t="str">
        <x:v>D10</x:v>
      </x:c>
      <x:c r="O133" s="2" t="str">
        <x:v>hdb flat</x:v>
      </x:c>
      <x:c r="P133" s="2" t="str">
        <x:v>https://www.propertyguru.com.sg/listing/hdb-for-rent-31-holland-close-23763863</x:v>
      </x:c>
      <x:c r="Q133" s="12" t="str">
        <x:v>Hard requirements pass. HDB Flat, area 635 sqft. The primary condominium preference is unmet; the mandatory type was not restricted.</x:v>
      </x:c>
      <x:c r="R133" s="13"/>
    </x:row>
    <x:row r="134" ht="24" hidden="0" customHeight="1">
      <x:c r="A134" s="2" t="str">
        <x:v>S06|500127611</x:v>
      </x:c>
      <x:c r="B134" s="2" t="str">
        <x:v>S06</x:v>
      </x:c>
      <x:c r="C134" s="2" t="str">
        <x:v>500127611</x:v>
      </x:c>
      <x:c r="D134" s="2" t="n">
        <x:v>1</x:v>
      </x:c>
      <x:c r="E134" s="9"/>
      <x:c r="F134" s="2" t="n">
        <x:f>IF(E134="",D134,IF(E134="U","U",IF(AND(ISNUMBER(E134),E134&gt;=0,E134&lt;=3,INT(E134)=E134),E134,"Invalid")))</x:f>
        <x:v>1</x:v>
      </x:c>
      <x:c r="G134" s="2" t="n">
        <x:f>IF(ISNUMBER(F134),1,0)</x:f>
        <x:v>1</x:v>
      </x:c>
      <x:c r="H134" s="2" t="n">
        <x:f>IF(ISNUMBER(F134),IF(F134&gt;=2,1,0),0)</x:f>
        <x:v>0</x:v>
      </x:c>
      <x:c r="I134" s="11" t="n">
        <x:f>IF(ISNUMBER(F134),2^F134-1,0)</x:f>
        <x:v>1</x:v>
      </x:c>
      <x:c r="J134" s="2" t="str">
        <x:v>Retained original 577</x:v>
      </x:c>
      <x:c r="K134" s="10" t="n">
        <x:v>1450</x:v>
      </x:c>
      <x:c r="L134" s="10" t="n">
        <x:v>2</x:v>
      </x:c>
      <x:c r="M134" s="10" t="n">
        <x:v>100</x:v>
      </x:c>
      <x:c r="N134" s="2" t="str">
        <x:v>D10</x:v>
      </x:c>
      <x:c r="O134" s="2" t="str">
        <x:v>walk-up apartment</x:v>
      </x:c>
      <x:c r="P134" s="2" t="str">
        <x:v>https://www.propertyguru.com.sg/listing/for-rent-sixth-avenue-walk-up-apartment-500127611</x:v>
      </x:c>
      <x:c r="Q134" s="12" t="str">
        <x:v>Hard requirements pass. Walk-up Apartment, area 100 sqft. The primary condominium preference is unmet; the mandatory type was not restricted.</x:v>
      </x:c>
      <x:c r="R134" s="13"/>
    </x:row>
    <x:row r="135" ht="24" hidden="0" customHeight="1">
      <x:c r="A135" s="2" t="str">
        <x:v>S06|500273685</x:v>
      </x:c>
      <x:c r="B135" s="2" t="str">
        <x:v>S06</x:v>
      </x:c>
      <x:c r="C135" s="2" t="str">
        <x:v>500273685</x:v>
      </x:c>
      <x:c r="D135" s="2" t="n">
        <x:v>3</x:v>
      </x:c>
      <x:c r="E135" s="9"/>
      <x:c r="F135" s="2" t="n">
        <x:f>IF(E135="",D135,IF(E135="U","U",IF(AND(ISNUMBER(E135),E135&gt;=0,E135&lt;=3,INT(E135)=E135),E135,"Invalid")))</x:f>
        <x:v>3</x:v>
      </x:c>
      <x:c r="G135" s="2" t="n">
        <x:f>IF(ISNUMBER(F135),1,0)</x:f>
        <x:v>1</x:v>
      </x:c>
      <x:c r="H135" s="2" t="n">
        <x:f>IF(ISNUMBER(F135),IF(F135&gt;=2,1,0),0)</x:f>
        <x:v>1</x:v>
      </x:c>
      <x:c r="I135" s="11" t="n">
        <x:f>IF(ISNUMBER(F135),2^F135-1,0)</x:f>
        <x:v>7</x:v>
      </x:c>
      <x:c r="J135" s="2" t="str">
        <x:v>Retained original 577</x:v>
      </x:c>
      <x:c r="K135" s="10" t="n">
        <x:v>4900</x:v>
      </x:c>
      <x:c r="L135" s="10" t="n">
        <x:v>2</x:v>
      </x:c>
      <x:c r="M135" s="10" t="n">
        <x:v>1744</x:v>
      </x:c>
      <x:c r="N135" s="2" t="str">
        <x:v>D09</x:v>
      </x:c>
      <x:c r="O135" s="2" t="str">
        <x:v>condominium</x:v>
      </x:c>
      <x:c r="P135" s="2" t="str">
        <x:v>https://www.propertyguru.com.sg/listing/for-rent-cairnhill-astoria-500273685</x:v>
      </x:c>
      <x:c r="Q135" s="12" t="str">
        <x:v>Hard requirements pass. Condominium, area 1,744 sqft. The preferred condominium type is met with one of the larger reported areas.</x:v>
      </x:c>
      <x:c r="R135" s="13"/>
    </x:row>
    <x:row r="136" ht="15" hidden="0" customHeight="1">
      <x:c r="A136" s="2" t="str">
        <x:v>S06|25408130</x:v>
      </x:c>
      <x:c r="B136" s="2" t="str">
        <x:v>S06</x:v>
      </x:c>
      <x:c r="C136" s="2" t="str">
        <x:v>25408130</x:v>
      </x:c>
      <x:c r="D136" s="2" t="str">
        <x:v>U</x:v>
      </x:c>
      <x:c r="E136" s="9"/>
      <x:c r="F136" s="2" t="str">
        <x:f>IF(E136="",D136,IF(E136="U","U",IF(AND(ISNUMBER(E136),E136&gt;=0,E136&lt;=3,INT(E136)=E136),E136,"Invalid")))</x:f>
        <x:v>U</x:v>
      </x:c>
      <x:c r="G136" s="2" t="n">
        <x:f>IF(ISNUMBER(F136),1,0)</x:f>
        <x:v>0</x:v>
      </x:c>
      <x:c r="H136" s="2" t="n">
        <x:f>IF(ISNUMBER(F136),IF(F136&gt;=2,1,0),0)</x:f>
        <x:v>0</x:v>
      </x:c>
      <x:c r="I136" s="11" t="n">
        <x:f>IF(ISNUMBER(F136),2^F136-1,0)</x:f>
        <x:v>0</x:v>
      </x:c>
      <x:c r="J136" s="2" t="str">
        <x:v>Retained original 577</x:v>
      </x:c>
      <x:c r="K136" s="10" t="n">
        <x:v>2400</x:v>
      </x:c>
      <x:c r="L136" s="10"/>
      <x:c r="M136" s="10" t="n">
        <x:v>150</x:v>
      </x:c>
      <x:c r="N136" s="2" t="str">
        <x:v>D09</x:v>
      </x:c>
      <x:c r="O136" s="2" t="str">
        <x:v>apartment</x:v>
      </x:c>
      <x:c r="P136" s="2" t="str">
        <x:v>https://www.propertyguru.com.sg/listing/for-rent-coliwoo-river-valley-288-various-types-of-rooms-25408130</x:v>
      </x:c>
      <x:c r="Q136" s="12" t="str">
        <x:v>No known hard failure. Cannot verify: reported bedrooms.</x:v>
      </x:c>
      <x:c r="R136" s="13"/>
    </x:row>
    <x:row r="137" ht="15" hidden="0" customHeight="1">
      <x:c r="A137" s="2" t="str">
        <x:v>S06|24433215</x:v>
      </x:c>
      <x:c r="B137" s="2" t="str">
        <x:v>S06</x:v>
      </x:c>
      <x:c r="C137" s="2" t="str">
        <x:v>24433215</x:v>
      </x:c>
      <x:c r="D137" s="2" t="n">
        <x:v>0</x:v>
      </x:c>
      <x:c r="E137" s="9"/>
      <x:c r="F137" s="2" t="n">
        <x:f>IF(E137="",D137,IF(E137="U","U",IF(AND(ISNUMBER(E137),E137&gt;=0,E137&lt;=3,INT(E137)=E137),E137,"Invalid")))</x:f>
        <x:v>0</x:v>
      </x:c>
      <x:c r="G137" s="2" t="n">
        <x:f>IF(ISNUMBER(F137),1,0)</x:f>
        <x:v>1</x:v>
      </x:c>
      <x:c r="H137" s="2" t="n">
        <x:f>IF(ISNUMBER(F137),IF(F137&gt;=2,1,0),0)</x:f>
        <x:v>0</x:v>
      </x:c>
      <x:c r="I137" s="11" t="n">
        <x:f>IF(ISNUMBER(F137),2^F137-1,0)</x:f>
        <x:v>0</x:v>
      </x:c>
      <x:c r="J137" s="2" t="str">
        <x:v>Retained original 577</x:v>
      </x:c>
      <x:c r="K137" s="10" t="n">
        <x:v>4400</x:v>
      </x:c>
      <x:c r="L137" s="10" t="n">
        <x:v>1</x:v>
      </x:c>
      <x:c r="M137" s="10" t="n">
        <x:v>517</x:v>
      </x:c>
      <x:c r="N137" s="2" t="str">
        <x:v>D10</x:v>
      </x:c>
      <x:c r="O137" s="2" t="str">
        <x:v>condominium</x:v>
      </x:c>
      <x:c r="P137" s="2" t="str">
        <x:v>https://www.propertyguru.com.sg/listing/for-rent-fourth-avenue-residences-24433215</x:v>
      </x:c>
      <x:c r="Q137" s="12" t="str">
        <x:v>Hard failure: Reported bedrooms 1; required = 2.</x:v>
      </x:c>
      <x:c r="R137" s="13"/>
    </x:row>
    <x:row r="138" ht="24" hidden="0" customHeight="1">
      <x:c r="A138" s="2" t="str">
        <x:v>S06|60135572</x:v>
      </x:c>
      <x:c r="B138" s="2" t="str">
        <x:v>S06</x:v>
      </x:c>
      <x:c r="C138" s="2" t="str">
        <x:v>60135572</x:v>
      </x:c>
      <x:c r="D138" s="2" t="n">
        <x:v>2</x:v>
      </x:c>
      <x:c r="E138" s="9"/>
      <x:c r="F138" s="2" t="n">
        <x:f>IF(E138="",D138,IF(E138="U","U",IF(AND(ISNUMBER(E138),E138&gt;=0,E138&lt;=3,INT(E138)=E138),E138,"Invalid")))</x:f>
        <x:v>2</x:v>
      </x:c>
      <x:c r="G138" s="2" t="n">
        <x:f>IF(ISNUMBER(F138),1,0)</x:f>
        <x:v>1</x:v>
      </x:c>
      <x:c r="H138" s="2" t="n">
        <x:f>IF(ISNUMBER(F138),IF(F138&gt;=2,1,0),0)</x:f>
        <x:v>1</x:v>
      </x:c>
      <x:c r="I138" s="11" t="n">
        <x:f>IF(ISNUMBER(F138),2^F138-1,0)</x:f>
        <x:v>3</x:v>
      </x:c>
      <x:c r="J138" s="2" t="str">
        <x:v>Retained original 577</x:v>
      </x:c>
      <x:c r="K138" s="10" t="n">
        <x:v>4700</x:v>
      </x:c>
      <x:c r="L138" s="10" t="n">
        <x:v>2</x:v>
      </x:c>
      <x:c r="M138" s="10" t="n">
        <x:v>829</x:v>
      </x:c>
      <x:c r="N138" s="2" t="str">
        <x:v>D09</x:v>
      </x:c>
      <x:c r="O138" s="2" t="str">
        <x:v>condominium</x:v>
      </x:c>
      <x:c r="P138" s="2" t="str">
        <x:v>https://www.propertyguru.com.sg/listing/for-rent-the-peak-cairnhill-ii-60135572</x:v>
      </x:c>
      <x:c r="Q138" s="12" t="str">
        <x:v>Hard requirements pass. Condominium, area 829 sqft. The condominium preference is met, with a size trade-off against larger qualifying condominiums.</x:v>
      </x:c>
      <x:c r="R138" s="13"/>
    </x:row>
    <x:row r="139" ht="15" hidden="0" customHeight="1">
      <x:c r="A139" s="2" t="str">
        <x:v>S06|500132951</x:v>
      </x:c>
      <x:c r="B139" s="2" t="str">
        <x:v>S06</x:v>
      </x:c>
      <x:c r="C139" s="2" t="str">
        <x:v>500132951</x:v>
      </x:c>
      <x:c r="D139" s="2" t="str">
        <x:v>U</x:v>
      </x:c>
      <x:c r="E139" s="9"/>
      <x:c r="F139" s="2" t="str">
        <x:f>IF(E139="",D139,IF(E139="U","U",IF(AND(ISNUMBER(E139),E139&gt;=0,E139&lt;=3,INT(E139)=E139),E139,"Invalid")))</x:f>
        <x:v>U</x:v>
      </x:c>
      <x:c r="G139" s="2" t="n">
        <x:f>IF(ISNUMBER(F139),1,0)</x:f>
        <x:v>0</x:v>
      </x:c>
      <x:c r="H139" s="2" t="n">
        <x:f>IF(ISNUMBER(F139),IF(F139&gt;=2,1,0),0)</x:f>
        <x:v>0</x:v>
      </x:c>
      <x:c r="I139" s="11" t="n">
        <x:f>IF(ISNUMBER(F139),2^F139-1,0)</x:f>
        <x:v>0</x:v>
      </x:c>
      <x:c r="J139" s="2" t="str">
        <x:v>Retained original 577</x:v>
      </x:c>
      <x:c r="K139" s="10" t="n">
        <x:v>2500</x:v>
      </x:c>
      <x:c r="L139" s="10"/>
      <x:c r="M139" s="10" t="n">
        <x:v>150</x:v>
      </x:c>
      <x:c r="N139" s="2" t="str">
        <x:v>D09</x:v>
      </x:c>
      <x:c r="O139" s="2" t="str">
        <x:v>apartment</x:v>
      </x:c>
      <x:c r="P139" s="2" t="str">
        <x:v>https://www.propertyguru.com.sg/listing/for-rent-reside-i-336-river-valley-i-limited-units-with-massive-discounts-500132951</x:v>
      </x:c>
      <x:c r="Q139" s="12" t="str">
        <x:v>No known hard failure. Cannot verify: reported bedrooms.</x:v>
      </x:c>
      <x:c r="R139" s="13"/>
    </x:row>
    <x:row r="140" ht="24" hidden="0" customHeight="1">
      <x:c r="A140" s="2" t="str">
        <x:v>S06|500288180</x:v>
      </x:c>
      <x:c r="B140" s="2" t="str">
        <x:v>S06</x:v>
      </x:c>
      <x:c r="C140" s="2" t="str">
        <x:v>500288180</x:v>
      </x:c>
      <x:c r="D140" s="2" t="n">
        <x:v>2</x:v>
      </x:c>
      <x:c r="E140" s="9"/>
      <x:c r="F140" s="2" t="n">
        <x:f>IF(E140="",D140,IF(E140="U","U",IF(AND(ISNUMBER(E140),E140&gt;=0,E140&lt;=3,INT(E140)=E140),E140,"Invalid")))</x:f>
        <x:v>2</x:v>
      </x:c>
      <x:c r="G140" s="2" t="n">
        <x:f>IF(ISNUMBER(F140),1,0)</x:f>
        <x:v>1</x:v>
      </x:c>
      <x:c r="H140" s="2" t="n">
        <x:f>IF(ISNUMBER(F140),IF(F140&gt;=2,1,0),0)</x:f>
        <x:v>1</x:v>
      </x:c>
      <x:c r="I140" s="11" t="n">
        <x:f>IF(ISNUMBER(F140),2^F140-1,0)</x:f>
        <x:v>3</x:v>
      </x:c>
      <x:c r="J140" s="2" t="str">
        <x:v>Retained original 577</x:v>
      </x:c>
      <x:c r="K140" s="10" t="n">
        <x:v>4500</x:v>
      </x:c>
      <x:c r="L140" s="10" t="n">
        <x:v>2</x:v>
      </x:c>
      <x:c r="M140" s="10" t="n">
        <x:v>689</x:v>
      </x:c>
      <x:c r="N140" s="2" t="str">
        <x:v>D09</x:v>
      </x:c>
      <x:c r="O140" s="2" t="str">
        <x:v>condominium</x:v>
      </x:c>
      <x:c r="P140" s="2" t="str">
        <x:v>https://www.propertyguru.com.sg/listing/for-rent-espada-500288180</x:v>
      </x:c>
      <x:c r="Q140" s="12" t="str">
        <x:v>Hard requirements pass. Condominium, area 689 sqft. The condominium preference is met, with a size trade-off against larger qualifying condominiums.</x:v>
      </x:c>
      <x:c r="R140" s="13"/>
    </x:row>
    <x:row r="141" ht="15" hidden="0" customHeight="1">
      <x:c r="A141" s="2" t="str">
        <x:v>S06|500285015</x:v>
      </x:c>
      <x:c r="B141" s="2" t="str">
        <x:v>S06</x:v>
      </x:c>
      <x:c r="C141" s="2" t="str">
        <x:v>500285015</x:v>
      </x:c>
      <x:c r="D141" s="2" t="n">
        <x:v>0</x:v>
      </x:c>
      <x:c r="E141" s="9"/>
      <x:c r="F141" s="2" t="n">
        <x:f>IF(E141="",D141,IF(E141="U","U",IF(AND(ISNUMBER(E141),E141&gt;=0,E141&lt;=3,INT(E141)=E141),E141,"Invalid")))</x:f>
        <x:v>0</x:v>
      </x:c>
      <x:c r="G141" s="2" t="n">
        <x:f>IF(ISNUMBER(F141),1,0)</x:f>
        <x:v>1</x:v>
      </x:c>
      <x:c r="H141" s="2" t="n">
        <x:f>IF(ISNUMBER(F141),IF(F141&gt;=2,1,0),0)</x:f>
        <x:v>0</x:v>
      </x:c>
      <x:c r="I141" s="11" t="n">
        <x:f>IF(ISNUMBER(F141),2^F141-1,0)</x:f>
        <x:v>0</x:v>
      </x:c>
      <x:c r="J141" s="2" t="str">
        <x:v>Retained original 577</x:v>
      </x:c>
      <x:c r="K141" s="10" t="n">
        <x:v>4400</x:v>
      </x:c>
      <x:c r="L141" s="10" t="n">
        <x:v>1</x:v>
      </x:c>
      <x:c r="M141" s="10" t="n">
        <x:v>441</x:v>
      </x:c>
      <x:c r="N141" s="2" t="str">
        <x:v>D09</x:v>
      </x:c>
      <x:c r="O141" s="2" t="str">
        <x:v>condominium</x:v>
      </x:c>
      <x:c r="P141" s="2" t="str">
        <x:v>https://www.propertyguru.com.sg/listing/for-rent-orchard-sophia-500285015</x:v>
      </x:c>
      <x:c r="Q141" s="12" t="str">
        <x:v>Hard failure: Reported bedrooms 1; required = 2.</x:v>
      </x:c>
      <x:c r="R141" s="13"/>
    </x:row>
    <x:row r="142" ht="15" hidden="0" customHeight="1">
      <x:c r="A142" s="2" t="str">
        <x:v>S06|24791472</x:v>
      </x:c>
      <x:c r="B142" s="2" t="str">
        <x:v>S06</x:v>
      </x:c>
      <x:c r="C142" s="2" t="str">
        <x:v>24791472</x:v>
      </x:c>
      <x:c r="D142" s="2" t="n">
        <x:v>0</x:v>
      </x:c>
      <x:c r="E142" s="9"/>
      <x:c r="F142" s="2" t="n">
        <x:f>IF(E142="",D142,IF(E142="U","U",IF(AND(ISNUMBER(E142),E142&gt;=0,E142&lt;=3,INT(E142)=E142),E142,"Invalid")))</x:f>
        <x:v>0</x:v>
      </x:c>
      <x:c r="G142" s="2" t="n">
        <x:f>IF(ISNUMBER(F142),1,0)</x:f>
        <x:v>1</x:v>
      </x:c>
      <x:c r="H142" s="2" t="n">
        <x:f>IF(ISNUMBER(F142),IF(F142&gt;=2,1,0),0)</x:f>
        <x:v>0</x:v>
      </x:c>
      <x:c r="I142" s="11" t="n">
        <x:f>IF(ISNUMBER(F142),2^F142-1,0)</x:f>
        <x:v>0</x:v>
      </x:c>
      <x:c r="J142" s="2" t="str">
        <x:v>Retained original 577</x:v>
      </x:c>
      <x:c r="K142" s="10" t="n">
        <x:v>5100</x:v>
      </x:c>
      <x:c r="L142" s="10" t="n">
        <x:v>2</x:v>
      </x:c>
      <x:c r="M142" s="10" t="n">
        <x:v>689</x:v>
      </x:c>
      <x:c r="N142" s="2" t="str">
        <x:v>D09</x:v>
      </x:c>
      <x:c r="O142" s="2" t="str">
        <x:v>condominium</x:v>
      </x:c>
      <x:c r="P142" s="2" t="str">
        <x:v>https://www.propertyguru.com.sg/listing/for-rent-kopar-at-newton-24791472</x:v>
      </x:c>
      <x:c r="Q142" s="12" t="str">
        <x:v>Hard failure: Rent (SGD/month) 5,100; required &lt;= 5,000.</x:v>
      </x:c>
      <x:c r="R142" s="13"/>
    </x:row>
    <x:row r="143" ht="24" hidden="0" customHeight="1">
      <x:c r="A143" s="2" t="str">
        <x:v>S06|500261264</x:v>
      </x:c>
      <x:c r="B143" s="2" t="str">
        <x:v>S06</x:v>
      </x:c>
      <x:c r="C143" s="2" t="str">
        <x:v>500261264</x:v>
      </x:c>
      <x:c r="D143" s="2" t="n">
        <x:v>1</x:v>
      </x:c>
      <x:c r="E143" s="9"/>
      <x:c r="F143" s="2" t="n">
        <x:f>IF(E143="",D143,IF(E143="U","U",IF(AND(ISNUMBER(E143),E143&gt;=0,E143&lt;=3,INT(E143)=E143),E143,"Invalid")))</x:f>
        <x:v>1</x:v>
      </x:c>
      <x:c r="G143" s="2" t="n">
        <x:f>IF(ISNUMBER(F143),1,0)</x:f>
        <x:v>1</x:v>
      </x:c>
      <x:c r="H143" s="2" t="n">
        <x:f>IF(ISNUMBER(F143),IF(F143&gt;=2,1,0),0)</x:f>
        <x:v>0</x:v>
      </x:c>
      <x:c r="I143" s="11" t="n">
        <x:f>IF(ISNUMBER(F143),2^F143-1,0)</x:f>
        <x:v>1</x:v>
      </x:c>
      <x:c r="J143" s="2" t="str">
        <x:v>Retained original 577</x:v>
      </x:c>
      <x:c r="K143" s="10" t="n">
        <x:v>5000</x:v>
      </x:c>
      <x:c r="L143" s="10" t="n">
        <x:v>2</x:v>
      </x:c>
      <x:c r="M143" s="10" t="n">
        <x:v>700</x:v>
      </x:c>
      <x:c r="N143" s="2" t="str">
        <x:v>D10</x:v>
      </x:c>
      <x:c r="O143" s="2" t="str">
        <x:v>apartment</x:v>
      </x:c>
      <x:c r="P143" s="2" t="str">
        <x:v>https://www.propertyguru.com.sg/listing/for-rent-the-initial-sama-500261264</x:v>
      </x:c>
      <x:c r="Q143" s="12" t="str">
        <x:v>Hard requirements pass. Apartment, area 700 sqft. The primary condominium preference is unmet; the mandatory type was not restricted.</x:v>
      </x:c>
      <x:c r="R143" s="13"/>
    </x:row>
    <x:row r="144" ht="24" hidden="0" customHeight="1">
      <x:c r="A144" s="2" t="str">
        <x:v>S06|23185254</x:v>
      </x:c>
      <x:c r="B144" s="2" t="str">
        <x:v>S06</x:v>
      </x:c>
      <x:c r="C144" s="2" t="str">
        <x:v>23185254</x:v>
      </x:c>
      <x:c r="D144" s="2" t="n">
        <x:v>3</x:v>
      </x:c>
      <x:c r="E144" s="9"/>
      <x:c r="F144" s="2" t="n">
        <x:f>IF(E144="",D144,IF(E144="U","U",IF(AND(ISNUMBER(E144),E144&gt;=0,E144&lt;=3,INT(E144)=E144),E144,"Invalid")))</x:f>
        <x:v>3</x:v>
      </x:c>
      <x:c r="G144" s="2" t="n">
        <x:f>IF(ISNUMBER(F144),1,0)</x:f>
        <x:v>1</x:v>
      </x:c>
      <x:c r="H144" s="2" t="n">
        <x:f>IF(ISNUMBER(F144),IF(F144&gt;=2,1,0),0)</x:f>
        <x:v>1</x:v>
      </x:c>
      <x:c r="I144" s="11" t="n">
        <x:f>IF(ISNUMBER(F144),2^F144-1,0)</x:f>
        <x:v>7</x:v>
      </x:c>
      <x:c r="J144" s="2" t="str">
        <x:v>Retained original 577</x:v>
      </x:c>
      <x:c r="K144" s="10" t="n">
        <x:v>5000</x:v>
      </x:c>
      <x:c r="L144" s="10" t="n">
        <x:v>2</x:v>
      </x:c>
      <x:c r="M144" s="10" t="n">
        <x:v>1109</x:v>
      </x:c>
      <x:c r="N144" s="2" t="str">
        <x:v>D10</x:v>
      </x:c>
      <x:c r="O144" s="2" t="str">
        <x:v>condominium</x:v>
      </x:c>
      <x:c r="P144" s="2" t="str">
        <x:v>https://www.propertyguru.com.sg/listing/for-rent-the-aston-23185254</x:v>
      </x:c>
      <x:c r="Q144" s="12" t="str">
        <x:v>Hard requirements pass. Condominium, area 1,109 sqft. The preferred condominium type is met with one of the larger reported areas.</x:v>
      </x:c>
      <x:c r="R144" s="13"/>
    </x:row>
    <x:row r="145" ht="24" hidden="0" customHeight="1">
      <x:c r="A145" s="2" t="str">
        <x:v>S06|23950933</x:v>
      </x:c>
      <x:c r="B145" s="2" t="str">
        <x:v>S06</x:v>
      </x:c>
      <x:c r="C145" s="2" t="str">
        <x:v>23950933</x:v>
      </x:c>
      <x:c r="D145" s="2" t="n">
        <x:v>2</x:v>
      </x:c>
      <x:c r="E145" s="9"/>
      <x:c r="F145" s="2" t="n">
        <x:f>IF(E145="",D145,IF(E145="U","U",IF(AND(ISNUMBER(E145),E145&gt;=0,E145&lt;=3,INT(E145)=E145),E145,"Invalid")))</x:f>
        <x:v>2</x:v>
      </x:c>
      <x:c r="G145" s="2" t="n">
        <x:f>IF(ISNUMBER(F145),1,0)</x:f>
        <x:v>1</x:v>
      </x:c>
      <x:c r="H145" s="2" t="n">
        <x:f>IF(ISNUMBER(F145),IF(F145&gt;=2,1,0),0)</x:f>
        <x:v>1</x:v>
      </x:c>
      <x:c r="I145" s="11" t="n">
        <x:f>IF(ISNUMBER(F145),2^F145-1,0)</x:f>
        <x:v>3</x:v>
      </x:c>
      <x:c r="J145" s="2" t="str">
        <x:v>Retained original 577</x:v>
      </x:c>
      <x:c r="K145" s="10" t="n">
        <x:v>4100</x:v>
      </x:c>
      <x:c r="L145" s="10" t="n">
        <x:v>2</x:v>
      </x:c>
      <x:c r="M145" s="10" t="n">
        <x:v>700</x:v>
      </x:c>
      <x:c r="N145" s="2" t="str">
        <x:v>D09</x:v>
      </x:c>
      <x:c r="O145" s="2" t="str">
        <x:v>condominium</x:v>
      </x:c>
      <x:c r="P145" s="2" t="str">
        <x:v>https://www.propertyguru.com.sg/listing/for-rent-newton-edge-23950933</x:v>
      </x:c>
      <x:c r="Q145" s="12" t="str">
        <x:v>Hard requirements pass. Condominium, area 700 sqft. The condominium preference is met, with a size trade-off against larger qualifying condominiums.</x:v>
      </x:c>
      <x:c r="R145" s="13"/>
    </x:row>
    <x:row r="146" ht="24" hidden="0" customHeight="1">
      <x:c r="A146" s="2" t="str">
        <x:v>S06|500275613</x:v>
      </x:c>
      <x:c r="B146" s="2" t="str">
        <x:v>S06</x:v>
      </x:c>
      <x:c r="C146" s="2" t="str">
        <x:v>500275613</x:v>
      </x:c>
      <x:c r="D146" s="2" t="n">
        <x:v>1</x:v>
      </x:c>
      <x:c r="E146" s="9"/>
      <x:c r="F146" s="2" t="n">
        <x:f>IF(E146="",D146,IF(E146="U","U",IF(AND(ISNUMBER(E146),E146&gt;=0,E146&lt;=3,INT(E146)=E146),E146,"Invalid")))</x:f>
        <x:v>1</x:v>
      </x:c>
      <x:c r="G146" s="2" t="n">
        <x:f>IF(ISNUMBER(F146),1,0)</x:f>
        <x:v>1</x:v>
      </x:c>
      <x:c r="H146" s="2" t="n">
        <x:f>IF(ISNUMBER(F146),IF(F146&gt;=2,1,0),0)</x:f>
        <x:v>0</x:v>
      </x:c>
      <x:c r="I146" s="11" t="n">
        <x:f>IF(ISNUMBER(F146),2^F146-1,0)</x:f>
        <x:v>1</x:v>
      </x:c>
      <x:c r="J146" s="2" t="str">
        <x:v>Retained original 577</x:v>
      </x:c>
      <x:c r="K146" s="10" t="n">
        <x:v>3499</x:v>
      </x:c>
      <x:c r="L146" s="10" t="n">
        <x:v>2</x:v>
      </x:c>
      <x:c r="M146" s="10" t="n">
        <x:v>699</x:v>
      </x:c>
      <x:c r="N146" s="2" t="str">
        <x:v>D10</x:v>
      </x:c>
      <x:c r="O146" s="2" t="str">
        <x:v>hdb flat</x:v>
      </x:c>
      <x:c r="P146" s="2" t="str">
        <x:v>https://www.propertyguru.com.sg/listing/hdb-for-rent-9-holland-avenue-500275613</x:v>
      </x:c>
      <x:c r="Q146" s="12" t="str">
        <x:v>Hard requirements pass. HDB Flat, area 699 sqft. The primary condominium preference is unmet; the mandatory type was not restricted.</x:v>
      </x:c>
      <x:c r="R146" s="13"/>
    </x:row>
    <x:row r="147" ht="15" hidden="0" customHeight="1">
      <x:c r="A147" s="2" t="str">
        <x:v>S06|500280720</x:v>
      </x:c>
      <x:c r="B147" s="2" t="str">
        <x:v>S06</x:v>
      </x:c>
      <x:c r="C147" s="2" t="str">
        <x:v>500280720</x:v>
      </x:c>
      <x:c r="D147" s="2" t="n">
        <x:v>0</x:v>
      </x:c>
      <x:c r="E147" s="9"/>
      <x:c r="F147" s="2" t="n">
        <x:f>IF(E147="",D147,IF(E147="U","U",IF(AND(ISNUMBER(E147),E147&gt;=0,E147&lt;=3,INT(E147)=E147),E147,"Invalid")))</x:f>
        <x:v>0</x:v>
      </x:c>
      <x:c r="G147" s="2" t="n">
        <x:f>IF(ISNUMBER(F147),1,0)</x:f>
        <x:v>1</x:v>
      </x:c>
      <x:c r="H147" s="2" t="n">
        <x:f>IF(ISNUMBER(F147),IF(F147&gt;=2,1,0),0)</x:f>
        <x:v>0</x:v>
      </x:c>
      <x:c r="I147" s="11" t="n">
        <x:f>IF(ISNUMBER(F147),2^F147-1,0)</x:f>
        <x:v>0</x:v>
      </x:c>
      <x:c r="J147" s="2" t="str">
        <x:v>Retained original 577</x:v>
      </x:c>
      <x:c r="K147" s="10" t="n">
        <x:v>3700</x:v>
      </x:c>
      <x:c r="L147" s="10" t="n">
        <x:v>2</x:v>
      </x:c>
      <x:c r="M147" s="10" t="n">
        <x:v>710</x:v>
      </x:c>
      <x:c r="N147" s="2" t="str">
        <x:v>D23</x:v>
      </x:c>
      <x:c r="O147" s="2" t="str">
        <x:v>condominium</x:v>
      </x:c>
      <x:c r="P147" s="2" t="str">
        <x:v>https://www.propertyguru.com.sg/listing/for-rent-sol-acres-500280720</x:v>
      </x:c>
      <x:c r="Q147" s="12" t="str">
        <x:v>Hard failure: District D23; required in {D09, D10}.</x:v>
      </x:c>
      <x:c r="R147" s="13"/>
    </x:row>
    <x:row r="148" ht="24" hidden="0" customHeight="1">
      <x:c r="A148" s="2" t="str">
        <x:v>S06|500253404</x:v>
      </x:c>
      <x:c r="B148" s="2" t="str">
        <x:v>S06</x:v>
      </x:c>
      <x:c r="C148" s="2" t="str">
        <x:v>500253404</x:v>
      </x:c>
      <x:c r="D148" s="2" t="n">
        <x:v>2</x:v>
      </x:c>
      <x:c r="E148" s="9"/>
      <x:c r="F148" s="2" t="n">
        <x:f>IF(E148="",D148,IF(E148="U","U",IF(AND(ISNUMBER(E148),E148&gt;=0,E148&lt;=3,INT(E148)=E148),E148,"Invalid")))</x:f>
        <x:v>2</x:v>
      </x:c>
      <x:c r="G148" s="2" t="n">
        <x:f>IF(ISNUMBER(F148),1,0)</x:f>
        <x:v>1</x:v>
      </x:c>
      <x:c r="H148" s="2" t="n">
        <x:f>IF(ISNUMBER(F148),IF(F148&gt;=2,1,0),0)</x:f>
        <x:v>1</x:v>
      </x:c>
      <x:c r="I148" s="11" t="n">
        <x:f>IF(ISNUMBER(F148),2^F148-1,0)</x:f>
        <x:v>3</x:v>
      </x:c>
      <x:c r="J148" s="2" t="str">
        <x:v>Retained original 577</x:v>
      </x:c>
      <x:c r="K148" s="10" t="n">
        <x:v>4888</x:v>
      </x:c>
      <x:c r="L148" s="10" t="n">
        <x:v>2</x:v>
      </x:c>
      <x:c r="M148" s="10" t="n">
        <x:v>689</x:v>
      </x:c>
      <x:c r="N148" s="2" t="str">
        <x:v>D09</x:v>
      </x:c>
      <x:c r="O148" s="2" t="str">
        <x:v>condominium</x:v>
      </x:c>
      <x:c r="P148" s="2" t="str">
        <x:v>https://www.propertyguru.com.sg/listing/for-rent-kopar-at-newton-500253404</x:v>
      </x:c>
      <x:c r="Q148" s="12" t="str">
        <x:v>Hard requirements pass. Condominium, area 689 sqft. The condominium preference is met, with a size trade-off against larger qualifying condominiums.</x:v>
      </x:c>
      <x:c r="R148" s="13"/>
    </x:row>
    <x:row r="149" ht="15" hidden="0" customHeight="1">
      <x:c r="A149" s="2" t="str">
        <x:v>S06|500252151</x:v>
      </x:c>
      <x:c r="B149" s="2" t="str">
        <x:v>S06</x:v>
      </x:c>
      <x:c r="C149" s="2" t="str">
        <x:v>500252151</x:v>
      </x:c>
      <x:c r="D149" s="2" t="n">
        <x:v>0</x:v>
      </x:c>
      <x:c r="E149" s="9"/>
      <x:c r="F149" s="2" t="n">
        <x:f>IF(E149="",D149,IF(E149="U","U",IF(AND(ISNUMBER(E149),E149&gt;=0,E149&lt;=3,INT(E149)=E149),E149,"Invalid")))</x:f>
        <x:v>0</x:v>
      </x:c>
      <x:c r="G149" s="2" t="n">
        <x:f>IF(ISNUMBER(F149),1,0)</x:f>
        <x:v>1</x:v>
      </x:c>
      <x:c r="H149" s="2" t="n">
        <x:f>IF(ISNUMBER(F149),IF(F149&gt;=2,1,0),0)</x:f>
        <x:v>0</x:v>
      </x:c>
      <x:c r="I149" s="11" t="n">
        <x:f>IF(ISNUMBER(F149),2^F149-1,0)</x:f>
        <x:v>0</x:v>
      </x:c>
      <x:c r="J149" s="2" t="str">
        <x:v>Retained original 577</x:v>
      </x:c>
      <x:c r="K149" s="10" t="n">
        <x:v>5100</x:v>
      </x:c>
      <x:c r="L149" s="10" t="n">
        <x:v>2</x:v>
      </x:c>
      <x:c r="M149" s="10" t="n">
        <x:v>732</x:v>
      </x:c>
      <x:c r="N149" s="2" t="str">
        <x:v>D09</x:v>
      </x:c>
      <x:c r="O149" s="2" t="str">
        <x:v>condominium</x:v>
      </x:c>
      <x:c r="P149" s="2" t="str">
        <x:v>https://www.propertyguru.com.sg/listing/for-rent-the-boutiq-killiney-500252151</x:v>
      </x:c>
      <x:c r="Q149" s="12" t="str">
        <x:v>Hard failure: Rent (SGD/month) 5,100; required &lt;= 5,000.</x:v>
      </x:c>
      <x:c r="R149" s="13"/>
    </x:row>
    <x:row r="150" ht="15" hidden="0" customHeight="1">
      <x:c r="A150" s="2" t="str">
        <x:v>S06|60008567</x:v>
      </x:c>
      <x:c r="B150" s="2" t="str">
        <x:v>S06</x:v>
      </x:c>
      <x:c r="C150" s="2" t="str">
        <x:v>60008567</x:v>
      </x:c>
      <x:c r="D150" s="2" t="str">
        <x:v>U</x:v>
      </x:c>
      <x:c r="E150" s="9"/>
      <x:c r="F150" s="2" t="str">
        <x:f>IF(E150="",D150,IF(E150="U","U",IF(AND(ISNUMBER(E150),E150&gt;=0,E150&lt;=3,INT(E150)=E150),E150,"Invalid")))</x:f>
        <x:v>U</x:v>
      </x:c>
      <x:c r="G150" s="2" t="n">
        <x:f>IF(ISNUMBER(F150),1,0)</x:f>
        <x:v>0</x:v>
      </x:c>
      <x:c r="H150" s="2" t="n">
        <x:f>IF(ISNUMBER(F150),IF(F150&gt;=2,1,0),0)</x:f>
        <x:v>0</x:v>
      </x:c>
      <x:c r="I150" s="11" t="n">
        <x:f>IF(ISNUMBER(F150),2^F150-1,0)</x:f>
        <x:v>0</x:v>
      </x:c>
      <x:c r="J150" s="2" t="str">
        <x:v>Retained original 577</x:v>
      </x:c>
      <x:c r="K150" s="10" t="n">
        <x:v>2600</x:v>
      </x:c>
      <x:c r="L150" s="10"/>
      <x:c r="M150" s="10" t="n">
        <x:v>230</x:v>
      </x:c>
      <x:c r="N150" s="2" t="str">
        <x:v>D09</x:v>
      </x:c>
      <x:c r="O150" s="2" t="str">
        <x:v>apartment</x:v>
      </x:c>
      <x:c r="P150" s="2" t="str">
        <x:v>https://www.propertyguru.com.sg/listing/for-rent-private-studio-at-orchard-near-cbd-and-mrt-60008567</x:v>
      </x:c>
      <x:c r="Q150" s="12" t="str">
        <x:v>No known hard failure. Cannot verify: reported bedrooms.</x:v>
      </x:c>
      <x:c r="R150" s="13"/>
    </x:row>
    <x:row r="151" ht="24" hidden="0" customHeight="1">
      <x:c r="A151" s="2" t="str">
        <x:v>S06|24866516</x:v>
      </x:c>
      <x:c r="B151" s="2" t="str">
        <x:v>S06</x:v>
      </x:c>
      <x:c r="C151" s="2" t="str">
        <x:v>24866516</x:v>
      </x:c>
      <x:c r="D151" s="2" t="n">
        <x:v>1</x:v>
      </x:c>
      <x:c r="E151" s="9"/>
      <x:c r="F151" s="2" t="n">
        <x:f>IF(E151="",D151,IF(E151="U","U",IF(AND(ISNUMBER(E151),E151&gt;=0,E151&lt;=3,INT(E151)=E151),E151,"Invalid")))</x:f>
        <x:v>1</x:v>
      </x:c>
      <x:c r="G151" s="2" t="n">
        <x:f>IF(ISNUMBER(F151),1,0)</x:f>
        <x:v>1</x:v>
      </x:c>
      <x:c r="H151" s="2" t="n">
        <x:f>IF(ISNUMBER(F151),IF(F151&gt;=2,1,0),0)</x:f>
        <x:v>0</x:v>
      </x:c>
      <x:c r="I151" s="11" t="n">
        <x:f>IF(ISNUMBER(F151),2^F151-1,0)</x:f>
        <x:v>1</x:v>
      </x:c>
      <x:c r="J151" s="2" t="str">
        <x:v>Retained original 577</x:v>
      </x:c>
      <x:c r="K151" s="10" t="n">
        <x:v>3000</x:v>
      </x:c>
      <x:c r="L151" s="10" t="n">
        <x:v>2</x:v>
      </x:c>
      <x:c r="M151" s="10" t="n">
        <x:v>700</x:v>
      </x:c>
      <x:c r="N151" s="2" t="str">
        <x:v>D10</x:v>
      </x:c>
      <x:c r="O151" s="2" t="str">
        <x:v>hdb flat</x:v>
      </x:c>
      <x:c r="P151" s="2" t="str">
        <x:v>https://www.propertyguru.com.sg/listing/hdb-for-rent-6-ghim-moh-road-24866516</x:v>
      </x:c>
      <x:c r="Q151" s="12" t="str">
        <x:v>Hard requirements pass. HDB Flat, area 700 sqft. The primary condominium preference is unmet; the mandatory type was not restricted.</x:v>
      </x:c>
      <x:c r="R151" s="13"/>
    </x:row>
    <x:row r="152" ht="24" hidden="0" customHeight="1">
      <x:c r="A152" s="2" t="str">
        <x:v>S06|21395299</x:v>
      </x:c>
      <x:c r="B152" s="2" t="str">
        <x:v>S06</x:v>
      </x:c>
      <x:c r="C152" s="2" t="str">
        <x:v>21395299</x:v>
      </x:c>
      <x:c r="D152" s="2" t="n">
        <x:v>1</x:v>
      </x:c>
      <x:c r="E152" s="9"/>
      <x:c r="F152" s="2" t="n">
        <x:f>IF(E152="",D152,IF(E152="U","U",IF(AND(ISNUMBER(E152),E152&gt;=0,E152&lt;=3,INT(E152)=E152),E152,"Invalid")))</x:f>
        <x:v>1</x:v>
      </x:c>
      <x:c r="G152" s="2" t="n">
        <x:f>IF(ISNUMBER(F152),1,0)</x:f>
        <x:v>1</x:v>
      </x:c>
      <x:c r="H152" s="2" t="n">
        <x:f>IF(ISNUMBER(F152),IF(F152&gt;=2,1,0),0)</x:f>
        <x:v>0</x:v>
      </x:c>
      <x:c r="I152" s="11" t="n">
        <x:f>IF(ISNUMBER(F152),2^F152-1,0)</x:f>
        <x:v>1</x:v>
      </x:c>
      <x:c r="J152" s="2" t="str">
        <x:v>Retained original 577</x:v>
      </x:c>
      <x:c r="K152" s="10" t="n">
        <x:v>5000</x:v>
      </x:c>
      <x:c r="L152" s="10" t="n">
        <x:v>2</x:v>
      </x:c>
      <x:c r="M152" s="10" t="n">
        <x:v>990</x:v>
      </x:c>
      <x:c r="N152" s="2" t="str">
        <x:v>D09</x:v>
      </x:c>
      <x:c r="O152" s="2" t="str">
        <x:v>apartment</x:v>
      </x:c>
      <x:c r="P152" s="2" t="str">
        <x:v>https://www.propertyguru.com.sg/listing/for-rent-vivace-21395299</x:v>
      </x:c>
      <x:c r="Q152" s="12" t="str">
        <x:v>Hard requirements pass. Apartment, area 990 sqft. The primary condominium preference is unmet; the mandatory type was not restricted.</x:v>
      </x:c>
      <x:c r="R152" s="13"/>
    </x:row>
    <x:row r="153" ht="24" hidden="0" customHeight="1">
      <x:c r="A153" s="2" t="str">
        <x:v>S06|23719546</x:v>
      </x:c>
      <x:c r="B153" s="2" t="str">
        <x:v>S06</x:v>
      </x:c>
      <x:c r="C153" s="2" t="str">
        <x:v>23719546</x:v>
      </x:c>
      <x:c r="D153" s="2" t="n">
        <x:v>3</x:v>
      </x:c>
      <x:c r="E153" s="9"/>
      <x:c r="F153" s="2" t="n">
        <x:f>IF(E153="",D153,IF(E153="U","U",IF(AND(ISNUMBER(E153),E153&gt;=0,E153&lt;=3,INT(E153)=E153),E153,"Invalid")))</x:f>
        <x:v>3</x:v>
      </x:c>
      <x:c r="G153" s="2" t="n">
        <x:f>IF(ISNUMBER(F153),1,0)</x:f>
        <x:v>1</x:v>
      </x:c>
      <x:c r="H153" s="2" t="n">
        <x:f>IF(ISNUMBER(F153),IF(F153&gt;=2,1,0),0)</x:f>
        <x:v>1</x:v>
      </x:c>
      <x:c r="I153" s="11" t="n">
        <x:f>IF(ISNUMBER(F153),2^F153-1,0)</x:f>
        <x:v>7</x:v>
      </x:c>
      <x:c r="J153" s="2" t="str">
        <x:v>Retained original 577</x:v>
      </x:c>
      <x:c r="K153" s="10" t="n">
        <x:v>4500</x:v>
      </x:c>
      <x:c r="L153" s="10" t="n">
        <x:v>2</x:v>
      </x:c>
      <x:c r="M153" s="10" t="n">
        <x:v>1200</x:v>
      </x:c>
      <x:c r="N153" s="2" t="str">
        <x:v>D09</x:v>
      </x:c>
      <x:c r="O153" s="2" t="str">
        <x:v>condominium</x:v>
      </x:c>
      <x:c r="P153" s="2" t="str">
        <x:v>https://www.propertyguru.com.sg/listing/for-rent-lloyd-mansion-23719546</x:v>
      </x:c>
      <x:c r="Q153" s="12" t="str">
        <x:v>Hard requirements pass. Condominium, area 1,200 sqft. The preferred condominium type is met with one of the larger reported areas.</x:v>
      </x:c>
      <x:c r="R153" s="13"/>
    </x:row>
    <x:row r="154" ht="24" hidden="0" customHeight="1">
      <x:c r="A154" s="2" t="str">
        <x:v>S06|21435410</x:v>
      </x:c>
      <x:c r="B154" s="2" t="str">
        <x:v>S06</x:v>
      </x:c>
      <x:c r="C154" s="2" t="str">
        <x:v>21435410</x:v>
      </x:c>
      <x:c r="D154" s="2" t="n">
        <x:v>3</x:v>
      </x:c>
      <x:c r="E154" s="9"/>
      <x:c r="F154" s="2" t="n">
        <x:f>IF(E154="",D154,IF(E154="U","U",IF(AND(ISNUMBER(E154),E154&gt;=0,E154&lt;=3,INT(E154)=E154),E154,"Invalid")))</x:f>
        <x:v>3</x:v>
      </x:c>
      <x:c r="G154" s="2" t="n">
        <x:f>IF(ISNUMBER(F154),1,0)</x:f>
        <x:v>1</x:v>
      </x:c>
      <x:c r="H154" s="2" t="n">
        <x:f>IF(ISNUMBER(F154),IF(F154&gt;=2,1,0),0)</x:f>
        <x:v>1</x:v>
      </x:c>
      <x:c r="I154" s="11" t="n">
        <x:f>IF(ISNUMBER(F154),2^F154-1,0)</x:f>
        <x:v>7</x:v>
      </x:c>
      <x:c r="J154" s="2" t="str">
        <x:v>Retained original 577</x:v>
      </x:c>
      <x:c r="K154" s="10" t="n">
        <x:v>4850</x:v>
      </x:c>
      <x:c r="L154" s="10" t="n">
        <x:v>2</x:v>
      </x:c>
      <x:c r="M154" s="10" t="n">
        <x:v>1023</x:v>
      </x:c>
      <x:c r="N154" s="2" t="str">
        <x:v>D10</x:v>
      </x:c>
      <x:c r="O154" s="2" t="str">
        <x:v>condominium</x:v>
      </x:c>
      <x:c r="P154" s="2" t="str">
        <x:v>https://www.propertyguru.com.sg/listing/for-rent-jervois-meadows-21435410</x:v>
      </x:c>
      <x:c r="Q154" s="12" t="str">
        <x:v>Hard requirements pass. Condominium, area 1,023 sqft. The preferred condominium type is met with one of the larger reported areas.</x:v>
      </x:c>
      <x:c r="R154" s="13"/>
    </x:row>
    <x:row r="155" ht="24" hidden="0" customHeight="1">
      <x:c r="A155" s="2" t="str">
        <x:v>S06|23378361</x:v>
      </x:c>
      <x:c r="B155" s="2" t="str">
        <x:v>S06</x:v>
      </x:c>
      <x:c r="C155" s="2" t="str">
        <x:v>23378361</x:v>
      </x:c>
      <x:c r="D155" s="2" t="n">
        <x:v>1</x:v>
      </x:c>
      <x:c r="E155" s="9"/>
      <x:c r="F155" s="2" t="n">
        <x:f>IF(E155="",D155,IF(E155="U","U",IF(AND(ISNUMBER(E155),E155&gt;=0,E155&lt;=3,INT(E155)=E155),E155,"Invalid")))</x:f>
        <x:v>1</x:v>
      </x:c>
      <x:c r="G155" s="2" t="n">
        <x:f>IF(ISNUMBER(F155),1,0)</x:f>
        <x:v>1</x:v>
      </x:c>
      <x:c r="H155" s="2" t="n">
        <x:f>IF(ISNUMBER(F155),IF(F155&gt;=2,1,0),0)</x:f>
        <x:v>0</x:v>
      </x:c>
      <x:c r="I155" s="11" t="n">
        <x:f>IF(ISNUMBER(F155),2^F155-1,0)</x:f>
        <x:v>1</x:v>
      </x:c>
      <x:c r="J155" s="2" t="str">
        <x:v>Retained original 577</x:v>
      </x:c>
      <x:c r="K155" s="10" t="n">
        <x:v>5000</x:v>
      </x:c>
      <x:c r="L155" s="10" t="n">
        <x:v>2</x:v>
      </x:c>
      <x:c r="M155" s="10" t="n">
        <x:v>840</x:v>
      </x:c>
      <x:c r="N155" s="2" t="str">
        <x:v>D09</x:v>
      </x:c>
      <x:c r="O155" s="2" t="str">
        <x:v>apartment</x:v>
      </x:c>
      <x:c r="P155" s="2" t="str">
        <x:v>https://www.propertyguru.com.sg/listing/for-rent-mackenzie-88-23378361</x:v>
      </x:c>
      <x:c r="Q155" s="12" t="str">
        <x:v>Hard requirements pass. Apartment, area 840 sqft. The primary condominium preference is unmet; the mandatory type was not restricted.</x:v>
      </x:c>
      <x:c r="R155" s="13"/>
    </x:row>
    <x:row r="156" ht="15" hidden="0" customHeight="1">
      <x:c r="A156" s="2" t="str">
        <x:v>S07|500264016</x:v>
      </x:c>
      <x:c r="B156" s="2" t="str">
        <x:v>S07</x:v>
      </x:c>
      <x:c r="C156" s="2" t="str">
        <x:v>500264016</x:v>
      </x:c>
      <x:c r="D156" s="2" t="n">
        <x:v>0</x:v>
      </x:c>
      <x:c r="E156" s="9"/>
      <x:c r="F156" s="2" t="n">
        <x:f>IF(E156="",D156,IF(E156="U","U",IF(AND(ISNUMBER(E156),E156&gt;=0,E156&lt;=3,INT(E156)=E156),E156,"Invalid")))</x:f>
        <x:v>0</x:v>
      </x:c>
      <x:c r="G156" s="2" t="n">
        <x:f>IF(ISNUMBER(F156),1,0)</x:f>
        <x:v>1</x:v>
      </x:c>
      <x:c r="H156" s="2" t="n">
        <x:f>IF(ISNUMBER(F156),IF(F156&gt;=2,1,0),0)</x:f>
        <x:v>0</x:v>
      </x:c>
      <x:c r="I156" s="11" t="n">
        <x:f>IF(ISNUMBER(F156),2^F156-1,0)</x:f>
        <x:v>0</x:v>
      </x:c>
      <x:c r="J156" s="2" t="str">
        <x:v>Retained original 577</x:v>
      </x:c>
      <x:c r="K156" s="10" t="n">
        <x:v>3500</x:v>
      </x:c>
      <x:c r="L156" s="10" t="n">
        <x:v>2</x:v>
      </x:c>
      <x:c r="M156" s="10" t="n">
        <x:v>657</x:v>
      </x:c>
      <x:c r="N156" s="2" t="str">
        <x:v>D19</x:v>
      </x:c>
      <x:c r="O156" s="2" t="str">
        <x:v>condominium</x:v>
      </x:c>
      <x:c r="P156" s="2" t="str">
        <x:v>https://www.propertyguru.com.sg/listing/for-rent-midtown-residences-500264016</x:v>
      </x:c>
      <x:c r="Q156" s="12" t="str">
        <x:v>Hard failure: Property type Condominium; required = HDB Flat.</x:v>
      </x:c>
      <x:c r="R156" s="13"/>
    </x:row>
    <x:row r="157" ht="24" hidden="0" customHeight="1">
      <x:c r="A157" s="2" t="str">
        <x:v>S07|25534000</x:v>
      </x:c>
      <x:c r="B157" s="2" t="str">
        <x:v>S07</x:v>
      </x:c>
      <x:c r="C157" s="2" t="str">
        <x:v>25534000</x:v>
      </x:c>
      <x:c r="D157" s="2" t="n">
        <x:v>2</x:v>
      </x:c>
      <x:c r="E157" s="9"/>
      <x:c r="F157" s="2" t="n">
        <x:f>IF(E157="",D157,IF(E157="U","U",IF(AND(ISNUMBER(E157),E157&gt;=0,E157&lt;=3,INT(E157)=E157),E157,"Invalid")))</x:f>
        <x:v>2</x:v>
      </x:c>
      <x:c r="G157" s="2" t="n">
        <x:f>IF(ISNUMBER(F157),1,0)</x:f>
        <x:v>1</x:v>
      </x:c>
      <x:c r="H157" s="2" t="n">
        <x:f>IF(ISNUMBER(F157),IF(F157&gt;=2,1,0),0)</x:f>
        <x:v>1</x:v>
      </x:c>
      <x:c r="I157" s="11" t="n">
        <x:f>IF(ISNUMBER(F157),2^F157-1,0)</x:f>
        <x:v>3</x:v>
      </x:c>
      <x:c r="J157" s="2" t="str">
        <x:v>Retained original 577</x:v>
      </x:c>
      <x:c r="K157" s="10" t="n">
        <x:v>3100</x:v>
      </x:c>
      <x:c r="L157" s="10" t="n">
        <x:v>2</x:v>
      </x:c>
      <x:c r="M157" s="10" t="n">
        <x:v>785</x:v>
      </x:c>
      <x:c r="N157" s="2" t="str">
        <x:v>D18</x:v>
      </x:c>
      <x:c r="O157" s="2" t="str">
        <x:v>hdb flat</x:v>
      </x:c>
      <x:c r="P157" s="2" t="str">
        <x:v>https://www.propertyguru.com.sg/listing/hdb-for-rent-234-tampines-street-21-25534000</x:v>
      </x:c>
      <x:c r="Q157" s="12" t="str">
        <x:v>Hard requirements pass. D18, SGD 3,100/month. D18 is met, with higher rent than the strongest D18 alternatives.</x:v>
      </x:c>
      <x:c r="R157" s="13"/>
    </x:row>
    <x:row r="158" ht="24" hidden="0" customHeight="1">
      <x:c r="A158" s="2" t="str">
        <x:v>S07|500269987</x:v>
      </x:c>
      <x:c r="B158" s="2" t="str">
        <x:v>S07</x:v>
      </x:c>
      <x:c r="C158" s="2" t="str">
        <x:v>500269987</x:v>
      </x:c>
      <x:c r="D158" s="2" t="n">
        <x:v>3</x:v>
      </x:c>
      <x:c r="E158" s="9"/>
      <x:c r="F158" s="2" t="n">
        <x:f>IF(E158="",D158,IF(E158="U","U",IF(AND(ISNUMBER(E158),E158&gt;=0,E158&lt;=3,INT(E158)=E158),E158,"Invalid")))</x:f>
        <x:v>3</x:v>
      </x:c>
      <x:c r="G158" s="2" t="n">
        <x:f>IF(ISNUMBER(F158),1,0)</x:f>
        <x:v>1</x:v>
      </x:c>
      <x:c r="H158" s="2" t="n">
        <x:f>IF(ISNUMBER(F158),IF(F158&gt;=2,1,0),0)</x:f>
        <x:v>1</x:v>
      </x:c>
      <x:c r="I158" s="11" t="n">
        <x:f>IF(ISNUMBER(F158),2^F158-1,0)</x:f>
        <x:v>7</x:v>
      </x:c>
      <x:c r="J158" s="2" t="str">
        <x:v>Retained original 577</x:v>
      </x:c>
      <x:c r="K158" s="10" t="n">
        <x:v>2700</x:v>
      </x:c>
      <x:c r="L158" s="10" t="n">
        <x:v>2</x:v>
      </x:c>
      <x:c r="M158" s="10" t="n">
        <x:v>735</x:v>
      </x:c>
      <x:c r="N158" s="2" t="str">
        <x:v>D18</x:v>
      </x:c>
      <x:c r="O158" s="2" t="str">
        <x:v>hdb flat</x:v>
      </x:c>
      <x:c r="P158" s="2" t="str">
        <x:v>https://www.propertyguru.com.sg/listing/hdb-for-rent-292-tampines-street-22-500269987</x:v>
      </x:c>
      <x:c r="Q158" s="12" t="str">
        <x:v>Hard requirements pass. D18, SGD 2,700/month. D18 is met with relatively low rent among the D18 choices.</x:v>
      </x:c>
      <x:c r="R158" s="13"/>
    </x:row>
    <x:row r="159" ht="15" hidden="0" customHeight="1">
      <x:c r="A159" s="2" t="str">
        <x:v>S07|500281207</x:v>
      </x:c>
      <x:c r="B159" s="2" t="str">
        <x:v>S07</x:v>
      </x:c>
      <x:c r="C159" s="2" t="str">
        <x:v>500281207</x:v>
      </x:c>
      <x:c r="D159" s="2" t="n">
        <x:v>0</x:v>
      </x:c>
      <x:c r="E159" s="9"/>
      <x:c r="F159" s="2" t="n">
        <x:f>IF(E159="",D159,IF(E159="U","U",IF(AND(ISNUMBER(E159),E159&gt;=0,E159&lt;=3,INT(E159)=E159),E159,"Invalid")))</x:f>
        <x:v>0</x:v>
      </x:c>
      <x:c r="G159" s="2" t="n">
        <x:f>IF(ISNUMBER(F159),1,0)</x:f>
        <x:v>1</x:v>
      </x:c>
      <x:c r="H159" s="2" t="n">
        <x:f>IF(ISNUMBER(F159),IF(F159&gt;=2,1,0),0)</x:f>
        <x:v>0</x:v>
      </x:c>
      <x:c r="I159" s="11" t="n">
        <x:f>IF(ISNUMBER(F159),2^F159-1,0)</x:f>
        <x:v>0</x:v>
      </x:c>
      <x:c r="J159" s="2" t="str">
        <x:v>Retained original 577</x:v>
      </x:c>
      <x:c r="K159" s="10" t="n">
        <x:v>800</x:v>
      </x:c>
      <x:c r="L159" s="10" t="n">
        <x:v>1</x:v>
      </x:c>
      <x:c r="M159" s="10" t="n">
        <x:v>107</x:v>
      </x:c>
      <x:c r="N159" s="2" t="str">
        <x:v>D23</x:v>
      </x:c>
      <x:c r="O159" s="2" t="str">
        <x:v>hdb flat</x:v>
      </x:c>
      <x:c r="P159" s="2" t="str">
        <x:v>https://www.propertyguru.com.sg/listing/hdb-for-rent-627-choa-chu-kang-street-62-500281207</x:v>
      </x:c>
      <x:c r="Q159" s="12" t="str">
        <x:v>Hard failure: Reported bedrooms 1; required &gt;= 2.</x:v>
      </x:c>
      <x:c r="R159" s="13"/>
    </x:row>
    <x:row r="160" ht="15" hidden="0" customHeight="1">
      <x:c r="A160" s="2" t="str">
        <x:v>S07|500266354</x:v>
      </x:c>
      <x:c r="B160" s="2" t="str">
        <x:v>S07</x:v>
      </x:c>
      <x:c r="C160" s="2" t="str">
        <x:v>500266354</x:v>
      </x:c>
      <x:c r="D160" s="2" t="str">
        <x:v>U</x:v>
      </x:c>
      <x:c r="E160" s="9"/>
      <x:c r="F160" s="2" t="str">
        <x:f>IF(E160="",D160,IF(E160="U","U",IF(AND(ISNUMBER(E160),E160&gt;=0,E160&lt;=3,INT(E160)=E160),E160,"Invalid")))</x:f>
        <x:v>U</x:v>
      </x:c>
      <x:c r="G160" s="2" t="n">
        <x:f>IF(ISNUMBER(F160),1,0)</x:f>
        <x:v>0</x:v>
      </x:c>
      <x:c r="H160" s="2" t="n">
        <x:f>IF(ISNUMBER(F160),IF(F160&gt;=2,1,0),0)</x:f>
        <x:v>0</x:v>
      </x:c>
      <x:c r="I160" s="11" t="n">
        <x:f>IF(ISNUMBER(F160),2^F160-1,0)</x:f>
        <x:v>0</x:v>
      </x:c>
      <x:c r="J160" s="2" t="str">
        <x:v>Retained original 577</x:v>
      </x:c>
      <x:c r="K160" s="10" t="n">
        <x:v>2400</x:v>
      </x:c>
      <x:c r="L160" s="10"/>
      <x:c r="M160" s="10" t="n">
        <x:v>320</x:v>
      </x:c>
      <x:c r="N160" s="2" t="str">
        <x:v>D19</x:v>
      </x:c>
      <x:c r="O160" s="2" t="str">
        <x:v>hdb flat</x:v>
      </x:c>
      <x:c r="P160" s="2" t="str">
        <x:v>https://www.propertyguru.com.sg/listing/hdb-for-rent-420-hougang-avenue-10-500266354</x:v>
      </x:c>
      <x:c r="Q160" s="12" t="str">
        <x:v>No known hard failure. Cannot verify: reported bedrooms.</x:v>
      </x:c>
      <x:c r="R160" s="13"/>
    </x:row>
    <x:row r="161" ht="15" hidden="0" customHeight="1">
      <x:c r="A161" s="2" t="str">
        <x:v>S07|25263732</x:v>
      </x:c>
      <x:c r="B161" s="2" t="str">
        <x:v>S07</x:v>
      </x:c>
      <x:c r="C161" s="2" t="str">
        <x:v>25263732</x:v>
      </x:c>
      <x:c r="D161" s="2" t="str">
        <x:v>U</x:v>
      </x:c>
      <x:c r="E161" s="9"/>
      <x:c r="F161" s="2" t="str">
        <x:f>IF(E161="",D161,IF(E161="U","U",IF(AND(ISNUMBER(E161),E161&gt;=0,E161&lt;=3,INT(E161)=E161),E161,"Invalid")))</x:f>
        <x:v>U</x:v>
      </x:c>
      <x:c r="G161" s="2" t="n">
        <x:f>IF(ISNUMBER(F161),1,0)</x:f>
        <x:v>0</x:v>
      </x:c>
      <x:c r="H161" s="2" t="n">
        <x:f>IF(ISNUMBER(F161),IF(F161&gt;=2,1,0),0)</x:f>
        <x:v>0</x:v>
      </x:c>
      <x:c r="I161" s="11" t="n">
        <x:f>IF(ISNUMBER(F161),2^F161-1,0)</x:f>
        <x:v>0</x:v>
      </x:c>
      <x:c r="J161" s="2" t="str">
        <x:v>Retained original 577</x:v>
      </x:c>
      <x:c r="K161" s="10" t="n">
        <x:v>788</x:v>
      </x:c>
      <x:c r="L161" s="10"/>
      <x:c r="M161" s="10" t="n">
        <x:v>90</x:v>
      </x:c>
      <x:c r="N161" s="2" t="str">
        <x:v>D04</x:v>
      </x:c>
      <x:c r="O161" s="2" t="str">
        <x:v>hdb flat</x:v>
      </x:c>
      <x:c r="P161" s="2" t="str">
        <x:v>https://www.propertyguru.com.sg/listing/hdb-for-rent-18-telok-blangah-crescent-25263732</x:v>
      </x:c>
      <x:c r="Q161" s="12" t="str">
        <x:v>No known hard failure. Cannot verify: reported bedrooms.</x:v>
      </x:c>
      <x:c r="R161" s="13"/>
    </x:row>
    <x:row r="162" ht="24" hidden="0" customHeight="1">
      <x:c r="A162" s="2" t="str">
        <x:v>S07|500191517</x:v>
      </x:c>
      <x:c r="B162" s="2" t="str">
        <x:v>S07</x:v>
      </x:c>
      <x:c r="C162" s="2" t="str">
        <x:v>500191517</x:v>
      </x:c>
      <x:c r="D162" s="2" t="n">
        <x:v>2</x:v>
      </x:c>
      <x:c r="E162" s="9"/>
      <x:c r="F162" s="2" t="n">
        <x:f>IF(E162="",D162,IF(E162="U","U",IF(AND(ISNUMBER(E162),E162&gt;=0,E162&lt;=3,INT(E162)=E162),E162,"Invalid")))</x:f>
        <x:v>2</x:v>
      </x:c>
      <x:c r="G162" s="2" t="n">
        <x:f>IF(ISNUMBER(F162),1,0)</x:f>
        <x:v>1</x:v>
      </x:c>
      <x:c r="H162" s="2" t="n">
        <x:f>IF(ISNUMBER(F162),IF(F162&gt;=2,1,0),0)</x:f>
        <x:v>1</x:v>
      </x:c>
      <x:c r="I162" s="11" t="n">
        <x:f>IF(ISNUMBER(F162),2^F162-1,0)</x:f>
        <x:v>3</x:v>
      </x:c>
      <x:c r="J162" s="2" t="str">
        <x:v>Retained original 577</x:v>
      </x:c>
      <x:c r="K162" s="10" t="n">
        <x:v>3500</x:v>
      </x:c>
      <x:c r="L162" s="10" t="n">
        <x:v>3</x:v>
      </x:c>
      <x:c r="M162" s="10" t="n">
        <x:v>1400</x:v>
      </x:c>
      <x:c r="N162" s="2" t="str">
        <x:v>D18</x:v>
      </x:c>
      <x:c r="O162" s="2" t="str">
        <x:v>hdb flat</x:v>
      </x:c>
      <x:c r="P162" s="2" t="str">
        <x:v>https://www.propertyguru.com.sg/listing/hdb-for-rent-256-pasir-ris-street-21-500191517</x:v>
      </x:c>
      <x:c r="Q162" s="12" t="str">
        <x:v>Hard requirements pass. D18, SGD 3,500/month. D18 is met, with higher rent than the strongest D18 alternatives.</x:v>
      </x:c>
      <x:c r="R162" s="13"/>
    </x:row>
    <x:row r="163" ht="24" hidden="0" customHeight="1">
      <x:c r="A163" s="2" t="str">
        <x:v>S07|500061668</x:v>
      </x:c>
      <x:c r="B163" s="2" t="str">
        <x:v>S07</x:v>
      </x:c>
      <x:c r="C163" s="2" t="str">
        <x:v>500061668</x:v>
      </x:c>
      <x:c r="D163" s="2" t="n">
        <x:v>1</x:v>
      </x:c>
      <x:c r="E163" s="9"/>
      <x:c r="F163" s="2" t="n">
        <x:f>IF(E163="",D163,IF(E163="U","U",IF(AND(ISNUMBER(E163),E163&gt;=0,E163&lt;=3,INT(E163)=E163),E163,"Invalid")))</x:f>
        <x:v>1</x:v>
      </x:c>
      <x:c r="G163" s="2" t="n">
        <x:f>IF(ISNUMBER(F163),1,0)</x:f>
        <x:v>1</x:v>
      </x:c>
      <x:c r="H163" s="2" t="n">
        <x:f>IF(ISNUMBER(F163),IF(F163&gt;=2,1,0),0)</x:f>
        <x:v>0</x:v>
      </x:c>
      <x:c r="I163" s="11" t="n">
        <x:f>IF(ISNUMBER(F163),2^F163-1,0)</x:f>
        <x:v>1</x:v>
      </x:c>
      <x:c r="J163" s="2" t="str">
        <x:v>Retained original 577</x:v>
      </x:c>
      <x:c r="K163" s="10" t="n">
        <x:v>3000</x:v>
      </x:c>
      <x:c r="L163" s="10" t="n">
        <x:v>2</x:v>
      </x:c>
      <x:c r="M163" s="10" t="n">
        <x:v>689</x:v>
      </x:c>
      <x:c r="N163" s="2" t="str">
        <x:v>D27</x:v>
      </x:c>
      <x:c r="O163" s="2" t="str">
        <x:v>hdb flat</x:v>
      </x:c>
      <x:c r="P163" s="2" t="str">
        <x:v>https://www.propertyguru.com.sg/listing/hdb-for-rent-113-yishun-ring-road-500061668</x:v>
      </x:c>
      <x:c r="Q163" s="12" t="str">
        <x:v>Hard requirements pass. D27, SGD 3,000/month. The primary D18 preference is unmet, even where rent is lower.</x:v>
      </x:c>
      <x:c r="R163" s="13"/>
    </x:row>
    <x:row r="164" ht="24" hidden="0" customHeight="1">
      <x:c r="A164" s="2" t="str">
        <x:v>S07|500269618</x:v>
      </x:c>
      <x:c r="B164" s="2" t="str">
        <x:v>S07</x:v>
      </x:c>
      <x:c r="C164" s="2" t="str">
        <x:v>500269618</x:v>
      </x:c>
      <x:c r="D164" s="2" t="n">
        <x:v>1</x:v>
      </x:c>
      <x:c r="E164" s="9"/>
      <x:c r="F164" s="2" t="n">
        <x:f>IF(E164="",D164,IF(E164="U","U",IF(AND(ISNUMBER(E164),E164&gt;=0,E164&lt;=3,INT(E164)=E164),E164,"Invalid")))</x:f>
        <x:v>1</x:v>
      </x:c>
      <x:c r="G164" s="2" t="n">
        <x:f>IF(ISNUMBER(F164),1,0)</x:f>
        <x:v>1</x:v>
      </x:c>
      <x:c r="H164" s="2" t="n">
        <x:f>IF(ISNUMBER(F164),IF(F164&gt;=2,1,0),0)</x:f>
        <x:v>0</x:v>
      </x:c>
      <x:c r="I164" s="11" t="n">
        <x:f>IF(ISNUMBER(F164),2^F164-1,0)</x:f>
        <x:v>1</x:v>
      </x:c>
      <x:c r="J164" s="2" t="str">
        <x:v>Retained original 577</x:v>
      </x:c>
      <x:c r="K164" s="10" t="n">
        <x:v>1100</x:v>
      </x:c>
      <x:c r="L164" s="10" t="n">
        <x:v>3</x:v>
      </x:c>
      <x:c r="M164" s="10" t="n">
        <x:v>947</x:v>
      </x:c>
      <x:c r="N164" s="2" t="str">
        <x:v>D20</x:v>
      </x:c>
      <x:c r="O164" s="2" t="str">
        <x:v>hdb flat</x:v>
      </x:c>
      <x:c r="P164" s="2" t="str">
        <x:v>https://www.propertyguru.com.sg/listing/hdb-for-rent-25-sin-ming-road-500269618</x:v>
      </x:c>
      <x:c r="Q164" s="12" t="str">
        <x:v>Hard requirements pass. D20, SGD 1,100/month. The primary D18 preference is unmet, even where rent is lower.</x:v>
      </x:c>
      <x:c r="R164" s="13"/>
    </x:row>
    <x:row r="165" ht="24" hidden="0" customHeight="1">
      <x:c r="A165" s="2" t="str">
        <x:v>S07|21474500</x:v>
      </x:c>
      <x:c r="B165" s="2" t="str">
        <x:v>S07</x:v>
      </x:c>
      <x:c r="C165" s="2" t="str">
        <x:v>21474500</x:v>
      </x:c>
      <x:c r="D165" s="2" t="n">
        <x:v>2</x:v>
      </x:c>
      <x:c r="E165" s="9"/>
      <x:c r="F165" s="2" t="n">
        <x:f>IF(E165="",D165,IF(E165="U","U",IF(AND(ISNUMBER(E165),E165&gt;=0,E165&lt;=3,INT(E165)=E165),E165,"Invalid")))</x:f>
        <x:v>2</x:v>
      </x:c>
      <x:c r="G165" s="2" t="n">
        <x:f>IF(ISNUMBER(F165),1,0)</x:f>
        <x:v>1</x:v>
      </x:c>
      <x:c r="H165" s="2" t="n">
        <x:f>IF(ISNUMBER(F165),IF(F165&gt;=2,1,0),0)</x:f>
        <x:v>1</x:v>
      </x:c>
      <x:c r="I165" s="11" t="n">
        <x:f>IF(ISNUMBER(F165),2^F165-1,0)</x:f>
        <x:v>3</x:v>
      </x:c>
      <x:c r="J165" s="2" t="str">
        <x:v>Retained original 577</x:v>
      </x:c>
      <x:c r="K165" s="10" t="n">
        <x:v>3300</x:v>
      </x:c>
      <x:c r="L165" s="10" t="n">
        <x:v>2</x:v>
      </x:c>
      <x:c r="M165" s="10" t="n">
        <x:v>1119</x:v>
      </x:c>
      <x:c r="N165" s="2" t="str">
        <x:v>D18</x:v>
      </x:c>
      <x:c r="O165" s="2" t="str">
        <x:v>hdb flat</x:v>
      </x:c>
      <x:c r="P165" s="2" t="str">
        <x:v>https://www.propertyguru.com.sg/listing/hdb-for-rent-887a-tampines-street-81-21474500</x:v>
      </x:c>
      <x:c r="Q165" s="12" t="str">
        <x:v>Hard requirements pass. D18, SGD 3,300/month. D18 is met, with higher rent than the strongest D18 alternatives.</x:v>
      </x:c>
      <x:c r="R165" s="13"/>
    </x:row>
    <x:row r="166" ht="24" hidden="0" customHeight="1">
      <x:c r="A166" s="2" t="str">
        <x:v>S07|500184075</x:v>
      </x:c>
      <x:c r="B166" s="2" t="str">
        <x:v>S07</x:v>
      </x:c>
      <x:c r="C166" s="2" t="str">
        <x:v>500184075</x:v>
      </x:c>
      <x:c r="D166" s="2" t="n">
        <x:v>1</x:v>
      </x:c>
      <x:c r="E166" s="9"/>
      <x:c r="F166" s="2" t="n">
        <x:f>IF(E166="",D166,IF(E166="U","U",IF(AND(ISNUMBER(E166),E166&gt;=0,E166&lt;=3,INT(E166)=E166),E166,"Invalid")))</x:f>
        <x:v>1</x:v>
      </x:c>
      <x:c r="G166" s="2" t="n">
        <x:f>IF(ISNUMBER(F166),1,0)</x:f>
        <x:v>1</x:v>
      </x:c>
      <x:c r="H166" s="2" t="n">
        <x:f>IF(ISNUMBER(F166),IF(F166&gt;=2,1,0),0)</x:f>
        <x:v>0</x:v>
      </x:c>
      <x:c r="I166" s="11" t="n">
        <x:f>IF(ISNUMBER(F166),2^F166-1,0)</x:f>
        <x:v>1</x:v>
      </x:c>
      <x:c r="J166" s="2" t="str">
        <x:v>Retained original 577</x:v>
      </x:c>
      <x:c r="K166" s="10" t="n">
        <x:v>2999</x:v>
      </x:c>
      <x:c r="L166" s="10" t="n">
        <x:v>2</x:v>
      </x:c>
      <x:c r="M166" s="10" t="n">
        <x:v>721</x:v>
      </x:c>
      <x:c r="N166" s="2" t="str">
        <x:v>D23</x:v>
      </x:c>
      <x:c r="O166" s="2" t="str">
        <x:v>hdb flat</x:v>
      </x:c>
      <x:c r="P166" s="2" t="str">
        <x:v>https://www.propertyguru.com.sg/listing/hdb-for-rent-534-bukit-batok-street-51-500184075</x:v>
      </x:c>
      <x:c r="Q166" s="12" t="str">
        <x:v>Hard requirements pass. D23, SGD 2,999/month. The primary D18 preference is unmet, even where rent is lower.</x:v>
      </x:c>
      <x:c r="R166" s="13"/>
    </x:row>
    <x:row r="167" ht="24" hidden="0" customHeight="1">
      <x:c r="A167" s="2" t="str">
        <x:v>S07|60023928</x:v>
      </x:c>
      <x:c r="B167" s="2" t="str">
        <x:v>S07</x:v>
      </x:c>
      <x:c r="C167" s="2" t="str">
        <x:v>60023928</x:v>
      </x:c>
      <x:c r="D167" s="2" t="n">
        <x:v>1</x:v>
      </x:c>
      <x:c r="E167" s="9"/>
      <x:c r="F167" s="2" t="n">
        <x:f>IF(E167="",D167,IF(E167="U","U",IF(AND(ISNUMBER(E167),E167&gt;=0,E167&lt;=3,INT(E167)=E167),E167,"Invalid")))</x:f>
        <x:v>1</x:v>
      </x:c>
      <x:c r="G167" s="2" t="n">
        <x:f>IF(ISNUMBER(F167),1,0)</x:f>
        <x:v>1</x:v>
      </x:c>
      <x:c r="H167" s="2" t="n">
        <x:f>IF(ISNUMBER(F167),IF(F167&gt;=2,1,0),0)</x:f>
        <x:v>0</x:v>
      </x:c>
      <x:c r="I167" s="11" t="n">
        <x:f>IF(ISNUMBER(F167),2^F167-1,0)</x:f>
        <x:v>1</x:v>
      </x:c>
      <x:c r="J167" s="2" t="str">
        <x:v>Retained original 577</x:v>
      </x:c>
      <x:c r="K167" s="10" t="n">
        <x:v>800</x:v>
      </x:c>
      <x:c r="L167" s="10" t="n">
        <x:v>2</x:v>
      </x:c>
      <x:c r="M167" s="10" t="n">
        <x:v>120</x:v>
      </x:c>
      <x:c r="N167" s="2" t="str">
        <x:v>D27</x:v>
      </x:c>
      <x:c r="O167" s="2" t="str">
        <x:v>hdb flat</x:v>
      </x:c>
      <x:c r="P167" s="2" t="str">
        <x:v>https://www.propertyguru.com.sg/listing/hdb-for-rent-203-yishun-street-21-60023928</x:v>
      </x:c>
      <x:c r="Q167" s="12" t="str">
        <x:v>Hard requirements pass. D27, SGD 800/month. The primary D18 preference is unmet, even where rent is lower.</x:v>
      </x:c>
      <x:c r="R167" s="13"/>
    </x:row>
    <x:row r="168" ht="24" hidden="0" customHeight="1">
      <x:c r="A168" s="2" t="str">
        <x:v>S07|500270042</x:v>
      </x:c>
      <x:c r="B168" s="2" t="str">
        <x:v>S07</x:v>
      </x:c>
      <x:c r="C168" s="2" t="str">
        <x:v>500270042</x:v>
      </x:c>
      <x:c r="D168" s="2" t="n">
        <x:v>1</x:v>
      </x:c>
      <x:c r="E168" s="9"/>
      <x:c r="F168" s="2" t="n">
        <x:f>IF(E168="",D168,IF(E168="U","U",IF(AND(ISNUMBER(E168),E168&gt;=0,E168&lt;=3,INT(E168)=E168),E168,"Invalid")))</x:f>
        <x:v>1</x:v>
      </x:c>
      <x:c r="G168" s="2" t="n">
        <x:f>IF(ISNUMBER(F168),1,0)</x:f>
        <x:v>1</x:v>
      </x:c>
      <x:c r="H168" s="2" t="n">
        <x:f>IF(ISNUMBER(F168),IF(F168&gt;=2,1,0),0)</x:f>
        <x:v>0</x:v>
      </x:c>
      <x:c r="I168" s="11" t="n">
        <x:f>IF(ISNUMBER(F168),2^F168-1,0)</x:f>
        <x:v>1</x:v>
      </x:c>
      <x:c r="J168" s="2" t="str">
        <x:v>Retained original 577</x:v>
      </x:c>
      <x:c r="K168" s="10" t="n">
        <x:v>3500</x:v>
      </x:c>
      <x:c r="L168" s="10" t="n">
        <x:v>3</x:v>
      </x:c>
      <x:c r="M168" s="10" t="n">
        <x:v>1023</x:v>
      </x:c>
      <x:c r="N168" s="2" t="str">
        <x:v>D28</x:v>
      </x:c>
      <x:c r="O168" s="2" t="str">
        <x:v>hdb flat</x:v>
      </x:c>
      <x:c r="P168" s="2" t="str">
        <x:v>https://www.propertyguru.com.sg/listing/hdb-for-rent-410c-fernvale-road-500270042</x:v>
      </x:c>
      <x:c r="Q168" s="12" t="str">
        <x:v>Hard requirements pass. D28, SGD 3,500/month. The primary D18 preference is unmet, even where rent is lower.</x:v>
      </x:c>
      <x:c r="R168" s="13"/>
    </x:row>
    <x:row r="169" ht="24" hidden="0" customHeight="1">
      <x:c r="A169" s="2" t="str">
        <x:v>S07|25512234</x:v>
      </x:c>
      <x:c r="B169" s="2" t="str">
        <x:v>S07</x:v>
      </x:c>
      <x:c r="C169" s="2" t="str">
        <x:v>25512234</x:v>
      </x:c>
      <x:c r="D169" s="2" t="n">
        <x:v>1</x:v>
      </x:c>
      <x:c r="E169" s="9"/>
      <x:c r="F169" s="2" t="n">
        <x:f>IF(E169="",D169,IF(E169="U","U",IF(AND(ISNUMBER(E169),E169&gt;=0,E169&lt;=3,INT(E169)=E169),E169,"Invalid")))</x:f>
        <x:v>1</x:v>
      </x:c>
      <x:c r="G169" s="2" t="n">
        <x:f>IF(ISNUMBER(F169),1,0)</x:f>
        <x:v>1</x:v>
      </x:c>
      <x:c r="H169" s="2" t="n">
        <x:f>IF(ISNUMBER(F169),IF(F169&gt;=2,1,0),0)</x:f>
        <x:v>0</x:v>
      </x:c>
      <x:c r="I169" s="11" t="n">
        <x:f>IF(ISNUMBER(F169),2^F169-1,0)</x:f>
        <x:v>1</x:v>
      </x:c>
      <x:c r="J169" s="2" t="str">
        <x:v>Retained original 577</x:v>
      </x:c>
      <x:c r="K169" s="10" t="n">
        <x:v>3000</x:v>
      </x:c>
      <x:c r="L169" s="10" t="n">
        <x:v>2</x:v>
      </x:c>
      <x:c r="M169" s="10" t="n">
        <x:v>732</x:v>
      </x:c>
      <x:c r="N169" s="2" t="str">
        <x:v>D19</x:v>
      </x:c>
      <x:c r="O169" s="2" t="str">
        <x:v>hdb flat</x:v>
      </x:c>
      <x:c r="P169" s="2" t="str">
        <x:v>https://www.propertyguru.com.sg/listing/hdb-for-rent-201b-compassvale-drive-25512234</x:v>
      </x:c>
      <x:c r="Q169" s="12" t="str">
        <x:v>Hard requirements pass. D19, SGD 3,000/month. The primary D18 preference is unmet, even where rent is lower.</x:v>
      </x:c>
      <x:c r="R169" s="13"/>
    </x:row>
    <x:row r="170" ht="15" hidden="0" customHeight="1">
      <x:c r="A170" s="2" t="str">
        <x:v>S07|20779850</x:v>
      </x:c>
      <x:c r="B170" s="2" t="str">
        <x:v>S07</x:v>
      </x:c>
      <x:c r="C170" s="2" t="str">
        <x:v>20779850</x:v>
      </x:c>
      <x:c r="D170" s="2" t="n">
        <x:v>0</x:v>
      </x:c>
      <x:c r="E170" s="9"/>
      <x:c r="F170" s="2" t="n">
        <x:f>IF(E170="",D170,IF(E170="U","U",IF(AND(ISNUMBER(E170),E170&gt;=0,E170&lt;=3,INT(E170)=E170),E170,"Invalid")))</x:f>
        <x:v>0</x:v>
      </x:c>
      <x:c r="G170" s="2" t="n">
        <x:f>IF(ISNUMBER(F170),1,0)</x:f>
        <x:v>1</x:v>
      </x:c>
      <x:c r="H170" s="2" t="n">
        <x:f>IF(ISNUMBER(F170),IF(F170&gt;=2,1,0),0)</x:f>
        <x:v>0</x:v>
      </x:c>
      <x:c r="I170" s="11" t="n">
        <x:f>IF(ISNUMBER(F170),2^F170-1,0)</x:f>
        <x:v>0</x:v>
      </x:c>
      <x:c r="J170" s="2" t="str">
        <x:v>Retained original 577</x:v>
      </x:c>
      <x:c r="K170" s="10" t="n">
        <x:v>750</x:v>
      </x:c>
      <x:c r="L170" s="10" t="n">
        <x:v>1</x:v>
      </x:c>
      <x:c r="M170" s="10" t="n">
        <x:v>300</x:v>
      </x:c>
      <x:c r="N170" s="2" t="str">
        <x:v>D16</x:v>
      </x:c>
      <x:c r="O170" s="2" t="str">
        <x:v>hdb flat</x:v>
      </x:c>
      <x:c r="P170" s="2" t="str">
        <x:v>https://www.propertyguru.com.sg/listing/hdb-for-rent-91-bedok-north-street-4-20779850</x:v>
      </x:c>
      <x:c r="Q170" s="12" t="str">
        <x:v>Hard failure: Reported bedrooms 1; required &gt;= 2.</x:v>
      </x:c>
      <x:c r="R170" s="13"/>
    </x:row>
    <x:row r="171" ht="24" hidden="0" customHeight="1">
      <x:c r="A171" s="2" t="str">
        <x:v>S07|500272688</x:v>
      </x:c>
      <x:c r="B171" s="2" t="str">
        <x:v>S07</x:v>
      </x:c>
      <x:c r="C171" s="2" t="str">
        <x:v>500272688</x:v>
      </x:c>
      <x:c r="D171" s="2" t="n">
        <x:v>3</x:v>
      </x:c>
      <x:c r="E171" s="9"/>
      <x:c r="F171" s="2" t="n">
        <x:f>IF(E171="",D171,IF(E171="U","U",IF(AND(ISNUMBER(E171),E171&gt;=0,E171&lt;=3,INT(E171)=E171),E171,"Invalid")))</x:f>
        <x:v>3</x:v>
      </x:c>
      <x:c r="G171" s="2" t="n">
        <x:f>IF(ISNUMBER(F171),1,0)</x:f>
        <x:v>1</x:v>
      </x:c>
      <x:c r="H171" s="2" t="n">
        <x:f>IF(ISNUMBER(F171),IF(F171&gt;=2,1,0),0)</x:f>
        <x:v>1</x:v>
      </x:c>
      <x:c r="I171" s="11" t="n">
        <x:f>IF(ISNUMBER(F171),2^F171-1,0)</x:f>
        <x:v>7</x:v>
      </x:c>
      <x:c r="J171" s="2" t="str">
        <x:v>Retained original 577</x:v>
      </x:c>
      <x:c r="K171" s="10" t="n">
        <x:v>2700</x:v>
      </x:c>
      <x:c r="L171" s="10" t="n">
        <x:v>2</x:v>
      </x:c>
      <x:c r="M171" s="10" t="n">
        <x:v>735</x:v>
      </x:c>
      <x:c r="N171" s="2" t="str">
        <x:v>D18</x:v>
      </x:c>
      <x:c r="O171" s="2" t="str">
        <x:v>hdb flat</x:v>
      </x:c>
      <x:c r="P171" s="2" t="str">
        <x:v>https://www.propertyguru.com.sg/listing/hdb-for-rent-219-tampines-street-24-500272688</x:v>
      </x:c>
      <x:c r="Q171" s="12" t="str">
        <x:v>Hard requirements pass. D18, SGD 2,700/month. D18 is met with relatively low rent among the D18 choices.</x:v>
      </x:c>
      <x:c r="R171" s="13"/>
    </x:row>
    <x:row r="172" ht="24" hidden="0" customHeight="1">
      <x:c r="A172" s="2" t="str">
        <x:v>S07|500281545</x:v>
      </x:c>
      <x:c r="B172" s="2" t="str">
        <x:v>S07</x:v>
      </x:c>
      <x:c r="C172" s="2" t="str">
        <x:v>500281545</x:v>
      </x:c>
      <x:c r="D172" s="2" t="n">
        <x:v>3</x:v>
      </x:c>
      <x:c r="E172" s="9"/>
      <x:c r="F172" s="2" t="n">
        <x:f>IF(E172="",D172,IF(E172="U","U",IF(AND(ISNUMBER(E172),E172&gt;=0,E172&lt;=3,INT(E172)=E172),E172,"Invalid")))</x:f>
        <x:v>3</x:v>
      </x:c>
      <x:c r="G172" s="2" t="n">
        <x:f>IF(ISNUMBER(F172),1,0)</x:f>
        <x:v>1</x:v>
      </x:c>
      <x:c r="H172" s="2" t="n">
        <x:f>IF(ISNUMBER(F172),IF(F172&gt;=2,1,0),0)</x:f>
        <x:v>1</x:v>
      </x:c>
      <x:c r="I172" s="11" t="n">
        <x:f>IF(ISNUMBER(F172),2^F172-1,0)</x:f>
        <x:v>7</x:v>
      </x:c>
      <x:c r="J172" s="2" t="str">
        <x:v>Retained original 577</x:v>
      </x:c>
      <x:c r="K172" s="10" t="n">
        <x:v>700</x:v>
      </x:c>
      <x:c r="L172" s="10" t="n">
        <x:v>3</x:v>
      </x:c>
      <x:c r="M172" s="10" t="n">
        <x:v>904</x:v>
      </x:c>
      <x:c r="N172" s="2" t="str">
        <x:v>D18</x:v>
      </x:c>
      <x:c r="O172" s="2" t="str">
        <x:v>hdb flat</x:v>
      </x:c>
      <x:c r="P172" s="2" t="str">
        <x:v>https://www.propertyguru.com.sg/listing/hdb-for-rent-832-tampines-street-82-500281545</x:v>
      </x:c>
      <x:c r="Q172" s="12" t="str">
        <x:v>Hard requirements pass. D18, SGD 700/month. D18 is met with relatively low rent among the D18 choices.</x:v>
      </x:c>
      <x:c r="R172" s="13"/>
    </x:row>
    <x:row r="173" ht="24" hidden="0" customHeight="1">
      <x:c r="A173" s="2" t="str">
        <x:v>S07|21026007</x:v>
      </x:c>
      <x:c r="B173" s="2" t="str">
        <x:v>S07</x:v>
      </x:c>
      <x:c r="C173" s="2" t="str">
        <x:v>21026007</x:v>
      </x:c>
      <x:c r="D173" s="2" t="n">
        <x:v>1</x:v>
      </x:c>
      <x:c r="E173" s="9"/>
      <x:c r="F173" s="2" t="n">
        <x:f>IF(E173="",D173,IF(E173="U","U",IF(AND(ISNUMBER(E173),E173&gt;=0,E173&lt;=3,INT(E173)=E173),E173,"Invalid")))</x:f>
        <x:v>1</x:v>
      </x:c>
      <x:c r="G173" s="2" t="n">
        <x:f>IF(ISNUMBER(F173),1,0)</x:f>
        <x:v>1</x:v>
      </x:c>
      <x:c r="H173" s="2" t="n">
        <x:f>IF(ISNUMBER(F173),IF(F173&gt;=2,1,0),0)</x:f>
        <x:v>0</x:v>
      </x:c>
      <x:c r="I173" s="11" t="n">
        <x:f>IF(ISNUMBER(F173),2^F173-1,0)</x:f>
        <x:v>1</x:v>
      </x:c>
      <x:c r="J173" s="2" t="str">
        <x:v>Retained original 577</x:v>
      </x:c>
      <x:c r="K173" s="10" t="n">
        <x:v>450</x:v>
      </x:c>
      <x:c r="L173" s="10" t="n">
        <x:v>3</x:v>
      </x:c>
      <x:c r="M173" s="10" t="n">
        <x:v>100</x:v>
      </x:c>
      <x:c r="N173" s="2" t="str">
        <x:v>D25</x:v>
      </x:c>
      <x:c r="O173" s="2" t="str">
        <x:v>hdb flat</x:v>
      </x:c>
      <x:c r="P173" s="2" t="str">
        <x:v>https://www.propertyguru.com.sg/listing/hdb-for-rent-764a-woodlands-circle-21026007</x:v>
      </x:c>
      <x:c r="Q173" s="12" t="str">
        <x:v>Hard requirements pass. D25, SGD 450/month. The primary D18 preference is unmet, even where rent is lower.</x:v>
      </x:c>
      <x:c r="R173" s="13"/>
    </x:row>
    <x:row r="174" ht="24" hidden="0" customHeight="1">
      <x:c r="A174" s="2" t="str">
        <x:v>S07|25545825</x:v>
      </x:c>
      <x:c r="B174" s="2" t="str">
        <x:v>S07</x:v>
      </x:c>
      <x:c r="C174" s="2" t="str">
        <x:v>25545825</x:v>
      </x:c>
      <x:c r="D174" s="2" t="n">
        <x:v>3</x:v>
      </x:c>
      <x:c r="E174" s="9"/>
      <x:c r="F174" s="2" t="n">
        <x:f>IF(E174="",D174,IF(E174="U","U",IF(AND(ISNUMBER(E174),E174&gt;=0,E174&lt;=3,INT(E174)=E174),E174,"Invalid")))</x:f>
        <x:v>3</x:v>
      </x:c>
      <x:c r="G174" s="2" t="n">
        <x:f>IF(ISNUMBER(F174),1,0)</x:f>
        <x:v>1</x:v>
      </x:c>
      <x:c r="H174" s="2" t="n">
        <x:f>IF(ISNUMBER(F174),IF(F174&gt;=2,1,0),0)</x:f>
        <x:v>1</x:v>
      </x:c>
      <x:c r="I174" s="11" t="n">
        <x:f>IF(ISNUMBER(F174),2^F174-1,0)</x:f>
        <x:v>7</x:v>
      </x:c>
      <x:c r="J174" s="2" t="str">
        <x:v>Retained original 577</x:v>
      </x:c>
      <x:c r="K174" s="10" t="n">
        <x:v>2900</x:v>
      </x:c>
      <x:c r="L174" s="10" t="n">
        <x:v>2</x:v>
      </x:c>
      <x:c r="M174" s="10" t="n">
        <x:v>721</x:v>
      </x:c>
      <x:c r="N174" s="2" t="str">
        <x:v>D18</x:v>
      </x:c>
      <x:c r="O174" s="2" t="str">
        <x:v>hdb flat</x:v>
      </x:c>
      <x:c r="P174" s="2" t="str">
        <x:v>https://www.propertyguru.com.sg/listing/hdb-for-rent-825-tampines-street-81-25545825</x:v>
      </x:c>
      <x:c r="Q174" s="12" t="str">
        <x:v>Hard requirements pass. D18, SGD 2,900/month. D18 is met with relatively low rent among the D18 choices.</x:v>
      </x:c>
      <x:c r="R174" s="13"/>
    </x:row>
    <x:row r="175" ht="15" hidden="0" customHeight="1">
      <x:c r="A175" s="2" t="str">
        <x:v>S07|500222509</x:v>
      </x:c>
      <x:c r="B175" s="2" t="str">
        <x:v>S07</x:v>
      </x:c>
      <x:c r="C175" s="2" t="str">
        <x:v>500222509</x:v>
      </x:c>
      <x:c r="D175" s="2" t="str">
        <x:v>U</x:v>
      </x:c>
      <x:c r="E175" s="9"/>
      <x:c r="F175" s="2" t="str">
        <x:f>IF(E175="",D175,IF(E175="U","U",IF(AND(ISNUMBER(E175),E175&gt;=0,E175&lt;=3,INT(E175)=E175),E175,"Invalid")))</x:f>
        <x:v>U</x:v>
      </x:c>
      <x:c r="G175" s="2" t="n">
        <x:f>IF(ISNUMBER(F175),1,0)</x:f>
        <x:v>0</x:v>
      </x:c>
      <x:c r="H175" s="2" t="n">
        <x:f>IF(ISNUMBER(F175),IF(F175&gt;=2,1,0),0)</x:f>
        <x:v>0</x:v>
      </x:c>
      <x:c r="I175" s="11" t="n">
        <x:f>IF(ISNUMBER(F175),2^F175-1,0)</x:f>
        <x:v>0</x:v>
      </x:c>
      <x:c r="J175" s="2" t="str">
        <x:v>Retained original 577</x:v>
      </x:c>
      <x:c r="K175" s="10" t="n">
        <x:v>2000</x:v>
      </x:c>
      <x:c r="L175" s="10"/>
      <x:c r="M175" s="10" t="n">
        <x:v>200</x:v>
      </x:c>
      <x:c r="N175" s="2" t="str">
        <x:v>D25</x:v>
      </x:c>
      <x:c r="O175" s="2" t="str">
        <x:v>hdb flat</x:v>
      </x:c>
      <x:c r="P175" s="2" t="str">
        <x:v>https://www.propertyguru.com.sg/listing/hdb-for-rent-404-woodlands-street-41-500222509</x:v>
      </x:c>
      <x:c r="Q175" s="12" t="str">
        <x:v>No known hard failure. Cannot verify: reported bedrooms.</x:v>
      </x:c>
      <x:c r="R175" s="13"/>
    </x:row>
    <x:row r="176" ht="15" hidden="0" customHeight="1">
      <x:c r="A176" s="2" t="str">
        <x:v>S07|500260846</x:v>
      </x:c>
      <x:c r="B176" s="2" t="str">
        <x:v>S07</x:v>
      </x:c>
      <x:c r="C176" s="2" t="str">
        <x:v>500260846</x:v>
      </x:c>
      <x:c r="D176" s="2" t="n">
        <x:v>0</x:v>
      </x:c>
      <x:c r="E176" s="9"/>
      <x:c r="F176" s="2" t="n">
        <x:f>IF(E176="",D176,IF(E176="U","U",IF(AND(ISNUMBER(E176),E176&gt;=0,E176&lt;=3,INT(E176)=E176),E176,"Invalid")))</x:f>
        <x:v>0</x:v>
      </x:c>
      <x:c r="G176" s="2" t="n">
        <x:f>IF(ISNUMBER(F176),1,0)</x:f>
        <x:v>1</x:v>
      </x:c>
      <x:c r="H176" s="2" t="n">
        <x:f>IF(ISNUMBER(F176),IF(F176&gt;=2,1,0),0)</x:f>
        <x:v>0</x:v>
      </x:c>
      <x:c r="I176" s="11" t="n">
        <x:f>IF(ISNUMBER(F176),2^F176-1,0)</x:f>
        <x:v>0</x:v>
      </x:c>
      <x:c r="J176" s="2" t="str">
        <x:v>Retained original 577</x:v>
      </x:c>
      <x:c r="K176" s="10" t="n">
        <x:v>3533</x:v>
      </x:c>
      <x:c r="L176" s="10" t="n">
        <x:v>2</x:v>
      </x:c>
      <x:c r="M176" s="10" t="n">
        <x:v>721</x:v>
      </x:c>
      <x:c r="N176" s="2" t="str">
        <x:v>D25</x:v>
      </x:c>
      <x:c r="O176" s="2" t="str">
        <x:v>hdb flat</x:v>
      </x:c>
      <x:c r="P176" s="2" t="str">
        <x:v>https://www.propertyguru.com.sg/listing/hdb-for-rent-803-woodlands-street-81-500260846</x:v>
      </x:c>
      <x:c r="Q176" s="12" t="str">
        <x:v>Hard failure: Rent (SGD/month) 3,533; required &lt;= 3,500.</x:v>
      </x:c>
      <x:c r="R176" s="13"/>
    </x:row>
    <x:row r="177" ht="24" hidden="0" customHeight="1">
      <x:c r="A177" s="2" t="str">
        <x:v>S07|24127463</x:v>
      </x:c>
      <x:c r="B177" s="2" t="str">
        <x:v>S07</x:v>
      </x:c>
      <x:c r="C177" s="2" t="str">
        <x:v>24127463</x:v>
      </x:c>
      <x:c r="D177" s="2" t="n">
        <x:v>2</x:v>
      </x:c>
      <x:c r="E177" s="9"/>
      <x:c r="F177" s="2" t="n">
        <x:f>IF(E177="",D177,IF(E177="U","U",IF(AND(ISNUMBER(E177),E177&gt;=0,E177&lt;=3,INT(E177)=E177),E177,"Invalid")))</x:f>
        <x:v>2</x:v>
      </x:c>
      <x:c r="G177" s="2" t="n">
        <x:f>IF(ISNUMBER(F177),1,0)</x:f>
        <x:v>1</x:v>
      </x:c>
      <x:c r="H177" s="2" t="n">
        <x:f>IF(ISNUMBER(F177),IF(F177&gt;=2,1,0),0)</x:f>
        <x:v>1</x:v>
      </x:c>
      <x:c r="I177" s="11" t="n">
        <x:f>IF(ISNUMBER(F177),2^F177-1,0)</x:f>
        <x:v>3</x:v>
      </x:c>
      <x:c r="J177" s="2" t="str">
        <x:v>Retained original 577</x:v>
      </x:c>
      <x:c r="K177" s="10" t="n">
        <x:v>3400</x:v>
      </x:c>
      <x:c r="L177" s="10" t="n">
        <x:v>2</x:v>
      </x:c>
      <x:c r="M177" s="10" t="n">
        <x:v>721</x:v>
      </x:c>
      <x:c r="N177" s="2" t="str">
        <x:v>D18</x:v>
      </x:c>
      <x:c r="O177" s="2" t="str">
        <x:v>hdb flat</x:v>
      </x:c>
      <x:c r="P177" s="2" t="str">
        <x:v>https://www.propertyguru.com.sg/listing/hdb-for-rent-476-tampines-street-44-24127463</x:v>
      </x:c>
      <x:c r="Q177" s="12" t="str">
        <x:v>Hard requirements pass. D18, SGD 3,400/month. D18 is met, with higher rent than the strongest D18 alternatives.</x:v>
      </x:c>
      <x:c r="R177" s="13"/>
    </x:row>
    <x:row r="178" ht="24" hidden="0" customHeight="1">
      <x:c r="A178" s="2" t="str">
        <x:v>S07|20090505</x:v>
      </x:c>
      <x:c r="B178" s="2" t="str">
        <x:v>S07</x:v>
      </x:c>
      <x:c r="C178" s="2" t="str">
        <x:v>20090505</x:v>
      </x:c>
      <x:c r="D178" s="2" t="n">
        <x:v>1</x:v>
      </x:c>
      <x:c r="E178" s="9"/>
      <x:c r="F178" s="2" t="n">
        <x:f>IF(E178="",D178,IF(E178="U","U",IF(AND(ISNUMBER(E178),E178&gt;=0,E178&lt;=3,INT(E178)=E178),E178,"Invalid")))</x:f>
        <x:v>1</x:v>
      </x:c>
      <x:c r="G178" s="2" t="n">
        <x:f>IF(ISNUMBER(F178),1,0)</x:f>
        <x:v>1</x:v>
      </x:c>
      <x:c r="H178" s="2" t="n">
        <x:f>IF(ISNUMBER(F178),IF(F178&gt;=2,1,0),0)</x:f>
        <x:v>0</x:v>
      </x:c>
      <x:c r="I178" s="11" t="n">
        <x:f>IF(ISNUMBER(F178),2^F178-1,0)</x:f>
        <x:v>1</x:v>
      </x:c>
      <x:c r="J178" s="2" t="str">
        <x:v>Retained original 577</x:v>
      </x:c>
      <x:c r="K178" s="10" t="n">
        <x:v>3350</x:v>
      </x:c>
      <x:c r="L178" s="10" t="n">
        <x:v>3</x:v>
      </x:c>
      <x:c r="M178" s="10" t="n">
        <x:v>1087</x:v>
      </x:c>
      <x:c r="N178" s="2" t="str">
        <x:v>D19</x:v>
      </x:c>
      <x:c r="O178" s="2" t="str">
        <x:v>hdb flat</x:v>
      </x:c>
      <x:c r="P178" s="2" t="str">
        <x:v>https://www.propertyguru.com.sg/listing/hdb-for-rent-120a-rivervale-drive-20090505</x:v>
      </x:c>
      <x:c r="Q178" s="12" t="str">
        <x:v>Hard requirements pass. D19, SGD 3,350/month. The primary D18 preference is unmet, even where rent is lower.</x:v>
      </x:c>
      <x:c r="R178" s="13"/>
    </x:row>
    <x:row r="179" ht="24" hidden="0" customHeight="1">
      <x:c r="A179" s="2" t="str">
        <x:v>S07|500271006</x:v>
      </x:c>
      <x:c r="B179" s="2" t="str">
        <x:v>S07</x:v>
      </x:c>
      <x:c r="C179" s="2" t="str">
        <x:v>500271006</x:v>
      </x:c>
      <x:c r="D179" s="2" t="n">
        <x:v>2</x:v>
      </x:c>
      <x:c r="E179" s="9"/>
      <x:c r="F179" s="2" t="n">
        <x:f>IF(E179="",D179,IF(E179="U","U",IF(AND(ISNUMBER(E179),E179&gt;=0,E179&lt;=3,INT(E179)=E179),E179,"Invalid")))</x:f>
        <x:v>2</x:v>
      </x:c>
      <x:c r="G179" s="2" t="n">
        <x:f>IF(ISNUMBER(F179),1,0)</x:f>
        <x:v>1</x:v>
      </x:c>
      <x:c r="H179" s="2" t="n">
        <x:f>IF(ISNUMBER(F179),IF(F179&gt;=2,1,0),0)</x:f>
        <x:v>1</x:v>
      </x:c>
      <x:c r="I179" s="11" t="n">
        <x:f>IF(ISNUMBER(F179),2^F179-1,0)</x:f>
        <x:v>3</x:v>
      </x:c>
      <x:c r="J179" s="2" t="str">
        <x:v>Retained original 577</x:v>
      </x:c>
      <x:c r="K179" s="10" t="n">
        <x:v>3500</x:v>
      </x:c>
      <x:c r="L179" s="10" t="n">
        <x:v>3</x:v>
      </x:c>
      <x:c r="M179" s="10" t="n">
        <x:v>1356</x:v>
      </x:c>
      <x:c r="N179" s="2" t="str">
        <x:v>D18</x:v>
      </x:c>
      <x:c r="O179" s="2" t="str">
        <x:v>hdb flat</x:v>
      </x:c>
      <x:c r="P179" s="2" t="str">
        <x:v>https://www.propertyguru.com.sg/listing/hdb-for-rent-189-pasir-ris-street-12-500271006</x:v>
      </x:c>
      <x:c r="Q179" s="12" t="str">
        <x:v>Hard requirements pass. D18, SGD 3,500/month. D18 is met, with higher rent than the strongest D18 alternatives.</x:v>
      </x:c>
      <x:c r="R179" s="13"/>
    </x:row>
    <x:row r="180" ht="15" hidden="0" customHeight="1">
      <x:c r="A180" s="2" t="str">
        <x:v>S07|24209479</x:v>
      </x:c>
      <x:c r="B180" s="2" t="str">
        <x:v>S07</x:v>
      </x:c>
      <x:c r="C180" s="2" t="str">
        <x:v>24209479</x:v>
      </x:c>
      <x:c r="D180" s="2" t="n">
        <x:v>0</x:v>
      </x:c>
      <x:c r="E180" s="9"/>
      <x:c r="F180" s="2" t="n">
        <x:f>IF(E180="",D180,IF(E180="U","U",IF(AND(ISNUMBER(E180),E180&gt;=0,E180&lt;=3,INT(E180)=E180),E180,"Invalid")))</x:f>
        <x:v>0</x:v>
      </x:c>
      <x:c r="G180" s="2" t="n">
        <x:f>IF(ISNUMBER(F180),1,0)</x:f>
        <x:v>1</x:v>
      </x:c>
      <x:c r="H180" s="2" t="n">
        <x:f>IF(ISNUMBER(F180),IF(F180&gt;=2,1,0),0)</x:f>
        <x:v>0</x:v>
      </x:c>
      <x:c r="I180" s="11" t="n">
        <x:f>IF(ISNUMBER(F180),2^F180-1,0)</x:f>
        <x:v>0</x:v>
      </x:c>
      <x:c r="J180" s="2" t="str">
        <x:v>Retained original 577</x:v>
      </x:c>
      <x:c r="K180" s="10" t="n">
        <x:v>3550</x:v>
      </x:c>
      <x:c r="L180" s="10" t="n">
        <x:v>2</x:v>
      </x:c>
      <x:c r="M180" s="10" t="n">
        <x:v>732</x:v>
      </x:c>
      <x:c r="N180" s="2" t="str">
        <x:v>D07</x:v>
      </x:c>
      <x:c r="O180" s="2" t="str">
        <x:v>hdb flat</x:v>
      </x:c>
      <x:c r="P180" s="2" t="str">
        <x:v>https://www.propertyguru.com.sg/listing/hdb-for-rent-271-queen-street-24209479</x:v>
      </x:c>
      <x:c r="Q180" s="12" t="str">
        <x:v>Hard failure: Rent (SGD/month) 3,550; required &lt;= 3,500.</x:v>
      </x:c>
      <x:c r="R180" s="13"/>
    </x:row>
    <x:row r="181" ht="24" hidden="0" customHeight="1">
      <x:c r="A181" s="2" t="str">
        <x:v>S08|17715224</x:v>
      </x:c>
      <x:c r="B181" s="2" t="str">
        <x:v>S08</x:v>
      </x:c>
      <x:c r="C181" s="2" t="str">
        <x:v>17715224</x:v>
      </x:c>
      <x:c r="D181" s="2" t="n">
        <x:v>2</x:v>
      </x:c>
      <x:c r="E181" s="9"/>
      <x:c r="F181" s="2" t="n">
        <x:f>IF(E181="",D181,IF(E181="U","U",IF(AND(ISNUMBER(E181),E181&gt;=0,E181&lt;=3,INT(E181)=E181),E181,"Invalid")))</x:f>
        <x:v>2</x:v>
      </x:c>
      <x:c r="G181" s="2" t="n">
        <x:f>IF(ISNUMBER(F181),1,0)</x:f>
        <x:v>1</x:v>
      </x:c>
      <x:c r="H181" s="2" t="n">
        <x:f>IF(ISNUMBER(F181),IF(F181&gt;=2,1,0),0)</x:f>
        <x:v>1</x:v>
      </x:c>
      <x:c r="I181" s="11" t="n">
        <x:f>IF(ISNUMBER(F181),2^F181-1,0)</x:f>
        <x:v>3</x:v>
      </x:c>
      <x:c r="J181" s="2" t="str">
        <x:v>Retained original 577</x:v>
      </x:c>
      <x:c r="K181" s="10" t="n">
        <x:v>2900</x:v>
      </x:c>
      <x:c r="L181" s="10" t="n">
        <x:v>1</x:v>
      </x:c>
      <x:c r="M181" s="10" t="n">
        <x:v>400</x:v>
      </x:c>
      <x:c r="N181" s="2" t="str">
        <x:v>D03</x:v>
      </x:c>
      <x:c r="O181" s="2" t="str">
        <x:v>apartment</x:v>
      </x:c>
      <x:c r="P181" s="2" t="str">
        <x:v>https://www.propertyguru.com.sg/listing/for-rent-tiong-poh-road-17715224</x:v>
      </x:c>
      <x:c r="Q181" s="12" t="str">
        <x:v>Hard requirements pass. D03, area 400 sqft. The preferred district is met; the reported area is below the secondary target.</x:v>
      </x:c>
      <x:c r="R181" s="13"/>
    </x:row>
    <x:row r="182" ht="24" hidden="0" customHeight="1">
      <x:c r="A182" s="2" t="str">
        <x:v>S08|500230344</x:v>
      </x:c>
      <x:c r="B182" s="2" t="str">
        <x:v>S08</x:v>
      </x:c>
      <x:c r="C182" s="2" t="str">
        <x:v>500230344</x:v>
      </x:c>
      <x:c r="D182" s="2" t="n">
        <x:v>1</x:v>
      </x:c>
      <x:c r="E182" s="9"/>
      <x:c r="F182" s="2" t="n">
        <x:f>IF(E182="",D182,IF(E182="U","U",IF(AND(ISNUMBER(E182),E182&gt;=0,E182&lt;=3,INT(E182)=E182),E182,"Invalid")))</x:f>
        <x:v>1</x:v>
      </x:c>
      <x:c r="G182" s="2" t="n">
        <x:f>IF(ISNUMBER(F182),1,0)</x:f>
        <x:v>1</x:v>
      </x:c>
      <x:c r="H182" s="2" t="n">
        <x:f>IF(ISNUMBER(F182),IF(F182&gt;=2,1,0),0)</x:f>
        <x:v>0</x:v>
      </x:c>
      <x:c r="I182" s="11" t="n">
        <x:f>IF(ISNUMBER(F182),2^F182-1,0)</x:f>
        <x:v>1</x:v>
      </x:c>
      <x:c r="J182" s="2" t="str">
        <x:v>Retained original 577</x:v>
      </x:c>
      <x:c r="K182" s="10" t="n">
        <x:v>2900</x:v>
      </x:c>
      <x:c r="L182" s="10" t="n">
        <x:v>1</x:v>
      </x:c>
      <x:c r="M182" s="10" t="n">
        <x:v>625</x:v>
      </x:c>
      <x:c r="N182" s="2" t="str">
        <x:v>D27</x:v>
      </x:c>
      <x:c r="O182" s="2" t="str">
        <x:v>condominium</x:v>
      </x:c>
      <x:c r="P182" s="2" t="str">
        <x:v>https://www.propertyguru.com.sg/listing/for-rent-skies-miltonia-500230344</x:v>
      </x:c>
      <x:c r="Q182" s="12" t="str">
        <x:v>Hard requirements pass. D27, area 625 sqft. Outside both preferred districts; low rent or extra space does not fulfil that primary preference.</x:v>
      </x:c>
      <x:c r="R182" s="13"/>
    </x:row>
    <x:row r="183" ht="15" hidden="0" customHeight="1">
      <x:c r="A183" s="2" t="str">
        <x:v>S08|500102561</x:v>
      </x:c>
      <x:c r="B183" s="2" t="str">
        <x:v>S08</x:v>
      </x:c>
      <x:c r="C183" s="2" t="str">
        <x:v>500102561</x:v>
      </x:c>
      <x:c r="D183" s="2" t="str">
        <x:v>U</x:v>
      </x:c>
      <x:c r="E183" s="9"/>
      <x:c r="F183" s="2" t="str">
        <x:f>IF(E183="",D183,IF(E183="U","U",IF(AND(ISNUMBER(E183),E183&gt;=0,E183&lt;=3,INT(E183)=E183),E183,"Invalid")))</x:f>
        <x:v>U</x:v>
      </x:c>
      <x:c r="G183" s="2" t="n">
        <x:f>IF(ISNUMBER(F183),1,0)</x:f>
        <x:v>0</x:v>
      </x:c>
      <x:c r="H183" s="2" t="n">
        <x:f>IF(ISNUMBER(F183),IF(F183&gt;=2,1,0),0)</x:f>
        <x:v>0</x:v>
      </x:c>
      <x:c r="I183" s="11" t="n">
        <x:f>IF(ISNUMBER(F183),2^F183-1,0)</x:f>
        <x:v>0</x:v>
      </x:c>
      <x:c r="J183" s="2" t="str">
        <x:v>Retained original 577</x:v>
      </x:c>
      <x:c r="K183" s="10" t="n">
        <x:v>3000</x:v>
      </x:c>
      <x:c r="L183" s="10"/>
      <x:c r="M183" s="10" t="n">
        <x:v>480</x:v>
      </x:c>
      <x:c r="N183" s="2" t="str">
        <x:v>D14</x:v>
      </x:c>
      <x:c r="O183" s="2" t="str">
        <x:v>apartment</x:v>
      </x:c>
      <x:c r="P183" s="2" t="str">
        <x:v>https://www.propertyguru.com.sg/listing/for-rent-11-lorong-31-geylang-500102561</x:v>
      </x:c>
      <x:c r="Q183" s="12" t="str">
        <x:v>No known hard failure. Cannot verify: reported bedrooms.</x:v>
      </x:c>
      <x:c r="R183" s="13"/>
    </x:row>
    <x:row r="184" ht="24" hidden="0" customHeight="1">
      <x:c r="A184" s="2" t="str">
        <x:v>S08|20243674</x:v>
      </x:c>
      <x:c r="B184" s="2" t="str">
        <x:v>S08</x:v>
      </x:c>
      <x:c r="C184" s="2" t="str">
        <x:v>20243674</x:v>
      </x:c>
      <x:c r="D184" s="2" t="n">
        <x:v>1</x:v>
      </x:c>
      <x:c r="E184" s="9"/>
      <x:c r="F184" s="2" t="n">
        <x:f>IF(E184="",D184,IF(E184="U","U",IF(AND(ISNUMBER(E184),E184&gt;=0,E184&lt;=3,INT(E184)=E184),E184,"Invalid")))</x:f>
        <x:v>1</x:v>
      </x:c>
      <x:c r="G184" s="2" t="n">
        <x:f>IF(ISNUMBER(F184),1,0)</x:f>
        <x:v>1</x:v>
      </x:c>
      <x:c r="H184" s="2" t="n">
        <x:f>IF(ISNUMBER(F184),IF(F184&gt;=2,1,0),0)</x:f>
        <x:v>0</x:v>
      </x:c>
      <x:c r="I184" s="11" t="n">
        <x:f>IF(ISNUMBER(F184),2^F184-1,0)</x:f>
        <x:v>1</x:v>
      </x:c>
      <x:c r="J184" s="2" t="str">
        <x:v>Retained original 577</x:v>
      </x:c>
      <x:c r="K184" s="10" t="n">
        <x:v>3000</x:v>
      </x:c>
      <x:c r="L184" s="10" t="n">
        <x:v>1</x:v>
      </x:c>
      <x:c r="M184" s="10" t="n">
        <x:v>570</x:v>
      </x:c>
      <x:c r="N184" s="2" t="str">
        <x:v>D14</x:v>
      </x:c>
      <x:c r="O184" s="2" t="str">
        <x:v>condominium</x:v>
      </x:c>
      <x:c r="P184" s="2" t="str">
        <x:v>https://www.propertyguru.com.sg/listing/for-rent-levenue-20243674</x:v>
      </x:c>
      <x:c r="Q184" s="12" t="str">
        <x:v>Hard requirements pass. D14, area 570 sqft. Outside both preferred districts; low rent or extra space does not fulfil that primary preference.</x:v>
      </x:c>
      <x:c r="R184" s="13"/>
    </x:row>
    <x:row r="185" ht="24" hidden="0" customHeight="1">
      <x:c r="A185" s="2" t="str">
        <x:v>S08|500257678</x:v>
      </x:c>
      <x:c r="B185" s="2" t="str">
        <x:v>S08</x:v>
      </x:c>
      <x:c r="C185" s="2" t="str">
        <x:v>500257678</x:v>
      </x:c>
      <x:c r="D185" s="2" t="n">
        <x:v>1</x:v>
      </x:c>
      <x:c r="E185" s="9"/>
      <x:c r="F185" s="2" t="n">
        <x:f>IF(E185="",D185,IF(E185="U","U",IF(AND(ISNUMBER(E185),E185&gt;=0,E185&lt;=3,INT(E185)=E185),E185,"Invalid")))</x:f>
        <x:v>1</x:v>
      </x:c>
      <x:c r="G185" s="2" t="n">
        <x:f>IF(ISNUMBER(F185),1,0)</x:f>
        <x:v>1</x:v>
      </x:c>
      <x:c r="H185" s="2" t="n">
        <x:f>IF(ISNUMBER(F185),IF(F185&gt;=2,1,0),0)</x:f>
        <x:v>0</x:v>
      </x:c>
      <x:c r="I185" s="11" t="n">
        <x:f>IF(ISNUMBER(F185),2^F185-1,0)</x:f>
        <x:v>1</x:v>
      </x:c>
      <x:c r="J185" s="2" t="str">
        <x:v>Retained original 577</x:v>
      </x:c>
      <x:c r="K185" s="10" t="n">
        <x:v>1000</x:v>
      </x:c>
      <x:c r="L185" s="10" t="n">
        <x:v>1</x:v>
      </x:c>
      <x:c r="M185" s="10" t="n">
        <x:v>120</x:v>
      </x:c>
      <x:c r="N185" s="2" t="str">
        <x:v>D16</x:v>
      </x:c>
      <x:c r="O185" s="2" t="str">
        <x:v>condominium</x:v>
      </x:c>
      <x:c r="P185" s="2" t="str">
        <x:v>https://www.propertyguru.com.sg/listing/for-rent-costa-del-sol-500257678</x:v>
      </x:c>
      <x:c r="Q185" s="12" t="str">
        <x:v>Hard requirements pass. D16, area 120 sqft. Outside both preferred districts; low rent or extra space does not fulfil that primary preference.</x:v>
      </x:c>
      <x:c r="R185" s="13"/>
    </x:row>
    <x:row r="186" ht="24" hidden="0" customHeight="1">
      <x:c r="A186" s="2" t="str">
        <x:v>S08|500136378</x:v>
      </x:c>
      <x:c r="B186" s="2" t="str">
        <x:v>S08</x:v>
      </x:c>
      <x:c r="C186" s="2" t="str">
        <x:v>500136378</x:v>
      </x:c>
      <x:c r="D186" s="2" t="n">
        <x:v>1</x:v>
      </x:c>
      <x:c r="E186" s="9"/>
      <x:c r="F186" s="2" t="n">
        <x:f>IF(E186="",D186,IF(E186="U","U",IF(AND(ISNUMBER(E186),E186&gt;=0,E186&lt;=3,INT(E186)=E186),E186,"Invalid")))</x:f>
        <x:v>1</x:v>
      </x:c>
      <x:c r="G186" s="2" t="n">
        <x:f>IF(ISNUMBER(F186),1,0)</x:f>
        <x:v>1</x:v>
      </x:c>
      <x:c r="H186" s="2" t="n">
        <x:f>IF(ISNUMBER(F186),IF(F186&gt;=2,1,0),0)</x:f>
        <x:v>0</x:v>
      </x:c>
      <x:c r="I186" s="11" t="n">
        <x:f>IF(ISNUMBER(F186),2^F186-1,0)</x:f>
        <x:v>1</x:v>
      </x:c>
      <x:c r="J186" s="2" t="str">
        <x:v>Retained original 577</x:v>
      </x:c>
      <x:c r="K186" s="10" t="n">
        <x:v>900</x:v>
      </x:c>
      <x:c r="L186" s="10" t="n">
        <x:v>1</x:v>
      </x:c>
      <x:c r="M186" s="10" t="n">
        <x:v>140</x:v>
      </x:c>
      <x:c r="N186" s="2" t="str">
        <x:v>D14</x:v>
      </x:c>
      <x:c r="O186" s="2" t="str">
        <x:v>apartment</x:v>
      </x:c>
      <x:c r="P186" s="2" t="str">
        <x:v>https://www.propertyguru.com.sg/listing/for-rent-angsana-21-500136378</x:v>
      </x:c>
      <x:c r="Q186" s="12" t="str">
        <x:v>Hard requirements pass. D14, area 140 sqft. Outside both preferred districts; low rent or extra space does not fulfil that primary preference.</x:v>
      </x:c>
      <x:c r="R186" s="13"/>
    </x:row>
    <x:row r="187" ht="24" hidden="0" customHeight="1">
      <x:c r="A187" s="2" t="str">
        <x:v>S08|500124231</x:v>
      </x:c>
      <x:c r="B187" s="2" t="str">
        <x:v>S08</x:v>
      </x:c>
      <x:c r="C187" s="2" t="str">
        <x:v>500124231</x:v>
      </x:c>
      <x:c r="D187" s="2" t="n">
        <x:v>1</x:v>
      </x:c>
      <x:c r="E187" s="9"/>
      <x:c r="F187" s="2" t="n">
        <x:f>IF(E187="",D187,IF(E187="U","U",IF(AND(ISNUMBER(E187),E187&gt;=0,E187&lt;=3,INT(E187)=E187),E187,"Invalid")))</x:f>
        <x:v>1</x:v>
      </x:c>
      <x:c r="G187" s="2" t="n">
        <x:f>IF(ISNUMBER(F187),1,0)</x:f>
        <x:v>1</x:v>
      </x:c>
      <x:c r="H187" s="2" t="n">
        <x:f>IF(ISNUMBER(F187),IF(F187&gt;=2,1,0),0)</x:f>
        <x:v>0</x:v>
      </x:c>
      <x:c r="I187" s="11" t="n">
        <x:f>IF(ISNUMBER(F187),2^F187-1,0)</x:f>
        <x:v>1</x:v>
      </x:c>
      <x:c r="J187" s="2" t="str">
        <x:v>Retained original 577</x:v>
      </x:c>
      <x:c r="K187" s="10" t="n">
        <x:v>1950</x:v>
      </x:c>
      <x:c r="L187" s="10" t="n">
        <x:v>1</x:v>
      </x:c>
      <x:c r="M187" s="10" t="n">
        <x:v>200</x:v>
      </x:c>
      <x:c r="N187" s="2" t="str">
        <x:v>D19</x:v>
      </x:c>
      <x:c r="O187" s="2" t="str">
        <x:v>condominium</x:v>
      </x:c>
      <x:c r="P187" s="2" t="str">
        <x:v>https://www.propertyguru.com.sg/listing/for-rent-sunglade-500124231</x:v>
      </x:c>
      <x:c r="Q187" s="12" t="str">
        <x:v>Hard requirements pass. D19, area 200 sqft. Outside both preferred districts; low rent or extra space does not fulfil that primary preference.</x:v>
      </x:c>
      <x:c r="R187" s="13"/>
    </x:row>
    <x:row r="188" ht="24" hidden="0" customHeight="1">
      <x:c r="A188" s="2" t="str">
        <x:v>S08|500262279</x:v>
      </x:c>
      <x:c r="B188" s="2" t="str">
        <x:v>S08</x:v>
      </x:c>
      <x:c r="C188" s="2" t="str">
        <x:v>500262279</x:v>
      </x:c>
      <x:c r="D188" s="2" t="n">
        <x:v>1</x:v>
      </x:c>
      <x:c r="E188" s="9"/>
      <x:c r="F188" s="2" t="n">
        <x:f>IF(E188="",D188,IF(E188="U","U",IF(AND(ISNUMBER(E188),E188&gt;=0,E188&lt;=3,INT(E188)=E188),E188,"Invalid")))</x:f>
        <x:v>1</x:v>
      </x:c>
      <x:c r="G188" s="2" t="n">
        <x:f>IF(ISNUMBER(F188),1,0)</x:f>
        <x:v>1</x:v>
      </x:c>
      <x:c r="H188" s="2" t="n">
        <x:f>IF(ISNUMBER(F188),IF(F188&gt;=2,1,0),0)</x:f>
        <x:v>0</x:v>
      </x:c>
      <x:c r="I188" s="11" t="n">
        <x:f>IF(ISNUMBER(F188),2^F188-1,0)</x:f>
        <x:v>1</x:v>
      </x:c>
      <x:c r="J188" s="2" t="str">
        <x:v>Retained original 577</x:v>
      </x:c>
      <x:c r="K188" s="10" t="n">
        <x:v>2900</x:v>
      </x:c>
      <x:c r="L188" s="10" t="n">
        <x:v>1</x:v>
      </x:c>
      <x:c r="M188" s="10" t="n">
        <x:v>650</x:v>
      </x:c>
      <x:c r="N188" s="2" t="str">
        <x:v>D25</x:v>
      </x:c>
      <x:c r="O188" s="2" t="str">
        <x:v>condominium</x:v>
      </x:c>
      <x:c r="P188" s="2" t="str">
        <x:v>https://www.propertyguru.com.sg/listing/for-rent-parc-rosewood-500262279</x:v>
      </x:c>
      <x:c r="Q188" s="12" t="str">
        <x:v>Hard requirements pass. D25, area 650 sqft. Outside both preferred districts; low rent or extra space does not fulfil that primary preference.</x:v>
      </x:c>
      <x:c r="R188" s="13"/>
    </x:row>
    <x:row r="189" ht="24" hidden="0" customHeight="1">
      <x:c r="A189" s="2" t="str">
        <x:v>S08|20692755</x:v>
      </x:c>
      <x:c r="B189" s="2" t="str">
        <x:v>S08</x:v>
      </x:c>
      <x:c r="C189" s="2" t="str">
        <x:v>20692755</x:v>
      </x:c>
      <x:c r="D189" s="2" t="n">
        <x:v>3</x:v>
      </x:c>
      <x:c r="E189" s="9"/>
      <x:c r="F189" s="2" t="n">
        <x:f>IF(E189="",D189,IF(E189="U","U",IF(AND(ISNUMBER(E189),E189&gt;=0,E189&lt;=3,INT(E189)=E189),E189,"Invalid")))</x:f>
        <x:v>3</x:v>
      </x:c>
      <x:c r="G189" s="2" t="n">
        <x:f>IF(ISNUMBER(F189),1,0)</x:f>
        <x:v>1</x:v>
      </x:c>
      <x:c r="H189" s="2" t="n">
        <x:f>IF(ISNUMBER(F189),IF(F189&gt;=2,1,0),0)</x:f>
        <x:v>1</x:v>
      </x:c>
      <x:c r="I189" s="11" t="n">
        <x:f>IF(ISNUMBER(F189),2^F189-1,0)</x:f>
        <x:v>7</x:v>
      </x:c>
      <x:c r="J189" s="2" t="str">
        <x:v>Retained original 577</x:v>
      </x:c>
      <x:c r="K189" s="10" t="n">
        <x:v>3000</x:v>
      </x:c>
      <x:c r="L189" s="10" t="n">
        <x:v>1</x:v>
      </x:c>
      <x:c r="M189" s="10" t="n">
        <x:v>517</x:v>
      </x:c>
      <x:c r="N189" s="2" t="str">
        <x:v>D03</x:v>
      </x:c>
      <x:c r="O189" s="2" t="str">
        <x:v>condominium</x:v>
      </x:c>
      <x:c r="P189" s="2" t="str">
        <x:v>https://www.propertyguru.com.sg/listing/for-rent-alexis-20692755</x:v>
      </x:c>
      <x:c r="Q189" s="12" t="str">
        <x:v>Hard requirements pass. D03, area 517 sqft. Both the preferred district and the 500-sqft preference are met.</x:v>
      </x:c>
      <x:c r="R189" s="13"/>
    </x:row>
    <x:row r="190" ht="24" hidden="0" customHeight="1">
      <x:c r="A190" s="2" t="str">
        <x:v>S08|24052465</x:v>
      </x:c>
      <x:c r="B190" s="2" t="str">
        <x:v>S08</x:v>
      </x:c>
      <x:c r="C190" s="2" t="str">
        <x:v>24052465</x:v>
      </x:c>
      <x:c r="D190" s="2" t="n">
        <x:v>1</x:v>
      </x:c>
      <x:c r="E190" s="9"/>
      <x:c r="F190" s="2" t="n">
        <x:f>IF(E190="",D190,IF(E190="U","U",IF(AND(ISNUMBER(E190),E190&gt;=0,E190&lt;=3,INT(E190)=E190),E190,"Invalid")))</x:f>
        <x:v>1</x:v>
      </x:c>
      <x:c r="G190" s="2" t="n">
        <x:f>IF(ISNUMBER(F190),1,0)</x:f>
        <x:v>1</x:v>
      </x:c>
      <x:c r="H190" s="2" t="n">
        <x:f>IF(ISNUMBER(F190),IF(F190&gt;=2,1,0),0)</x:f>
        <x:v>0</x:v>
      </x:c>
      <x:c r="I190" s="11" t="n">
        <x:f>IF(ISNUMBER(F190),2^F190-1,0)</x:f>
        <x:v>1</x:v>
      </x:c>
      <x:c r="J190" s="2" t="str">
        <x:v>Retained original 577</x:v>
      </x:c>
      <x:c r="K190" s="10" t="n">
        <x:v>870</x:v>
      </x:c>
      <x:c r="L190" s="10" t="n">
        <x:v>1</x:v>
      </x:c>
      <x:c r="M190" s="10" t="n">
        <x:v>100</x:v>
      </x:c>
      <x:c r="N190" s="2" t="str">
        <x:v>D22</x:v>
      </x:c>
      <x:c r="O190" s="2" t="str">
        <x:v>condominium</x:v>
      </x:c>
      <x:c r="P190" s="2" t="str">
        <x:v>https://www.propertyguru.com.sg/listing/for-rent-lakeville-24052465</x:v>
      </x:c>
      <x:c r="Q190" s="12" t="str">
        <x:v>Hard requirements pass. D22, area 100 sqft. Outside both preferred districts; low rent or extra space does not fulfil that primary preference.</x:v>
      </x:c>
      <x:c r="R190" s="13"/>
    </x:row>
    <x:row r="191" ht="15" hidden="0" customHeight="1">
      <x:c r="A191" s="2" t="str">
        <x:v>S08|500024623</x:v>
      </x:c>
      <x:c r="B191" s="2" t="str">
        <x:v>S08</x:v>
      </x:c>
      <x:c r="C191" s="2" t="str">
        <x:v>500024623</x:v>
      </x:c>
      <x:c r="D191" s="2" t="str">
        <x:v>U</x:v>
      </x:c>
      <x:c r="E191" s="9"/>
      <x:c r="F191" s="2" t="str">
        <x:f>IF(E191="",D191,IF(E191="U","U",IF(AND(ISNUMBER(E191),E191&gt;=0,E191&lt;=3,INT(E191)=E191),E191,"Invalid")))</x:f>
        <x:v>U</x:v>
      </x:c>
      <x:c r="G191" s="2" t="n">
        <x:f>IF(ISNUMBER(F191),1,0)</x:f>
        <x:v>0</x:v>
      </x:c>
      <x:c r="H191" s="2" t="n">
        <x:f>IF(ISNUMBER(F191),IF(F191&gt;=2,1,0),0)</x:f>
        <x:v>0</x:v>
      </x:c>
      <x:c r="I191" s="11" t="n">
        <x:f>IF(ISNUMBER(F191),2^F191-1,0)</x:f>
        <x:v>0</x:v>
      </x:c>
      <x:c r="J191" s="2" t="str">
        <x:v>Retained original 577</x:v>
      </x:c>
      <x:c r="K191" s="10" t="n">
        <x:v>2750</x:v>
      </x:c>
      <x:c r="L191" s="10"/>
      <x:c r="M191" s="10" t="n">
        <x:v>136</x:v>
      </x:c>
      <x:c r="N191" s="2" t="str">
        <x:v>D09</x:v>
      </x:c>
      <x:c r="O191" s="2" t="str">
        <x:v>apartment</x:v>
      </x:c>
      <x:c r="P191" s="2" t="str">
        <x:v>https://www.propertyguru.com.sg/listing/for-rent-reside-336-river-valley-co-living-500024623</x:v>
      </x:c>
      <x:c r="Q191" s="12" t="str">
        <x:v>No known hard failure. Cannot verify: reported bedrooms.</x:v>
      </x:c>
      <x:c r="R191" s="13"/>
    </x:row>
    <x:row r="192" ht="15" hidden="0" customHeight="1">
      <x:c r="A192" s="2" t="str">
        <x:v>S08|500264460</x:v>
      </x:c>
      <x:c r="B192" s="2" t="str">
        <x:v>S08</x:v>
      </x:c>
      <x:c r="C192" s="2" t="str">
        <x:v>500264460</x:v>
      </x:c>
      <x:c r="D192" s="2" t="n">
        <x:v>0</x:v>
      </x:c>
      <x:c r="E192" s="9"/>
      <x:c r="F192" s="2" t="n">
        <x:f>IF(E192="",D192,IF(E192="U","U",IF(AND(ISNUMBER(E192),E192&gt;=0,E192&lt;=3,INT(E192)=E192),E192,"Invalid")))</x:f>
        <x:v>0</x:v>
      </x:c>
      <x:c r="G192" s="2" t="n">
        <x:f>IF(ISNUMBER(F192),1,0)</x:f>
        <x:v>1</x:v>
      </x:c>
      <x:c r="H192" s="2" t="n">
        <x:f>IF(ISNUMBER(F192),IF(F192&gt;=2,1,0),0)</x:f>
        <x:v>0</x:v>
      </x:c>
      <x:c r="I192" s="11" t="n">
        <x:f>IF(ISNUMBER(F192),2^F192-1,0)</x:f>
        <x:v>0</x:v>
      </x:c>
      <x:c r="J192" s="2" t="str">
        <x:v>Retained original 577</x:v>
      </x:c>
      <x:c r="K192" s="10" t="n">
        <x:v>1800</x:v>
      </x:c>
      <x:c r="L192" s="10" t="n">
        <x:v>0</x:v>
      </x:c>
      <x:c r="M192" s="10"/>
      <x:c r="N192" s="2" t="str">
        <x:v>D28</x:v>
      </x:c>
      <x:c r="O192" s="2" t="str">
        <x:v>condominium</x:v>
      </x:c>
      <x:c r="P192" s="2" t="str">
        <x:v>https://www.propertyguru.com.sg/listing/for-rent-rivertrees-residences-500264460</x:v>
      </x:c>
      <x:c r="Q192" s="12" t="str">
        <x:v>Hard failure: Reported bedrooms 0; required = 1.</x:v>
      </x:c>
      <x:c r="R192" s="13"/>
    </x:row>
    <x:row r="193" ht="15" hidden="0" customHeight="1">
      <x:c r="A193" s="2" t="str">
        <x:v>S08|18656603</x:v>
      </x:c>
      <x:c r="B193" s="2" t="str">
        <x:v>S08</x:v>
      </x:c>
      <x:c r="C193" s="2" t="str">
        <x:v>18656603</x:v>
      </x:c>
      <x:c r="D193" s="2" t="n">
        <x:v>0</x:v>
      </x:c>
      <x:c r="E193" s="9"/>
      <x:c r="F193" s="2" t="n">
        <x:f>IF(E193="",D193,IF(E193="U","U",IF(AND(ISNUMBER(E193),E193&gt;=0,E193&lt;=3,INT(E193)=E193),E193,"Invalid")))</x:f>
        <x:v>0</x:v>
      </x:c>
      <x:c r="G193" s="2" t="n">
        <x:f>IF(ISNUMBER(F193),1,0)</x:f>
        <x:v>1</x:v>
      </x:c>
      <x:c r="H193" s="2" t="n">
        <x:f>IF(ISNUMBER(F193),IF(F193&gt;=2,1,0),0)</x:f>
        <x:v>0</x:v>
      </x:c>
      <x:c r="I193" s="11" t="n">
        <x:f>IF(ISNUMBER(F193),2^F193-1,0)</x:f>
        <x:v>0</x:v>
      </x:c>
      <x:c r="J193" s="2" t="str">
        <x:v>Retained original 577</x:v>
      </x:c>
      <x:c r="K193" s="10" t="n">
        <x:v>1350</x:v>
      </x:c>
      <x:c r="L193" s="10" t="n">
        <x:v>1</x:v>
      </x:c>
      <x:c r="M193" s="10" t="n">
        <x:v>150</x:v>
      </x:c>
      <x:c r="N193" s="2" t="str">
        <x:v>D01</x:v>
      </x:c>
      <x:c r="O193" s="2" t="str">
        <x:v>hdb flat</x:v>
      </x:c>
      <x:c r="P193" s="2" t="str">
        <x:v>https://www.propertyguru.com.sg/listing/hdb-for-rent-32-new-market-road-18656603</x:v>
      </x:c>
      <x:c r="Q193" s="12" t="str">
        <x:v>Hard failure: Property type HDB Flat; required in {Apartment, Condominium}.</x:v>
      </x:c>
      <x:c r="R193" s="13"/>
    </x:row>
    <x:row r="194" ht="24" hidden="0" customHeight="1">
      <x:c r="A194" s="2" t="str">
        <x:v>S08|24839318</x:v>
      </x:c>
      <x:c r="B194" s="2" t="str">
        <x:v>S08</x:v>
      </x:c>
      <x:c r="C194" s="2" t="str">
        <x:v>24839318</x:v>
      </x:c>
      <x:c r="D194" s="2" t="n">
        <x:v>2</x:v>
      </x:c>
      <x:c r="E194" s="9"/>
      <x:c r="F194" s="2" t="n">
        <x:f>IF(E194="",D194,IF(E194="U","U",IF(AND(ISNUMBER(E194),E194&gt;=0,E194&lt;=3,INT(E194)=E194),E194,"Invalid")))</x:f>
        <x:v>2</x:v>
      </x:c>
      <x:c r="G194" s="2" t="n">
        <x:f>IF(ISNUMBER(F194),1,0)</x:f>
        <x:v>1</x:v>
      </x:c>
      <x:c r="H194" s="2" t="n">
        <x:f>IF(ISNUMBER(F194),IF(F194&gt;=2,1,0),0)</x:f>
        <x:v>1</x:v>
      </x:c>
      <x:c r="I194" s="11" t="n">
        <x:f>IF(ISNUMBER(F194),2^F194-1,0)</x:f>
        <x:v>3</x:v>
      </x:c>
      <x:c r="J194" s="2" t="str">
        <x:v>Retained original 577</x:v>
      </x:c>
      <x:c r="K194" s="10" t="n">
        <x:v>2500</x:v>
      </x:c>
      <x:c r="L194" s="10" t="n">
        <x:v>1</x:v>
      </x:c>
      <x:c r="M194" s="10" t="n">
        <x:v>150</x:v>
      </x:c>
      <x:c r="N194" s="2" t="str">
        <x:v>D05</x:v>
      </x:c>
      <x:c r="O194" s="2" t="str">
        <x:v>apartment</x:v>
      </x:c>
      <x:c r="P194" s="2" t="str">
        <x:v>https://www.propertyguru.com.sg/listing/for-rent-coliwoo-pasir-panjang-walking-distance-to-nus-24839318</x:v>
      </x:c>
      <x:c r="Q194" s="12" t="str">
        <x:v>Hard requirements pass. D05, area 150 sqft. The preferred district is met; the reported area is below the secondary target.</x:v>
      </x:c>
      <x:c r="R194" s="13"/>
    </x:row>
    <x:row r="195" ht="15" hidden="0" customHeight="1">
      <x:c r="A195" s="2" t="str">
        <x:v>S08|25417680</x:v>
      </x:c>
      <x:c r="B195" s="2" t="str">
        <x:v>S08</x:v>
      </x:c>
      <x:c r="C195" s="2" t="str">
        <x:v>25417680</x:v>
      </x:c>
      <x:c r="D195" s="2" t="n">
        <x:v>0</x:v>
      </x:c>
      <x:c r="E195" s="9"/>
      <x:c r="F195" s="2" t="n">
        <x:f>IF(E195="",D195,IF(E195="U","U",IF(AND(ISNUMBER(E195),E195&gt;=0,E195&lt;=3,INT(E195)=E195),E195,"Invalid")))</x:f>
        <x:v>0</x:v>
      </x:c>
      <x:c r="G195" s="2" t="n">
        <x:f>IF(ISNUMBER(F195),1,0)</x:f>
        <x:v>1</x:v>
      </x:c>
      <x:c r="H195" s="2" t="n">
        <x:f>IF(ISNUMBER(F195),IF(F195&gt;=2,1,0),0)</x:f>
        <x:v>0</x:v>
      </x:c>
      <x:c r="I195" s="11" t="n">
        <x:f>IF(ISNUMBER(F195),2^F195-1,0)</x:f>
        <x:v>0</x:v>
      </x:c>
      <x:c r="J195" s="2" t="str">
        <x:v>Retained original 577</x:v>
      </x:c>
      <x:c r="K195" s="10" t="n">
        <x:v>1000</x:v>
      </x:c>
      <x:c r="L195" s="10" t="n">
        <x:v>0</x:v>
      </x:c>
      <x:c r="M195" s="10"/>
      <x:c r="N195" s="2" t="str">
        <x:v>D16</x:v>
      </x:c>
      <x:c r="O195" s="2" t="str">
        <x:v>condominium</x:v>
      </x:c>
      <x:c r="P195" s="2" t="str">
        <x:v>https://www.propertyguru.com.sg/listing/for-rent-changi-court-25417680</x:v>
      </x:c>
      <x:c r="Q195" s="12" t="str">
        <x:v>Hard failure: Reported bedrooms 0; required = 1.</x:v>
      </x:c>
      <x:c r="R195" s="13"/>
    </x:row>
    <x:row r="196" ht="24" hidden="0" customHeight="1">
      <x:c r="A196" s="2" t="str">
        <x:v>S08|20114703</x:v>
      </x:c>
      <x:c r="B196" s="2" t="str">
        <x:v>S08</x:v>
      </x:c>
      <x:c r="C196" s="2" t="str">
        <x:v>20114703</x:v>
      </x:c>
      <x:c r="D196" s="2" t="n">
        <x:v>1</x:v>
      </x:c>
      <x:c r="E196" s="9"/>
      <x:c r="F196" s="2" t="n">
        <x:f>IF(E196="",D196,IF(E196="U","U",IF(AND(ISNUMBER(E196),E196&gt;=0,E196&lt;=3,INT(E196)=E196),E196,"Invalid")))</x:f>
        <x:v>1</x:v>
      </x:c>
      <x:c r="G196" s="2" t="n">
        <x:f>IF(ISNUMBER(F196),1,0)</x:f>
        <x:v>1</x:v>
      </x:c>
      <x:c r="H196" s="2" t="n">
        <x:f>IF(ISNUMBER(F196),IF(F196&gt;=2,1,0),0)</x:f>
        <x:v>0</x:v>
      </x:c>
      <x:c r="I196" s="11" t="n">
        <x:f>IF(ISNUMBER(F196),2^F196-1,0)</x:f>
        <x:v>1</x:v>
      </x:c>
      <x:c r="J196" s="2" t="str">
        <x:v>Retained original 577</x:v>
      </x:c>
      <x:c r="K196" s="10" t="n">
        <x:v>3000</x:v>
      </x:c>
      <x:c r="L196" s="10" t="n">
        <x:v>1</x:v>
      </x:c>
      <x:c r="M196" s="10" t="n">
        <x:v>800</x:v>
      </x:c>
      <x:c r="N196" s="2" t="str">
        <x:v>D21</x:v>
      </x:c>
      <x:c r="O196" s="2" t="str">
        <x:v>condominium</x:v>
      </x:c>
      <x:c r="P196" s="2" t="str">
        <x:v>https://www.propertyguru.com.sg/listing/for-rent-hillview-green-20114703</x:v>
      </x:c>
      <x:c r="Q196" s="12" t="str">
        <x:v>Hard requirements pass. D21, area 800 sqft. Outside both preferred districts; low rent or extra space does not fulfil that primary preference.</x:v>
      </x:c>
      <x:c r="R196" s="13"/>
    </x:row>
    <x:row r="197" ht="15" hidden="0" customHeight="1">
      <x:c r="A197" s="2" t="str">
        <x:v>S08|500064269</x:v>
      </x:c>
      <x:c r="B197" s="2" t="str">
        <x:v>S08</x:v>
      </x:c>
      <x:c r="C197" s="2" t="str">
        <x:v>500064269</x:v>
      </x:c>
      <x:c r="D197" s="2" t="n">
        <x:v>0</x:v>
      </x:c>
      <x:c r="E197" s="9"/>
      <x:c r="F197" s="2" t="n">
        <x:f>IF(E197="",D197,IF(E197="U","U",IF(AND(ISNUMBER(E197),E197&gt;=0,E197&lt;=3,INT(E197)=E197),E197,"Invalid")))</x:f>
        <x:v>0</x:v>
      </x:c>
      <x:c r="G197" s="2" t="n">
        <x:f>IF(ISNUMBER(F197),1,0)</x:f>
        <x:v>1</x:v>
      </x:c>
      <x:c r="H197" s="2" t="n">
        <x:f>IF(ISNUMBER(F197),IF(F197&gt;=2,1,0),0)</x:f>
        <x:v>0</x:v>
      </x:c>
      <x:c r="I197" s="11" t="n">
        <x:f>IF(ISNUMBER(F197),2^F197-1,0)</x:f>
        <x:v>0</x:v>
      </x:c>
      <x:c r="J197" s="2" t="str">
        <x:v>Retained original 577</x:v>
      </x:c>
      <x:c r="K197" s="10" t="n">
        <x:v>3050</x:v>
      </x:c>
      <x:c r="L197" s="10" t="n">
        <x:v>1</x:v>
      </x:c>
      <x:c r="M197" s="10" t="n">
        <x:v>635</x:v>
      </x:c>
      <x:c r="N197" s="2" t="str">
        <x:v>D26</x:v>
      </x:c>
      <x:c r="O197" s="2" t="str">
        <x:v>condominium</x:v>
      </x:c>
      <x:c r="P197" s="2" t="str">
        <x:v>https://www.propertyguru.com.sg/listing/for-rent-meadows-peirce-500064269</x:v>
      </x:c>
      <x:c r="Q197" s="12" t="str">
        <x:v>Hard failure: Rent (SGD/month) 3,050; required &lt;= 3,000.</x:v>
      </x:c>
      <x:c r="R197" s="13"/>
    </x:row>
    <x:row r="198" ht="24" hidden="0" customHeight="1">
      <x:c r="A198" s="2" t="str">
        <x:v>S08|500242272</x:v>
      </x:c>
      <x:c r="B198" s="2" t="str">
        <x:v>S08</x:v>
      </x:c>
      <x:c r="C198" s="2" t="str">
        <x:v>500242272</x:v>
      </x:c>
      <x:c r="D198" s="2" t="n">
        <x:v>1</x:v>
      </x:c>
      <x:c r="E198" s="9"/>
      <x:c r="F198" s="2" t="n">
        <x:f>IF(E198="",D198,IF(E198="U","U",IF(AND(ISNUMBER(E198),E198&gt;=0,E198&lt;=3,INT(E198)=E198),E198,"Invalid")))</x:f>
        <x:v>1</x:v>
      </x:c>
      <x:c r="G198" s="2" t="n">
        <x:f>IF(ISNUMBER(F198),1,0)</x:f>
        <x:v>1</x:v>
      </x:c>
      <x:c r="H198" s="2" t="n">
        <x:f>IF(ISNUMBER(F198),IF(F198&gt;=2,1,0),0)</x:f>
        <x:v>0</x:v>
      </x:c>
      <x:c r="I198" s="11" t="n">
        <x:f>IF(ISNUMBER(F198),2^F198-1,0)</x:f>
        <x:v>1</x:v>
      </x:c>
      <x:c r="J198" s="2" t="str">
        <x:v>Retained original 577</x:v>
      </x:c>
      <x:c r="K198" s="10" t="n">
        <x:v>1150</x:v>
      </x:c>
      <x:c r="L198" s="10" t="n">
        <x:v>1</x:v>
      </x:c>
      <x:c r="M198" s="10" t="n">
        <x:v>120</x:v>
      </x:c>
      <x:c r="N198" s="2" t="str">
        <x:v>D27</x:v>
      </x:c>
      <x:c r="O198" s="2" t="str">
        <x:v>condominium</x:v>
      </x:c>
      <x:c r="P198" s="2" t="str">
        <x:v>https://www.propertyguru.com.sg/listing/for-rent-orchid-park-condominium-500242272</x:v>
      </x:c>
      <x:c r="Q198" s="12" t="str">
        <x:v>Hard requirements pass. D27, area 120 sqft. Outside both preferred districts; low rent or extra space does not fulfil that primary preference.</x:v>
      </x:c>
      <x:c r="R198" s="13"/>
    </x:row>
    <x:row r="199" ht="24" hidden="0" customHeight="1">
      <x:c r="A199" s="2" t="str">
        <x:v>S08|60008774</x:v>
      </x:c>
      <x:c r="B199" s="2" t="str">
        <x:v>S08</x:v>
      </x:c>
      <x:c r="C199" s="2" t="str">
        <x:v>60008774</x:v>
      </x:c>
      <x:c r="D199" s="2" t="n">
        <x:v>2</x:v>
      </x:c>
      <x:c r="E199" s="9"/>
      <x:c r="F199" s="2" t="n">
        <x:f>IF(E199="",D199,IF(E199="U","U",IF(AND(ISNUMBER(E199),E199&gt;=0,E199&lt;=3,INT(E199)=E199),E199,"Invalid")))</x:f>
        <x:v>2</x:v>
      </x:c>
      <x:c r="G199" s="2" t="n">
        <x:f>IF(ISNUMBER(F199),1,0)</x:f>
        <x:v>1</x:v>
      </x:c>
      <x:c r="H199" s="2" t="n">
        <x:f>IF(ISNUMBER(F199),IF(F199&gt;=2,1,0),0)</x:f>
        <x:v>1</x:v>
      </x:c>
      <x:c r="I199" s="11" t="n">
        <x:f>IF(ISNUMBER(F199),2^F199-1,0)</x:f>
        <x:v>3</x:v>
      </x:c>
      <x:c r="J199" s="2" t="str">
        <x:v>Retained original 577</x:v>
      </x:c>
      <x:c r="K199" s="10" t="n">
        <x:v>2600</x:v>
      </x:c>
      <x:c r="L199" s="10" t="n">
        <x:v>1</x:v>
      </x:c>
      <x:c r="M199" s="10" t="n">
        <x:v>250</x:v>
      </x:c>
      <x:c r="N199" s="2" t="str">
        <x:v>D05</x:v>
      </x:c>
      <x:c r="O199" s="2" t="str">
        <x:v>apartment</x:v>
      </x:c>
      <x:c r="P199" s="2" t="str">
        <x:v>https://www.propertyguru.com.sg/listing/for-rent-whitehaven-60008774</x:v>
      </x:c>
      <x:c r="Q199" s="12" t="str">
        <x:v>Hard requirements pass. D05, area 250 sqft. The preferred district is met; the reported area is below the secondary target.</x:v>
      </x:c>
      <x:c r="R199" s="13"/>
    </x:row>
    <x:row r="200" ht="24" hidden="0" customHeight="1">
      <x:c r="A200" s="2" t="str">
        <x:v>S08|60107236</x:v>
      </x:c>
      <x:c r="B200" s="2" t="str">
        <x:v>S08</x:v>
      </x:c>
      <x:c r="C200" s="2" t="str">
        <x:v>60107236</x:v>
      </x:c>
      <x:c r="D200" s="2" t="n">
        <x:v>1</x:v>
      </x:c>
      <x:c r="E200" s="9"/>
      <x:c r="F200" s="2" t="n">
        <x:f>IF(E200="",D200,IF(E200="U","U",IF(AND(ISNUMBER(E200),E200&gt;=0,E200&lt;=3,INT(E200)=E200),E200,"Invalid")))</x:f>
        <x:v>1</x:v>
      </x:c>
      <x:c r="G200" s="2" t="n">
        <x:f>IF(ISNUMBER(F200),1,0)</x:f>
        <x:v>1</x:v>
      </x:c>
      <x:c r="H200" s="2" t="n">
        <x:f>IF(ISNUMBER(F200),IF(F200&gt;=2,1,0),0)</x:f>
        <x:v>0</x:v>
      </x:c>
      <x:c r="I200" s="11" t="n">
        <x:f>IF(ISNUMBER(F200),2^F200-1,0)</x:f>
        <x:v>1</x:v>
      </x:c>
      <x:c r="J200" s="2" t="str">
        <x:v>Retained original 577</x:v>
      </x:c>
      <x:c r="K200" s="10" t="n">
        <x:v>750</x:v>
      </x:c>
      <x:c r="L200" s="10" t="n">
        <x:v>1</x:v>
      </x:c>
      <x:c r="M200" s="10" t="n">
        <x:v>100</x:v>
      </x:c>
      <x:c r="N200" s="2" t="str">
        <x:v>D19</x:v>
      </x:c>
      <x:c r="O200" s="2" t="str">
        <x:v>condominium</x:v>
      </x:c>
      <x:c r="P200" s="2" t="str">
        <x:v>https://www.propertyguru.com.sg/listing/for-rent-riversails-60107236</x:v>
      </x:c>
      <x:c r="Q200" s="12" t="str">
        <x:v>Hard requirements pass. D19, area 100 sqft. Outside both preferred districts; low rent or extra space does not fulfil that primary preference.</x:v>
      </x:c>
      <x:c r="R200" s="13"/>
    </x:row>
    <x:row r="201" ht="15" hidden="0" customHeight="1">
      <x:c r="A201" s="2" t="str">
        <x:v>S08|500262835</x:v>
      </x:c>
      <x:c r="B201" s="2" t="str">
        <x:v>S08</x:v>
      </x:c>
      <x:c r="C201" s="2" t="str">
        <x:v>500262835</x:v>
      </x:c>
      <x:c r="D201" s="2" t="str">
        <x:v>U</x:v>
      </x:c>
      <x:c r="E201" s="9"/>
      <x:c r="F201" s="2" t="str">
        <x:f>IF(E201="",D201,IF(E201="U","U",IF(AND(ISNUMBER(E201),E201&gt;=0,E201&lt;=3,INT(E201)=E201),E201,"Invalid")))</x:f>
        <x:v>U</x:v>
      </x:c>
      <x:c r="G201" s="2" t="n">
        <x:f>IF(ISNUMBER(F201),1,0)</x:f>
        <x:v>0</x:v>
      </x:c>
      <x:c r="H201" s="2" t="n">
        <x:f>IF(ISNUMBER(F201),IF(F201&gt;=2,1,0),0)</x:f>
        <x:v>0</x:v>
      </x:c>
      <x:c r="I201" s="11" t="n">
        <x:f>IF(ISNUMBER(F201),2^F201-1,0)</x:f>
        <x:v>0</x:v>
      </x:c>
      <x:c r="J201" s="2" t="str">
        <x:v>Retained original 577</x:v>
      </x:c>
      <x:c r="K201" s="10" t="n">
        <x:v>2900</x:v>
      </x:c>
      <x:c r="L201" s="10"/>
      <x:c r="M201" s="10" t="n">
        <x:v>250</x:v>
      </x:c>
      <x:c r="N201" s="2" t="str">
        <x:v>D15</x:v>
      </x:c>
      <x:c r="O201" s="2" t="str">
        <x:v>condominium</x:v>
      </x:c>
      <x:c r="P201" s="2" t="str">
        <x:v>https://www.propertyguru.com.sg/listing/for-rent-grand-dunman-500262835</x:v>
      </x:c>
      <x:c r="Q201" s="12" t="str">
        <x:v>No known hard failure. Cannot verify: reported bedrooms.</x:v>
      </x:c>
      <x:c r="R201" s="13"/>
    </x:row>
    <x:row r="202" ht="15" hidden="0" customHeight="1">
      <x:c r="A202" s="2" t="str">
        <x:v>S08|25301156</x:v>
      </x:c>
      <x:c r="B202" s="2" t="str">
        <x:v>S08</x:v>
      </x:c>
      <x:c r="C202" s="2" t="str">
        <x:v>25301156</x:v>
      </x:c>
      <x:c r="D202" s="2" t="n">
        <x:v>0</x:v>
      </x:c>
      <x:c r="E202" s="9"/>
      <x:c r="F202" s="2" t="n">
        <x:f>IF(E202="",D202,IF(E202="U","U",IF(AND(ISNUMBER(E202),E202&gt;=0,E202&lt;=3,INT(E202)=E202),E202,"Invalid")))</x:f>
        <x:v>0</x:v>
      </x:c>
      <x:c r="G202" s="2" t="n">
        <x:f>IF(ISNUMBER(F202),1,0)</x:f>
        <x:v>1</x:v>
      </x:c>
      <x:c r="H202" s="2" t="n">
        <x:f>IF(ISNUMBER(F202),IF(F202&gt;=2,1,0),0)</x:f>
        <x:v>0</x:v>
      </x:c>
      <x:c r="I202" s="11" t="n">
        <x:f>IF(ISNUMBER(F202),2^F202-1,0)</x:f>
        <x:v>0</x:v>
      </x:c>
      <x:c r="J202" s="2" t="str">
        <x:v>Retained original 577</x:v>
      </x:c>
      <x:c r="K202" s="10" t="n">
        <x:v>3050</x:v>
      </x:c>
      <x:c r="L202" s="10" t="n">
        <x:v>1</x:v>
      </x:c>
      <x:c r="M202" s="10" t="n">
        <x:v>495</x:v>
      </x:c>
      <x:c r="N202" s="2" t="str">
        <x:v>D18</x:v>
      </x:c>
      <x:c r="O202" s="2" t="str">
        <x:v>condominium</x:v>
      </x:c>
      <x:c r="P202" s="2" t="str">
        <x:v>https://www.propertyguru.com.sg/listing/for-rent-the-alps-residences-25301156</x:v>
      </x:c>
      <x:c r="Q202" s="12" t="str">
        <x:v>Hard failure: Rent (SGD/month) 3,050; required &lt;= 3,000.</x:v>
      </x:c>
      <x:c r="R202" s="13"/>
    </x:row>
    <x:row r="203" ht="24" hidden="0" customHeight="1">
      <x:c r="A203" s="2" t="str">
        <x:v>S08|500257694</x:v>
      </x:c>
      <x:c r="B203" s="2" t="str">
        <x:v>S08</x:v>
      </x:c>
      <x:c r="C203" s="2" t="str">
        <x:v>500257694</x:v>
      </x:c>
      <x:c r="D203" s="2" t="n">
        <x:v>1</x:v>
      </x:c>
      <x:c r="E203" s="9"/>
      <x:c r="F203" s="2" t="n">
        <x:f>IF(E203="",D203,IF(E203="U","U",IF(AND(ISNUMBER(E203),E203&gt;=0,E203&lt;=3,INT(E203)=E203),E203,"Invalid")))</x:f>
        <x:v>1</x:v>
      </x:c>
      <x:c r="G203" s="2" t="n">
        <x:f>IF(ISNUMBER(F203),1,0)</x:f>
        <x:v>1</x:v>
      </x:c>
      <x:c r="H203" s="2" t="n">
        <x:f>IF(ISNUMBER(F203),IF(F203&gt;=2,1,0),0)</x:f>
        <x:v>0</x:v>
      </x:c>
      <x:c r="I203" s="11" t="n">
        <x:f>IF(ISNUMBER(F203),2^F203-1,0)</x:f>
        <x:v>1</x:v>
      </x:c>
      <x:c r="J203" s="2" t="str">
        <x:v>Retained original 577</x:v>
      </x:c>
      <x:c r="K203" s="10" t="n">
        <x:v>900</x:v>
      </x:c>
      <x:c r="L203" s="10" t="n">
        <x:v>1</x:v>
      </x:c>
      <x:c r="M203" s="10" t="n">
        <x:v>100</x:v>
      </x:c>
      <x:c r="N203" s="2" t="str">
        <x:v>D16</x:v>
      </x:c>
      <x:c r="O203" s="2" t="str">
        <x:v>condominium</x:v>
      </x:c>
      <x:c r="P203" s="2" t="str">
        <x:v>https://www.propertyguru.com.sg/listing/for-rent-costa-del-sol-500257694</x:v>
      </x:c>
      <x:c r="Q203" s="12" t="str">
        <x:v>Hard requirements pass. D16, area 100 sqft. Outside both preferred districts; low rent or extra space does not fulfil that primary preference.</x:v>
      </x:c>
      <x:c r="R203" s="13"/>
    </x:row>
    <x:row r="204" ht="24" hidden="0" customHeight="1">
      <x:c r="A204" s="2" t="str">
        <x:v>S08|500279601</x:v>
      </x:c>
      <x:c r="B204" s="2" t="str">
        <x:v>S08</x:v>
      </x:c>
      <x:c r="C204" s="2" t="str">
        <x:v>500279601</x:v>
      </x:c>
      <x:c r="D204" s="2" t="n">
        <x:v>2</x:v>
      </x:c>
      <x:c r="E204" s="9"/>
      <x:c r="F204" s="2" t="n">
        <x:f>IF(E204="",D204,IF(E204="U","U",IF(AND(ISNUMBER(E204),E204&gt;=0,E204&lt;=3,INT(E204)=E204),E204,"Invalid")))</x:f>
        <x:v>2</x:v>
      </x:c>
      <x:c r="G204" s="2" t="n">
        <x:f>IF(ISNUMBER(F204),1,0)</x:f>
        <x:v>1</x:v>
      </x:c>
      <x:c r="H204" s="2" t="n">
        <x:f>IF(ISNUMBER(F204),IF(F204&gt;=2,1,0),0)</x:f>
        <x:v>1</x:v>
      </x:c>
      <x:c r="I204" s="11" t="n">
        <x:f>IF(ISNUMBER(F204),2^F204-1,0)</x:f>
        <x:v>3</x:v>
      </x:c>
      <x:c r="J204" s="2" t="str">
        <x:v>Retained original 577</x:v>
      </x:c>
      <x:c r="K204" s="10" t="n">
        <x:v>1749</x:v>
      </x:c>
      <x:c r="L204" s="10" t="n">
        <x:v>1</x:v>
      </x:c>
      <x:c r="M204" s="10" t="n">
        <x:v>190</x:v>
      </x:c>
      <x:c r="N204" s="2" t="str">
        <x:v>D05</x:v>
      </x:c>
      <x:c r="O204" s="2" t="str">
        <x:v>condominium</x:v>
      </x:c>
      <x:c r="P204" s="2" t="str">
        <x:v>https://www.propertyguru.com.sg/listing/for-rent-normanton-park-500279601</x:v>
      </x:c>
      <x:c r="Q204" s="12" t="str">
        <x:v>Hard requirements pass. D05, area 190 sqft. The preferred district is met; the reported area is below the secondary target.</x:v>
      </x:c>
      <x:c r="R204" s="13"/>
    </x:row>
    <x:row r="205" ht="24" hidden="0" customHeight="1">
      <x:c r="A205" s="2" t="str">
        <x:v>S08|24158218</x:v>
      </x:c>
      <x:c r="B205" s="2" t="str">
        <x:v>S08</x:v>
      </x:c>
      <x:c r="C205" s="2" t="str">
        <x:v>24158218</x:v>
      </x:c>
      <x:c r="D205" s="2" t="n">
        <x:v>2</x:v>
      </x:c>
      <x:c r="E205" s="9"/>
      <x:c r="F205" s="2" t="n">
        <x:f>IF(E205="",D205,IF(E205="U","U",IF(AND(ISNUMBER(E205),E205&gt;=0,E205&lt;=3,INT(E205)=E205),E205,"Invalid")))</x:f>
        <x:v>2</x:v>
      </x:c>
      <x:c r="G205" s="2" t="n">
        <x:f>IF(ISNUMBER(F205),1,0)</x:f>
        <x:v>1</x:v>
      </x:c>
      <x:c r="H205" s="2" t="n">
        <x:f>IF(ISNUMBER(F205),IF(F205&gt;=2,1,0),0)</x:f>
        <x:v>1</x:v>
      </x:c>
      <x:c r="I205" s="11" t="n">
        <x:f>IF(ISNUMBER(F205),2^F205-1,0)</x:f>
        <x:v>3</x:v>
      </x:c>
      <x:c r="J205" s="2" t="str">
        <x:v>Retained original 577</x:v>
      </x:c>
      <x:c r="K205" s="10" t="n">
        <x:v>1270</x:v>
      </x:c>
      <x:c r="L205" s="10" t="n">
        <x:v>1</x:v>
      </x:c>
      <x:c r="M205" s="10" t="n">
        <x:v>105</x:v>
      </x:c>
      <x:c r="N205" s="2" t="str">
        <x:v>D03</x:v>
      </x:c>
      <x:c r="O205" s="2" t="str">
        <x:v>condominium</x:v>
      </x:c>
      <x:c r="P205" s="2" t="str">
        <x:v>https://www.propertyguru.com.sg/listing/for-rent-emerald-park-24158218</x:v>
      </x:c>
      <x:c r="Q205" s="12" t="str">
        <x:v>Hard requirements pass. D03, area 105 sqft. The preferred district is met; the reported area is below the secondary target.</x:v>
      </x:c>
      <x:c r="R205" s="13"/>
    </x:row>
    <x:row r="206" ht="24" hidden="0" customHeight="1">
      <x:c r="A206" s="2" t="str">
        <x:v>S09|25292812</x:v>
      </x:c>
      <x:c r="B206" s="2" t="str">
        <x:v>S09</x:v>
      </x:c>
      <x:c r="C206" s="2" t="str">
        <x:v>25292812</x:v>
      </x:c>
      <x:c r="D206" s="2" t="n">
        <x:v>1</x:v>
      </x:c>
      <x:c r="E206" s="9"/>
      <x:c r="F206" s="2" t="n">
        <x:f>IF(E206="",D206,IF(E206="U","U",IF(AND(ISNUMBER(E206),E206&gt;=0,E206&lt;=3,INT(E206)=E206),E206,"Invalid")))</x:f>
        <x:v>1</x:v>
      </x:c>
      <x:c r="G206" s="2" t="n">
        <x:f>IF(ISNUMBER(F206),1,0)</x:f>
        <x:v>1</x:v>
      </x:c>
      <x:c r="H206" s="2" t="n">
        <x:f>IF(ISNUMBER(F206),IF(F206&gt;=2,1,0),0)</x:f>
        <x:v>0</x:v>
      </x:c>
      <x:c r="I206" s="11" t="n">
        <x:f>IF(ISNUMBER(F206),2^F206-1,0)</x:f>
        <x:v>1</x:v>
      </x:c>
      <x:c r="J206" s="2" t="str">
        <x:v>Retained original 577</x:v>
      </x:c>
      <x:c r="K206" s="10" t="n">
        <x:v>4000</x:v>
      </x:c>
      <x:c r="L206" s="10" t="n">
        <x:v>4</x:v>
      </x:c>
      <x:c r="M206" s="10" t="n">
        <x:v>1335</x:v>
      </x:c>
      <x:c r="N206" s="2" t="str">
        <x:v>D16</x:v>
      </x:c>
      <x:c r="O206" s="2" t="str">
        <x:v>hdb flat</x:v>
      </x:c>
      <x:c r="P206" s="2" t="str">
        <x:v>https://www.propertyguru.com.sg/listing/hdb-for-rent-94e-bedok-north-avenue-4-25292812</x:v>
      </x:c>
      <x:c r="Q206" s="12" t="str">
        <x:v>Hard requirements pass. D16, SGD 4,000/month. The mandatory size passes, but the primary D18 preference is unmet.</x:v>
      </x:c>
      <x:c r="R206" s="13"/>
    </x:row>
    <x:row r="207" ht="24" hidden="0" customHeight="1">
      <x:c r="A207" s="2" t="str">
        <x:v>S09|60060068</x:v>
      </x:c>
      <x:c r="B207" s="2" t="str">
        <x:v>S09</x:v>
      </x:c>
      <x:c r="C207" s="2" t="str">
        <x:v>60060068</x:v>
      </x:c>
      <x:c r="D207" s="2" t="n">
        <x:v>2</x:v>
      </x:c>
      <x:c r="E207" s="9"/>
      <x:c r="F207" s="2" t="n">
        <x:f>IF(E207="",D207,IF(E207="U","U",IF(AND(ISNUMBER(E207),E207&gt;=0,E207&lt;=3,INT(E207)=E207),E207,"Invalid")))</x:f>
        <x:v>2</x:v>
      </x:c>
      <x:c r="G207" s="2" t="n">
        <x:f>IF(ISNUMBER(F207),1,0)</x:f>
        <x:v>1</x:v>
      </x:c>
      <x:c r="H207" s="2" t="n">
        <x:f>IF(ISNUMBER(F207),IF(F207&gt;=2,1,0),0)</x:f>
        <x:v>1</x:v>
      </x:c>
      <x:c r="I207" s="11" t="n">
        <x:f>IF(ISNUMBER(F207),2^F207-1,0)</x:f>
        <x:v>3</x:v>
      </x:c>
      <x:c r="J207" s="2" t="str">
        <x:v>Retained original 577</x:v>
      </x:c>
      <x:c r="K207" s="10" t="n">
        <x:v>4200</x:v>
      </x:c>
      <x:c r="L207" s="10" t="n">
        <x:v>3</x:v>
      </x:c>
      <x:c r="M207" s="10" t="n">
        <x:v>1184</x:v>
      </x:c>
      <x:c r="N207" s="2" t="str">
        <x:v>D18</x:v>
      </x:c>
      <x:c r="O207" s="2" t="str">
        <x:v>condominium</x:v>
      </x:c>
      <x:c r="P207" s="2" t="str">
        <x:v>https://www.propertyguru.com.sg/listing/for-rent-the-esparis-60060068</x:v>
      </x:c>
      <x:c r="Q207" s="12" t="str">
        <x:v>Hard requirements pass. D18, SGD 4,200/month. D18 is met, with a rent trade-off against cheaper D18 alternatives.</x:v>
      </x:c>
      <x:c r="R207" s="13"/>
    </x:row>
    <x:row r="208" ht="24" hidden="0" customHeight="1">
      <x:c r="A208" s="2" t="str">
        <x:v>S09|23399659</x:v>
      </x:c>
      <x:c r="B208" s="2" t="str">
        <x:v>S09</x:v>
      </x:c>
      <x:c r="C208" s="2" t="str">
        <x:v>23399659</x:v>
      </x:c>
      <x:c r="D208" s="2" t="n">
        <x:v>1</x:v>
      </x:c>
      <x:c r="E208" s="9"/>
      <x:c r="F208" s="2" t="n">
        <x:f>IF(E208="",D208,IF(E208="U","U",IF(AND(ISNUMBER(E208),E208&gt;=0,E208&lt;=3,INT(E208)=E208),E208,"Invalid")))</x:f>
        <x:v>1</x:v>
      </x:c>
      <x:c r="G208" s="2" t="n">
        <x:f>IF(ISNUMBER(F208),1,0)</x:f>
        <x:v>1</x:v>
      </x:c>
      <x:c r="H208" s="2" t="n">
        <x:f>IF(ISNUMBER(F208),IF(F208&gt;=2,1,0),0)</x:f>
        <x:v>0</x:v>
      </x:c>
      <x:c r="I208" s="11" t="n">
        <x:f>IF(ISNUMBER(F208),2^F208-1,0)</x:f>
        <x:v>1</x:v>
      </x:c>
      <x:c r="J208" s="2" t="str">
        <x:v>Retained original 577</x:v>
      </x:c>
      <x:c r="K208" s="10" t="n">
        <x:v>3800</x:v>
      </x:c>
      <x:c r="L208" s="10" t="n">
        <x:v>3</x:v>
      </x:c>
      <x:c r="M208" s="10" t="n">
        <x:v>1421</x:v>
      </x:c>
      <x:c r="N208" s="2" t="str">
        <x:v>D16</x:v>
      </x:c>
      <x:c r="O208" s="2" t="str">
        <x:v>hdb flat</x:v>
      </x:c>
      <x:c r="P208" s="2" t="str">
        <x:v>https://www.propertyguru.com.sg/listing/hdb-for-rent-94d-bedok-north-avenue-4-23399659</x:v>
      </x:c>
      <x:c r="Q208" s="12" t="str">
        <x:v>Hard requirements pass. D16, SGD 3,800/month. The mandatory size passes, but the primary D18 preference is unmet.</x:v>
      </x:c>
      <x:c r="R208" s="13"/>
    </x:row>
    <x:row r="209" ht="24" hidden="0" customHeight="1">
      <x:c r="A209" s="2" t="str">
        <x:v>S09|25283036</x:v>
      </x:c>
      <x:c r="B209" s="2" t="str">
        <x:v>S09</x:v>
      </x:c>
      <x:c r="C209" s="2" t="str">
        <x:v>25283036</x:v>
      </x:c>
      <x:c r="D209" s="2" t="n">
        <x:v>2</x:v>
      </x:c>
      <x:c r="E209" s="9"/>
      <x:c r="F209" s="2" t="n">
        <x:f>IF(E209="",D209,IF(E209="U","U",IF(AND(ISNUMBER(E209),E209&gt;=0,E209&lt;=3,INT(E209)=E209),E209,"Invalid")))</x:f>
        <x:v>2</x:v>
      </x:c>
      <x:c r="G209" s="2" t="n">
        <x:f>IF(ISNUMBER(F209),1,0)</x:f>
        <x:v>1</x:v>
      </x:c>
      <x:c r="H209" s="2" t="n">
        <x:f>IF(ISNUMBER(F209),IF(F209&gt;=2,1,0),0)</x:f>
        <x:v>1</x:v>
      </x:c>
      <x:c r="I209" s="11" t="n">
        <x:f>IF(ISNUMBER(F209),2^F209-1,0)</x:f>
        <x:v>3</x:v>
      </x:c>
      <x:c r="J209" s="2" t="str">
        <x:v>Retained original 577</x:v>
      </x:c>
      <x:c r="K209" s="10" t="n">
        <x:v>3900</x:v>
      </x:c>
      <x:c r="L209" s="10" t="n">
        <x:v>4</x:v>
      </x:c>
      <x:c r="M209" s="10" t="n">
        <x:v>1313</x:v>
      </x:c>
      <x:c r="N209" s="2" t="str">
        <x:v>D18</x:v>
      </x:c>
      <x:c r="O209" s="2" t="str">
        <x:v>hdb flat</x:v>
      </x:c>
      <x:c r="P209" s="2" t="str">
        <x:v>https://www.propertyguru.com.sg/listing/hdb-for-rent-888-tampines-street-81-25283036</x:v>
      </x:c>
      <x:c r="Q209" s="12" t="str">
        <x:v>Hard requirements pass. D18, SGD 3,900/month. D18 is met, with a rent trade-off against cheaper D18 alternatives.</x:v>
      </x:c>
      <x:c r="R209" s="13"/>
    </x:row>
    <x:row r="210" ht="24" hidden="0" customHeight="1">
      <x:c r="A210" s="2" t="str">
        <x:v>S09|500238933</x:v>
      </x:c>
      <x:c r="B210" s="2" t="str">
        <x:v>S09</x:v>
      </x:c>
      <x:c r="C210" s="2" t="str">
        <x:v>500238933</x:v>
      </x:c>
      <x:c r="D210" s="2" t="n">
        <x:v>1</x:v>
      </x:c>
      <x:c r="E210" s="9"/>
      <x:c r="F210" s="2" t="n">
        <x:f>IF(E210="",D210,IF(E210="U","U",IF(AND(ISNUMBER(E210),E210&gt;=0,E210&lt;=3,INT(E210)=E210),E210,"Invalid")))</x:f>
        <x:v>1</x:v>
      </x:c>
      <x:c r="G210" s="2" t="n">
        <x:f>IF(ISNUMBER(F210),1,0)</x:f>
        <x:v>1</x:v>
      </x:c>
      <x:c r="H210" s="2" t="n">
        <x:f>IF(ISNUMBER(F210),IF(F210&gt;=2,1,0),0)</x:f>
        <x:v>0</x:v>
      </x:c>
      <x:c r="I210" s="11" t="n">
        <x:f>IF(ISNUMBER(F210),2^F210-1,0)</x:f>
        <x:v>1</x:v>
      </x:c>
      <x:c r="J210" s="2" t="str">
        <x:v>Retained original 577</x:v>
      </x:c>
      <x:c r="K210" s="10" t="n">
        <x:v>4300</x:v>
      </x:c>
      <x:c r="L210" s="10" t="n">
        <x:v>4</x:v>
      </x:c>
      <x:c r="M210" s="10" t="n">
        <x:v>1302</x:v>
      </x:c>
      <x:c r="N210" s="2" t="str">
        <x:v>D23</x:v>
      </x:c>
      <x:c r="O210" s="2" t="str">
        <x:v>hdb flat</x:v>
      </x:c>
      <x:c r="P210" s="2" t="str">
        <x:v>https://www.propertyguru.com.sg/listing/hdb-for-rent-446-choa-chu-kang-avenue-4-500238933</x:v>
      </x:c>
      <x:c r="Q210" s="12" t="str">
        <x:v>Hard requirements pass. D23, SGD 4,300/month. The mandatory size passes, but the primary D18 preference is unmet.</x:v>
      </x:c>
      <x:c r="R210" s="13"/>
    </x:row>
    <x:row r="211" ht="24" hidden="0" customHeight="1">
      <x:c r="A211" s="2" t="str">
        <x:v>S09|24593875</x:v>
      </x:c>
      <x:c r="B211" s="2" t="str">
        <x:v>S09</x:v>
      </x:c>
      <x:c r="C211" s="2" t="str">
        <x:v>24593875</x:v>
      </x:c>
      <x:c r="D211" s="2" t="n">
        <x:v>1</x:v>
      </x:c>
      <x:c r="E211" s="9"/>
      <x:c r="F211" s="2" t="n">
        <x:f>IF(E211="",D211,IF(E211="U","U",IF(AND(ISNUMBER(E211),E211&gt;=0,E211&lt;=3,INT(E211)=E211),E211,"Invalid")))</x:f>
        <x:v>1</x:v>
      </x:c>
      <x:c r="G211" s="2" t="n">
        <x:f>IF(ISNUMBER(F211),1,0)</x:f>
        <x:v>1</x:v>
      </x:c>
      <x:c r="H211" s="2" t="n">
        <x:f>IF(ISNUMBER(F211),IF(F211&gt;=2,1,0),0)</x:f>
        <x:v>0</x:v>
      </x:c>
      <x:c r="I211" s="11" t="n">
        <x:f>IF(ISNUMBER(F211),2^F211-1,0)</x:f>
        <x:v>1</x:v>
      </x:c>
      <x:c r="J211" s="2" t="str">
        <x:v>Retained original 577</x:v>
      </x:c>
      <x:c r="K211" s="10" t="n">
        <x:v>3500</x:v>
      </x:c>
      <x:c r="L211" s="10" t="n">
        <x:v>3</x:v>
      </x:c>
      <x:c r="M211" s="10" t="n">
        <x:v>1087</x:v>
      </x:c>
      <x:c r="N211" s="2" t="str">
        <x:v>D23</x:v>
      </x:c>
      <x:c r="O211" s="2" t="str">
        <x:v>hdb flat</x:v>
      </x:c>
      <x:c r="P211" s="2" t="str">
        <x:v>https://www.propertyguru.com.sg/listing/hdb-for-rent-449-bukit-panjang-ring-road-24593875</x:v>
      </x:c>
      <x:c r="Q211" s="12" t="str">
        <x:v>Hard requirements pass. D23, SGD 3,500/month. The mandatory size passes, but the primary D18 preference is unmet.</x:v>
      </x:c>
      <x:c r="R211" s="13"/>
    </x:row>
    <x:row r="212" ht="24" hidden="0" customHeight="1">
      <x:c r="A212" s="2" t="str">
        <x:v>S09|23440021</x:v>
      </x:c>
      <x:c r="B212" s="2" t="str">
        <x:v>S09</x:v>
      </x:c>
      <x:c r="C212" s="2" t="str">
        <x:v>23440021</x:v>
      </x:c>
      <x:c r="D212" s="2" t="n">
        <x:v>1</x:v>
      </x:c>
      <x:c r="E212" s="9"/>
      <x:c r="F212" s="2" t="n">
        <x:f>IF(E212="",D212,IF(E212="U","U",IF(AND(ISNUMBER(E212),E212&gt;=0,E212&lt;=3,INT(E212)=E212),E212,"Invalid")))</x:f>
        <x:v>1</x:v>
      </x:c>
      <x:c r="G212" s="2" t="n">
        <x:f>IF(ISNUMBER(F212),1,0)</x:f>
        <x:v>1</x:v>
      </x:c>
      <x:c r="H212" s="2" t="n">
        <x:f>IF(ISNUMBER(F212),IF(F212&gt;=2,1,0),0)</x:f>
        <x:v>0</x:v>
      </x:c>
      <x:c r="I212" s="11" t="n">
        <x:f>IF(ISNUMBER(F212),2^F212-1,0)</x:f>
        <x:v>1</x:v>
      </x:c>
      <x:c r="J212" s="2" t="str">
        <x:v>Retained original 577</x:v>
      </x:c>
      <x:c r="K212" s="10" t="n">
        <x:v>2900</x:v>
      </x:c>
      <x:c r="L212" s="10" t="n">
        <x:v>3</x:v>
      </x:c>
      <x:c r="M212" s="10" t="n">
        <x:v>1000</x:v>
      </x:c>
      <x:c r="N212" s="2" t="str">
        <x:v>D15</x:v>
      </x:c>
      <x:c r="O212" s="2" t="str">
        <x:v>walk-up apartment</x:v>
      </x:c>
      <x:c r="P212" s="2" t="str">
        <x:v>https://www.propertyguru.com.sg/listing/for-rent-joo-chiat-place-23440021</x:v>
      </x:c>
      <x:c r="Q212" s="12" t="str">
        <x:v>Hard requirements pass. D15, SGD 2,900/month. The mandatory size passes, but the primary D18 preference is unmet.</x:v>
      </x:c>
      <x:c r="R212" s="13"/>
    </x:row>
    <x:row r="213" ht="24" hidden="0" customHeight="1">
      <x:c r="A213" s="2" t="str">
        <x:v>S09|24759365</x:v>
      </x:c>
      <x:c r="B213" s="2" t="str">
        <x:v>S09</x:v>
      </x:c>
      <x:c r="C213" s="2" t="str">
        <x:v>24759365</x:v>
      </x:c>
      <x:c r="D213" s="2" t="n">
        <x:v>1</x:v>
      </x:c>
      <x:c r="E213" s="9"/>
      <x:c r="F213" s="2" t="n">
        <x:f>IF(E213="",D213,IF(E213="U","U",IF(AND(ISNUMBER(E213),E213&gt;=0,E213&lt;=3,INT(E213)=E213),E213,"Invalid")))</x:f>
        <x:v>1</x:v>
      </x:c>
      <x:c r="G213" s="2" t="n">
        <x:f>IF(ISNUMBER(F213),1,0)</x:f>
        <x:v>1</x:v>
      </x:c>
      <x:c r="H213" s="2" t="n">
        <x:f>IF(ISNUMBER(F213),IF(F213&gt;=2,1,0),0)</x:f>
        <x:v>0</x:v>
      </x:c>
      <x:c r="I213" s="11" t="n">
        <x:f>IF(ISNUMBER(F213),2^F213-1,0)</x:f>
        <x:v>1</x:v>
      </x:c>
      <x:c r="J213" s="2" t="str">
        <x:v>Retained original 577</x:v>
      </x:c>
      <x:c r="K213" s="10" t="n">
        <x:v>2950</x:v>
      </x:c>
      <x:c r="L213" s="10" t="n">
        <x:v>3</x:v>
      </x:c>
      <x:c r="M213" s="10" t="n">
        <x:v>1109</x:v>
      </x:c>
      <x:c r="N213" s="2" t="str">
        <x:v>D23</x:v>
      </x:c>
      <x:c r="O213" s="2" t="str">
        <x:v>hdb flat</x:v>
      </x:c>
      <x:c r="P213" s="2" t="str">
        <x:v>https://www.propertyguru.com.sg/listing/hdb-for-rent-131-cashew-road-24759365</x:v>
      </x:c>
      <x:c r="Q213" s="12" t="str">
        <x:v>Hard requirements pass. D23, SGD 2,950/month. The mandatory size passes, but the primary D18 preference is unmet.</x:v>
      </x:c>
      <x:c r="R213" s="13"/>
    </x:row>
    <x:row r="214" ht="24" hidden="0" customHeight="1">
      <x:c r="A214" s="2" t="str">
        <x:v>S09|25171747</x:v>
      </x:c>
      <x:c r="B214" s="2" t="str">
        <x:v>S09</x:v>
      </x:c>
      <x:c r="C214" s="2" t="str">
        <x:v>25171747</x:v>
      </x:c>
      <x:c r="D214" s="2" t="n">
        <x:v>2</x:v>
      </x:c>
      <x:c r="E214" s="9"/>
      <x:c r="F214" s="2" t="n">
        <x:f>IF(E214="",D214,IF(E214="U","U",IF(AND(ISNUMBER(E214),E214&gt;=0,E214&lt;=3,INT(E214)=E214),E214,"Invalid")))</x:f>
        <x:v>2</x:v>
      </x:c>
      <x:c r="G214" s="2" t="n">
        <x:f>IF(ISNUMBER(F214),1,0)</x:f>
        <x:v>1</x:v>
      </x:c>
      <x:c r="H214" s="2" t="n">
        <x:f>IF(ISNUMBER(F214),IF(F214&gt;=2,1,0),0)</x:f>
        <x:v>1</x:v>
      </x:c>
      <x:c r="I214" s="11" t="n">
        <x:f>IF(ISNUMBER(F214),2^F214-1,0)</x:f>
        <x:v>3</x:v>
      </x:c>
      <x:c r="J214" s="2" t="str">
        <x:v>Retained original 577</x:v>
      </x:c>
      <x:c r="K214" s="10" t="n">
        <x:v>4000</x:v>
      </x:c>
      <x:c r="L214" s="10" t="n">
        <x:v>3</x:v>
      </x:c>
      <x:c r="M214" s="10" t="n">
        <x:v>1119</x:v>
      </x:c>
      <x:c r="N214" s="2" t="str">
        <x:v>D18</x:v>
      </x:c>
      <x:c r="O214" s="2" t="str">
        <x:v>hdb flat</x:v>
      </x:c>
      <x:c r="P214" s="2" t="str">
        <x:v>https://www.propertyguru.com.sg/listing/hdb-for-rent-297-tampines-street-22-25171747</x:v>
      </x:c>
      <x:c r="Q214" s="12" t="str">
        <x:v>Hard requirements pass. D18, SGD 4,000/month. D18 is met, with a rent trade-off against cheaper D18 alternatives.</x:v>
      </x:c>
      <x:c r="R214" s="13"/>
    </x:row>
    <x:row r="215" ht="24" hidden="0" customHeight="1">
      <x:c r="A215" s="2" t="str">
        <x:v>S09|60113140</x:v>
      </x:c>
      <x:c r="B215" s="2" t="str">
        <x:v>S09</x:v>
      </x:c>
      <x:c r="C215" s="2" t="str">
        <x:v>60113140</x:v>
      </x:c>
      <x:c r="D215" s="2" t="n">
        <x:v>2</x:v>
      </x:c>
      <x:c r="E215" s="9"/>
      <x:c r="F215" s="2" t="n">
        <x:f>IF(E215="",D215,IF(E215="U","U",IF(AND(ISNUMBER(E215),E215&gt;=0,E215&lt;=3,INT(E215)=E215),E215,"Invalid")))</x:f>
        <x:v>2</x:v>
      </x:c>
      <x:c r="G215" s="2" t="n">
        <x:f>IF(ISNUMBER(F215),1,0)</x:f>
        <x:v>1</x:v>
      </x:c>
      <x:c r="H215" s="2" t="n">
        <x:f>IF(ISNUMBER(F215),IF(F215&gt;=2,1,0),0)</x:f>
        <x:v>1</x:v>
      </x:c>
      <x:c r="I215" s="11" t="n">
        <x:f>IF(ISNUMBER(F215),2^F215-1,0)</x:f>
        <x:v>3</x:v>
      </x:c>
      <x:c r="J215" s="2" t="str">
        <x:v>Retained original 577</x:v>
      </x:c>
      <x:c r="K215" s="10" t="n">
        <x:v>4300</x:v>
      </x:c>
      <x:c r="L215" s="10" t="n">
        <x:v>4</x:v>
      </x:c>
      <x:c r="M215" s="10" t="n">
        <x:v>1378</x:v>
      </x:c>
      <x:c r="N215" s="2" t="str">
        <x:v>D18</x:v>
      </x:c>
      <x:c r="O215" s="2" t="str">
        <x:v>hdb flat</x:v>
      </x:c>
      <x:c r="P215" s="2" t="str">
        <x:v>https://www.propertyguru.com.sg/listing/hdb-for-rent-396-tampines-avenue-7-60113140</x:v>
      </x:c>
      <x:c r="Q215" s="12" t="str">
        <x:v>Hard requirements pass. D18, SGD 4,300/month. D18 is met, with a rent trade-off against cheaper D18 alternatives.</x:v>
      </x:c>
      <x:c r="R215" s="13"/>
    </x:row>
    <x:row r="216" ht="24" hidden="0" customHeight="1">
      <x:c r="A216" s="2" t="str">
        <x:v>S09|500280728</x:v>
      </x:c>
      <x:c r="B216" s="2" t="str">
        <x:v>S09</x:v>
      </x:c>
      <x:c r="C216" s="2" t="str">
        <x:v>500280728</x:v>
      </x:c>
      <x:c r="D216" s="2" t="n">
        <x:v>1</x:v>
      </x:c>
      <x:c r="E216" s="9"/>
      <x:c r="F216" s="2" t="n">
        <x:f>IF(E216="",D216,IF(E216="U","U",IF(AND(ISNUMBER(E216),E216&gt;=0,E216&lt;=3,INT(E216)=E216),E216,"Invalid")))</x:f>
        <x:v>1</x:v>
      </x:c>
      <x:c r="G216" s="2" t="n">
        <x:f>IF(ISNUMBER(F216),1,0)</x:f>
        <x:v>1</x:v>
      </x:c>
      <x:c r="H216" s="2" t="n">
        <x:f>IF(ISNUMBER(F216),IF(F216&gt;=2,1,0),0)</x:f>
        <x:v>0</x:v>
      </x:c>
      <x:c r="I216" s="11" t="n">
        <x:f>IF(ISNUMBER(F216),2^F216-1,0)</x:f>
        <x:v>1</x:v>
      </x:c>
      <x:c r="J216" s="2" t="str">
        <x:v>Retained original 577</x:v>
      </x:c>
      <x:c r="K216" s="10" t="n">
        <x:v>3600</x:v>
      </x:c>
      <x:c r="L216" s="10" t="n">
        <x:v>3</x:v>
      </x:c>
      <x:c r="M216" s="10" t="n">
        <x:v>1001</x:v>
      </x:c>
      <x:c r="N216" s="2" t="str">
        <x:v>D19</x:v>
      </x:c>
      <x:c r="O216" s="2" t="str">
        <x:v>hdb flat</x:v>
      </x:c>
      <x:c r="P216" s="2" t="str">
        <x:v>https://www.propertyguru.com.sg/listing/hdb-for-rent-667a-punggol-drive-500280728</x:v>
      </x:c>
      <x:c r="Q216" s="12" t="str">
        <x:v>Hard requirements pass. D19, SGD 3,600/month. The mandatory size passes, but the primary D18 preference is unmet.</x:v>
      </x:c>
      <x:c r="R216" s="13"/>
    </x:row>
    <x:row r="217" ht="24" hidden="0" customHeight="1">
      <x:c r="A217" s="2" t="str">
        <x:v>S09|500272998</x:v>
      </x:c>
      <x:c r="B217" s="2" t="str">
        <x:v>S09</x:v>
      </x:c>
      <x:c r="C217" s="2" t="str">
        <x:v>500272998</x:v>
      </x:c>
      <x:c r="D217" s="2" t="n">
        <x:v>3</x:v>
      </x:c>
      <x:c r="E217" s="9"/>
      <x:c r="F217" s="2" t="n">
        <x:f>IF(E217="",D217,IF(E217="U","U",IF(AND(ISNUMBER(E217),E217&gt;=0,E217&lt;=3,INT(E217)=E217),E217,"Invalid")))</x:f>
        <x:v>3</x:v>
      </x:c>
      <x:c r="G217" s="2" t="n">
        <x:f>IF(ISNUMBER(F217),1,0)</x:f>
        <x:v>1</x:v>
      </x:c>
      <x:c r="H217" s="2" t="n">
        <x:f>IF(ISNUMBER(F217),IF(F217&gt;=2,1,0),0)</x:f>
        <x:v>1</x:v>
      </x:c>
      <x:c r="I217" s="11" t="n">
        <x:f>IF(ISNUMBER(F217),2^F217-1,0)</x:f>
        <x:v>7</x:v>
      </x:c>
      <x:c r="J217" s="2" t="str">
        <x:v>Retained original 577</x:v>
      </x:c>
      <x:c r="K217" s="10" t="n">
        <x:v>3458</x:v>
      </x:c>
      <x:c r="L217" s="10" t="n">
        <x:v>3</x:v>
      </x:c>
      <x:c r="M217" s="10" t="n">
        <x:v>1119</x:v>
      </x:c>
      <x:c r="N217" s="2" t="str">
        <x:v>D18</x:v>
      </x:c>
      <x:c r="O217" s="2" t="str">
        <x:v>hdb flat</x:v>
      </x:c>
      <x:c r="P217" s="2" t="str">
        <x:v>https://www.propertyguru.com.sg/listing/hdb-for-rent-634-pasir-ris-drive-1-500272998</x:v>
      </x:c>
      <x:c r="Q217" s="12" t="str">
        <x:v>Hard requirements pass. D18, SGD 3,458/month. D18 is met with lower rent than several other D18 choices.</x:v>
      </x:c>
      <x:c r="R217" s="13"/>
    </x:row>
    <x:row r="218" ht="15" hidden="0" customHeight="1">
      <x:c r="A218" s="2" t="str">
        <x:v>S09|21792437</x:v>
      </x:c>
      <x:c r="B218" s="2" t="str">
        <x:v>S09</x:v>
      </x:c>
      <x:c r="C218" s="2" t="str">
        <x:v>21792437</x:v>
      </x:c>
      <x:c r="D218" s="2" t="n">
        <x:v>0</x:v>
      </x:c>
      <x:c r="E218" s="9"/>
      <x:c r="F218" s="2" t="n">
        <x:f>IF(E218="",D218,IF(E218="U","U",IF(AND(ISNUMBER(E218),E218&gt;=0,E218&lt;=3,INT(E218)=E218),E218,"Invalid")))</x:f>
        <x:v>0</x:v>
      </x:c>
      <x:c r="G218" s="2" t="n">
        <x:f>IF(ISNUMBER(F218),1,0)</x:f>
        <x:v>1</x:v>
      </x:c>
      <x:c r="H218" s="2" t="n">
        <x:f>IF(ISNUMBER(F218),IF(F218&gt;=2,1,0),0)</x:f>
        <x:v>0</x:v>
      </x:c>
      <x:c r="I218" s="11" t="n">
        <x:f>IF(ISNUMBER(F218),2^F218-1,0)</x:f>
        <x:v>0</x:v>
      </x:c>
      <x:c r="J218" s="2" t="str">
        <x:v>Retained original 577</x:v>
      </x:c>
      <x:c r="K218" s="10" t="n">
        <x:v>4000</x:v>
      </x:c>
      <x:c r="L218" s="10" t="n">
        <x:v>3</x:v>
      </x:c>
      <x:c r="M218" s="10" t="n">
        <x:v>991</x:v>
      </x:c>
      <x:c r="N218" s="2" t="str">
        <x:v>D16</x:v>
      </x:c>
      <x:c r="O218" s="2" t="str">
        <x:v>hdb flat</x:v>
      </x:c>
      <x:c r="P218" s="2" t="str">
        <x:v>https://www.propertyguru.com.sg/listing/hdb-for-rent-185-bedok-north-road-21792437</x:v>
      </x:c>
      <x:c r="Q218" s="12" t="str">
        <x:v>Hard failure: Floor area (sqft) 991; required &gt;= 1,000.</x:v>
      </x:c>
      <x:c r="R218" s="13"/>
    </x:row>
    <x:row r="219" ht="15" hidden="0" customHeight="1">
      <x:c r="A219" s="2" t="str">
        <x:v>S09|500225164</x:v>
      </x:c>
      <x:c r="B219" s="2" t="str">
        <x:v>S09</x:v>
      </x:c>
      <x:c r="C219" s="2" t="str">
        <x:v>500225164</x:v>
      </x:c>
      <x:c r="D219" s="2" t="n">
        <x:v>0</x:v>
      </x:c>
      <x:c r="E219" s="9"/>
      <x:c r="F219" s="2" t="n">
        <x:f>IF(E219="",D219,IF(E219="U","U",IF(AND(ISNUMBER(E219),E219&gt;=0,E219&lt;=3,INT(E219)=E219),E219,"Invalid")))</x:f>
        <x:v>0</x:v>
      </x:c>
      <x:c r="G219" s="2" t="n">
        <x:f>IF(ISNUMBER(F219),1,0)</x:f>
        <x:v>1</x:v>
      </x:c>
      <x:c r="H219" s="2" t="n">
        <x:f>IF(ISNUMBER(F219),IF(F219&gt;=2,1,0),0)</x:f>
        <x:v>0</x:v>
      </x:c>
      <x:c r="I219" s="11" t="n">
        <x:f>IF(ISNUMBER(F219),2^F219-1,0)</x:f>
        <x:v>0</x:v>
      </x:c>
      <x:c r="J219" s="2" t="str">
        <x:v>Retained original 577</x:v>
      </x:c>
      <x:c r="K219" s="10" t="n">
        <x:v>3800</x:v>
      </x:c>
      <x:c r="L219" s="10" t="n">
        <x:v>2</x:v>
      </x:c>
      <x:c r="M219" s="10" t="n">
        <x:v>1335</x:v>
      </x:c>
      <x:c r="N219" s="2" t="str">
        <x:v>D25</x:v>
      </x:c>
      <x:c r="O219" s="2" t="str">
        <x:v>condominium</x:v>
      </x:c>
      <x:c r="P219" s="2" t="str">
        <x:v>https://www.propertyguru.com.sg/listing/for-rent-parc-rosewood-500225164</x:v>
      </x:c>
      <x:c r="Q219" s="12" t="str">
        <x:v>Hard failure: Reported bedrooms 2; required &gt;= 3.</x:v>
      </x:c>
      <x:c r="R219" s="13"/>
    </x:row>
    <x:row r="220" ht="24" hidden="0" customHeight="1">
      <x:c r="A220" s="2" t="str">
        <x:v>S09|500254217</x:v>
      </x:c>
      <x:c r="B220" s="2" t="str">
        <x:v>S09</x:v>
      </x:c>
      <x:c r="C220" s="2" t="str">
        <x:v>500254217</x:v>
      </x:c>
      <x:c r="D220" s="2" t="n">
        <x:v>1</x:v>
      </x:c>
      <x:c r="E220" s="9"/>
      <x:c r="F220" s="2" t="n">
        <x:f>IF(E220="",D220,IF(E220="U","U",IF(AND(ISNUMBER(E220),E220&gt;=0,E220&lt;=3,INT(E220)=E220),E220,"Invalid")))</x:f>
        <x:v>1</x:v>
      </x:c>
      <x:c r="G220" s="2" t="n">
        <x:f>IF(ISNUMBER(F220),1,0)</x:f>
        <x:v>1</x:v>
      </x:c>
      <x:c r="H220" s="2" t="n">
        <x:f>IF(ISNUMBER(F220),IF(F220&gt;=2,1,0),0)</x:f>
        <x:v>0</x:v>
      </x:c>
      <x:c r="I220" s="11" t="n">
        <x:f>IF(ISNUMBER(F220),2^F220-1,0)</x:f>
        <x:v>1</x:v>
      </x:c>
      <x:c r="J220" s="2" t="str">
        <x:v>Retained original 577</x:v>
      </x:c>
      <x:c r="K220" s="10" t="n">
        <x:v>4500</x:v>
      </x:c>
      <x:c r="L220" s="10" t="n">
        <x:v>4</x:v>
      </x:c>
      <x:c r="M220" s="10" t="n">
        <x:v>1453</x:v>
      </x:c>
      <x:c r="N220" s="2" t="str">
        <x:v>D19</x:v>
      </x:c>
      <x:c r="O220" s="2" t="str">
        <x:v>hdb flat</x:v>
      </x:c>
      <x:c r="P220" s="2" t="str">
        <x:v>https://www.propertyguru.com.sg/listing/hdb-for-rent-225c-compassvale-walk-500254217</x:v>
      </x:c>
      <x:c r="Q220" s="12" t="str">
        <x:v>Hard requirements pass. D19, SGD 4,500/month. The mandatory size passes, but the primary D18 preference is unmet.</x:v>
      </x:c>
      <x:c r="R220" s="13"/>
    </x:row>
    <x:row r="221" ht="24" hidden="0" customHeight="1">
      <x:c r="A221" s="2" t="str">
        <x:v>S09|500275409</x:v>
      </x:c>
      <x:c r="B221" s="2" t="str">
        <x:v>S09</x:v>
      </x:c>
      <x:c r="C221" s="2" t="str">
        <x:v>500275409</x:v>
      </x:c>
      <x:c r="D221" s="2" t="n">
        <x:v>3</x:v>
      </x:c>
      <x:c r="E221" s="9"/>
      <x:c r="F221" s="2" t="n">
        <x:f>IF(E221="",D221,IF(E221="U","U",IF(AND(ISNUMBER(E221),E221&gt;=0,E221&lt;=3,INT(E221)=E221),E221,"Invalid")))</x:f>
        <x:v>3</x:v>
      </x:c>
      <x:c r="G221" s="2" t="n">
        <x:f>IF(ISNUMBER(F221),1,0)</x:f>
        <x:v>1</x:v>
      </x:c>
      <x:c r="H221" s="2" t="n">
        <x:f>IF(ISNUMBER(F221),IF(F221&gt;=2,1,0),0)</x:f>
        <x:v>1</x:v>
      </x:c>
      <x:c r="I221" s="11" t="n">
        <x:f>IF(ISNUMBER(F221),2^F221-1,0)</x:f>
        <x:v>7</x:v>
      </x:c>
      <x:c r="J221" s="2" t="str">
        <x:v>Retained original 577</x:v>
      </x:c>
      <x:c r="K221" s="10" t="n">
        <x:v>3400</x:v>
      </x:c>
      <x:c r="L221" s="10" t="n">
        <x:v>3</x:v>
      </x:c>
      <x:c r="M221" s="10" t="n">
        <x:v>1120</x:v>
      </x:c>
      <x:c r="N221" s="2" t="str">
        <x:v>D18</x:v>
      </x:c>
      <x:c r="O221" s="2" t="str">
        <x:v>hdb flat</x:v>
      </x:c>
      <x:c r="P221" s="2" t="str">
        <x:v>https://www.propertyguru.com.sg/listing/hdb-for-rent-109-simei-street-1-500275409</x:v>
      </x:c>
      <x:c r="Q221" s="12" t="str">
        <x:v>Hard requirements pass. D18, SGD 3,400/month. D18 is met with lower rent than several other D18 choices.</x:v>
      </x:c>
      <x:c r="R221" s="13"/>
    </x:row>
    <x:row r="222" ht="15" hidden="0" customHeight="1">
      <x:c r="A222" s="2" t="str">
        <x:v>S09|500194402</x:v>
      </x:c>
      <x:c r="B222" s="2" t="str">
        <x:v>S09</x:v>
      </x:c>
      <x:c r="C222" s="2" t="str">
        <x:v>500194402</x:v>
      </x:c>
      <x:c r="D222" s="2" t="str">
        <x:v>U</x:v>
      </x:c>
      <x:c r="E222" s="9"/>
      <x:c r="F222" s="2" t="str">
        <x:f>IF(E222="",D222,IF(E222="U","U",IF(AND(ISNUMBER(E222),E222&gt;=0,E222&lt;=3,INT(E222)=E222),E222,"Invalid")))</x:f>
        <x:v>U</x:v>
      </x:c>
      <x:c r="G222" s="2" t="n">
        <x:f>IF(ISNUMBER(F222),1,0)</x:f>
        <x:v>0</x:v>
      </x:c>
      <x:c r="H222" s="2" t="n">
        <x:f>IF(ISNUMBER(F222),IF(F222&gt;=2,1,0),0)</x:f>
        <x:v>0</x:v>
      </x:c>
      <x:c r="I222" s="11" t="n">
        <x:f>IF(ISNUMBER(F222),2^F222-1,0)</x:f>
        <x:v>0</x:v>
      </x:c>
      <x:c r="J222" s="2" t="str">
        <x:v>Retained original 577</x:v>
      </x:c>
      <x:c r="K222" s="10" t="n">
        <x:v>2400</x:v>
      </x:c>
      <x:c r="L222" s="10"/>
      <x:c r="M222" s="10" t="n">
        <x:v>2400</x:v>
      </x:c>
      <x:c r="N222" s="2" t="str">
        <x:v>D18</x:v>
      </x:c>
      <x:c r="O222" s="2" t="str">
        <x:v>executive condominium</x:v>
      </x:c>
      <x:c r="P222" s="2" t="str">
        <x:v>https://www.propertyguru.com.sg/listing/for-rent-citylife-tampines-500194402</x:v>
      </x:c>
      <x:c r="Q222" s="12" t="str">
        <x:v>No known hard failure. Cannot verify: reported bedrooms.</x:v>
      </x:c>
      <x:c r="R222" s="13"/>
    </x:row>
    <x:row r="223" ht="24" hidden="0" customHeight="1">
      <x:c r="A223" s="2" t="str">
        <x:v>S09|23746946</x:v>
      </x:c>
      <x:c r="B223" s="2" t="str">
        <x:v>S09</x:v>
      </x:c>
      <x:c r="C223" s="2" t="str">
        <x:v>23746946</x:v>
      </x:c>
      <x:c r="D223" s="2" t="n">
        <x:v>1</x:v>
      </x:c>
      <x:c r="E223" s="9"/>
      <x:c r="F223" s="2" t="n">
        <x:f>IF(E223="",D223,IF(E223="U","U",IF(AND(ISNUMBER(E223),E223&gt;=0,E223&lt;=3,INT(E223)=E223),E223,"Invalid")))</x:f>
        <x:v>1</x:v>
      </x:c>
      <x:c r="G223" s="2" t="n">
        <x:f>IF(ISNUMBER(F223),1,0)</x:f>
        <x:v>1</x:v>
      </x:c>
      <x:c r="H223" s="2" t="n">
        <x:f>IF(ISNUMBER(F223),IF(F223&gt;=2,1,0),0)</x:f>
        <x:v>0</x:v>
      </x:c>
      <x:c r="I223" s="11" t="n">
        <x:f>IF(ISNUMBER(F223),2^F223-1,0)</x:f>
        <x:v>1</x:v>
      </x:c>
      <x:c r="J223" s="2" t="str">
        <x:v>Retained original 577</x:v>
      </x:c>
      <x:c r="K223" s="10" t="n">
        <x:v>4500</x:v>
      </x:c>
      <x:c r="L223" s="10" t="n">
        <x:v>3</x:v>
      </x:c>
      <x:c r="M223" s="10" t="n">
        <x:v>1571</x:v>
      </x:c>
      <x:c r="N223" s="2" t="str">
        <x:v>D22</x:v>
      </x:c>
      <x:c r="O223" s="2" t="str">
        <x:v>hdb flat</x:v>
      </x:c>
      <x:c r="P223" s="2" t="str">
        <x:v>https://www.propertyguru.com.sg/listing/hdb-for-rent-50-teban-gardens-road-23746946</x:v>
      </x:c>
      <x:c r="Q223" s="12" t="str">
        <x:v>Hard requirements pass. D22, SGD 4,500/month. The mandatory size passes, but the primary D18 preference is unmet.</x:v>
      </x:c>
      <x:c r="R223" s="13"/>
    </x:row>
    <x:row r="224" ht="24" hidden="0" customHeight="1">
      <x:c r="A224" s="2" t="str">
        <x:v>S09|60058612</x:v>
      </x:c>
      <x:c r="B224" s="2" t="str">
        <x:v>S09</x:v>
      </x:c>
      <x:c r="C224" s="2" t="str">
        <x:v>60058612</x:v>
      </x:c>
      <x:c r="D224" s="2" t="n">
        <x:v>1</x:v>
      </x:c>
      <x:c r="E224" s="9"/>
      <x:c r="F224" s="2" t="n">
        <x:f>IF(E224="",D224,IF(E224="U","U",IF(AND(ISNUMBER(E224),E224&gt;=0,E224&lt;=3,INT(E224)=E224),E224,"Invalid")))</x:f>
        <x:v>1</x:v>
      </x:c>
      <x:c r="G224" s="2" t="n">
        <x:f>IF(ISNUMBER(F224),1,0)</x:f>
        <x:v>1</x:v>
      </x:c>
      <x:c r="H224" s="2" t="n">
        <x:f>IF(ISNUMBER(F224),IF(F224&gt;=2,1,0),0)</x:f>
        <x:v>0</x:v>
      </x:c>
      <x:c r="I224" s="11" t="n">
        <x:f>IF(ISNUMBER(F224),2^F224-1,0)</x:f>
        <x:v>1</x:v>
      </x:c>
      <x:c r="J224" s="2" t="str">
        <x:v>Retained original 577</x:v>
      </x:c>
      <x:c r="K224" s="10" t="n">
        <x:v>4300</x:v>
      </x:c>
      <x:c r="L224" s="10" t="n">
        <x:v>3</x:v>
      </x:c>
      <x:c r="M224" s="10" t="n">
        <x:v>1216</x:v>
      </x:c>
      <x:c r="N224" s="2" t="str">
        <x:v>D23</x:v>
      </x:c>
      <x:c r="O224" s="2" t="str">
        <x:v>hdb flat</x:v>
      </x:c>
      <x:c r="P224" s="2" t="str">
        <x:v>https://www.propertyguru.com.sg/listing/hdb-for-rent-293b-bukit-batok-street-21-60058612</x:v>
      </x:c>
      <x:c r="Q224" s="12" t="str">
        <x:v>Hard requirements pass. D23, SGD 4,300/month. The mandatory size passes, but the primary D18 preference is unmet.</x:v>
      </x:c>
      <x:c r="R224" s="13"/>
    </x:row>
    <x:row r="225" ht="15" hidden="0" customHeight="1">
      <x:c r="A225" s="2" t="str">
        <x:v>S09|500285513</x:v>
      </x:c>
      <x:c r="B225" s="2" t="str">
        <x:v>S09</x:v>
      </x:c>
      <x:c r="C225" s="2" t="str">
        <x:v>500285513</x:v>
      </x:c>
      <x:c r="D225" s="2" t="n">
        <x:v>0</x:v>
      </x:c>
      <x:c r="E225" s="9"/>
      <x:c r="F225" s="2" t="n">
        <x:f>IF(E225="",D225,IF(E225="U","U",IF(AND(ISNUMBER(E225),E225&gt;=0,E225&lt;=3,INT(E225)=E225),E225,"Invalid")))</x:f>
        <x:v>0</x:v>
      </x:c>
      <x:c r="G225" s="2" t="n">
        <x:f>IF(ISNUMBER(F225),1,0)</x:f>
        <x:v>1</x:v>
      </x:c>
      <x:c r="H225" s="2" t="n">
        <x:f>IF(ISNUMBER(F225),IF(F225&gt;=2,1,0),0)</x:f>
        <x:v>0</x:v>
      </x:c>
      <x:c r="I225" s="11" t="n">
        <x:f>IF(ISNUMBER(F225),2^F225-1,0)</x:f>
        <x:v>0</x:v>
      </x:c>
      <x:c r="J225" s="2" t="str">
        <x:v>Retained original 577</x:v>
      </x:c>
      <x:c r="K225" s="10" t="n">
        <x:v>4599</x:v>
      </x:c>
      <x:c r="L225" s="10" t="n">
        <x:v>3</x:v>
      </x:c>
      <x:c r="M225" s="10" t="n">
        <x:v>1259</x:v>
      </x:c>
      <x:c r="N225" s="2" t="str">
        <x:v>D23</x:v>
      </x:c>
      <x:c r="O225" s="2" t="str">
        <x:v>condominium</x:v>
      </x:c>
      <x:c r="P225" s="2" t="str">
        <x:v>https://www.propertyguru.com.sg/listing/for-rent-guilin-view-500285513</x:v>
      </x:c>
      <x:c r="Q225" s="12" t="str">
        <x:v>Hard failure: Rent (SGD/month) 4,599; required &lt;= 4,500.</x:v>
      </x:c>
      <x:c r="R225" s="13"/>
    </x:row>
    <x:row r="226" ht="24" hidden="0" customHeight="1">
      <x:c r="A226" s="2" t="str">
        <x:v>S09|500272797</x:v>
      </x:c>
      <x:c r="B226" s="2" t="str">
        <x:v>S09</x:v>
      </x:c>
      <x:c r="C226" s="2" t="str">
        <x:v>500272797</x:v>
      </x:c>
      <x:c r="D226" s="2" t="n">
        <x:v>3</x:v>
      </x:c>
      <x:c r="E226" s="9"/>
      <x:c r="F226" s="2" t="n">
        <x:f>IF(E226="",D226,IF(E226="U","U",IF(AND(ISNUMBER(E226),E226&gt;=0,E226&lt;=3,INT(E226)=E226),E226,"Invalid")))</x:f>
        <x:v>3</x:v>
      </x:c>
      <x:c r="G226" s="2" t="n">
        <x:f>IF(ISNUMBER(F226),1,0)</x:f>
        <x:v>1</x:v>
      </x:c>
      <x:c r="H226" s="2" t="n">
        <x:f>IF(ISNUMBER(F226),IF(F226&gt;=2,1,0),0)</x:f>
        <x:v>1</x:v>
      </x:c>
      <x:c r="I226" s="11" t="n">
        <x:f>IF(ISNUMBER(F226),2^F226-1,0)</x:f>
        <x:v>7</x:v>
      </x:c>
      <x:c r="J226" s="2" t="str">
        <x:v>Retained original 577</x:v>
      </x:c>
      <x:c r="K226" s="10" t="n">
        <x:v>2999</x:v>
      </x:c>
      <x:c r="L226" s="10" t="n">
        <x:v>3</x:v>
      </x:c>
      <x:c r="M226" s="10" t="n">
        <x:v>1119</x:v>
      </x:c>
      <x:c r="N226" s="2" t="str">
        <x:v>D18</x:v>
      </x:c>
      <x:c r="O226" s="2" t="str">
        <x:v>hdb flat</x:v>
      </x:c>
      <x:c r="P226" s="2" t="str">
        <x:v>https://www.propertyguru.com.sg/listing/hdb-for-rent-637-pasir-ris-drive-1-500272797</x:v>
      </x:c>
      <x:c r="Q226" s="12" t="str">
        <x:v>Hard requirements pass. D18, SGD 2,999/month. D18 is met with lower rent than several other D18 choices.</x:v>
      </x:c>
      <x:c r="R226" s="13"/>
    </x:row>
    <x:row r="227" ht="24" hidden="0" customHeight="1">
      <x:c r="A227" s="2" t="str">
        <x:v>S09|16634118</x:v>
      </x:c>
      <x:c r="B227" s="2" t="str">
        <x:v>S09</x:v>
      </x:c>
      <x:c r="C227" s="2" t="str">
        <x:v>16634118</x:v>
      </x:c>
      <x:c r="D227" s="2" t="n">
        <x:v>1</x:v>
      </x:c>
      <x:c r="E227" s="9"/>
      <x:c r="F227" s="2" t="n">
        <x:f>IF(E227="",D227,IF(E227="U","U",IF(AND(ISNUMBER(E227),E227&gt;=0,E227&lt;=3,INT(E227)=E227),E227,"Invalid")))</x:f>
        <x:v>1</x:v>
      </x:c>
      <x:c r="G227" s="2" t="n">
        <x:f>IF(ISNUMBER(F227),1,0)</x:f>
        <x:v>1</x:v>
      </x:c>
      <x:c r="H227" s="2" t="n">
        <x:f>IF(ISNUMBER(F227),IF(F227&gt;=2,1,0),0)</x:f>
        <x:v>0</x:v>
      </x:c>
      <x:c r="I227" s="11" t="n">
        <x:f>IF(ISNUMBER(F227),2^F227-1,0)</x:f>
        <x:v>1</x:v>
      </x:c>
      <x:c r="J227" s="2" t="str">
        <x:v>Retained original 577</x:v>
      </x:c>
      <x:c r="K227" s="10" t="n">
        <x:v>2799</x:v>
      </x:c>
      <x:c r="L227" s="10" t="n">
        <x:v>3</x:v>
      </x:c>
      <x:c r="M227" s="10" t="n">
        <x:v>1130</x:v>
      </x:c>
      <x:c r="N227" s="2" t="str">
        <x:v>D25</x:v>
      </x:c>
      <x:c r="O227" s="2" t="str">
        <x:v>hdb flat</x:v>
      </x:c>
      <x:c r="P227" s="2" t="str">
        <x:v>https://www.propertyguru.com.sg/listing/hdb-for-rent-843-woodlands-street-82-16634118</x:v>
      </x:c>
      <x:c r="Q227" s="12" t="str">
        <x:v>Hard requirements pass. D25, SGD 2,799/month. The mandatory size passes, but the primary D18 preference is unmet.</x:v>
      </x:c>
      <x:c r="R227" s="13"/>
    </x:row>
    <x:row r="228" ht="15" hidden="0" customHeight="1">
      <x:c r="A228" s="2" t="str">
        <x:v>S09|500097562</x:v>
      </x:c>
      <x:c r="B228" s="2" t="str">
        <x:v>S09</x:v>
      </x:c>
      <x:c r="C228" s="2" t="str">
        <x:v>500097562</x:v>
      </x:c>
      <x:c r="D228" s="2" t="n">
        <x:v>0</x:v>
      </x:c>
      <x:c r="E228" s="9"/>
      <x:c r="F228" s="2" t="n">
        <x:f>IF(E228="",D228,IF(E228="U","U",IF(AND(ISNUMBER(E228),E228&gt;=0,E228&lt;=3,INT(E228)=E228),E228,"Invalid")))</x:f>
        <x:v>0</x:v>
      </x:c>
      <x:c r="G228" s="2" t="n">
        <x:f>IF(ISNUMBER(F228),1,0)</x:f>
        <x:v>1</x:v>
      </x:c>
      <x:c r="H228" s="2" t="n">
        <x:f>IF(ISNUMBER(F228),IF(F228&gt;=2,1,0),0)</x:f>
        <x:v>0</x:v>
      </x:c>
      <x:c r="I228" s="11" t="n">
        <x:f>IF(ISNUMBER(F228),2^F228-1,0)</x:f>
        <x:v>0</x:v>
      </x:c>
      <x:c r="J228" s="2" t="str">
        <x:v>Retained original 577</x:v>
      </x:c>
      <x:c r="K228" s="10" t="n">
        <x:v>4599</x:v>
      </x:c>
      <x:c r="L228" s="10" t="n">
        <x:v>3</x:v>
      </x:c>
      <x:c r="M228" s="10" t="n">
        <x:v>1023</x:v>
      </x:c>
      <x:c r="N228" s="2" t="str">
        <x:v>D27</x:v>
      </x:c>
      <x:c r="O228" s="2" t="str">
        <x:v>executive condominium</x:v>
      </x:c>
      <x:c r="P228" s="2" t="str">
        <x:v>https://www.propertyguru.com.sg/listing/for-rent-the-canopy-500097562</x:v>
      </x:c>
      <x:c r="Q228" s="12" t="str">
        <x:v>Hard failure: Rent (SGD/month) 4,599; required &lt;= 4,500.</x:v>
      </x:c>
      <x:c r="R228" s="13"/>
    </x:row>
    <x:row r="229" ht="15" hidden="0" customHeight="1">
      <x:c r="A229" s="2" t="str">
        <x:v>S09|25356088</x:v>
      </x:c>
      <x:c r="B229" s="2" t="str">
        <x:v>S09</x:v>
      </x:c>
      <x:c r="C229" s="2" t="str">
        <x:v>25356088</x:v>
      </x:c>
      <x:c r="D229" s="2" t="n">
        <x:v>0</x:v>
      </x:c>
      <x:c r="E229" s="9"/>
      <x:c r="F229" s="2" t="n">
        <x:f>IF(E229="",D229,IF(E229="U","U",IF(AND(ISNUMBER(E229),E229&gt;=0,E229&lt;=3,INT(E229)=E229),E229,"Invalid")))</x:f>
        <x:v>0</x:v>
      </x:c>
      <x:c r="G229" s="2" t="n">
        <x:f>IF(ISNUMBER(F229),1,0)</x:f>
        <x:v>1</x:v>
      </x:c>
      <x:c r="H229" s="2" t="n">
        <x:f>IF(ISNUMBER(F229),IF(F229&gt;=2,1,0),0)</x:f>
        <x:v>0</x:v>
      </x:c>
      <x:c r="I229" s="11" t="n">
        <x:f>IF(ISNUMBER(F229),2^F229-1,0)</x:f>
        <x:v>0</x:v>
      </x:c>
      <x:c r="J229" s="2" t="str">
        <x:v>Retained original 577</x:v>
      </x:c>
      <x:c r="K229" s="10" t="n">
        <x:v>4500</x:v>
      </x:c>
      <x:c r="L229" s="10" t="n">
        <x:v>2</x:v>
      </x:c>
      <x:c r="M229" s="10" t="n">
        <x:v>1130</x:v>
      </x:c>
      <x:c r="N229" s="2" t="str">
        <x:v>D12</x:v>
      </x:c>
      <x:c r="O229" s="2" t="str">
        <x:v>apartment</x:v>
      </x:c>
      <x:c r="P229" s="2" t="str">
        <x:v>https://www.propertyguru.com.sg/listing/for-rent-balestier-point-25356088</x:v>
      </x:c>
      <x:c r="Q229" s="12" t="str">
        <x:v>Hard failure: Reported bedrooms 2; required &gt;= 3.</x:v>
      </x:c>
      <x:c r="R229" s="13"/>
    </x:row>
    <x:row r="230" ht="24" hidden="0" customHeight="1">
      <x:c r="A230" s="2" t="str">
        <x:v>S09|19192277</x:v>
      </x:c>
      <x:c r="B230" s="2" t="str">
        <x:v>S09</x:v>
      </x:c>
      <x:c r="C230" s="2" t="str">
        <x:v>19192277</x:v>
      </x:c>
      <x:c r="D230" s="2" t="n">
        <x:v>3</x:v>
      </x:c>
      <x:c r="E230" s="9"/>
      <x:c r="F230" s="2" t="n">
        <x:f>IF(E230="",D230,IF(E230="U","U",IF(AND(ISNUMBER(E230),E230&gt;=0,E230&lt;=3,INT(E230)=E230),E230,"Invalid")))</x:f>
        <x:v>3</x:v>
      </x:c>
      <x:c r="G230" s="2" t="n">
        <x:f>IF(ISNUMBER(F230),1,0)</x:f>
        <x:v>1</x:v>
      </x:c>
      <x:c r="H230" s="2" t="n">
        <x:f>IF(ISNUMBER(F230),IF(F230&gt;=2,1,0),0)</x:f>
        <x:v>1</x:v>
      </x:c>
      <x:c r="I230" s="11" t="n">
        <x:f>IF(ISNUMBER(F230),2^F230-1,0)</x:f>
        <x:v>7</x:v>
      </x:c>
      <x:c r="J230" s="2" t="str">
        <x:v>Retained original 577</x:v>
      </x:c>
      <x:c r="K230" s="10" t="n">
        <x:v>3500</x:v>
      </x:c>
      <x:c r="L230" s="10" t="n">
        <x:v>3</x:v>
      </x:c>
      <x:c r="M230" s="10" t="n">
        <x:v>1119</x:v>
      </x:c>
      <x:c r="N230" s="2" t="str">
        <x:v>D18</x:v>
      </x:c>
      <x:c r="O230" s="2" t="str">
        <x:v>hdb flat</x:v>
      </x:c>
      <x:c r="P230" s="2" t="str">
        <x:v>https://www.propertyguru.com.sg/listing/hdb-for-rent-487-pasir-ris-drive-4-19192277</x:v>
      </x:c>
      <x:c r="Q230" s="12" t="str">
        <x:v>Hard requirements pass. D18, SGD 3,500/month. D18 is met with lower rent than several other D18 choices.</x:v>
      </x:c>
      <x:c r="R230" s="13"/>
    </x:row>
    <x:row r="231" ht="24" hidden="0" customHeight="1">
      <x:c r="A231" s="2" t="str">
        <x:v>S10|500205286</x:v>
      </x:c>
      <x:c r="B231" s="2" t="str">
        <x:v>S10</x:v>
      </x:c>
      <x:c r="C231" s="2" t="str">
        <x:v>500205286</x:v>
      </x:c>
      <x:c r="D231" s="2" t="n">
        <x:v>2</x:v>
      </x:c>
      <x:c r="E231" s="9"/>
      <x:c r="F231" s="2" t="n">
        <x:f>IF(E231="",D231,IF(E231="U","U",IF(AND(ISNUMBER(E231),E231&gt;=0,E231&lt;=3,INT(E231)=E231),E231,"Invalid")))</x:f>
        <x:v>2</x:v>
      </x:c>
      <x:c r="G231" s="2" t="n">
        <x:f>IF(ISNUMBER(F231),1,0)</x:f>
        <x:v>1</x:v>
      </x:c>
      <x:c r="H231" s="2" t="n">
        <x:f>IF(ISNUMBER(F231),IF(F231&gt;=2,1,0),0)</x:f>
        <x:v>1</x:v>
      </x:c>
      <x:c r="I231" s="11" t="n">
        <x:f>IF(ISNUMBER(F231),2^F231-1,0)</x:f>
        <x:v>3</x:v>
      </x:c>
      <x:c r="J231" s="2" t="str">
        <x:v>Retained original 577</x:v>
      </x:c>
      <x:c r="K231" s="10" t="n">
        <x:v>7000</x:v>
      </x:c>
      <x:c r="L231" s="10" t="n">
        <x:v>5</x:v>
      </x:c>
      <x:c r="M231" s="10" t="n">
        <x:v>3304</x:v>
      </x:c>
      <x:c r="N231" s="2" t="str">
        <x:v>D27</x:v>
      </x:c>
      <x:c r="O231" s="2" t="str">
        <x:v>terraced house</x:v>
      </x:c>
      <x:c r="P231" s="2" t="str">
        <x:v>https://www.propertyguru.com.sg/listing/for-rent-the-shaughnessy-500205286</x:v>
      </x:c>
      <x:c r="Q231" s="12" t="str">
        <x:v>Hard requirements pass. area 3,304 sqft, SGD 7,000/month. A meaningful space-and-rent trade-off; other options offer more space or greater savings.</x:v>
      </x:c>
      <x:c r="R231" s="13"/>
    </x:row>
    <x:row r="232" ht="24" hidden="0" customHeight="1">
      <x:c r="A232" s="2" t="str">
        <x:v>S10|24115300</x:v>
      </x:c>
      <x:c r="B232" s="2" t="str">
        <x:v>S10</x:v>
      </x:c>
      <x:c r="C232" s="2" t="str">
        <x:v>24115300</x:v>
      </x:c>
      <x:c r="D232" s="2" t="n">
        <x:v>2</x:v>
      </x:c>
      <x:c r="E232" s="9"/>
      <x:c r="F232" s="2" t="n">
        <x:f>IF(E232="",D232,IF(E232="U","U",IF(AND(ISNUMBER(E232),E232&gt;=0,E232&lt;=3,INT(E232)=E232),E232,"Invalid")))</x:f>
        <x:v>2</x:v>
      </x:c>
      <x:c r="G232" s="2" t="n">
        <x:f>IF(ISNUMBER(F232),1,0)</x:f>
        <x:v>1</x:v>
      </x:c>
      <x:c r="H232" s="2" t="n">
        <x:f>IF(ISNUMBER(F232),IF(F232&gt;=2,1,0),0)</x:f>
        <x:v>1</x:v>
      </x:c>
      <x:c r="I232" s="11" t="n">
        <x:f>IF(ISNUMBER(F232),2^F232-1,0)</x:f>
        <x:v>3</x:v>
      </x:c>
      <x:c r="J232" s="2" t="str">
        <x:v>Retained original 577</x:v>
      </x:c>
      <x:c r="K232" s="10" t="n">
        <x:v>6800</x:v>
      </x:c>
      <x:c r="L232" s="10" t="n">
        <x:v>4</x:v>
      </x:c>
      <x:c r="M232" s="10" t="n">
        <x:v>3500</x:v>
      </x:c>
      <x:c r="N232" s="2" t="str">
        <x:v>D26</x:v>
      </x:c>
      <x:c r="O232" s="2" t="str">
        <x:v>semi-detached house</x:v>
      </x:c>
      <x:c r="P232" s="2" t="str">
        <x:v>https://www.propertyguru.com.sg/listing/for-rent-springleaf-villas-24115300</x:v>
      </x:c>
      <x:c r="Q232" s="12" t="str">
        <x:v>Hard requirements pass. area 3,500 sqft, SGD 6,800/month. A meaningful space-and-rent trade-off; other options offer more space or greater savings.</x:v>
      </x:c>
      <x:c r="R232" s="13"/>
    </x:row>
    <x:row r="233" ht="24" hidden="0" customHeight="1">
      <x:c r="A233" s="2" t="str">
        <x:v>S10|24086174</x:v>
      </x:c>
      <x:c r="B233" s="2" t="str">
        <x:v>S10</x:v>
      </x:c>
      <x:c r="C233" s="2" t="str">
        <x:v>24086174</x:v>
      </x:c>
      <x:c r="D233" s="2" t="n">
        <x:v>2</x:v>
      </x:c>
      <x:c r="E233" s="9"/>
      <x:c r="F233" s="2" t="n">
        <x:f>IF(E233="",D233,IF(E233="U","U",IF(AND(ISNUMBER(E233),E233&gt;=0,E233&lt;=3,INT(E233)=E233),E233,"Invalid")))</x:f>
        <x:v>2</x:v>
      </x:c>
      <x:c r="G233" s="2" t="n">
        <x:f>IF(ISNUMBER(F233),1,0)</x:f>
        <x:v>1</x:v>
      </x:c>
      <x:c r="H233" s="2" t="n">
        <x:f>IF(ISNUMBER(F233),IF(F233&gt;=2,1,0),0)</x:f>
        <x:v>1</x:v>
      </x:c>
      <x:c r="I233" s="11" t="n">
        <x:f>IF(ISNUMBER(F233),2^F233-1,0)</x:f>
        <x:v>3</x:v>
      </x:c>
      <x:c r="J233" s="2" t="str">
        <x:v>Retained original 577</x:v>
      </x:c>
      <x:c r="K233" s="10" t="n">
        <x:v>4000</x:v>
      </x:c>
      <x:c r="L233" s="10" t="n">
        <x:v>3</x:v>
      </x:c>
      <x:c r="M233" s="10" t="n">
        <x:v>2139</x:v>
      </x:c>
      <x:c r="N233" s="2" t="str">
        <x:v>D16</x:v>
      </x:c>
      <x:c r="O233" s="2" t="str">
        <x:v>terraced house</x:v>
      </x:c>
      <x:c r="P233" s="2" t="str">
        <x:v>https://www.propertyguru.com.sg/listing/for-rent-jalan-pari-kikis-24086174</x:v>
      </x:c>
      <x:c r="Q233" s="12" t="str">
        <x:v>Hard requirements pass. area 2,139 sqft, SGD 4,000/month. A meaningful space-and-rent trade-off; other options offer more space or greater savings.</x:v>
      </x:c>
      <x:c r="R233" s="13"/>
    </x:row>
    <x:row r="234" ht="24" hidden="0" customHeight="1">
      <x:c r="A234" s="2" t="str">
        <x:v>S10|500285317</x:v>
      </x:c>
      <x:c r="B234" s="2" t="str">
        <x:v>S10</x:v>
      </x:c>
      <x:c r="C234" s="2" t="str">
        <x:v>500285317</x:v>
      </x:c>
      <x:c r="D234" s="2" t="n">
        <x:v>2</x:v>
      </x:c>
      <x:c r="E234" s="9"/>
      <x:c r="F234" s="2" t="n">
        <x:f>IF(E234="",D234,IF(E234="U","U",IF(AND(ISNUMBER(E234),E234&gt;=0,E234&lt;=3,INT(E234)=E234),E234,"Invalid")))</x:f>
        <x:v>2</x:v>
      </x:c>
      <x:c r="G234" s="2" t="n">
        <x:f>IF(ISNUMBER(F234),1,0)</x:f>
        <x:v>1</x:v>
      </x:c>
      <x:c r="H234" s="2" t="n">
        <x:f>IF(ISNUMBER(F234),IF(F234&gt;=2,1,0),0)</x:f>
        <x:v>1</x:v>
      </x:c>
      <x:c r="I234" s="11" t="n">
        <x:f>IF(ISNUMBER(F234),2^F234-1,0)</x:f>
        <x:v>3</x:v>
      </x:c>
      <x:c r="J234" s="2" t="str">
        <x:v>Retained original 577</x:v>
      </x:c>
      <x:c r="K234" s="10" t="n">
        <x:v>4000</x:v>
      </x:c>
      <x:c r="L234" s="10" t="n">
        <x:v>3</x:v>
      </x:c>
      <x:c r="M234" s="10" t="n">
        <x:v>2138</x:v>
      </x:c>
      <x:c r="N234" s="2" t="str">
        <x:v>D16</x:v>
      </x:c>
      <x:c r="O234" s="2" t="str">
        <x:v>terraced house</x:v>
      </x:c>
      <x:c r="P234" s="2" t="str">
        <x:v>https://www.propertyguru.com.sg/listing/for-rent-tanah-merah-landed-house-for-rent-3br-near-mrt-4k-500285317</x:v>
      </x:c>
      <x:c r="Q234" s="12" t="str">
        <x:v>Hard requirements pass. area 2,138 sqft, SGD 4,000/month. A meaningful space-and-rent trade-off; other options offer more space or greater savings.</x:v>
      </x:c>
      <x:c r="R234" s="13"/>
    </x:row>
    <x:row r="235" ht="24" hidden="0" customHeight="1">
      <x:c r="A235" s="2" t="str">
        <x:v>S10|500231770</x:v>
      </x:c>
      <x:c r="B235" s="2" t="str">
        <x:v>S10</x:v>
      </x:c>
      <x:c r="C235" s="2" t="str">
        <x:v>500231770</x:v>
      </x:c>
      <x:c r="D235" s="2" t="n">
        <x:v>2</x:v>
      </x:c>
      <x:c r="E235" s="9"/>
      <x:c r="F235" s="2" t="n">
        <x:f>IF(E235="",D235,IF(E235="U","U",IF(AND(ISNUMBER(E235),E235&gt;=0,E235&lt;=3,INT(E235)=E235),E235,"Invalid")))</x:f>
        <x:v>2</x:v>
      </x:c>
      <x:c r="G235" s="2" t="n">
        <x:f>IF(ISNUMBER(F235),1,0)</x:f>
        <x:v>1</x:v>
      </x:c>
      <x:c r="H235" s="2" t="n">
        <x:f>IF(ISNUMBER(F235),IF(F235&gt;=2,1,0),0)</x:f>
        <x:v>1</x:v>
      </x:c>
      <x:c r="I235" s="11" t="n">
        <x:f>IF(ISNUMBER(F235),2^F235-1,0)</x:f>
        <x:v>3</x:v>
      </x:c>
      <x:c r="J235" s="2" t="str">
        <x:v>Retained original 577</x:v>
      </x:c>
      <x:c r="K235" s="10" t="n">
        <x:v>6800</x:v>
      </x:c>
      <x:c r="L235" s="10" t="n">
        <x:v>5</x:v>
      </x:c>
      <x:c r="M235" s="10" t="n">
        <x:v>2800</x:v>
      </x:c>
      <x:c r="N235" s="2" t="str">
        <x:v>D15</x:v>
      </x:c>
      <x:c r="O235" s="2" t="str">
        <x:v>terraced house</x:v>
      </x:c>
      <x:c r="P235" s="2" t="str">
        <x:v>https://www.propertyguru.com.sg/listing/for-rent-opera-estate-500231770</x:v>
      </x:c>
      <x:c r="Q235" s="12" t="str">
        <x:v>Hard requirements pass. area 2,800 sqft, SGD 6,800/month. A meaningful space-and-rent trade-off; other options offer more space or greater savings.</x:v>
      </x:c>
      <x:c r="R235" s="13"/>
    </x:row>
    <x:row r="236" ht="24" hidden="0" customHeight="1">
      <x:c r="A236" s="2" t="str">
        <x:v>S10|500222176</x:v>
      </x:c>
      <x:c r="B236" s="2" t="str">
        <x:v>S10</x:v>
      </x:c>
      <x:c r="C236" s="2" t="str">
        <x:v>500222176</x:v>
      </x:c>
      <x:c r="D236" s="2" t="n">
        <x:v>1</x:v>
      </x:c>
      <x:c r="E236" s="9"/>
      <x:c r="F236" s="2" t="n">
        <x:f>IF(E236="",D236,IF(E236="U","U",IF(AND(ISNUMBER(E236),E236&gt;=0,E236&lt;=3,INT(E236)=E236),E236,"Invalid")))</x:f>
        <x:v>1</x:v>
      </x:c>
      <x:c r="G236" s="2" t="n">
        <x:f>IF(ISNUMBER(F236),1,0)</x:f>
        <x:v>1</x:v>
      </x:c>
      <x:c r="H236" s="2" t="n">
        <x:f>IF(ISNUMBER(F236),IF(F236&gt;=2,1,0),0)</x:f>
        <x:v>0</x:v>
      </x:c>
      <x:c r="I236" s="11" t="n">
        <x:f>IF(ISNUMBER(F236),2^F236-1,0)</x:f>
        <x:v>1</x:v>
      </x:c>
      <x:c r="J236" s="2" t="str">
        <x:v>Retained original 577</x:v>
      </x:c>
      <x:c r="K236" s="10" t="n">
        <x:v>6000</x:v>
      </x:c>
      <x:c r="L236" s="10" t="n">
        <x:v>4</x:v>
      </x:c>
      <x:c r="M236" s="10" t="n">
        <x:v>1815</x:v>
      </x:c>
      <x:c r="N236" s="2" t="str">
        <x:v>D20</x:v>
      </x:c>
      <x:c r="O236" s="2" t="str">
        <x:v>terraced house</x:v>
      </x:c>
      <x:c r="P236" s="2" t="str">
        <x:v>https://www.propertyguru.com.sg/listing/for-rent-thomson-park-500222176</x:v>
      </x:c>
      <x:c r="Q236" s="12" t="str">
        <x:v>Hard requirements pass. area 1,815 sqft, SGD 6,000/month. Reported space is relatively limited for this set; the primary preference remains weak.</x:v>
      </x:c>
      <x:c r="R236" s="13"/>
    </x:row>
    <x:row r="237" ht="24" hidden="0" customHeight="1">
      <x:c r="A237" s="2" t="str">
        <x:v>S10|500090915</x:v>
      </x:c>
      <x:c r="B237" s="2" t="str">
        <x:v>S10</x:v>
      </x:c>
      <x:c r="C237" s="2" t="str">
        <x:v>500090915</x:v>
      </x:c>
      <x:c r="D237" s="2" t="n">
        <x:v>2</x:v>
      </x:c>
      <x:c r="E237" s="9"/>
      <x:c r="F237" s="2" t="n">
        <x:f>IF(E237="",D237,IF(E237="U","U",IF(AND(ISNUMBER(E237),E237&gt;=0,E237&lt;=3,INT(E237)=E237),E237,"Invalid")))</x:f>
        <x:v>2</x:v>
      </x:c>
      <x:c r="G237" s="2" t="n">
        <x:f>IF(ISNUMBER(F237),1,0)</x:f>
        <x:v>1</x:v>
      </x:c>
      <x:c r="H237" s="2" t="n">
        <x:f>IF(ISNUMBER(F237),IF(F237&gt;=2,1,0),0)</x:f>
        <x:v>1</x:v>
      </x:c>
      <x:c r="I237" s="11" t="n">
        <x:f>IF(ISNUMBER(F237),2^F237-1,0)</x:f>
        <x:v>3</x:v>
      </x:c>
      <x:c r="J237" s="2" t="str">
        <x:v>Retained original 577</x:v>
      </x:c>
      <x:c r="K237" s="10" t="n">
        <x:v>6000</x:v>
      </x:c>
      <x:c r="L237" s="10" t="n">
        <x:v>4</x:v>
      </x:c>
      <x:c r="M237" s="10" t="n">
        <x:v>2400</x:v>
      </x:c>
      <x:c r="N237" s="2" t="str">
        <x:v>D28</x:v>
      </x:c>
      <x:c r="O237" s="2" t="str">
        <x:v>semi-detached house</x:v>
      </x:c>
      <x:c r="P237" s="2" t="str">
        <x:v>https://www.propertyguru.com.sg/listing/for-rent-begonia-landed-level-2-for-rent-500090915</x:v>
      </x:c>
      <x:c r="Q237" s="12" t="str">
        <x:v>Hard requirements pass. area 2,400 sqft, SGD 6,000/month. A meaningful space-and-rent trade-off; other options offer more space or greater savings.</x:v>
      </x:c>
      <x:c r="R237" s="13"/>
    </x:row>
    <x:row r="238" ht="24" hidden="0" customHeight="1">
      <x:c r="A238" s="2" t="str">
        <x:v>S10|500240356</x:v>
      </x:c>
      <x:c r="B238" s="2" t="str">
        <x:v>S10</x:v>
      </x:c>
      <x:c r="C238" s="2" t="str">
        <x:v>500240356</x:v>
      </x:c>
      <x:c r="D238" s="2" t="n">
        <x:v>0</x:v>
      </x:c>
      <x:c r="E238" s="9"/>
      <x:c r="F238" s="2" t="n">
        <x:f>IF(E238="",D238,IF(E238="U","U",IF(AND(ISNUMBER(E238),E238&gt;=0,E238&lt;=3,INT(E238)=E238),E238,"Invalid")))</x:f>
        <x:v>0</x:v>
      </x:c>
      <x:c r="G238" s="2" t="n">
        <x:f>IF(ISNUMBER(F238),1,0)</x:f>
        <x:v>1</x:v>
      </x:c>
      <x:c r="H238" s="2" t="n">
        <x:f>IF(ISNUMBER(F238),IF(F238&gt;=2,1,0),0)</x:f>
        <x:v>0</x:v>
      </x:c>
      <x:c r="I238" s="11" t="n">
        <x:f>IF(ISNUMBER(F238),2^F238-1,0)</x:f>
        <x:v>0</x:v>
      </x:c>
      <x:c r="J238" s="2" t="str">
        <x:v>Retained original 577</x:v>
      </x:c>
      <x:c r="K238" s="10" t="n">
        <x:v>4100</x:v>
      </x:c>
      <x:c r="L238" s="10" t="n">
        <x:v>3</x:v>
      </x:c>
      <x:c r="M238" s="10" t="n">
        <x:v>904</x:v>
      </x:c>
      <x:c r="N238" s="2" t="str">
        <x:v>D19</x:v>
      </x:c>
      <x:c r="O238" s="2" t="str">
        <x:v>condominium</x:v>
      </x:c>
      <x:c r="P238" s="2" t="str">
        <x:v>https://www.propertyguru.com.sg/listing/for-rent-rivercove-residences-ec-500240356</x:v>
      </x:c>
      <x:c r="Q238" s="12" t="str">
        <x:v>Hard failure: Property type Condominium; required in {Terraced House, Semi-Detached House}.</x:v>
      </x:c>
      <x:c r="R238" s="13"/>
    </x:row>
    <x:row r="239" ht="24" hidden="0" customHeight="1">
      <x:c r="A239" s="2" t="str">
        <x:v>S10|25272596</x:v>
      </x:c>
      <x:c r="B239" s="2" t="str">
        <x:v>S10</x:v>
      </x:c>
      <x:c r="C239" s="2" t="str">
        <x:v>25272596</x:v>
      </x:c>
      <x:c r="D239" s="2" t="n">
        <x:v>1</x:v>
      </x:c>
      <x:c r="E239" s="9"/>
      <x:c r="F239" s="2" t="n">
        <x:f>IF(E239="",D239,IF(E239="U","U",IF(AND(ISNUMBER(E239),E239&gt;=0,E239&lt;=3,INT(E239)=E239),E239,"Invalid")))</x:f>
        <x:v>1</x:v>
      </x:c>
      <x:c r="G239" s="2" t="n">
        <x:f>IF(ISNUMBER(F239),1,0)</x:f>
        <x:v>1</x:v>
      </x:c>
      <x:c r="H239" s="2" t="n">
        <x:f>IF(ISNUMBER(F239),IF(F239&gt;=2,1,0),0)</x:f>
        <x:v>0</x:v>
      </x:c>
      <x:c r="I239" s="11" t="n">
        <x:f>IF(ISNUMBER(F239),2^F239-1,0)</x:f>
        <x:v>1</x:v>
      </x:c>
      <x:c r="J239" s="2" t="str">
        <x:v>Retained original 577</x:v>
      </x:c>
      <x:c r="K239" s="10" t="n">
        <x:v>7000</x:v>
      </x:c>
      <x:c r="L239" s="10" t="n">
        <x:v>4</x:v>
      </x:c>
      <x:c r="M239" s="10" t="n">
        <x:v>1800</x:v>
      </x:c>
      <x:c r="N239" s="2" t="str">
        <x:v>D19</x:v>
      </x:c>
      <x:c r="O239" s="2" t="str">
        <x:v>terraced house</x:v>
      </x:c>
      <x:c r="P239" s="2" t="str">
        <x:v>https://www.propertyguru.com.sg/listing/for-rent-lorong-7-realty-park-25272596</x:v>
      </x:c>
      <x:c r="Q239" s="12" t="str">
        <x:v>Hard requirements pass. area 1,800 sqft, SGD 7,000/month. Reported space is relatively limited for this set; the primary preference remains weak.</x:v>
      </x:c>
      <x:c r="R239" s="13"/>
    </x:row>
    <x:row r="240" ht="15" hidden="0" customHeight="1">
      <x:c r="A240" s="2" t="str">
        <x:v>S10|500241538</x:v>
      </x:c>
      <x:c r="B240" s="2" t="str">
        <x:v>S10</x:v>
      </x:c>
      <x:c r="C240" s="2" t="str">
        <x:v>500241538</x:v>
      </x:c>
      <x:c r="D240" s="2" t="str">
        <x:v>U</x:v>
      </x:c>
      <x:c r="E240" s="9"/>
      <x:c r="F240" s="2" t="str">
        <x:f>IF(E240="",D240,IF(E240="U","U",IF(AND(ISNUMBER(E240),E240&gt;=0,E240&lt;=3,INT(E240)=E240),E240,"Invalid")))</x:f>
        <x:v>U</x:v>
      </x:c>
      <x:c r="G240" s="2" t="n">
        <x:f>IF(ISNUMBER(F240),1,0)</x:f>
        <x:v>0</x:v>
      </x:c>
      <x:c r="H240" s="2" t="n">
        <x:f>IF(ISNUMBER(F240),IF(F240&gt;=2,1,0),0)</x:f>
        <x:v>0</x:v>
      </x:c>
      <x:c r="I240" s="11" t="n">
        <x:f>IF(ISNUMBER(F240),2^F240-1,0)</x:f>
        <x:v>0</x:v>
      </x:c>
      <x:c r="J240" s="2" t="str">
        <x:v>Retained original 577</x:v>
      </x:c>
      <x:c r="K240" s="10" t="n">
        <x:v>2400</x:v>
      </x:c>
      <x:c r="L240" s="10"/>
      <x:c r="M240" s="10" t="n">
        <x:v>220</x:v>
      </x:c>
      <x:c r="N240" s="2" t="str">
        <x:v>D18</x:v>
      </x:c>
      <x:c r="O240" s="2" t="str">
        <x:v>terraced house</x:v>
      </x:c>
      <x:c r="P240" s="2" t="str">
        <x:v>https://www.propertyguru.com.sg/listing/for-rent-coliwoo-resort-changi-500241538</x:v>
      </x:c>
      <x:c r="Q240" s="12" t="str">
        <x:v>No known hard failure. Cannot verify: reported bedrooms.</x:v>
      </x:c>
      <x:c r="R240" s="13"/>
    </x:row>
    <x:row r="241" ht="15" hidden="0" customHeight="1">
      <x:c r="A241" s="2" t="str">
        <x:v>S10|60236022</x:v>
      </x:c>
      <x:c r="B241" s="2" t="str">
        <x:v>S10</x:v>
      </x:c>
      <x:c r="C241" s="2" t="str">
        <x:v>60236022</x:v>
      </x:c>
      <x:c r="D241" s="2" t="n">
        <x:v>0</x:v>
      </x:c>
      <x:c r="E241" s="9"/>
      <x:c r="F241" s="2" t="n">
        <x:f>IF(E241="",D241,IF(E241="U","U",IF(AND(ISNUMBER(E241),E241&gt;=0,E241&lt;=3,INT(E241)=E241),E241,"Invalid")))</x:f>
        <x:v>0</x:v>
      </x:c>
      <x:c r="G241" s="2" t="n">
        <x:f>IF(ISNUMBER(F241),1,0)</x:f>
        <x:v>1</x:v>
      </x:c>
      <x:c r="H241" s="2" t="n">
        <x:f>IF(ISNUMBER(F241),IF(F241&gt;=2,1,0),0)</x:f>
        <x:v>0</x:v>
      </x:c>
      <x:c r="I241" s="11" t="n">
        <x:f>IF(ISNUMBER(F241),2^F241-1,0)</x:f>
        <x:v>0</x:v>
      </x:c>
      <x:c r="J241" s="2" t="str">
        <x:v>Retained original 577</x:v>
      </x:c>
      <x:c r="K241" s="10" t="n">
        <x:v>7200</x:v>
      </x:c>
      <x:c r="L241" s="10" t="n">
        <x:v>4</x:v>
      </x:c>
      <x:c r="M241" s="10" t="n">
        <x:v>3000</x:v>
      </x:c>
      <x:c r="N241" s="2" t="str">
        <x:v>D16</x:v>
      </x:c>
      <x:c r="O241" s="2" t="str">
        <x:v>terraced house</x:v>
      </x:c>
      <x:c r="P241" s="2" t="str">
        <x:v>https://www.propertyguru.com.sg/listing/for-rent-mera-terrace-60236022</x:v>
      </x:c>
      <x:c r="Q241" s="12" t="str">
        <x:v>Hard failure: Rent (SGD/month) 7,200; required &lt;= 7,000.</x:v>
      </x:c>
      <x:c r="R241" s="13"/>
    </x:row>
    <x:row r="242" ht="24" hidden="0" customHeight="1">
      <x:c r="A242" s="2" t="str">
        <x:v>S10|500012370</x:v>
      </x:c>
      <x:c r="B242" s="2" t="str">
        <x:v>S10</x:v>
      </x:c>
      <x:c r="C242" s="2" t="str">
        <x:v>500012370</x:v>
      </x:c>
      <x:c r="D242" s="2" t="n">
        <x:v>1</x:v>
      </x:c>
      <x:c r="E242" s="9"/>
      <x:c r="F242" s="2" t="n">
        <x:f>IF(E242="",D242,IF(E242="U","U",IF(AND(ISNUMBER(E242),E242&gt;=0,E242&lt;=3,INT(E242)=E242),E242,"Invalid")))</x:f>
        <x:v>1</x:v>
      </x:c>
      <x:c r="G242" s="2" t="n">
        <x:f>IF(ISNUMBER(F242),1,0)</x:f>
        <x:v>1</x:v>
      </x:c>
      <x:c r="H242" s="2" t="n">
        <x:f>IF(ISNUMBER(F242),IF(F242&gt;=2,1,0),0)</x:f>
        <x:v>0</x:v>
      </x:c>
      <x:c r="I242" s="11" t="n">
        <x:f>IF(ISNUMBER(F242),2^F242-1,0)</x:f>
        <x:v>1</x:v>
      </x:c>
      <x:c r="J242" s="2" t="str">
        <x:v>Retained original 577</x:v>
      </x:c>
      <x:c r="K242" s="10" t="n">
        <x:v>6600</x:v>
      </x:c>
      <x:c r="L242" s="10" t="n">
        <x:v>4</x:v>
      </x:c>
      <x:c r="M242" s="10" t="n">
        <x:v>2200</x:v>
      </x:c>
      <x:c r="N242" s="2" t="str">
        <x:v>D19</x:v>
      </x:c>
      <x:c r="O242" s="2" t="str">
        <x:v>terraced house</x:v>
      </x:c>
      <x:c r="P242" s="2" t="str">
        <x:v>https://www.propertyguru.com.sg/listing/for-rent-landed-for-rent-7-mins-to-mrt-500012370</x:v>
      </x:c>
      <x:c r="Q242" s="12" t="str">
        <x:v>Hard requirements pass. area 2,200 sqft, SGD 6,600/month. Reported space is relatively limited for this set; the primary preference remains weak.</x:v>
      </x:c>
      <x:c r="R242" s="13"/>
    </x:row>
    <x:row r="243" ht="24" hidden="0" customHeight="1">
      <x:c r="A243" s="2" t="str">
        <x:v>S10|500091209</x:v>
      </x:c>
      <x:c r="B243" s="2" t="str">
        <x:v>S10</x:v>
      </x:c>
      <x:c r="C243" s="2" t="str">
        <x:v>500091209</x:v>
      </x:c>
      <x:c r="D243" s="2" t="n">
        <x:v>3</x:v>
      </x:c>
      <x:c r="E243" s="9"/>
      <x:c r="F243" s="2" t="n">
        <x:f>IF(E243="",D243,IF(E243="U","U",IF(AND(ISNUMBER(E243),E243&gt;=0,E243&lt;=3,INT(E243)=E243),E243,"Invalid")))</x:f>
        <x:v>3</x:v>
      </x:c>
      <x:c r="G243" s="2" t="n">
        <x:f>IF(ISNUMBER(F243),1,0)</x:f>
        <x:v>1</x:v>
      </x:c>
      <x:c r="H243" s="2" t="n">
        <x:f>IF(ISNUMBER(F243),IF(F243&gt;=2,1,0),0)</x:f>
        <x:v>1</x:v>
      </x:c>
      <x:c r="I243" s="11" t="n">
        <x:f>IF(ISNUMBER(F243),2^F243-1,0)</x:f>
        <x:v>7</x:v>
      </x:c>
      <x:c r="J243" s="2" t="str">
        <x:v>Retained original 577</x:v>
      </x:c>
      <x:c r="K243" s="10" t="n">
        <x:v>6000</x:v>
      </x:c>
      <x:c r="L243" s="10" t="n">
        <x:v>5</x:v>
      </x:c>
      <x:c r="M243" s="10" t="n">
        <x:v>3950</x:v>
      </x:c>
      <x:c r="N243" s="2" t="str">
        <x:v>D28</x:v>
      </x:c>
      <x:c r="O243" s="2" t="str">
        <x:v>semi-detached house</x:v>
      </x:c>
      <x:c r="P243" s="2" t="str">
        <x:v>https://www.propertyguru.com.sg/listing/for-rent-semi-detached-house-for-rent-500091209</x:v>
      </x:c>
      <x:c r="Q243" s="12" t="str">
        <x:v>Hard requirements pass. area 3,950 sqft, SGD 6,000/month. Among the strongest reported-space choices, consistent with the space-first preference.</x:v>
      </x:c>
      <x:c r="R243" s="13"/>
    </x:row>
    <x:row r="244" ht="24" hidden="0" customHeight="1">
      <x:c r="A244" s="2" t="str">
        <x:v>S10|20539327</x:v>
      </x:c>
      <x:c r="B244" s="2" t="str">
        <x:v>S10</x:v>
      </x:c>
      <x:c r="C244" s="2" t="str">
        <x:v>20539327</x:v>
      </x:c>
      <x:c r="D244" s="2" t="n">
        <x:v>1</x:v>
      </x:c>
      <x:c r="E244" s="9"/>
      <x:c r="F244" s="2" t="n">
        <x:f>IF(E244="",D244,IF(E244="U","U",IF(AND(ISNUMBER(E244),E244&gt;=0,E244&lt;=3,INT(E244)=E244),E244,"Invalid")))</x:f>
        <x:v>1</x:v>
      </x:c>
      <x:c r="G244" s="2" t="n">
        <x:f>IF(ISNUMBER(F244),1,0)</x:f>
        <x:v>1</x:v>
      </x:c>
      <x:c r="H244" s="2" t="n">
        <x:f>IF(ISNUMBER(F244),IF(F244&gt;=2,1,0),0)</x:f>
        <x:v>0</x:v>
      </x:c>
      <x:c r="I244" s="11" t="n">
        <x:f>IF(ISNUMBER(F244),2^F244-1,0)</x:f>
        <x:v>1</x:v>
      </x:c>
      <x:c r="J244" s="2" t="str">
        <x:v>Retained original 577</x:v>
      </x:c>
      <x:c r="K244" s="10" t="n">
        <x:v>3200</x:v>
      </x:c>
      <x:c r="L244" s="10" t="n">
        <x:v>3</x:v>
      </x:c>
      <x:c r="M244" s="10" t="n">
        <x:v>1200</x:v>
      </x:c>
      <x:c r="N244" s="2" t="str">
        <x:v>D27</x:v>
      </x:c>
      <x:c r="O244" s="2" t="str">
        <x:v>semi-detached house</x:v>
      </x:c>
      <x:c r="P244" s="2" t="str">
        <x:v>https://www.propertyguru.com.sg/listing/for-rent-sembawang-springs-estate-20539327</x:v>
      </x:c>
      <x:c r="Q244" s="12" t="str">
        <x:v>Hard requirements pass. area 1,200 sqft, SGD 3,200/month. Reported space is relatively limited for this set; the primary preference remains weak.</x:v>
      </x:c>
      <x:c r="R244" s="13"/>
    </x:row>
    <x:row r="245" ht="24" hidden="0" customHeight="1">
      <x:c r="A245" s="2" t="str">
        <x:v>S10|500267452</x:v>
      </x:c>
      <x:c r="B245" s="2" t="str">
        <x:v>S10</x:v>
      </x:c>
      <x:c r="C245" s="2" t="str">
        <x:v>500267452</x:v>
      </x:c>
      <x:c r="D245" s="2" t="n">
        <x:v>3</x:v>
      </x:c>
      <x:c r="E245" s="9"/>
      <x:c r="F245" s="2" t="n">
        <x:f>IF(E245="",D245,IF(E245="U","U",IF(AND(ISNUMBER(E245),E245&gt;=0,E245&lt;=3,INT(E245)=E245),E245,"Invalid")))</x:f>
        <x:v>3</x:v>
      </x:c>
      <x:c r="G245" s="2" t="n">
        <x:f>IF(ISNUMBER(F245),1,0)</x:f>
        <x:v>1</x:v>
      </x:c>
      <x:c r="H245" s="2" t="n">
        <x:f>IF(ISNUMBER(F245),IF(F245&gt;=2,1,0),0)</x:f>
        <x:v>1</x:v>
      </x:c>
      <x:c r="I245" s="11" t="n">
        <x:f>IF(ISNUMBER(F245),2^F245-1,0)</x:f>
        <x:v>7</x:v>
      </x:c>
      <x:c r="J245" s="2" t="str">
        <x:v>Retained original 577</x:v>
      </x:c>
      <x:c r="K245" s="10" t="n">
        <x:v>6900</x:v>
      </x:c>
      <x:c r="L245" s="10" t="n">
        <x:v>4</x:v>
      </x:c>
      <x:c r="M245" s="10" t="n">
        <x:v>4000</x:v>
      </x:c>
      <x:c r="N245" s="2" t="str">
        <x:v>D17</x:v>
      </x:c>
      <x:c r="O245" s="2" t="str">
        <x:v>semi-detached house</x:v>
      </x:c>
      <x:c r="P245" s="2" t="str">
        <x:v>https://www.propertyguru.com.sg/listing/for-rent-clydescove-500267452</x:v>
      </x:c>
      <x:c r="Q245" s="12" t="str">
        <x:v>Hard requirements pass. area 4,000 sqft, SGD 6,900/month. Among the strongest reported-space choices, consistent with the space-first preference.</x:v>
      </x:c>
      <x:c r="R245" s="13"/>
    </x:row>
    <x:row r="246" ht="24" hidden="0" customHeight="1">
      <x:c r="A246" s="2" t="str">
        <x:v>S10|24019669</x:v>
      </x:c>
      <x:c r="B246" s="2" t="str">
        <x:v>S10</x:v>
      </x:c>
      <x:c r="C246" s="2" t="str">
        <x:v>24019669</x:v>
      </x:c>
      <x:c r="D246" s="2" t="n">
        <x:v>2</x:v>
      </x:c>
      <x:c r="E246" s="9"/>
      <x:c r="F246" s="2" t="n">
        <x:f>IF(E246="",D246,IF(E246="U","U",IF(AND(ISNUMBER(E246),E246&gt;=0,E246&lt;=3,INT(E246)=E246),E246,"Invalid")))</x:f>
        <x:v>2</x:v>
      </x:c>
      <x:c r="G246" s="2" t="n">
        <x:f>IF(ISNUMBER(F246),1,0)</x:f>
        <x:v>1</x:v>
      </x:c>
      <x:c r="H246" s="2" t="n">
        <x:f>IF(ISNUMBER(F246),IF(F246&gt;=2,1,0),0)</x:f>
        <x:v>1</x:v>
      </x:c>
      <x:c r="I246" s="11" t="n">
        <x:f>IF(ISNUMBER(F246),2^F246-1,0)</x:f>
        <x:v>3</x:v>
      </x:c>
      <x:c r="J246" s="2" t="str">
        <x:v>Retained original 577</x:v>
      </x:c>
      <x:c r="K246" s="10" t="n">
        <x:v>7000</x:v>
      </x:c>
      <x:c r="L246" s="10" t="n">
        <x:v>5</x:v>
      </x:c>
      <x:c r="M246" s="10" t="n">
        <x:v>3800</x:v>
      </x:c>
      <x:c r="N246" s="2" t="str">
        <x:v>D26</x:v>
      </x:c>
      <x:c r="O246" s="2" t="str">
        <x:v>semi-detached house</x:v>
      </x:c>
      <x:c r="P246" s="2" t="str">
        <x:v>https://www.propertyguru.com.sg/listing/for-rent-springleaf-crescent-24019669</x:v>
      </x:c>
      <x:c r="Q246" s="12" t="str">
        <x:v>Hard requirements pass. area 3,800 sqft, SGD 7,000/month. A meaningful space-and-rent trade-off; other options offer more space or greater savings.</x:v>
      </x:c>
      <x:c r="R246" s="13"/>
    </x:row>
    <x:row r="247" ht="15" hidden="0" customHeight="1">
      <x:c r="A247" s="2" t="str">
        <x:v>S10|500241966</x:v>
      </x:c>
      <x:c r="B247" s="2" t="str">
        <x:v>S10</x:v>
      </x:c>
      <x:c r="C247" s="2" t="str">
        <x:v>500241966</x:v>
      </x:c>
      <x:c r="D247" s="2" t="n">
        <x:v>0</x:v>
      </x:c>
      <x:c r="E247" s="9"/>
      <x:c r="F247" s="2" t="n">
        <x:f>IF(E247="",D247,IF(E247="U","U",IF(AND(ISNUMBER(E247),E247&gt;=0,E247&lt;=3,INT(E247)=E247),E247,"Invalid")))</x:f>
        <x:v>0</x:v>
      </x:c>
      <x:c r="G247" s="2" t="n">
        <x:f>IF(ISNUMBER(F247),1,0)</x:f>
        <x:v>1</x:v>
      </x:c>
      <x:c r="H247" s="2" t="n">
        <x:f>IF(ISNUMBER(F247),IF(F247&gt;=2,1,0),0)</x:f>
        <x:v>0</x:v>
      </x:c>
      <x:c r="I247" s="11" t="n">
        <x:f>IF(ISNUMBER(F247),2^F247-1,0)</x:f>
        <x:v>0</x:v>
      </x:c>
      <x:c r="J247" s="2" t="str">
        <x:v>Retained original 577</x:v>
      </x:c>
      <x:c r="K247" s="10" t="n">
        <x:v>4799</x:v>
      </x:c>
      <x:c r="L247" s="10" t="n">
        <x:v>2</x:v>
      </x:c>
      <x:c r="M247" s="10" t="n">
        <x:v>1600</x:v>
      </x:c>
      <x:c r="N247" s="2" t="str">
        <x:v>D22</x:v>
      </x:c>
      <x:c r="O247" s="2" t="str">
        <x:v>semi-detached house</x:v>
      </x:c>
      <x:c r="P247" s="2" t="str">
        <x:v>https://www.propertyguru.com.sg/listing/for-rent-the-woods-500241966</x:v>
      </x:c>
      <x:c r="Q247" s="12" t="str">
        <x:v>Hard failure: Reported bedrooms 2; required &gt;= 3.</x:v>
      </x:c>
      <x:c r="R247" s="13"/>
    </x:row>
    <x:row r="248" ht="24" hidden="0" customHeight="1">
      <x:c r="A248" s="2" t="str">
        <x:v>S10|500285280</x:v>
      </x:c>
      <x:c r="B248" s="2" t="str">
        <x:v>S10</x:v>
      </x:c>
      <x:c r="C248" s="2" t="str">
        <x:v>500285280</x:v>
      </x:c>
      <x:c r="D248" s="2" t="n">
        <x:v>2</x:v>
      </x:c>
      <x:c r="E248" s="9"/>
      <x:c r="F248" s="2" t="n">
        <x:f>IF(E248="",D248,IF(E248="U","U",IF(AND(ISNUMBER(E248),E248&gt;=0,E248&lt;=3,INT(E248)=E248),E248,"Invalid")))</x:f>
        <x:v>2</x:v>
      </x:c>
      <x:c r="G248" s="2" t="n">
        <x:f>IF(ISNUMBER(F248),1,0)</x:f>
        <x:v>1</x:v>
      </x:c>
      <x:c r="H248" s="2" t="n">
        <x:f>IF(ISNUMBER(F248),IF(F248&gt;=2,1,0),0)</x:f>
        <x:v>1</x:v>
      </x:c>
      <x:c r="I248" s="11" t="n">
        <x:f>IF(ISNUMBER(F248),2^F248-1,0)</x:f>
        <x:v>3</x:v>
      </x:c>
      <x:c r="J248" s="2" t="str">
        <x:v>Retained original 577</x:v>
      </x:c>
      <x:c r="K248" s="10" t="n">
        <x:v>4000</x:v>
      </x:c>
      <x:c r="L248" s="10" t="n">
        <x:v>3</x:v>
      </x:c>
      <x:c r="M248" s="10" t="n">
        <x:v>2139</x:v>
      </x:c>
      <x:c r="N248" s="2" t="str">
        <x:v>D16</x:v>
      </x:c>
      <x:c r="O248" s="2" t="str">
        <x:v>terraced house</x:v>
      </x:c>
      <x:c r="P248" s="2" t="str">
        <x:v>https://www.propertyguru.com.sg/listing/for-rent-jalan-pari-kikis-500285280</x:v>
      </x:c>
      <x:c r="Q248" s="12" t="str">
        <x:v>Hard requirements pass. area 2,139 sqft, SGD 4,000/month. A meaningful space-and-rent trade-off; other options offer more space or greater savings.</x:v>
      </x:c>
      <x:c r="R248" s="13"/>
    </x:row>
    <x:row r="249" ht="15" hidden="0" customHeight="1">
      <x:c r="A249" s="2" t="str">
        <x:v>S10|500179180</x:v>
      </x:c>
      <x:c r="B249" s="2" t="str">
        <x:v>S10</x:v>
      </x:c>
      <x:c r="C249" s="2" t="str">
        <x:v>500179180</x:v>
      </x:c>
      <x:c r="D249" s="2" t="n">
        <x:v>0</x:v>
      </x:c>
      <x:c r="E249" s="9"/>
      <x:c r="F249" s="2" t="n">
        <x:f>IF(E249="",D249,IF(E249="U","U",IF(AND(ISNUMBER(E249),E249&gt;=0,E249&lt;=3,INT(E249)=E249),E249,"Invalid")))</x:f>
        <x:v>0</x:v>
      </x:c>
      <x:c r="G249" s="2" t="n">
        <x:f>IF(ISNUMBER(F249),1,0)</x:f>
        <x:v>1</x:v>
      </x:c>
      <x:c r="H249" s="2" t="n">
        <x:f>IF(ISNUMBER(F249),IF(F249&gt;=2,1,0),0)</x:f>
        <x:v>0</x:v>
      </x:c>
      <x:c r="I249" s="11" t="n">
        <x:f>IF(ISNUMBER(F249),2^F249-1,0)</x:f>
        <x:v>0</x:v>
      </x:c>
      <x:c r="J249" s="2" t="str">
        <x:v>Retained original 577</x:v>
      </x:c>
      <x:c r="K249" s="10" t="n">
        <x:v>7200</x:v>
      </x:c>
      <x:c r="L249" s="10" t="n">
        <x:v>3</x:v>
      </x:c>
      <x:c r="M249" s="10" t="n">
        <x:v>2756</x:v>
      </x:c>
      <x:c r="N249" s="2" t="str">
        <x:v>D28</x:v>
      </x:c>
      <x:c r="O249" s="2" t="str">
        <x:v>terraced house</x:v>
      </x:c>
      <x:c r="P249" s="2" t="str">
        <x:v>https://www.propertyguru.com.sg/listing/for-rent-alana-500179180</x:v>
      </x:c>
      <x:c r="Q249" s="12" t="str">
        <x:v>Hard failure: Rent (SGD/month) 7,200; required &lt;= 7,000.</x:v>
      </x:c>
      <x:c r="R249" s="13"/>
    </x:row>
    <x:row r="250" ht="24" hidden="0" customHeight="1">
      <x:c r="A250" s="2" t="str">
        <x:v>S10|500033395</x:v>
      </x:c>
      <x:c r="B250" s="2" t="str">
        <x:v>S10</x:v>
      </x:c>
      <x:c r="C250" s="2" t="str">
        <x:v>500033395</x:v>
      </x:c>
      <x:c r="D250" s="2" t="n">
        <x:v>3</x:v>
      </x:c>
      <x:c r="E250" s="9"/>
      <x:c r="F250" s="2" t="n">
        <x:f>IF(E250="",D250,IF(E250="U","U",IF(AND(ISNUMBER(E250),E250&gt;=0,E250&lt;=3,INT(E250)=E250),E250,"Invalid")))</x:f>
        <x:v>3</x:v>
      </x:c>
      <x:c r="G250" s="2" t="n">
        <x:f>IF(ISNUMBER(F250),1,0)</x:f>
        <x:v>1</x:v>
      </x:c>
      <x:c r="H250" s="2" t="n">
        <x:f>IF(ISNUMBER(F250),IF(F250&gt;=2,1,0),0)</x:f>
        <x:v>1</x:v>
      </x:c>
      <x:c r="I250" s="11" t="n">
        <x:f>IF(ISNUMBER(F250),2^F250-1,0)</x:f>
        <x:v>7</x:v>
      </x:c>
      <x:c r="J250" s="2" t="str">
        <x:v>Retained original 577</x:v>
      </x:c>
      <x:c r="K250" s="10" t="n">
        <x:v>6999</x:v>
      </x:c>
      <x:c r="L250" s="10" t="n">
        <x:v>3</x:v>
      </x:c>
      <x:c r="M250" s="10" t="n">
        <x:v>4188</x:v>
      </x:c>
      <x:c r="N250" s="2" t="str">
        <x:v>D19</x:v>
      </x:c>
      <x:c r="O250" s="2" t="str">
        <x:v>semi-detached house</x:v>
      </x:c>
      <x:c r="P250" s="2" t="str">
        <x:v>https://www.propertyguru.com.sg/listing/for-rent-serangoon-gardens-way-500033395</x:v>
      </x:c>
      <x:c r="Q250" s="12" t="str">
        <x:v>Hard requirements pass. area 4,188 sqft, SGD 6,999/month. Among the strongest reported-space choices, consistent with the space-first preference.</x:v>
      </x:c>
      <x:c r="R250" s="13"/>
    </x:row>
    <x:row r="251" ht="15" hidden="0" customHeight="1">
      <x:c r="A251" s="2" t="str">
        <x:v>S10|500176648</x:v>
      </x:c>
      <x:c r="B251" s="2" t="str">
        <x:v>S10</x:v>
      </x:c>
      <x:c r="C251" s="2" t="str">
        <x:v>500176648</x:v>
      </x:c>
      <x:c r="D251" s="2" t="n">
        <x:v>0</x:v>
      </x:c>
      <x:c r="E251" s="9"/>
      <x:c r="F251" s="2" t="n">
        <x:f>IF(E251="",D251,IF(E251="U","U",IF(AND(ISNUMBER(E251),E251&gt;=0,E251&lt;=3,INT(E251)=E251),E251,"Invalid")))</x:f>
        <x:v>0</x:v>
      </x:c>
      <x:c r="G251" s="2" t="n">
        <x:f>IF(ISNUMBER(F251),1,0)</x:f>
        <x:v>1</x:v>
      </x:c>
      <x:c r="H251" s="2" t="n">
        <x:f>IF(ISNUMBER(F251),IF(F251&gt;=2,1,0),0)</x:f>
        <x:v>0</x:v>
      </x:c>
      <x:c r="I251" s="11" t="n">
        <x:f>IF(ISNUMBER(F251),2^F251-1,0)</x:f>
        <x:v>0</x:v>
      </x:c>
      <x:c r="J251" s="2" t="str">
        <x:v>Retained original 577</x:v>
      </x:c>
      <x:c r="K251" s="10" t="n">
        <x:v>3400</x:v>
      </x:c>
      <x:c r="L251" s="10" t="n">
        <x:v>2</x:v>
      </x:c>
      <x:c r="M251" s="10" t="n">
        <x:v>900</x:v>
      </x:c>
      <x:c r="N251" s="2" t="str">
        <x:v>D19</x:v>
      </x:c>
      <x:c r="O251" s="2" t="str">
        <x:v>terraced house</x:v>
      </x:c>
      <x:c r="P251" s="2" t="str">
        <x:v>https://www.propertyguru.com.sg/listing/for-rent-serangoon-garden-estate-500176648</x:v>
      </x:c>
      <x:c r="Q251" s="12" t="str">
        <x:v>Hard failure: Reported bedrooms 2; required &gt;= 3.</x:v>
      </x:c>
      <x:c r="R251" s="13"/>
    </x:row>
    <x:row r="252" ht="15" hidden="0" customHeight="1">
      <x:c r="A252" s="2" t="str">
        <x:v>S10|500236876</x:v>
      </x:c>
      <x:c r="B252" s="2" t="str">
        <x:v>S10</x:v>
      </x:c>
      <x:c r="C252" s="2" t="str">
        <x:v>500236876</x:v>
      </x:c>
      <x:c r="D252" s="2" t="str">
        <x:v>U</x:v>
      </x:c>
      <x:c r="E252" s="9"/>
      <x:c r="F252" s="2" t="str">
        <x:f>IF(E252="",D252,IF(E252="U","U",IF(AND(ISNUMBER(E252),E252&gt;=0,E252&lt;=3,INT(E252)=E252),E252,"Invalid")))</x:f>
        <x:v>U</x:v>
      </x:c>
      <x:c r="G252" s="2" t="n">
        <x:f>IF(ISNUMBER(F252),1,0)</x:f>
        <x:v>0</x:v>
      </x:c>
      <x:c r="H252" s="2" t="n">
        <x:f>IF(ISNUMBER(F252),IF(F252&gt;=2,1,0),0)</x:f>
        <x:v>0</x:v>
      </x:c>
      <x:c r="I252" s="11" t="n">
        <x:f>IF(ISNUMBER(F252),2^F252-1,0)</x:f>
        <x:v>0</x:v>
      </x:c>
      <x:c r="J252" s="2" t="str">
        <x:v>Retained original 577</x:v>
      </x:c>
      <x:c r="K252" s="10" t="n">
        <x:v>2300</x:v>
      </x:c>
      <x:c r="L252" s="10"/>
      <x:c r="M252" s="10" t="n">
        <x:v>400</x:v>
      </x:c>
      <x:c r="N252" s="2" t="str">
        <x:v>D18</x:v>
      </x:c>
      <x:c r="O252" s="2" t="str">
        <x:v>terraced house</x:v>
      </x:c>
      <x:c r="P252" s="2" t="str">
        <x:v>https://www.propertyguru.com.sg/listing/for-rent-pasir-ris-studios-500236876</x:v>
      </x:c>
      <x:c r="Q252" s="12" t="str">
        <x:v>No known hard failure. Cannot verify: reported bedrooms.</x:v>
      </x:c>
      <x:c r="R252" s="13"/>
    </x:row>
    <x:row r="253" ht="24" hidden="0" customHeight="1">
      <x:c r="A253" s="2" t="str">
        <x:v>S10|500228379</x:v>
      </x:c>
      <x:c r="B253" s="2" t="str">
        <x:v>S10</x:v>
      </x:c>
      <x:c r="C253" s="2" t="str">
        <x:v>500228379</x:v>
      </x:c>
      <x:c r="D253" s="2" t="n">
        <x:v>3</x:v>
      </x:c>
      <x:c r="E253" s="9"/>
      <x:c r="F253" s="2" t="n">
        <x:f>IF(E253="",D253,IF(E253="U","U",IF(AND(ISNUMBER(E253),E253&gt;=0,E253&lt;=3,INT(E253)=E253),E253,"Invalid")))</x:f>
        <x:v>3</x:v>
      </x:c>
      <x:c r="G253" s="2" t="n">
        <x:f>IF(ISNUMBER(F253),1,0)</x:f>
        <x:v>1</x:v>
      </x:c>
      <x:c r="H253" s="2" t="n">
        <x:f>IF(ISNUMBER(F253),IF(F253&gt;=2,1,0),0)</x:f>
        <x:v>1</x:v>
      </x:c>
      <x:c r="I253" s="11" t="n">
        <x:f>IF(ISNUMBER(F253),2^F253-1,0)</x:f>
        <x:v>7</x:v>
      </x:c>
      <x:c r="J253" s="2" t="str">
        <x:v>Retained original 577</x:v>
      </x:c>
      <x:c r="K253" s="10" t="n">
        <x:v>6999</x:v>
      </x:c>
      <x:c r="L253" s="10" t="n">
        <x:v>6</x:v>
      </x:c>
      <x:c r="M253" s="10" t="n">
        <x:v>5000</x:v>
      </x:c>
      <x:c r="N253" s="2" t="str">
        <x:v>D19</x:v>
      </x:c>
      <x:c r="O253" s="2" t="str">
        <x:v>semi-detached house</x:v>
      </x:c>
      <x:c r="P253" s="2" t="str">
        <x:v>https://www.propertyguru.com.sg/listing/for-rent-tai-yuan-garden-500228379</x:v>
      </x:c>
      <x:c r="Q253" s="12" t="str">
        <x:v>Hard requirements pass. area 5,000 sqft, SGD 6,999/month. Among the strongest reported-space choices, consistent with the space-first preference.</x:v>
      </x:c>
      <x:c r="R253" s="13"/>
    </x:row>
    <x:row r="254" ht="15" hidden="0" customHeight="1">
      <x:c r="A254" s="2" t="str">
        <x:v>S10|500241474</x:v>
      </x:c>
      <x:c r="B254" s="2" t="str">
        <x:v>S10</x:v>
      </x:c>
      <x:c r="C254" s="2" t="str">
        <x:v>500241474</x:v>
      </x:c>
      <x:c r="D254" s="2" t="str">
        <x:v>U</x:v>
      </x:c>
      <x:c r="E254" s="9"/>
      <x:c r="F254" s="2" t="str">
        <x:f>IF(E254="",D254,IF(E254="U","U",IF(AND(ISNUMBER(E254),E254&gt;=0,E254&lt;=3,INT(E254)=E254),E254,"Invalid")))</x:f>
        <x:v>U</x:v>
      </x:c>
      <x:c r="G254" s="2" t="n">
        <x:f>IF(ISNUMBER(F254),1,0)</x:f>
        <x:v>0</x:v>
      </x:c>
      <x:c r="H254" s="2" t="n">
        <x:f>IF(ISNUMBER(F254),IF(F254&gt;=2,1,0),0)</x:f>
        <x:v>0</x:v>
      </x:c>
      <x:c r="I254" s="11" t="n">
        <x:f>IF(ISNUMBER(F254),2^F254-1,0)</x:f>
        <x:v>0</x:v>
      </x:c>
      <x:c r="J254" s="2" t="str">
        <x:v>Retained original 577</x:v>
      </x:c>
      <x:c r="K254" s="10" t="n">
        <x:v>2650</x:v>
      </x:c>
      <x:c r="L254" s="10"/>
      <x:c r="M254" s="10" t="n">
        <x:v>240</x:v>
      </x:c>
      <x:c r="N254" s="2" t="str">
        <x:v>D18</x:v>
      </x:c>
      <x:c r="O254" s="2" t="str">
        <x:v>terraced house</x:v>
      </x:c>
      <x:c r="P254" s="2" t="str">
        <x:v>https://www.propertyguru.com.sg/listing/for-rent-coliwoo-resort-changi-resort-chalet-studio-beach-view-500241474</x:v>
      </x:c>
      <x:c r="Q254" s="12" t="str">
        <x:v>No known hard failure. Cannot verify: reported bedrooms.</x:v>
      </x:c>
      <x:c r="R254" s="13"/>
    </x:row>
    <x:row r="255" ht="24" hidden="0" customHeight="1">
      <x:c r="A255" s="2" t="str">
        <x:v>S10|24872268</x:v>
      </x:c>
      <x:c r="B255" s="2" t="str">
        <x:v>S10</x:v>
      </x:c>
      <x:c r="C255" s="2" t="str">
        <x:v>24872268</x:v>
      </x:c>
      <x:c r="D255" s="2" t="n">
        <x:v>2</x:v>
      </x:c>
      <x:c r="E255" s="9"/>
      <x:c r="F255" s="2" t="n">
        <x:f>IF(E255="",D255,IF(E255="U","U",IF(AND(ISNUMBER(E255),E255&gt;=0,E255&lt;=3,INT(E255)=E255),E255,"Invalid")))</x:f>
        <x:v>2</x:v>
      </x:c>
      <x:c r="G255" s="2" t="n">
        <x:f>IF(ISNUMBER(F255),1,0)</x:f>
        <x:v>1</x:v>
      </x:c>
      <x:c r="H255" s="2" t="n">
        <x:f>IF(ISNUMBER(F255),IF(F255&gt;=2,1,0),0)</x:f>
        <x:v>1</x:v>
      </x:c>
      <x:c r="I255" s="11" t="n">
        <x:f>IF(ISNUMBER(F255),2^F255-1,0)</x:f>
        <x:v>3</x:v>
      </x:c>
      <x:c r="J255" s="2" t="str">
        <x:v>Retained original 577</x:v>
      </x:c>
      <x:c r="K255" s="10" t="n">
        <x:v>6500</x:v>
      </x:c>
      <x:c r="L255" s="10" t="n">
        <x:v>3</x:v>
      </x:c>
      <x:c r="M255" s="10" t="n">
        <x:v>2400</x:v>
      </x:c>
      <x:c r="N255" s="2" t="str">
        <x:v>D17</x:v>
      </x:c>
      <x:c r="O255" s="2" t="str">
        <x:v>terraced house</x:v>
      </x:c>
      <x:c r="P255" s="2" t="str">
        <x:v>https://www.propertyguru.com.sg/listing/for-rent-toh-estate-24872268</x:v>
      </x:c>
      <x:c r="Q255" s="12" t="str">
        <x:v>Hard requirements pass. area 2,400 sqft, SGD 6,500/month. A meaningful space-and-rent trade-off; other options offer more space or greater savings.</x:v>
      </x:c>
      <x:c r="R255" s="13"/>
    </x:row>
    <x:row r="256" ht="15" hidden="0" customHeight="1">
      <x:c r="A256" s="2" t="str">
        <x:v>S11|60140447</x:v>
      </x:c>
      <x:c r="B256" s="2" t="str">
        <x:v>S11</x:v>
      </x:c>
      <x:c r="C256" s="2" t="str">
        <x:v>60140447</x:v>
      </x:c>
      <x:c r="D256" s="2" t="n">
        <x:v>0</x:v>
      </x:c>
      <x:c r="E256" s="9"/>
      <x:c r="F256" s="2" t="n">
        <x:f>IF(E256="",D256,IF(E256="U","U",IF(AND(ISNUMBER(E256),E256&gt;=0,E256&lt;=3,INT(E256)=E256),E256,"Invalid")))</x:f>
        <x:v>0</x:v>
      </x:c>
      <x:c r="G256" s="2" t="n">
        <x:f>IF(ISNUMBER(F256),1,0)</x:f>
        <x:v>1</x:v>
      </x:c>
      <x:c r="H256" s="2" t="n">
        <x:f>IF(ISNUMBER(F256),IF(F256&gt;=2,1,0),0)</x:f>
        <x:v>0</x:v>
      </x:c>
      <x:c r="I256" s="11" t="n">
        <x:f>IF(ISNUMBER(F256),2^F256-1,0)</x:f>
        <x:v>0</x:v>
      </x:c>
      <x:c r="J256" s="2" t="str">
        <x:v>Retained original 577</x:v>
      </x:c>
      <x:c r="K256" s="10" t="n">
        <x:v>3200</x:v>
      </x:c>
      <x:c r="L256" s="10" t="n">
        <x:v>2</x:v>
      </x:c>
      <x:c r="M256" s="10" t="n">
        <x:v>650</x:v>
      </x:c>
      <x:c r="N256" s="2" t="str">
        <x:v>D03</x:v>
      </x:c>
      <x:c r="O256" s="2" t="str">
        <x:v>hdb flat</x:v>
      </x:c>
      <x:c r="P256" s="2" t="str">
        <x:v>https://www.propertyguru.com.sg/listing/hdb-for-rent-171-stirling-road-60140447</x:v>
      </x:c>
      <x:c r="Q256" s="12" t="str">
        <x:v>Hard failure: NUS straight-line distance (m) 3,005.56; required &lt;= 3,000.</x:v>
      </x:c>
      <x:c r="R256" s="13"/>
    </x:row>
    <x:row r="257" ht="15" hidden="0" customHeight="1">
      <x:c r="A257" s="2" t="str">
        <x:v>S11|500199914</x:v>
      </x:c>
      <x:c r="B257" s="2" t="str">
        <x:v>S11</x:v>
      </x:c>
      <x:c r="C257" s="2" t="str">
        <x:v>500199914</x:v>
      </x:c>
      <x:c r="D257" s="2" t="n">
        <x:v>0</x:v>
      </x:c>
      <x:c r="E257" s="9"/>
      <x:c r="F257" s="2" t="n">
        <x:f>IF(E257="",D257,IF(E257="U","U",IF(AND(ISNUMBER(E257),E257&gt;=0,E257&lt;=3,INT(E257)=E257),E257,"Invalid")))</x:f>
        <x:v>0</x:v>
      </x:c>
      <x:c r="G257" s="2" t="n">
        <x:f>IF(ISNUMBER(F257),1,0)</x:f>
        <x:v>1</x:v>
      </x:c>
      <x:c r="H257" s="2" t="n">
        <x:f>IF(ISNUMBER(F257),IF(F257&gt;=2,1,0),0)</x:f>
        <x:v>0</x:v>
      </x:c>
      <x:c r="I257" s="11" t="n">
        <x:f>IF(ISNUMBER(F257),2^F257-1,0)</x:f>
        <x:v>0</x:v>
      </x:c>
      <x:c r="J257" s="2" t="str">
        <x:v>Retained original 577</x:v>
      </x:c>
      <x:c r="K257" s="10" t="n">
        <x:v>3530</x:v>
      </x:c>
      <x:c r="L257" s="10" t="n">
        <x:v>2</x:v>
      </x:c>
      <x:c r="M257" s="10" t="n">
        <x:v>775</x:v>
      </x:c>
      <x:c r="N257" s="2" t="str">
        <x:v>D19</x:v>
      </x:c>
      <x:c r="O257" s="2" t="str">
        <x:v>condominium</x:v>
      </x:c>
      <x:c r="P257" s="2" t="str">
        <x:v>https://www.propertyguru.com.sg/listing/for-rent-a-treasure-trove-500199914</x:v>
      </x:c>
      <x:c r="Q257" s="12" t="str">
        <x:v>Hard failure: Rent (SGD/month) 3,530; required &lt;= 3,500.</x:v>
      </x:c>
      <x:c r="R257" s="13"/>
    </x:row>
    <x:row r="258" ht="24" hidden="0" customHeight="1">
      <x:c r="A258" s="2" t="str">
        <x:v>S11|24194570</x:v>
      </x:c>
      <x:c r="B258" s="2" t="str">
        <x:v>S11</x:v>
      </x:c>
      <x:c r="C258" s="2" t="str">
        <x:v>24194570</x:v>
      </x:c>
      <x:c r="D258" s="2" t="n">
        <x:v>2</x:v>
      </x:c>
      <x:c r="E258" s="9"/>
      <x:c r="F258" s="2" t="n">
        <x:f>IF(E258="",D258,IF(E258="U","U",IF(AND(ISNUMBER(E258),E258&gt;=0,E258&lt;=3,INT(E258)=E258),E258,"Invalid")))</x:f>
        <x:v>2</x:v>
      </x:c>
      <x:c r="G258" s="2" t="n">
        <x:f>IF(ISNUMBER(F258),1,0)</x:f>
        <x:v>1</x:v>
      </x:c>
      <x:c r="H258" s="2" t="n">
        <x:f>IF(ISNUMBER(F258),IF(F258&gt;=2,1,0),0)</x:f>
        <x:v>1</x:v>
      </x:c>
      <x:c r="I258" s="11" t="n">
        <x:f>IF(ISNUMBER(F258),2^F258-1,0)</x:f>
        <x:v>3</x:v>
      </x:c>
      <x:c r="J258" s="2" t="str">
        <x:v>Retained original 577</x:v>
      </x:c>
      <x:c r="K258" s="10" t="n">
        <x:v>3300</x:v>
      </x:c>
      <x:c r="L258" s="10" t="n">
        <x:v>2</x:v>
      </x:c>
      <x:c r="M258" s="10" t="n">
        <x:v>721</x:v>
      </x:c>
      <x:c r="N258" s="2" t="str">
        <x:v>D05</x:v>
      </x:c>
      <x:c r="O258" s="2" t="str">
        <x:v>hdb flat</x:v>
      </x:c>
      <x:c r="P258" s="2" t="str">
        <x:v>https://www.propertyguru.com.sg/listing/hdb-for-rent-729-clementi-west-street-2-24194570</x:v>
      </x:c>
      <x:c r="Q258" s="12" t="str">
        <x:v>Hard requirements pass. NUS 1,833.68 m straight-line, SGD 3,300/month. A moderate distance trade-off compared with the closest options.</x:v>
      </x:c>
      <x:c r="R258" s="13"/>
    </x:row>
    <x:row r="259" ht="24" hidden="0" customHeight="1">
      <x:c r="A259" s="2" t="str">
        <x:v>S11|500286637</x:v>
      </x:c>
      <x:c r="B259" s="2" t="str">
        <x:v>S11</x:v>
      </x:c>
      <x:c r="C259" s="2" t="str">
        <x:v>500286637</x:v>
      </x:c>
      <x:c r="D259" s="2" t="n">
        <x:v>1</x:v>
      </x:c>
      <x:c r="E259" s="9"/>
      <x:c r="F259" s="2" t="n">
        <x:f>IF(E259="",D259,IF(E259="U","U",IF(AND(ISNUMBER(E259),E259&gt;=0,E259&lt;=3,INT(E259)=E259),E259,"Invalid")))</x:f>
        <x:v>1</x:v>
      </x:c>
      <x:c r="G259" s="2" t="n">
        <x:f>IF(ISNUMBER(F259),1,0)</x:f>
        <x:v>1</x:v>
      </x:c>
      <x:c r="H259" s="2" t="n">
        <x:f>IF(ISNUMBER(F259),IF(F259&gt;=2,1,0),0)</x:f>
        <x:v>0</x:v>
      </x:c>
      <x:c r="I259" s="11" t="n">
        <x:f>IF(ISNUMBER(F259),2^F259-1,0)</x:f>
        <x:v>1</x:v>
      </x:c>
      <x:c r="J259" s="2" t="str">
        <x:v>Retained original 577</x:v>
      </x:c>
      <x:c r="K259" s="10" t="n">
        <x:v>3200</x:v>
      </x:c>
      <x:c r="L259" s="10" t="n">
        <x:v>2</x:v>
      </x:c>
      <x:c r="M259" s="10" t="n">
        <x:v>732</x:v>
      </x:c>
      <x:c r="N259" s="2" t="str">
        <x:v>D05</x:v>
      </x:c>
      <x:c r="O259" s="2" t="str">
        <x:v>hdb flat</x:v>
      </x:c>
      <x:c r="P259" s="2" t="str">
        <x:v>https://www.propertyguru.com.sg/listing/hdb-for-rent-375-clementi-avenue-4-500286637</x:v>
      </x:c>
      <x:c r="Q259" s="12" t="str">
        <x:v>Hard requirements pass. NUS 2,746.39 m straight-line, SGD 3,200/month. Within the hard radius, but near its outer part with limited rent advantage.</x:v>
      </x:c>
      <x:c r="R259" s="13"/>
    </x:row>
    <x:row r="260" ht="24" hidden="0" customHeight="1">
      <x:c r="A260" s="2" t="str">
        <x:v>S11|20028481</x:v>
      </x:c>
      <x:c r="B260" s="2" t="str">
        <x:v>S11</x:v>
      </x:c>
      <x:c r="C260" s="2" t="str">
        <x:v>20028481</x:v>
      </x:c>
      <x:c r="D260" s="2" t="n">
        <x:v>1</x:v>
      </x:c>
      <x:c r="E260" s="9"/>
      <x:c r="F260" s="2" t="n">
        <x:f>IF(E260="",D260,IF(E260="U","U",IF(AND(ISNUMBER(E260),E260&gt;=0,E260&lt;=3,INT(E260)=E260),E260,"Invalid")))</x:f>
        <x:v>1</x:v>
      </x:c>
      <x:c r="G260" s="2" t="n">
        <x:f>IF(ISNUMBER(F260),1,0)</x:f>
        <x:v>1</x:v>
      </x:c>
      <x:c r="H260" s="2" t="n">
        <x:f>IF(ISNUMBER(F260),IF(F260&gt;=2,1,0),0)</x:f>
        <x:v>0</x:v>
      </x:c>
      <x:c r="I260" s="11" t="n">
        <x:f>IF(ISNUMBER(F260),2^F260-1,0)</x:f>
        <x:v>1</x:v>
      </x:c>
      <x:c r="J260" s="2" t="str">
        <x:v>Retained original 577</x:v>
      </x:c>
      <x:c r="K260" s="10" t="n">
        <x:v>3449</x:v>
      </x:c>
      <x:c r="L260" s="10" t="n">
        <x:v>2</x:v>
      </x:c>
      <x:c r="M260" s="10" t="n">
        <x:v>732</x:v>
      </x:c>
      <x:c r="N260" s="2" t="str">
        <x:v>D03</x:v>
      </x:c>
      <x:c r="O260" s="2" t="str">
        <x:v>hdb flat</x:v>
      </x:c>
      <x:c r="P260" s="2" t="str">
        <x:v>https://www.propertyguru.com.sg/listing/hdb-for-rent-97-commonwealth-crescent-20028481</x:v>
      </x:c>
      <x:c r="Q260" s="12" t="str">
        <x:v>Hard requirements pass. NUS 2,891.22 m straight-line, SGD 3,449/month. Within the hard radius, but near its outer part with limited rent advantage.</x:v>
      </x:c>
      <x:c r="R260" s="13"/>
    </x:row>
    <x:row r="261" ht="24" hidden="0" customHeight="1">
      <x:c r="A261" s="2" t="str">
        <x:v>S11|20945749</x:v>
      </x:c>
      <x:c r="B261" s="2" t="str">
        <x:v>S11</x:v>
      </x:c>
      <x:c r="C261" s="2" t="str">
        <x:v>20945749</x:v>
      </x:c>
      <x:c r="D261" s="2" t="n">
        <x:v>3</x:v>
      </x:c>
      <x:c r="E261" s="9"/>
      <x:c r="F261" s="2" t="n">
        <x:f>IF(E261="",D261,IF(E261="U","U",IF(AND(ISNUMBER(E261),E261&gt;=0,E261&lt;=3,INT(E261)=E261),E261,"Invalid")))</x:f>
        <x:v>3</x:v>
      </x:c>
      <x:c r="G261" s="2" t="n">
        <x:f>IF(ISNUMBER(F261),1,0)</x:f>
        <x:v>1</x:v>
      </x:c>
      <x:c r="H261" s="2" t="n">
        <x:f>IF(ISNUMBER(F261),IF(F261&gt;=2,1,0),0)</x:f>
        <x:v>1</x:v>
      </x:c>
      <x:c r="I261" s="11" t="n">
        <x:f>IF(ISNUMBER(F261),2^F261-1,0)</x:f>
        <x:v>7</x:v>
      </x:c>
      <x:c r="J261" s="2" t="str">
        <x:v>Retained original 577</x:v>
      </x:c>
      <x:c r="K261" s="10" t="n">
        <x:v>3200</x:v>
      </x:c>
      <x:c r="L261" s="10" t="n">
        <x:v>2</x:v>
      </x:c>
      <x:c r="M261" s="10" t="n">
        <x:v>700</x:v>
      </x:c>
      <x:c r="N261" s="2" t="str">
        <x:v>D05</x:v>
      </x:c>
      <x:c r="O261" s="2" t="str">
        <x:v>hdb flat</x:v>
      </x:c>
      <x:c r="P261" s="2" t="str">
        <x:v>https://www.propertyguru.com.sg/listing/hdb-for-rent-1-dover-road-20945749</x:v>
      </x:c>
      <x:c r="Q261" s="12" t="str">
        <x:v>Hard requirements pass. NUS 960.69 m straight-line, SGD 3,200/month. Among the closer verified options, consistent with giving proximity priority.</x:v>
      </x:c>
      <x:c r="R261" s="13"/>
    </x:row>
    <x:row r="262" ht="24" hidden="0" customHeight="1">
      <x:c r="A262" s="2" t="str">
        <x:v>S11|21406855</x:v>
      </x:c>
      <x:c r="B262" s="2" t="str">
        <x:v>S11</x:v>
      </x:c>
      <x:c r="C262" s="2" t="str">
        <x:v>21406855</x:v>
      </x:c>
      <x:c r="D262" s="2" t="n">
        <x:v>3</x:v>
      </x:c>
      <x:c r="E262" s="9"/>
      <x:c r="F262" s="2" t="n">
        <x:f>IF(E262="",D262,IF(E262="U","U",IF(AND(ISNUMBER(E262),E262&gt;=0,E262&lt;=3,INT(E262)=E262),E262,"Invalid")))</x:f>
        <x:v>3</x:v>
      </x:c>
      <x:c r="G262" s="2" t="n">
        <x:f>IF(ISNUMBER(F262),1,0)</x:f>
        <x:v>1</x:v>
      </x:c>
      <x:c r="H262" s="2" t="n">
        <x:f>IF(ISNUMBER(F262),IF(F262&gt;=2,1,0),0)</x:f>
        <x:v>1</x:v>
      </x:c>
      <x:c r="I262" s="11" t="n">
        <x:f>IF(ISNUMBER(F262),2^F262-1,0)</x:f>
        <x:v>7</x:v>
      </x:c>
      <x:c r="J262" s="2" t="str">
        <x:v>Retained original 577</x:v>
      </x:c>
      <x:c r="K262" s="10" t="n">
        <x:v>3300</x:v>
      </x:c>
      <x:c r="L262" s="10" t="n">
        <x:v>3</x:v>
      </x:c>
      <x:c r="M262" s="10" t="n">
        <x:v>700</x:v>
      </x:c>
      <x:c r="N262" s="2" t="str">
        <x:v>D05</x:v>
      </x:c>
      <x:c r="O262" s="2" t="str">
        <x:v>hdb flat</x:v>
      </x:c>
      <x:c r="P262" s="2" t="str">
        <x:v>https://www.propertyguru.com.sg/listing/hdb-for-rent-21-dover-crescent-21406855</x:v>
      </x:c>
      <x:c r="Q262" s="12" t="str">
        <x:v>Hard requirements pass. NUS 1,429.8 m straight-line, SGD 3,300/month. Among the closer verified options, consistent with giving proximity priority.</x:v>
      </x:c>
      <x:c r="R262" s="13"/>
    </x:row>
    <x:row r="263" ht="15" hidden="0" customHeight="1">
      <x:c r="A263" s="2" t="str">
        <x:v>S11|25230424</x:v>
      </x:c>
      <x:c r="B263" s="2" t="str">
        <x:v>S11</x:v>
      </x:c>
      <x:c r="C263" s="2" t="str">
        <x:v>25230424</x:v>
      </x:c>
      <x:c r="D263" s="2" t="str">
        <x:v>U</x:v>
      </x:c>
      <x:c r="E263" s="9"/>
      <x:c r="F263" s="2" t="str">
        <x:f>IF(E263="",D263,IF(E263="U","U",IF(AND(ISNUMBER(E263),E263&gt;=0,E263&lt;=3,INT(E263)=E263),E263,"Invalid")))</x:f>
        <x:v>U</x:v>
      </x:c>
      <x:c r="G263" s="2" t="n">
        <x:f>IF(ISNUMBER(F263),1,0)</x:f>
        <x:v>0</x:v>
      </x:c>
      <x:c r="H263" s="2" t="n">
        <x:f>IF(ISNUMBER(F263),IF(F263&gt;=2,1,0),0)</x:f>
        <x:v>0</x:v>
      </x:c>
      <x:c r="I263" s="11" t="n">
        <x:f>IF(ISNUMBER(F263),2^F263-1,0)</x:f>
        <x:v>0</x:v>
      </x:c>
      <x:c r="J263" s="2" t="str">
        <x:v>Retained original 577</x:v>
      </x:c>
      <x:c r="K263" s="10" t="n">
        <x:v>3500</x:v>
      </x:c>
      <x:c r="L263" s="10" t="n">
        <x:v>2</x:v>
      </x:c>
      <x:c r="M263" s="10" t="n">
        <x:v>764</x:v>
      </x:c>
      <x:c r="N263" s="2" t="str">
        <x:v>D18</x:v>
      </x:c>
      <x:c r="O263" s="2" t="str">
        <x:v>condominium</x:v>
      </x:c>
      <x:c r="P263" s="2" t="str">
        <x:v>https://www.propertyguru.com.sg/listing/for-rent-nv-residences-25230424</x:v>
      </x:c>
      <x:c r="Q263" s="12" t="str">
        <x:v>No known hard failure. Cannot verify: nus straight-line distance (m).</x:v>
      </x:c>
      <x:c r="R263" s="13"/>
    </x:row>
    <x:row r="264" ht="24" hidden="0" customHeight="1">
      <x:c r="A264" s="2" t="str">
        <x:v>S11|23927224</x:v>
      </x:c>
      <x:c r="B264" s="2" t="str">
        <x:v>S11</x:v>
      </x:c>
      <x:c r="C264" s="2" t="str">
        <x:v>23927224</x:v>
      </x:c>
      <x:c r="D264" s="2" t="n">
        <x:v>3</x:v>
      </x:c>
      <x:c r="E264" s="9"/>
      <x:c r="F264" s="2" t="n">
        <x:f>IF(E264="",D264,IF(E264="U","U",IF(AND(ISNUMBER(E264),E264&gt;=0,E264&lt;=3,INT(E264)=E264),E264,"Invalid")))</x:f>
        <x:v>3</x:v>
      </x:c>
      <x:c r="G264" s="2" t="n">
        <x:f>IF(ISNUMBER(F264),1,0)</x:f>
        <x:v>1</x:v>
      </x:c>
      <x:c r="H264" s="2" t="n">
        <x:f>IF(ISNUMBER(F264),IF(F264&gt;=2,1,0),0)</x:f>
        <x:v>1</x:v>
      </x:c>
      <x:c r="I264" s="11" t="n">
        <x:f>IF(ISNUMBER(F264),2^F264-1,0)</x:f>
        <x:v>7</x:v>
      </x:c>
      <x:c r="J264" s="2" t="str">
        <x:v>Retained original 577</x:v>
      </x:c>
      <x:c r="K264" s="10" t="n">
        <x:v>3300</x:v>
      </x:c>
      <x:c r="L264" s="10" t="n">
        <x:v>2</x:v>
      </x:c>
      <x:c r="M264" s="10" t="n">
        <x:v>797</x:v>
      </x:c>
      <x:c r="N264" s="2" t="str">
        <x:v>D05</x:v>
      </x:c>
      <x:c r="O264" s="2" t="str">
        <x:v>hdb flat</x:v>
      </x:c>
      <x:c r="P264" s="2" t="str">
        <x:v>https://www.propertyguru.com.sg/listing/hdb-for-rent-610-clementi-west-street-1-23927224</x:v>
      </x:c>
      <x:c r="Q264" s="12" t="str">
        <x:v>Hard requirements pass. NUS 1,386.22 m straight-line, SGD 3,300/month. Among the closer verified options, consistent with giving proximity priority.</x:v>
      </x:c>
      <x:c r="R264" s="13"/>
    </x:row>
    <x:row r="265" ht="24" hidden="0" customHeight="1">
      <x:c r="A265" s="2" t="str">
        <x:v>S11|18601320</x:v>
      </x:c>
      <x:c r="B265" s="2" t="str">
        <x:v>S11</x:v>
      </x:c>
      <x:c r="C265" s="2" t="str">
        <x:v>18601320</x:v>
      </x:c>
      <x:c r="D265" s="2" t="n">
        <x:v>1</x:v>
      </x:c>
      <x:c r="E265" s="9"/>
      <x:c r="F265" s="2" t="n">
        <x:f>IF(E265="",D265,IF(E265="U","U",IF(AND(ISNUMBER(E265),E265&gt;=0,E265&lt;=3,INT(E265)=E265),E265,"Invalid")))</x:f>
        <x:v>1</x:v>
      </x:c>
      <x:c r="G265" s="2" t="n">
        <x:f>IF(ISNUMBER(F265),1,0)</x:f>
        <x:v>1</x:v>
      </x:c>
      <x:c r="H265" s="2" t="n">
        <x:f>IF(ISNUMBER(F265),IF(F265&gt;=2,1,0),0)</x:f>
        <x:v>0</x:v>
      </x:c>
      <x:c r="I265" s="11" t="n">
        <x:f>IF(ISNUMBER(F265),2^F265-1,0)</x:f>
        <x:v>1</x:v>
      </x:c>
      <x:c r="J265" s="2" t="str">
        <x:v>Retained original 577</x:v>
      </x:c>
      <x:c r="K265" s="10" t="n">
        <x:v>3300</x:v>
      </x:c>
      <x:c r="L265" s="10" t="n">
        <x:v>2</x:v>
      </x:c>
      <x:c r="M265" s="10" t="n">
        <x:v>635</x:v>
      </x:c>
      <x:c r="N265" s="2" t="str">
        <x:v>D03</x:v>
      </x:c>
      <x:c r="O265" s="2" t="str">
        <x:v>hdb flat</x:v>
      </x:c>
      <x:c r="P265" s="2" t="str">
        <x:v>https://www.propertyguru.com.sg/listing/hdb-for-rent-100-commonwealth-crescent-18601320</x:v>
      </x:c>
      <x:c r="Q265" s="12" t="str">
        <x:v>Hard requirements pass. NUS 2,945.14 m straight-line, SGD 3,300/month. Within the hard radius, but near its outer part with limited rent advantage.</x:v>
      </x:c>
      <x:c r="R265" s="13"/>
    </x:row>
    <x:row r="266" ht="24" hidden="0" customHeight="1">
      <x:c r="A266" s="2" t="str">
        <x:v>S11|500188597</x:v>
      </x:c>
      <x:c r="B266" s="2" t="str">
        <x:v>S11</x:v>
      </x:c>
      <x:c r="C266" s="2" t="str">
        <x:v>500188597</x:v>
      </x:c>
      <x:c r="D266" s="2" t="n">
        <x:v>1</x:v>
      </x:c>
      <x:c r="E266" s="9"/>
      <x:c r="F266" s="2" t="n">
        <x:f>IF(E266="",D266,IF(E266="U","U",IF(AND(ISNUMBER(E266),E266&gt;=0,E266&lt;=3,INT(E266)=E266),E266,"Invalid")))</x:f>
        <x:v>1</x:v>
      </x:c>
      <x:c r="G266" s="2" t="n">
        <x:f>IF(ISNUMBER(F266),1,0)</x:f>
        <x:v>1</x:v>
      </x:c>
      <x:c r="H266" s="2" t="n">
        <x:f>IF(ISNUMBER(F266),IF(F266&gt;=2,1,0),0)</x:f>
        <x:v>0</x:v>
      </x:c>
      <x:c r="I266" s="11" t="n">
        <x:f>IF(ISNUMBER(F266),2^F266-1,0)</x:f>
        <x:v>1</x:v>
      </x:c>
      <x:c r="J266" s="2" t="str">
        <x:v>Retained original 577</x:v>
      </x:c>
      <x:c r="K266" s="10" t="n">
        <x:v>3500</x:v>
      </x:c>
      <x:c r="L266" s="10" t="n">
        <x:v>2</x:v>
      </x:c>
      <x:c r="M266" s="10" t="n">
        <x:v>721</x:v>
      </x:c>
      <x:c r="N266" s="2" t="str">
        <x:v>D05</x:v>
      </x:c>
      <x:c r="O266" s="2" t="str">
        <x:v>hdb flat</x:v>
      </x:c>
      <x:c r="P266" s="2" t="str">
        <x:v>https://www.propertyguru.com.sg/listing/hdb-for-rent-320-clementi-avenue-4-500188597</x:v>
      </x:c>
      <x:c r="Q266" s="12" t="str">
        <x:v>Hard requirements pass. NUS 2,672.19 m straight-line, SGD 3,500/month. Within the hard radius, but near its outer part with limited rent advantage.</x:v>
      </x:c>
      <x:c r="R266" s="13"/>
    </x:row>
    <x:row r="267" ht="24" hidden="0" customHeight="1">
      <x:c r="A267" s="2" t="str">
        <x:v>S11|500288250</x:v>
      </x:c>
      <x:c r="B267" s="2" t="str">
        <x:v>S11</x:v>
      </x:c>
      <x:c r="C267" s="2" t="str">
        <x:v>500288250</x:v>
      </x:c>
      <x:c r="D267" s="2" t="n">
        <x:v>1</x:v>
      </x:c>
      <x:c r="E267" s="9"/>
      <x:c r="F267" s="2" t="n">
        <x:f>IF(E267="",D267,IF(E267="U","U",IF(AND(ISNUMBER(E267),E267&gt;=0,E267&lt;=3,INT(E267)=E267),E267,"Invalid")))</x:f>
        <x:v>1</x:v>
      </x:c>
      <x:c r="G267" s="2" t="n">
        <x:f>IF(ISNUMBER(F267),1,0)</x:f>
        <x:v>1</x:v>
      </x:c>
      <x:c r="H267" s="2" t="n">
        <x:f>IF(ISNUMBER(F267),IF(F267&gt;=2,1,0),0)</x:f>
        <x:v>0</x:v>
      </x:c>
      <x:c r="I267" s="11" t="n">
        <x:f>IF(ISNUMBER(F267),2^F267-1,0)</x:f>
        <x:v>1</x:v>
      </x:c>
      <x:c r="J267" s="2" t="str">
        <x:v>Retained original 577</x:v>
      </x:c>
      <x:c r="K267" s="10" t="n">
        <x:v>3500</x:v>
      </x:c>
      <x:c r="L267" s="10" t="n">
        <x:v>2</x:v>
      </x:c>
      <x:c r="M267" s="10" t="n">
        <x:v>764</x:v>
      </x:c>
      <x:c r="N267" s="2" t="str">
        <x:v>D03</x:v>
      </x:c>
      <x:c r="O267" s="2" t="str">
        <x:v>hdb flat</x:v>
      </x:c>
      <x:c r="P267" s="2" t="str">
        <x:v>https://www.propertyguru.com.sg/listing/hdb-for-rent-108-commonwealth-crescent-500288250</x:v>
      </x:c>
      <x:c r="Q267" s="12" t="str">
        <x:v>Hard requirements pass. NUS 2,709.46 m straight-line, SGD 3,500/month. Within the hard radius, but near its outer part with limited rent advantage.</x:v>
      </x:c>
      <x:c r="R267" s="13"/>
    </x:row>
    <x:row r="268" ht="24" hidden="0" customHeight="1">
      <x:c r="A268" s="2" t="str">
        <x:v>S11|60107518</x:v>
      </x:c>
      <x:c r="B268" s="2" t="str">
        <x:v>S11</x:v>
      </x:c>
      <x:c r="C268" s="2" t="str">
        <x:v>60107518</x:v>
      </x:c>
      <x:c r="D268" s="2" t="n">
        <x:v>1</x:v>
      </x:c>
      <x:c r="E268" s="9"/>
      <x:c r="F268" s="2" t="n">
        <x:f>IF(E268="",D268,IF(E268="U","U",IF(AND(ISNUMBER(E268),E268&gt;=0,E268&lt;=3,INT(E268)=E268),E268,"Invalid")))</x:f>
        <x:v>1</x:v>
      </x:c>
      <x:c r="G268" s="2" t="n">
        <x:f>IF(ISNUMBER(F268),1,0)</x:f>
        <x:v>1</x:v>
      </x:c>
      <x:c r="H268" s="2" t="n">
        <x:f>IF(ISNUMBER(F268),IF(F268&gt;=2,1,0),0)</x:f>
        <x:v>0</x:v>
      </x:c>
      <x:c r="I268" s="11" t="n">
        <x:f>IF(ISNUMBER(F268),2^F268-1,0)</x:f>
        <x:v>1</x:v>
      </x:c>
      <x:c r="J268" s="2" t="str">
        <x:v>Retained original 577</x:v>
      </x:c>
      <x:c r="K268" s="10" t="n">
        <x:v>3400</x:v>
      </x:c>
      <x:c r="L268" s="10" t="n">
        <x:v>2</x:v>
      </x:c>
      <x:c r="M268" s="10" t="n">
        <x:v>646</x:v>
      </x:c>
      <x:c r="N268" s="2" t="str">
        <x:v>D03</x:v>
      </x:c>
      <x:c r="O268" s="2" t="str">
        <x:v>hdb flat</x:v>
      </x:c>
      <x:c r="P268" s="2" t="str">
        <x:v>https://www.propertyguru.com.sg/listing/hdb-for-rent-169-stirling-road-60107518</x:v>
      </x:c>
      <x:c r="Q268" s="12" t="str">
        <x:v>Hard requirements pass. NUS 2,925.25 m straight-line, SGD 3,400/month. Within the hard radius, but near its outer part with limited rent advantage.</x:v>
      </x:c>
      <x:c r="R268" s="13"/>
    </x:row>
    <x:row r="269" ht="24" hidden="0" customHeight="1">
      <x:c r="A269" s="2" t="str">
        <x:v>S11|24276169</x:v>
      </x:c>
      <x:c r="B269" s="2" t="str">
        <x:v>S11</x:v>
      </x:c>
      <x:c r="C269" s="2" t="str">
        <x:v>24276169</x:v>
      </x:c>
      <x:c r="D269" s="2" t="n">
        <x:v>1</x:v>
      </x:c>
      <x:c r="E269" s="9"/>
      <x:c r="F269" s="2" t="n">
        <x:f>IF(E269="",D269,IF(E269="U","U",IF(AND(ISNUMBER(E269),E269&gt;=0,E269&lt;=3,INT(E269)=E269),E269,"Invalid")))</x:f>
        <x:v>1</x:v>
      </x:c>
      <x:c r="G269" s="2" t="n">
        <x:f>IF(ISNUMBER(F269),1,0)</x:f>
        <x:v>1</x:v>
      </x:c>
      <x:c r="H269" s="2" t="n">
        <x:f>IF(ISNUMBER(F269),IF(F269&gt;=2,1,0),0)</x:f>
        <x:v>0</x:v>
      </x:c>
      <x:c r="I269" s="11" t="n">
        <x:f>IF(ISNUMBER(F269),2^F269-1,0)</x:f>
        <x:v>1</x:v>
      </x:c>
      <x:c r="J269" s="2" t="str">
        <x:v>Retained original 577</x:v>
      </x:c>
      <x:c r="K269" s="10" t="n">
        <x:v>3350</x:v>
      </x:c>
      <x:c r="L269" s="10" t="n">
        <x:v>2</x:v>
      </x:c>
      <x:c r="M269" s="10" t="n">
        <x:v>753</x:v>
      </x:c>
      <x:c r="N269" s="2" t="str">
        <x:v>D03</x:v>
      </x:c>
      <x:c r="O269" s="2" t="str">
        <x:v>hdb flat</x:v>
      </x:c>
      <x:c r="P269" s="2" t="str">
        <x:v>https://www.propertyguru.com.sg/listing/hdb-for-rent-170-stirling-road-24276169</x:v>
      </x:c>
      <x:c r="Q269" s="12" t="str">
        <x:v>Hard requirements pass. NUS 2,906.89 m straight-line, SGD 3,350/month. Within the hard radius, but near its outer part with limited rent advantage.</x:v>
      </x:c>
      <x:c r="R269" s="13"/>
    </x:row>
    <x:row r="270" ht="15" hidden="0" customHeight="1">
      <x:c r="A270" s="2" t="str">
        <x:v>S11|500263852</x:v>
      </x:c>
      <x:c r="B270" s="2" t="str">
        <x:v>S11</x:v>
      </x:c>
      <x:c r="C270" s="2" t="str">
        <x:v>500263852</x:v>
      </x:c>
      <x:c r="D270" s="2" t="n">
        <x:v>0</x:v>
      </x:c>
      <x:c r="E270" s="9"/>
      <x:c r="F270" s="2" t="n">
        <x:f>IF(E270="",D270,IF(E270="U","U",IF(AND(ISNUMBER(E270),E270&gt;=0,E270&lt;=3,INT(E270)=E270),E270,"Invalid")))</x:f>
        <x:v>0</x:v>
      </x:c>
      <x:c r="G270" s="2" t="n">
        <x:f>IF(ISNUMBER(F270),1,0)</x:f>
        <x:v>1</x:v>
      </x:c>
      <x:c r="H270" s="2" t="n">
        <x:f>IF(ISNUMBER(F270),IF(F270&gt;=2,1,0),0)</x:f>
        <x:v>0</x:v>
      </x:c>
      <x:c r="I270" s="11" t="n">
        <x:f>IF(ISNUMBER(F270),2^F270-1,0)</x:f>
        <x:v>0</x:v>
      </x:c>
      <x:c r="J270" s="2" t="str">
        <x:v>Retained original 577</x:v>
      </x:c>
      <x:c r="K270" s="10" t="n">
        <x:v>3513</x:v>
      </x:c>
      <x:c r="L270" s="10" t="n">
        <x:v>2</x:v>
      </x:c>
      <x:c r="M270" s="10" t="n">
        <x:v>711</x:v>
      </x:c>
      <x:c r="N270" s="2" t="str">
        <x:v>D27</x:v>
      </x:c>
      <x:c r="O270" s="2" t="str">
        <x:v>condominium</x:v>
      </x:c>
      <x:c r="P270" s="2" t="str">
        <x:v>https://www.propertyguru.com.sg/listing/for-rent-the-wisteria-500263852</x:v>
      </x:c>
      <x:c r="Q270" s="12" t="str">
        <x:v>Hard failure: Rent (SGD/month) 3,513; required &lt;= 3,500.</x:v>
      </x:c>
      <x:c r="R270" s="13"/>
    </x:row>
    <x:row r="271" ht="24" hidden="0" customHeight="1">
      <x:c r="A271" s="2" t="str">
        <x:v>S11|500249657</x:v>
      </x:c>
      <x:c r="B271" s="2" t="str">
        <x:v>S11</x:v>
      </x:c>
      <x:c r="C271" s="2" t="str">
        <x:v>500249657</x:v>
      </x:c>
      <x:c r="D271" s="2" t="n">
        <x:v>1</x:v>
      </x:c>
      <x:c r="E271" s="9"/>
      <x:c r="F271" s="2" t="n">
        <x:f>IF(E271="",D271,IF(E271="U","U",IF(AND(ISNUMBER(E271),E271&gt;=0,E271&lt;=3,INT(E271)=E271),E271,"Invalid")))</x:f>
        <x:v>1</x:v>
      </x:c>
      <x:c r="G271" s="2" t="n">
        <x:f>IF(ISNUMBER(F271),1,0)</x:f>
        <x:v>1</x:v>
      </x:c>
      <x:c r="H271" s="2" t="n">
        <x:f>IF(ISNUMBER(F271),IF(F271&gt;=2,1,0),0)</x:f>
        <x:v>0</x:v>
      </x:c>
      <x:c r="I271" s="11" t="n">
        <x:f>IF(ISNUMBER(F271),2^F271-1,0)</x:f>
        <x:v>1</x:v>
      </x:c>
      <x:c r="J271" s="2" t="str">
        <x:v>Retained original 577</x:v>
      </x:c>
      <x:c r="K271" s="10" t="n">
        <x:v>3100</x:v>
      </x:c>
      <x:c r="L271" s="10" t="n">
        <x:v>2</x:v>
      </x:c>
      <x:c r="M271" s="10" t="n">
        <x:v>732</x:v>
      </x:c>
      <x:c r="N271" s="2" t="str">
        <x:v>D05</x:v>
      </x:c>
      <x:c r="O271" s="2" t="str">
        <x:v>hdb flat</x:v>
      </x:c>
      <x:c r="P271" s="2" t="str">
        <x:v>https://www.propertyguru.com.sg/listing/hdb-for-rent-374-clementi-avenue-4-500249657</x:v>
      </x:c>
      <x:c r="Q271" s="12" t="str">
        <x:v>Hard requirements pass. NUS 2,802.81 m straight-line, SGD 3,100/month. Within the hard radius, but near its outer part with limited rent advantage.</x:v>
      </x:c>
      <x:c r="R271" s="13"/>
    </x:row>
    <x:row r="272" ht="24" hidden="0" customHeight="1">
      <x:c r="A272" s="2" t="str">
        <x:v>S11|24048144</x:v>
      </x:c>
      <x:c r="B272" s="2" t="str">
        <x:v>S11</x:v>
      </x:c>
      <x:c r="C272" s="2" t="str">
        <x:v>24048144</x:v>
      </x:c>
      <x:c r="D272" s="2" t="n">
        <x:v>1</x:v>
      </x:c>
      <x:c r="E272" s="9"/>
      <x:c r="F272" s="2" t="n">
        <x:f>IF(E272="",D272,IF(E272="U","U",IF(AND(ISNUMBER(E272),E272&gt;=0,E272&lt;=3,INT(E272)=E272),E272,"Invalid")))</x:f>
        <x:v>1</x:v>
      </x:c>
      <x:c r="G272" s="2" t="n">
        <x:f>IF(ISNUMBER(F272),1,0)</x:f>
        <x:v>1</x:v>
      </x:c>
      <x:c r="H272" s="2" t="n">
        <x:f>IF(ISNUMBER(F272),IF(F272&gt;=2,1,0),0)</x:f>
        <x:v>0</x:v>
      </x:c>
      <x:c r="I272" s="11" t="n">
        <x:f>IF(ISNUMBER(F272),2^F272-1,0)</x:f>
        <x:v>1</x:v>
      </x:c>
      <x:c r="J272" s="2" t="str">
        <x:v>Retained original 577</x:v>
      </x:c>
      <x:c r="K272" s="10" t="n">
        <x:v>3500</x:v>
      </x:c>
      <x:c r="L272" s="10" t="n">
        <x:v>2</x:v>
      </x:c>
      <x:c r="M272" s="10" t="n">
        <x:v>742</x:v>
      </x:c>
      <x:c r="N272" s="2" t="str">
        <x:v>D03</x:v>
      </x:c>
      <x:c r="O272" s="2" t="str">
        <x:v>hdb flat</x:v>
      </x:c>
      <x:c r="P272" s="2" t="str">
        <x:v>https://www.propertyguru.com.sg/listing/hdb-for-rent-157-mei-ling-street-24048144</x:v>
      </x:c>
      <x:c r="Q272" s="12" t="str">
        <x:v>Hard requirements pass. NUS 2,940.27 m straight-line, SGD 3,500/month. Within the hard radius, but near its outer part with limited rent advantage.</x:v>
      </x:c>
      <x:c r="R272" s="13"/>
    </x:row>
    <x:row r="273" ht="15" hidden="0" customHeight="1">
      <x:c r="A273" s="2" t="str">
        <x:v>S11|500244667</x:v>
      </x:c>
      <x:c r="B273" s="2" t="str">
        <x:v>S11</x:v>
      </x:c>
      <x:c r="C273" s="2" t="str">
        <x:v>500244667</x:v>
      </x:c>
      <x:c r="D273" s="2" t="str">
        <x:v>U</x:v>
      </x:c>
      <x:c r="E273" s="9"/>
      <x:c r="F273" s="2" t="str">
        <x:f>IF(E273="",D273,IF(E273="U","U",IF(AND(ISNUMBER(E273),E273&gt;=0,E273&lt;=3,INT(E273)=E273),E273,"Invalid")))</x:f>
        <x:v>U</x:v>
      </x:c>
      <x:c r="G273" s="2" t="n">
        <x:f>IF(ISNUMBER(F273),1,0)</x:f>
        <x:v>0</x:v>
      </x:c>
      <x:c r="H273" s="2" t="n">
        <x:f>IF(ISNUMBER(F273),IF(F273&gt;=2,1,0),0)</x:f>
        <x:v>0</x:v>
      </x:c>
      <x:c r="I273" s="11" t="n">
        <x:f>IF(ISNUMBER(F273),2^F273-1,0)</x:f>
        <x:v>0</x:v>
      </x:c>
      <x:c r="J273" s="2" t="str">
        <x:v>Retained original 577</x:v>
      </x:c>
      <x:c r="K273" s="10" t="n">
        <x:v>3000</x:v>
      </x:c>
      <x:c r="L273" s="10" t="n">
        <x:v>1</x:v>
      </x:c>
      <x:c r="M273" s="10" t="n">
        <x:v>581</x:v>
      </x:c>
      <x:c r="N273" s="2" t="str">
        <x:v>D28</x:v>
      </x:c>
      <x:c r="O273" s="2" t="str">
        <x:v>condominium</x:v>
      </x:c>
      <x:c r="P273" s="2" t="str">
        <x:v>https://www.propertyguru.com.sg/listing/for-rent-seletar-park-residence-500244667</x:v>
      </x:c>
      <x:c r="Q273" s="12" t="str">
        <x:v>No known hard failure. Cannot verify: nus straight-line distance (m).</x:v>
      </x:c>
      <x:c r="R273" s="13"/>
    </x:row>
    <x:row r="274" ht="24" hidden="0" customHeight="1">
      <x:c r="A274" s="2" t="str">
        <x:v>S11|500262756</x:v>
      </x:c>
      <x:c r="B274" s="2" t="str">
        <x:v>S11</x:v>
      </x:c>
      <x:c r="C274" s="2" t="str">
        <x:v>500262756</x:v>
      </x:c>
      <x:c r="D274" s="2" t="n">
        <x:v>3</x:v>
      </x:c>
      <x:c r="E274" s="9"/>
      <x:c r="F274" s="2" t="n">
        <x:f>IF(E274="",D274,IF(E274="U","U",IF(AND(ISNUMBER(E274),E274&gt;=0,E274&lt;=3,INT(E274)=E274),E274,"Invalid")))</x:f>
        <x:v>3</x:v>
      </x:c>
      <x:c r="G274" s="2" t="n">
        <x:f>IF(ISNUMBER(F274),1,0)</x:f>
        <x:v>1</x:v>
      </x:c>
      <x:c r="H274" s="2" t="n">
        <x:f>IF(ISNUMBER(F274),IF(F274&gt;=2,1,0),0)</x:f>
        <x:v>1</x:v>
      </x:c>
      <x:c r="I274" s="11" t="n">
        <x:f>IF(ISNUMBER(F274),2^F274-1,0)</x:f>
        <x:v>7</x:v>
      </x:c>
      <x:c r="J274" s="2" t="str">
        <x:v>Retained original 577</x:v>
      </x:c>
      <x:c r="K274" s="10" t="n">
        <x:v>3000</x:v>
      </x:c>
      <x:c r="L274" s="10" t="n">
        <x:v>2</x:v>
      </x:c>
      <x:c r="M274" s="10" t="n">
        <x:v>699</x:v>
      </x:c>
      <x:c r="N274" s="2" t="str">
        <x:v>D05</x:v>
      </x:c>
      <x:c r="O274" s="2" t="str">
        <x:v>hdb flat</x:v>
      </x:c>
      <x:c r="P274" s="2" t="str">
        <x:v>https://www.propertyguru.com.sg/listing/hdb-for-rent-2-dover-road-500262756</x:v>
      </x:c>
      <x:c r="Q274" s="12" t="str">
        <x:v>Hard requirements pass. NUS 971.62 m straight-line, SGD 3,000/month. Among the closer verified options, consistent with giving proximity priority.</x:v>
      </x:c>
      <x:c r="R274" s="13"/>
    </x:row>
    <x:row r="275" ht="15" hidden="0" customHeight="1">
      <x:c r="A275" s="2" t="str">
        <x:v>S11|500238613</x:v>
      </x:c>
      <x:c r="B275" s="2" t="str">
        <x:v>S11</x:v>
      </x:c>
      <x:c r="C275" s="2" t="str">
        <x:v>500238613</x:v>
      </x:c>
      <x:c r="D275" s="2" t="n">
        <x:v>0</x:v>
      </x:c>
      <x:c r="E275" s="9"/>
      <x:c r="F275" s="2" t="n">
        <x:f>IF(E275="",D275,IF(E275="U","U",IF(AND(ISNUMBER(E275),E275&gt;=0,E275&lt;=3,INT(E275)=E275),E275,"Invalid")))</x:f>
        <x:v>0</x:v>
      </x:c>
      <x:c r="G275" s="2" t="n">
        <x:f>IF(ISNUMBER(F275),1,0)</x:f>
        <x:v>1</x:v>
      </x:c>
      <x:c r="H275" s="2" t="n">
        <x:f>IF(ISNUMBER(F275),IF(F275&gt;=2,1,0),0)</x:f>
        <x:v>0</x:v>
      </x:c>
      <x:c r="I275" s="11" t="n">
        <x:f>IF(ISNUMBER(F275),2^F275-1,0)</x:f>
        <x:v>0</x:v>
      </x:c>
      <x:c r="J275" s="2" t="str">
        <x:v>Retained original 577</x:v>
      </x:c>
      <x:c r="K275" s="10" t="n">
        <x:v>1880</x:v>
      </x:c>
      <x:c r="L275" s="10" t="n">
        <x:v>0</x:v>
      </x:c>
      <x:c r="M275" s="10"/>
      <x:c r="N275" s="2" t="str">
        <x:v>D05</x:v>
      </x:c>
      <x:c r="O275" s="2" t="str">
        <x:v>hdb flat</x:v>
      </x:c>
      <x:c r="P275" s="2" t="str">
        <x:v>https://www.propertyguru.com.sg/listing/hdb-for-rent-510-west-coast-drive-500238613</x:v>
      </x:c>
      <x:c r="Q275" s="12" t="str">
        <x:v>Hard failure: Reported bedrooms 0; required &gt;= 1.</x:v>
      </x:c>
      <x:c r="R275" s="13"/>
    </x:row>
    <x:row r="276" ht="24" hidden="0" customHeight="1">
      <x:c r="A276" s="2" t="str">
        <x:v>S11|500285985</x:v>
      </x:c>
      <x:c r="B276" s="2" t="str">
        <x:v>S11</x:v>
      </x:c>
      <x:c r="C276" s="2" t="str">
        <x:v>500285985</x:v>
      </x:c>
      <x:c r="D276" s="2" t="n">
        <x:v>2</x:v>
      </x:c>
      <x:c r="E276" s="9"/>
      <x:c r="F276" s="2" t="n">
        <x:f>IF(E276="",D276,IF(E276="U","U",IF(AND(ISNUMBER(E276),E276&gt;=0,E276&lt;=3,INT(E276)=E276),E276,"Invalid")))</x:f>
        <x:v>2</x:v>
      </x:c>
      <x:c r="G276" s="2" t="n">
        <x:f>IF(ISNUMBER(F276),1,0)</x:f>
        <x:v>1</x:v>
      </x:c>
      <x:c r="H276" s="2" t="n">
        <x:f>IF(ISNUMBER(F276),IF(F276&gt;=2,1,0),0)</x:f>
        <x:v>1</x:v>
      </x:c>
      <x:c r="I276" s="11" t="n">
        <x:f>IF(ISNUMBER(F276),2^F276-1,0)</x:f>
        <x:v>3</x:v>
      </x:c>
      <x:c r="J276" s="2" t="str">
        <x:v>Retained original 577</x:v>
      </x:c>
      <x:c r="K276" s="10" t="n">
        <x:v>1400</x:v>
      </x:c>
      <x:c r="L276" s="10" t="n">
        <x:v>1</x:v>
      </x:c>
      <x:c r="M276" s="10" t="n">
        <x:v>1001</x:v>
      </x:c>
      <x:c r="N276" s="2" t="str">
        <x:v>D05</x:v>
      </x:c>
      <x:c r="O276" s="2" t="str">
        <x:v>hdb flat</x:v>
      </x:c>
      <x:c r="P276" s="2" t="str">
        <x:v>https://www.propertyguru.com.sg/listing/hdb-for-rent-441b-clementi-avenue-3-500285985</x:v>
      </x:c>
      <x:c r="Q276" s="12" t="str">
        <x:v>Hard requirements pass. NUS 2,517.25 m straight-line, SGD 1,400/month. Much lower rent offers a useful trade-off, but the distance is not among the closest.</x:v>
      </x:c>
      <x:c r="R276" s="13"/>
    </x:row>
    <x:row r="277" ht="24" hidden="0" customHeight="1">
      <x:c r="A277" s="2" t="str">
        <x:v>S11|500285705</x:v>
      </x:c>
      <x:c r="B277" s="2" t="str">
        <x:v>S11</x:v>
      </x:c>
      <x:c r="C277" s="2" t="str">
        <x:v>500285705</x:v>
      </x:c>
      <x:c r="D277" s="2" t="n">
        <x:v>1</x:v>
      </x:c>
      <x:c r="E277" s="9"/>
      <x:c r="F277" s="2" t="n">
        <x:f>IF(E277="",D277,IF(E277="U","U",IF(AND(ISNUMBER(E277),E277&gt;=0,E277&lt;=3,INT(E277)=E277),E277,"Invalid")))</x:f>
        <x:v>1</x:v>
      </x:c>
      <x:c r="G277" s="2" t="n">
        <x:f>IF(ISNUMBER(F277),1,0)</x:f>
        <x:v>1</x:v>
      </x:c>
      <x:c r="H277" s="2" t="n">
        <x:f>IF(ISNUMBER(F277),IF(F277&gt;=2,1,0),0)</x:f>
        <x:v>0</x:v>
      </x:c>
      <x:c r="I277" s="11" t="n">
        <x:f>IF(ISNUMBER(F277),2^F277-1,0)</x:f>
        <x:v>1</x:v>
      </x:c>
      <x:c r="J277" s="2" t="str">
        <x:v>Retained original 577</x:v>
      </x:c>
      <x:c r="K277" s="10" t="n">
        <x:v>3400</x:v>
      </x:c>
      <x:c r="L277" s="10" t="n">
        <x:v>2</x:v>
      </x:c>
      <x:c r="M277" s="10" t="n">
        <x:v>721</x:v>
      </x:c>
      <x:c r="N277" s="2" t="str">
        <x:v>D05</x:v>
      </x:c>
      <x:c r="O277" s="2" t="str">
        <x:v>hdb flat</x:v>
      </x:c>
      <x:c r="P277" s="2" t="str">
        <x:v>https://www.propertyguru.com.sg/listing/hdb-for-rent-431-clementi-avenue-3-500285705</x:v>
      </x:c>
      <x:c r="Q277" s="12" t="str">
        <x:v>Hard requirements pass. NUS 2,543 m straight-line, SGD 3,400/month. Within the hard radius, but near its outer part with limited rent advantage.</x:v>
      </x:c>
      <x:c r="R277" s="13"/>
    </x:row>
    <x:row r="278" ht="24" hidden="0" customHeight="1">
      <x:c r="A278" s="2" t="str">
        <x:v>S11|25281989</x:v>
      </x:c>
      <x:c r="B278" s="2" t="str">
        <x:v>S11</x:v>
      </x:c>
      <x:c r="C278" s="2" t="str">
        <x:v>25281989</x:v>
      </x:c>
      <x:c r="D278" s="2" t="n">
        <x:v>1</x:v>
      </x:c>
      <x:c r="E278" s="9"/>
      <x:c r="F278" s="2" t="n">
        <x:f>IF(E278="",D278,IF(E278="U","U",IF(AND(ISNUMBER(E278),E278&gt;=0,E278&lt;=3,INT(E278)=E278),E278,"Invalid")))</x:f>
        <x:v>1</x:v>
      </x:c>
      <x:c r="G278" s="2" t="n">
        <x:f>IF(ISNUMBER(F278),1,0)</x:f>
        <x:v>1</x:v>
      </x:c>
      <x:c r="H278" s="2" t="n">
        <x:f>IF(ISNUMBER(F278),IF(F278&gt;=2,1,0),0)</x:f>
        <x:v>0</x:v>
      </x:c>
      <x:c r="I278" s="11" t="n">
        <x:f>IF(ISNUMBER(F278),2^F278-1,0)</x:f>
        <x:v>1</x:v>
      </x:c>
      <x:c r="J278" s="2" t="str">
        <x:v>Retained original 577</x:v>
      </x:c>
      <x:c r="K278" s="10" t="n">
        <x:v>3300</x:v>
      </x:c>
      <x:c r="L278" s="10" t="n">
        <x:v>2</x:v>
      </x:c>
      <x:c r="M278" s="10" t="n">
        <x:v>742</x:v>
      </x:c>
      <x:c r="N278" s="2" t="str">
        <x:v>D03</x:v>
      </x:c>
      <x:c r="O278" s="2" t="str">
        <x:v>hdb flat</x:v>
      </x:c>
      <x:c r="P278" s="2" t="str">
        <x:v>https://www.propertyguru.com.sg/listing/hdb-for-rent-167-stirling-road-25281989</x:v>
      </x:c>
      <x:c r="Q278" s="12" t="str">
        <x:v>Hard requirements pass. NUS 2,894.36 m straight-line, SGD 3,300/month. Within the hard radius, but near its outer part with limited rent advantage.</x:v>
      </x:c>
      <x:c r="R278" s="13"/>
    </x:row>
    <x:row r="279" ht="15" hidden="0" customHeight="1">
      <x:c r="A279" s="2" t="str">
        <x:v>S11|500281459</x:v>
      </x:c>
      <x:c r="B279" s="2" t="str">
        <x:v>S11</x:v>
      </x:c>
      <x:c r="C279" s="2" t="str">
        <x:v>500281459</x:v>
      </x:c>
      <x:c r="D279" s="2" t="n">
        <x:v>0</x:v>
      </x:c>
      <x:c r="E279" s="9"/>
      <x:c r="F279" s="2" t="n">
        <x:f>IF(E279="",D279,IF(E279="U","U",IF(AND(ISNUMBER(E279),E279&gt;=0,E279&lt;=3,INT(E279)=E279),E279,"Invalid")))</x:f>
        <x:v>0</x:v>
      </x:c>
      <x:c r="G279" s="2" t="n">
        <x:f>IF(ISNUMBER(F279),1,0)</x:f>
        <x:v>1</x:v>
      </x:c>
      <x:c r="H279" s="2" t="n">
        <x:f>IF(ISNUMBER(F279),IF(F279&gt;=2,1,0),0)</x:f>
        <x:v>0</x:v>
      </x:c>
      <x:c r="I279" s="11" t="n">
        <x:f>IF(ISNUMBER(F279),2^F279-1,0)</x:f>
        <x:v>0</x:v>
      </x:c>
      <x:c r="J279" s="2" t="str">
        <x:v>Retained original 577</x:v>
      </x:c>
      <x:c r="K279" s="10" t="n">
        <x:v>1300</x:v>
      </x:c>
      <x:c r="L279" s="10" t="n">
        <x:v>0</x:v>
      </x:c>
      <x:c r="M279" s="10"/>
      <x:c r="N279" s="2" t="str">
        <x:v>D05</x:v>
      </x:c>
      <x:c r="O279" s="2" t="str">
        <x:v>hdb flat</x:v>
      </x:c>
      <x:c r="P279" s="2" t="str">
        <x:v>https://www.propertyguru.com.sg/listing/hdb-for-rent-421-clementi-avenue-1-500281459</x:v>
      </x:c>
      <x:c r="Q279" s="12" t="str">
        <x:v>Hard failure: Reported bedrooms 0; required &gt;= 1.</x:v>
      </x:c>
      <x:c r="R279" s="13"/>
    </x:row>
    <x:row r="280" ht="15" hidden="0" customHeight="1">
      <x:c r="A280" s="2" t="str">
        <x:v>S11|23808650</x:v>
      </x:c>
      <x:c r="B280" s="2" t="str">
        <x:v>S11</x:v>
      </x:c>
      <x:c r="C280" s="2" t="str">
        <x:v>23808650</x:v>
      </x:c>
      <x:c r="D280" s="2" t="str">
        <x:v>U</x:v>
      </x:c>
      <x:c r="E280" s="9"/>
      <x:c r="F280" s="2" t="str">
        <x:f>IF(E280="",D280,IF(E280="U","U",IF(AND(ISNUMBER(E280),E280&gt;=0,E280&lt;=3,INT(E280)=E280),E280,"Invalid")))</x:f>
        <x:v>U</x:v>
      </x:c>
      <x:c r="G280" s="2" t="n">
        <x:f>IF(ISNUMBER(F280),1,0)</x:f>
        <x:v>0</x:v>
      </x:c>
      <x:c r="H280" s="2" t="n">
        <x:f>IF(ISNUMBER(F280),IF(F280&gt;=2,1,0),0)</x:f>
        <x:v>0</x:v>
      </x:c>
      <x:c r="I280" s="11" t="n">
        <x:f>IF(ISNUMBER(F280),2^F280-1,0)</x:f>
        <x:v>0</x:v>
      </x:c>
      <x:c r="J280" s="2" t="str">
        <x:v>Retained original 577</x:v>
      </x:c>
      <x:c r="K280" s="10" t="n">
        <x:v>3500</x:v>
      </x:c>
      <x:c r="L280" s="10" t="n">
        <x:v>1</x:v>
      </x:c>
      <x:c r="M280" s="10" t="n">
        <x:v>420</x:v>
      </x:c>
      <x:c r="N280" s="2" t="str">
        <x:v>D02</x:v>
      </x:c>
      <x:c r="O280" s="2" t="str">
        <x:v>apartment</x:v>
      </x:c>
      <x:c r="P280" s="2" t="str">
        <x:v>https://www.propertyguru.com.sg/listing/for-rent-1-bedroom-apartment-telok-ayer-raffles-place-chinatown-mrt-23808650</x:v>
      </x:c>
      <x:c r="Q280" s="12" t="str">
        <x:v>No known hard failure. Cannot verify: nus straight-line distance (m).</x:v>
      </x:c>
      <x:c r="R280" s="13"/>
    </x:row>
    <x:row r="281" ht="24" hidden="0" customHeight="1">
      <x:c r="A281" s="2" t="str">
        <x:v>S12|500287131</x:v>
      </x:c>
      <x:c r="B281" s="2" t="str">
        <x:v>S12</x:v>
      </x:c>
      <x:c r="C281" s="2" t="str">
        <x:v>500287131</x:v>
      </x:c>
      <x:c r="D281" s="2" t="n">
        <x:v>1</x:v>
      </x:c>
      <x:c r="E281" s="9"/>
      <x:c r="F281" s="2" t="n">
        <x:f>IF(E281="",D281,IF(E281="U","U",IF(AND(ISNUMBER(E281),E281&gt;=0,E281&lt;=3,INT(E281)=E281),E281,"Invalid")))</x:f>
        <x:v>1</x:v>
      </x:c>
      <x:c r="G281" s="2" t="n">
        <x:f>IF(ISNUMBER(F281),1,0)</x:f>
        <x:v>1</x:v>
      </x:c>
      <x:c r="H281" s="2" t="n">
        <x:f>IF(ISNUMBER(F281),IF(F281&gt;=2,1,0),0)</x:f>
        <x:v>0</x:v>
      </x:c>
      <x:c r="I281" s="11" t="n">
        <x:f>IF(ISNUMBER(F281),2^F281-1,0)</x:f>
        <x:v>1</x:v>
      </x:c>
      <x:c r="J281" s="2" t="str">
        <x:v>Retained original 577</x:v>
      </x:c>
      <x:c r="K281" s="10" t="n">
        <x:v>4200</x:v>
      </x:c>
      <x:c r="L281" s="10" t="n">
        <x:v>2</x:v>
      </x:c>
      <x:c r="M281" s="10" t="n">
        <x:v>646</x:v>
      </x:c>
      <x:c r="N281" s="2" t="str">
        <x:v>D05</x:v>
      </x:c>
      <x:c r="O281" s="2" t="str">
        <x:v>condominium</x:v>
      </x:c>
      <x:c r="P281" s="2" t="str">
        <x:v>https://www.propertyguru.com.sg/listing/for-rent-parc-riviera-500287131</x:v>
      </x:c>
      <x:c r="Q281" s="12" t="str">
        <x:v>Hard requirements pass. area 646 sqft, SGD 4,200/month. The reported area misses the main size preference; distance is only a hard limit here.</x:v>
      </x:c>
      <x:c r="R281" s="13"/>
    </x:row>
    <x:row r="282" ht="24" hidden="0" customHeight="1">
      <x:c r="A282" s="2" t="str">
        <x:v>S12|500277448</x:v>
      </x:c>
      <x:c r="B282" s="2" t="str">
        <x:v>S12</x:v>
      </x:c>
      <x:c r="C282" s="2" t="str">
        <x:v>500277448</x:v>
      </x:c>
      <x:c r="D282" s="2" t="n">
        <x:v>3</x:v>
      </x:c>
      <x:c r="E282" s="9"/>
      <x:c r="F282" s="2" t="n">
        <x:f>IF(E282="",D282,IF(E282="U","U",IF(AND(ISNUMBER(E282),E282&gt;=0,E282&lt;=3,INT(E282)=E282),E282,"Invalid")))</x:f>
        <x:v>3</x:v>
      </x:c>
      <x:c r="G282" s="2" t="n">
        <x:f>IF(ISNUMBER(F282),1,0)</x:f>
        <x:v>1</x:v>
      </x:c>
      <x:c r="H282" s="2" t="n">
        <x:f>IF(ISNUMBER(F282),IF(F282&gt;=2,1,0),0)</x:f>
        <x:v>1</x:v>
      </x:c>
      <x:c r="I282" s="11" t="n">
        <x:f>IF(ISNUMBER(F282),2^F282-1,0)</x:f>
        <x:v>7</x:v>
      </x:c>
      <x:c r="J282" s="2" t="str">
        <x:v>Retained original 577</x:v>
      </x:c>
      <x:c r="K282" s="10" t="n">
        <x:v>3400</x:v>
      </x:c>
      <x:c r="L282" s="10" t="n">
        <x:v>3</x:v>
      </x:c>
      <x:c r="M282" s="10" t="n">
        <x:v>1208</x:v>
      </x:c>
      <x:c r="N282" s="2" t="str">
        <x:v>D04</x:v>
      </x:c>
      <x:c r="O282" s="2" t="str">
        <x:v>hdb flat</x:v>
      </x:c>
      <x:c r="P282" s="2" t="str">
        <x:v>https://www.propertyguru.com.sg/listing/hdb-for-rent-114-depot-road-500277448</x:v>
      </x:c>
      <x:c r="Q282" s="12" t="str">
        <x:v>Hard requirements pass. area 1,208 sqft, SGD 3,400/month. The preferred size is met with reasonable rent compared with other candidates.</x:v>
      </x:c>
      <x:c r="R282" s="13"/>
    </x:row>
    <x:row r="283" ht="24" hidden="0" customHeight="1">
      <x:c r="A283" s="2" t="str">
        <x:v>S12|500275187</x:v>
      </x:c>
      <x:c r="B283" s="2" t="str">
        <x:v>S12</x:v>
      </x:c>
      <x:c r="C283" s="2" t="str">
        <x:v>500275187</x:v>
      </x:c>
      <x:c r="D283" s="2" t="n">
        <x:v>3</x:v>
      </x:c>
      <x:c r="E283" s="9"/>
      <x:c r="F283" s="2" t="n">
        <x:f>IF(E283="",D283,IF(E283="U","U",IF(AND(ISNUMBER(E283),E283&gt;=0,E283&lt;=3,INT(E283)=E283),E283,"Invalid")))</x:f>
        <x:v>3</x:v>
      </x:c>
      <x:c r="G283" s="2" t="n">
        <x:f>IF(ISNUMBER(F283),1,0)</x:f>
        <x:v>1</x:v>
      </x:c>
      <x:c r="H283" s="2" t="n">
        <x:f>IF(ISNUMBER(F283),IF(F283&gt;=2,1,0),0)</x:f>
        <x:v>1</x:v>
      </x:c>
      <x:c r="I283" s="11" t="n">
        <x:f>IF(ISNUMBER(F283),2^F283-1,0)</x:f>
        <x:v>7</x:v>
      </x:c>
      <x:c r="J283" s="2" t="str">
        <x:v>Retained original 577</x:v>
      </x:c>
      <x:c r="K283" s="10" t="n">
        <x:v>3800</x:v>
      </x:c>
      <x:c r="L283" s="10" t="n">
        <x:v>3</x:v>
      </x:c>
      <x:c r="M283" s="10" t="n">
        <x:v>980</x:v>
      </x:c>
      <x:c r="N283" s="2" t="str">
        <x:v>D05</x:v>
      </x:c>
      <x:c r="O283" s="2" t="str">
        <x:v>hdb flat</x:v>
      </x:c>
      <x:c r="P283" s="2" t="str">
        <x:v>https://www.propertyguru.com.sg/listing/hdb-for-rent-315-clementi-avenue-4-500275187</x:v>
      </x:c>
      <x:c r="Q283" s="12" t="str">
        <x:v>Hard requirements pass. area 980 sqft, SGD 3,800/month. The preferred size is met with reasonable rent compared with other candidates.</x:v>
      </x:c>
      <x:c r="R283" s="13"/>
    </x:row>
    <x:row r="284" ht="15" hidden="0" customHeight="1">
      <x:c r="A284" s="2" t="str">
        <x:v>S12|500283223</x:v>
      </x:c>
      <x:c r="B284" s="2" t="str">
        <x:v>S12</x:v>
      </x:c>
      <x:c r="C284" s="2" t="str">
        <x:v>500283223</x:v>
      </x:c>
      <x:c r="D284" s="2" t="n">
        <x:v>0</x:v>
      </x:c>
      <x:c r="E284" s="9"/>
      <x:c r="F284" s="2" t="n">
        <x:f>IF(E284="",D284,IF(E284="U","U",IF(AND(ISNUMBER(E284),E284&gt;=0,E284&lt;=3,INT(E284)=E284),E284,"Invalid")))</x:f>
        <x:v>0</x:v>
      </x:c>
      <x:c r="G284" s="2" t="n">
        <x:f>IF(ISNUMBER(F284),1,0)</x:f>
        <x:v>1</x:v>
      </x:c>
      <x:c r="H284" s="2" t="n">
        <x:f>IF(ISNUMBER(F284),IF(F284&gt;=2,1,0),0)</x:f>
        <x:v>0</x:v>
      </x:c>
      <x:c r="I284" s="11" t="n">
        <x:f>IF(ISNUMBER(F284),2^F284-1,0)</x:f>
        <x:v>0</x:v>
      </x:c>
      <x:c r="J284" s="2" t="str">
        <x:v>Retained original 577</x:v>
      </x:c>
      <x:c r="K284" s="10" t="n">
        <x:v>3500</x:v>
      </x:c>
      <x:c r="L284" s="10" t="n">
        <x:v>1</x:v>
      </x:c>
      <x:c r="M284" s="10" t="n">
        <x:v>1050</x:v>
      </x:c>
      <x:c r="N284" s="2" t="str">
        <x:v>D10</x:v>
      </x:c>
      <x:c r="O284" s="2" t="str">
        <x:v>condominium</x:v>
      </x:c>
      <x:c r="P284" s="2" t="str">
        <x:v>https://www.propertyguru.com.sg/listing/for-rent-ridgewood-condominium-500283223</x:v>
      </x:c>
      <x:c r="Q284" s="12" t="str">
        <x:v>Hard failure: Reported bedrooms 1; required &gt;= 2.</x:v>
      </x:c>
      <x:c r="R284" s="13"/>
    </x:row>
    <x:row r="285" ht="24" hidden="0" customHeight="1">
      <x:c r="A285" s="2" t="str">
        <x:v>S12|22257938</x:v>
      </x:c>
      <x:c r="B285" s="2" t="str">
        <x:v>S12</x:v>
      </x:c>
      <x:c r="C285" s="2" t="str">
        <x:v>22257938</x:v>
      </x:c>
      <x:c r="D285" s="2" t="n">
        <x:v>2</x:v>
      </x:c>
      <x:c r="E285" s="9"/>
      <x:c r="F285" s="2" t="n">
        <x:f>IF(E285="",D285,IF(E285="U","U",IF(AND(ISNUMBER(E285),E285&gt;=0,E285&lt;=3,INT(E285)=E285),E285,"Invalid")))</x:f>
        <x:v>2</x:v>
      </x:c>
      <x:c r="G285" s="2" t="n">
        <x:f>IF(ISNUMBER(F285),1,0)</x:f>
        <x:v>1</x:v>
      </x:c>
      <x:c r="H285" s="2" t="n">
        <x:f>IF(ISNUMBER(F285),IF(F285&gt;=2,1,0),0)</x:f>
        <x:v>1</x:v>
      </x:c>
      <x:c r="I285" s="11" t="n">
        <x:f>IF(ISNUMBER(F285),2^F285-1,0)</x:f>
        <x:v>3</x:v>
      </x:c>
      <x:c r="J285" s="2" t="str">
        <x:v>Retained original 577</x:v>
      </x:c>
      <x:c r="K285" s="10" t="n">
        <x:v>3400</x:v>
      </x:c>
      <x:c r="L285" s="10" t="n">
        <x:v>2</x:v>
      </x:c>
      <x:c r="M285" s="10" t="n">
        <x:v>800</x:v>
      </x:c>
      <x:c r="N285" s="2" t="str">
        <x:v>D05</x:v>
      </x:c>
      <x:c r="O285" s="2" t="str">
        <x:v>hdb flat</x:v>
      </x:c>
      <x:c r="P285" s="2" t="str">
        <x:v>https://www.propertyguru.com.sg/listing/hdb-for-rent-346-clementi-avenue-5-22257938</x:v>
      </x:c>
      <x:c r="Q285" s="12" t="str">
        <x:v>Hard requirements pass. area 800 sqft, SGD 3,400/month. A modest shortfall in the soft size target; still a usable trade-off, not a hard failure.</x:v>
      </x:c>
      <x:c r="R285" s="13"/>
    </x:row>
    <x:row r="286" ht="15" hidden="0" customHeight="1">
      <x:c r="A286" s="2" t="str">
        <x:v>S12|500283054</x:v>
      </x:c>
      <x:c r="B286" s="2" t="str">
        <x:v>S12</x:v>
      </x:c>
      <x:c r="C286" s="2" t="str">
        <x:v>500283054</x:v>
      </x:c>
      <x:c r="D286" s="2" t="str">
        <x:v>U</x:v>
      </x:c>
      <x:c r="E286" s="9"/>
      <x:c r="F286" s="2" t="str">
        <x:f>IF(E286="",D286,IF(E286="U","U",IF(AND(ISNUMBER(E286),E286&gt;=0,E286&lt;=3,INT(E286)=E286),E286,"Invalid")))</x:f>
        <x:v>U</x:v>
      </x:c>
      <x:c r="G286" s="2" t="n">
        <x:f>IF(ISNUMBER(F286),1,0)</x:f>
        <x:v>0</x:v>
      </x:c>
      <x:c r="H286" s="2" t="n">
        <x:f>IF(ISNUMBER(F286),IF(F286&gt;=2,1,0),0)</x:f>
        <x:v>0</x:v>
      </x:c>
      <x:c r="I286" s="11" t="n">
        <x:f>IF(ISNUMBER(F286),2^F286-1,0)</x:f>
        <x:v>0</x:v>
      </x:c>
      <x:c r="J286" s="2" t="str">
        <x:v>Retained original 577</x:v>
      </x:c>
      <x:c r="K286" s="10" t="n">
        <x:v>3400</x:v>
      </x:c>
      <x:c r="L286" s="10" t="n">
        <x:v>2</x:v>
      </x:c>
      <x:c r="M286" s="10" t="n">
        <x:v>538</x:v>
      </x:c>
      <x:c r="N286" s="2" t="str">
        <x:v>D14</x:v>
      </x:c>
      <x:c r="O286" s="2" t="str">
        <x:v>condominium</x:v>
      </x:c>
      <x:c r="P286" s="2" t="str">
        <x:v>https://www.propertyguru.com.sg/listing/for-rent-guillemard-edge-500283054</x:v>
      </x:c>
      <x:c r="Q286" s="12" t="str">
        <x:v>No known hard failure. Cannot verify: nus straight-line distance (m).</x:v>
      </x:c>
      <x:c r="R286" s="13"/>
    </x:row>
    <x:row r="287" ht="24" hidden="0" customHeight="1">
      <x:c r="A287" s="2" t="str">
        <x:v>S12|60107518</x:v>
      </x:c>
      <x:c r="B287" s="2" t="str">
        <x:v>S12</x:v>
      </x:c>
      <x:c r="C287" s="2" t="str">
        <x:v>60107518</x:v>
      </x:c>
      <x:c r="D287" s="2" t="n">
        <x:v>1</x:v>
      </x:c>
      <x:c r="E287" s="9"/>
      <x:c r="F287" s="2" t="n">
        <x:f>IF(E287="",D287,IF(E287="U","U",IF(AND(ISNUMBER(E287),E287&gt;=0,E287&lt;=3,INT(E287)=E287),E287,"Invalid")))</x:f>
        <x:v>1</x:v>
      </x:c>
      <x:c r="G287" s="2" t="n">
        <x:f>IF(ISNUMBER(F287),1,0)</x:f>
        <x:v>1</x:v>
      </x:c>
      <x:c r="H287" s="2" t="n">
        <x:f>IF(ISNUMBER(F287),IF(F287&gt;=2,1,0),0)</x:f>
        <x:v>0</x:v>
      </x:c>
      <x:c r="I287" s="11" t="n">
        <x:f>IF(ISNUMBER(F287),2^F287-1,0)</x:f>
        <x:v>1</x:v>
      </x:c>
      <x:c r="J287" s="2" t="str">
        <x:v>Retained original 577</x:v>
      </x:c>
      <x:c r="K287" s="10" t="n">
        <x:v>3400</x:v>
      </x:c>
      <x:c r="L287" s="10" t="n">
        <x:v>2</x:v>
      </x:c>
      <x:c r="M287" s="10" t="n">
        <x:v>646</x:v>
      </x:c>
      <x:c r="N287" s="2" t="str">
        <x:v>D03</x:v>
      </x:c>
      <x:c r="O287" s="2" t="str">
        <x:v>hdb flat</x:v>
      </x:c>
      <x:c r="P287" s="2" t="str">
        <x:v>https://www.propertyguru.com.sg/listing/hdb-for-rent-169-stirling-road-60107518</x:v>
      </x:c>
      <x:c r="Q287" s="12" t="str">
        <x:v>Hard requirements pass. area 646 sqft, SGD 3,400/month. The reported area misses the main size preference; distance is only a hard limit here.</x:v>
      </x:c>
      <x:c r="R287" s="13"/>
    </x:row>
    <x:row r="288" ht="24" hidden="0" customHeight="1">
      <x:c r="A288" s="2" t="str">
        <x:v>S12|500277568</x:v>
      </x:c>
      <x:c r="B288" s="2" t="str">
        <x:v>S12</x:v>
      </x:c>
      <x:c r="C288" s="2" t="str">
        <x:v>500277568</x:v>
      </x:c>
      <x:c r="D288" s="2" t="n">
        <x:v>2</x:v>
      </x:c>
      <x:c r="E288" s="9"/>
      <x:c r="F288" s="2" t="n">
        <x:f>IF(E288="",D288,IF(E288="U","U",IF(AND(ISNUMBER(E288),E288&gt;=0,E288&lt;=3,INT(E288)=E288),E288,"Invalid")))</x:f>
        <x:v>2</x:v>
      </x:c>
      <x:c r="G288" s="2" t="n">
        <x:f>IF(ISNUMBER(F288),1,0)</x:f>
        <x:v>1</x:v>
      </x:c>
      <x:c r="H288" s="2" t="n">
        <x:f>IF(ISNUMBER(F288),IF(F288&gt;=2,1,0),0)</x:f>
        <x:v>1</x:v>
      </x:c>
      <x:c r="I288" s="11" t="n">
        <x:f>IF(ISNUMBER(F288),2^F288-1,0)</x:f>
        <x:v>3</x:v>
      </x:c>
      <x:c r="J288" s="2" t="str">
        <x:v>Retained original 577</x:v>
      </x:c>
      <x:c r="K288" s="10" t="n">
        <x:v>4400</x:v>
      </x:c>
      <x:c r="L288" s="10" t="n">
        <x:v>3</x:v>
      </x:c>
      <x:c r="M288" s="10" t="n">
        <x:v>1011</x:v>
      </x:c>
      <x:c r="N288" s="2" t="str">
        <x:v>D04</x:v>
      </x:c>
      <x:c r="O288" s="2" t="str">
        <x:v>hdb flat</x:v>
      </x:c>
      <x:c r="P288" s="2" t="str">
        <x:v>https://www.propertyguru.com.sg/listing/hdb-for-rent-90a-telok-blangah-street-31-500277568</x:v>
      </x:c>
      <x:c r="Q288" s="12" t="str">
        <x:v>Hard requirements pass. area 1,011 sqft, SGD 4,400/month. The size preference is met, with rent close to the cap.</x:v>
      </x:c>
      <x:c r="R288" s="13"/>
    </x:row>
    <x:row r="289" ht="24" hidden="0" customHeight="1">
      <x:c r="A289" s="2" t="str">
        <x:v>S12|21046537</x:v>
      </x:c>
      <x:c r="B289" s="2" t="str">
        <x:v>S12</x:v>
      </x:c>
      <x:c r="C289" s="2" t="str">
        <x:v>21046537</x:v>
      </x:c>
      <x:c r="D289" s="2" t="n">
        <x:v>2</x:v>
      </x:c>
      <x:c r="E289" s="9"/>
      <x:c r="F289" s="2" t="n">
        <x:f>IF(E289="",D289,IF(E289="U","U",IF(AND(ISNUMBER(E289),E289&gt;=0,E289&lt;=3,INT(E289)=E289),E289,"Invalid")))</x:f>
        <x:v>2</x:v>
      </x:c>
      <x:c r="G289" s="2" t="n">
        <x:f>IF(ISNUMBER(F289),1,0)</x:f>
        <x:v>1</x:v>
      </x:c>
      <x:c r="H289" s="2" t="n">
        <x:f>IF(ISNUMBER(F289),IF(F289&gt;=2,1,0),0)</x:f>
        <x:v>1</x:v>
      </x:c>
      <x:c r="I289" s="11" t="n">
        <x:f>IF(ISNUMBER(F289),2^F289-1,0)</x:f>
        <x:v>3</x:v>
      </x:c>
      <x:c r="J289" s="2" t="str">
        <x:v>Retained original 577</x:v>
      </x:c>
      <x:c r="K289" s="10" t="n">
        <x:v>3600</x:v>
      </x:c>
      <x:c r="L289" s="10" t="n">
        <x:v>2</x:v>
      </x:c>
      <x:c r="M289" s="10" t="n">
        <x:v>800</x:v>
      </x:c>
      <x:c r="N289" s="2" t="str">
        <x:v>D05</x:v>
      </x:c>
      <x:c r="O289" s="2" t="str">
        <x:v>hdb flat</x:v>
      </x:c>
      <x:c r="P289" s="2" t="str">
        <x:v>https://www.propertyguru.com.sg/listing/hdb-for-rent-2-dover-road-21046537</x:v>
      </x:c>
      <x:c r="Q289" s="12" t="str">
        <x:v>Hard requirements pass. area 800 sqft, SGD 3,600/month. A modest shortfall in the soft size target; still a usable trade-off, not a hard failure.</x:v>
      </x:c>
      <x:c r="R289" s="13"/>
    </x:row>
    <x:row r="290" ht="24" hidden="0" customHeight="1">
      <x:c r="A290" s="2" t="str">
        <x:v>S12|500266415</x:v>
      </x:c>
      <x:c r="B290" s="2" t="str">
        <x:v>S12</x:v>
      </x:c>
      <x:c r="C290" s="2" t="str">
        <x:v>500266415</x:v>
      </x:c>
      <x:c r="D290" s="2" t="n">
        <x:v>3</x:v>
      </x:c>
      <x:c r="E290" s="9"/>
      <x:c r="F290" s="2" t="n">
        <x:f>IF(E290="",D290,IF(E290="U","U",IF(AND(ISNUMBER(E290),E290&gt;=0,E290&lt;=3,INT(E290)=E290),E290,"Invalid")))</x:f>
        <x:v>3</x:v>
      </x:c>
      <x:c r="G290" s="2" t="n">
        <x:f>IF(ISNUMBER(F290),1,0)</x:f>
        <x:v>1</x:v>
      </x:c>
      <x:c r="H290" s="2" t="n">
        <x:f>IF(ISNUMBER(F290),IF(F290&gt;=2,1,0),0)</x:f>
        <x:v>1</x:v>
      </x:c>
      <x:c r="I290" s="11" t="n">
        <x:f>IF(ISNUMBER(F290),2^F290-1,0)</x:f>
        <x:v>7</x:v>
      </x:c>
      <x:c r="J290" s="2" t="str">
        <x:v>Retained original 577</x:v>
      </x:c>
      <x:c r="K290" s="10" t="n">
        <x:v>3300</x:v>
      </x:c>
      <x:c r="L290" s="10" t="n">
        <x:v>2</x:v>
      </x:c>
      <x:c r="M290" s="10" t="n">
        <x:v>980</x:v>
      </x:c>
      <x:c r="N290" s="2" t="str">
        <x:v>D05</x:v>
      </x:c>
      <x:c r="O290" s="2" t="str">
        <x:v>hdb flat</x:v>
      </x:c>
      <x:c r="P290" s="2" t="str">
        <x:v>https://www.propertyguru.com.sg/listing/hdb-for-rent-511-west-coast-drive-500266415</x:v>
      </x:c>
      <x:c r="Q290" s="12" t="str">
        <x:v>Hard requirements pass. area 980 sqft, SGD 3,300/month. The preferred size is met with reasonable rent compared with other candidates.</x:v>
      </x:c>
      <x:c r="R290" s="13"/>
    </x:row>
    <x:row r="291" ht="15" hidden="0" customHeight="1">
      <x:c r="A291" s="2" t="str">
        <x:v>S12|500195960</x:v>
      </x:c>
      <x:c r="B291" s="2" t="str">
        <x:v>S12</x:v>
      </x:c>
      <x:c r="C291" s="2" t="str">
        <x:v>500195960</x:v>
      </x:c>
      <x:c r="D291" s="2" t="n">
        <x:v>0</x:v>
      </x:c>
      <x:c r="E291" s="9"/>
      <x:c r="F291" s="2" t="n">
        <x:f>IF(E291="",D291,IF(E291="U","U",IF(AND(ISNUMBER(E291),E291&gt;=0,E291&lt;=3,INT(E291)=E291),E291,"Invalid")))</x:f>
        <x:v>0</x:v>
      </x:c>
      <x:c r="G291" s="2" t="n">
        <x:f>IF(ISNUMBER(F291),1,0)</x:f>
        <x:v>1</x:v>
      </x:c>
      <x:c r="H291" s="2" t="n">
        <x:f>IF(ISNUMBER(F291),IF(F291&gt;=2,1,0),0)</x:f>
        <x:v>0</x:v>
      </x:c>
      <x:c r="I291" s="11" t="n">
        <x:f>IF(ISNUMBER(F291),2^F291-1,0)</x:f>
        <x:v>0</x:v>
      </x:c>
      <x:c r="J291" s="2" t="str">
        <x:v>Retained original 577</x:v>
      </x:c>
      <x:c r="K291" s="10" t="n">
        <x:v>4511</x:v>
      </x:c>
      <x:c r="L291" s="10" t="n">
        <x:v>2</x:v>
      </x:c>
      <x:c r="M291" s="10" t="n">
        <x:v>614</x:v>
      </x:c>
      <x:c r="N291" s="2" t="str">
        <x:v>D10</x:v>
      </x:c>
      <x:c r="O291" s="2" t="str">
        <x:v>condominium</x:v>
      </x:c>
      <x:c r="P291" s="2" t="str">
        <x:v>https://www.propertyguru.com.sg/listing/for-rent-hyll-on-holland-500195960</x:v>
      </x:c>
      <x:c r="Q291" s="12" t="str">
        <x:v>Hard failure: Rent (SGD/month) 4,511; required &lt;= 4,500.</x:v>
      </x:c>
      <x:c r="R291" s="13"/>
    </x:row>
    <x:row r="292" ht="15" hidden="0" customHeight="1">
      <x:c r="A292" s="2" t="str">
        <x:v>S12|15366917</x:v>
      </x:c>
      <x:c r="B292" s="2" t="str">
        <x:v>S12</x:v>
      </x:c>
      <x:c r="C292" s="2" t="str">
        <x:v>15366917</x:v>
      </x:c>
      <x:c r="D292" s="2" t="str">
        <x:v>U</x:v>
      </x:c>
      <x:c r="E292" s="9"/>
      <x:c r="F292" s="2" t="str">
        <x:f>IF(E292="",D292,IF(E292="U","U",IF(AND(ISNUMBER(E292),E292&gt;=0,E292&lt;=3,INT(E292)=E292),E292,"Invalid")))</x:f>
        <x:v>U</x:v>
      </x:c>
      <x:c r="G292" s="2" t="n">
        <x:f>IF(ISNUMBER(F292),1,0)</x:f>
        <x:v>0</x:v>
      </x:c>
      <x:c r="H292" s="2" t="n">
        <x:f>IF(ISNUMBER(F292),IF(F292&gt;=2,1,0),0)</x:f>
        <x:v>0</x:v>
      </x:c>
      <x:c r="I292" s="11" t="n">
        <x:f>IF(ISNUMBER(F292),2^F292-1,0)</x:f>
        <x:v>0</x:v>
      </x:c>
      <x:c r="J292" s="2" t="str">
        <x:v>Retained original 577</x:v>
      </x:c>
      <x:c r="K292" s="10" t="n">
        <x:v>4300</x:v>
      </x:c>
      <x:c r="L292" s="10" t="n">
        <x:v>2</x:v>
      </x:c>
      <x:c r="M292" s="10" t="n">
        <x:v>936</x:v>
      </x:c>
      <x:c r="N292" s="2" t="str">
        <x:v>D16</x:v>
      </x:c>
      <x:c r="O292" s="2" t="str">
        <x:v>condominium</x:v>
      </x:c>
      <x:c r="P292" s="2" t="str">
        <x:v>https://www.propertyguru.com.sg/listing/for-rent-bayshore-park-15366917</x:v>
      </x:c>
      <x:c r="Q292" s="12" t="str">
        <x:v>No known hard failure. Cannot verify: nus straight-line distance (m).</x:v>
      </x:c>
      <x:c r="R292" s="13"/>
    </x:row>
    <x:row r="293" ht="15" hidden="0" customHeight="1">
      <x:c r="A293" s="2" t="str">
        <x:v>S12|500232299</x:v>
      </x:c>
      <x:c r="B293" s="2" t="str">
        <x:v>S12</x:v>
      </x:c>
      <x:c r="C293" s="2" t="str">
        <x:v>500232299</x:v>
      </x:c>
      <x:c r="D293" s="2" t="n">
        <x:v>0</x:v>
      </x:c>
      <x:c r="E293" s="9"/>
      <x:c r="F293" s="2" t="n">
        <x:f>IF(E293="",D293,IF(E293="U","U",IF(AND(ISNUMBER(E293),E293&gt;=0,E293&lt;=3,INT(E293)=E293),E293,"Invalid")))</x:f>
        <x:v>0</x:v>
      </x:c>
      <x:c r="G293" s="2" t="n">
        <x:f>IF(ISNUMBER(F293),1,0)</x:f>
        <x:v>1</x:v>
      </x:c>
      <x:c r="H293" s="2" t="n">
        <x:f>IF(ISNUMBER(F293),IF(F293&gt;=2,1,0),0)</x:f>
        <x:v>0</x:v>
      </x:c>
      <x:c r="I293" s="11" t="n">
        <x:f>IF(ISNUMBER(F293),2^F293-1,0)</x:f>
        <x:v>0</x:v>
      </x:c>
      <x:c r="J293" s="2" t="str">
        <x:v>Retained original 577</x:v>
      </x:c>
      <x:c r="K293" s="10" t="n">
        <x:v>4504</x:v>
      </x:c>
      <x:c r="L293" s="10" t="n">
        <x:v>2</x:v>
      </x:c>
      <x:c r="M293" s="10" t="n">
        <x:v>803</x:v>
      </x:c>
      <x:c r="N293" s="2" t="str">
        <x:v>D15</x:v>
      </x:c>
      <x:c r="O293" s="2" t="str">
        <x:v>condominium</x:v>
      </x:c>
      <x:c r="P293" s="2" t="str">
        <x:v>https://www.propertyguru.com.sg/listing/for-rent-weave-residences-east-coast-500232299</x:v>
      </x:c>
      <x:c r="Q293" s="12" t="str">
        <x:v>Hard failure: Rent (SGD/month) 4,504; required &lt;= 4,500.</x:v>
      </x:c>
      <x:c r="R293" s="13"/>
    </x:row>
    <x:row r="294" ht="15" hidden="0" customHeight="1">
      <x:c r="A294" s="2" t="str">
        <x:v>S12|24575359</x:v>
      </x:c>
      <x:c r="B294" s="2" t="str">
        <x:v>S12</x:v>
      </x:c>
      <x:c r="C294" s="2" t="str">
        <x:v>24575359</x:v>
      </x:c>
      <x:c r="D294" s="2" t="n">
        <x:v>0</x:v>
      </x:c>
      <x:c r="E294" s="9"/>
      <x:c r="F294" s="2" t="n">
        <x:f>IF(E294="",D294,IF(E294="U","U",IF(AND(ISNUMBER(E294),E294&gt;=0,E294&lt;=3,INT(E294)=E294),E294,"Invalid")))</x:f>
        <x:v>0</x:v>
      </x:c>
      <x:c r="G294" s="2" t="n">
        <x:f>IF(ISNUMBER(F294),1,0)</x:f>
        <x:v>1</x:v>
      </x:c>
      <x:c r="H294" s="2" t="n">
        <x:f>IF(ISNUMBER(F294),IF(F294&gt;=2,1,0),0)</x:f>
        <x:v>0</x:v>
      </x:c>
      <x:c r="I294" s="11" t="n">
        <x:f>IF(ISNUMBER(F294),2^F294-1,0)</x:f>
        <x:v>0</x:v>
      </x:c>
      <x:c r="J294" s="2" t="str">
        <x:v>Retained original 577</x:v>
      </x:c>
      <x:c r="K294" s="10" t="n">
        <x:v>3800</x:v>
      </x:c>
      <x:c r="L294" s="10" t="n">
        <x:v>3</x:v>
      </x:c>
      <x:c r="M294" s="10" t="n">
        <x:v>1238</x:v>
      </x:c>
      <x:c r="N294" s="2" t="str">
        <x:v>D22</x:v>
      </x:c>
      <x:c r="O294" s="2" t="str">
        <x:v>hdb flat</x:v>
      </x:c>
      <x:c r="P294" s="2" t="str">
        <x:v>https://www.propertyguru.com.sg/listing/hdb-for-rent-63-teban-gardens-road-24575359</x:v>
      </x:c>
      <x:c r="Q294" s="12" t="str">
        <x:v>Hard failure: NUS straight-line distance (m) 5,027.58; required &lt;= 5,000.</x:v>
      </x:c>
      <x:c r="R294" s="13"/>
    </x:row>
    <x:row r="295" ht="24" hidden="0" customHeight="1">
      <x:c r="A295" s="2" t="str">
        <x:v>S12|60155193</x:v>
      </x:c>
      <x:c r="B295" s="2" t="str">
        <x:v>S12</x:v>
      </x:c>
      <x:c r="C295" s="2" t="str">
        <x:v>60155193</x:v>
      </x:c>
      <x:c r="D295" s="2" t="n">
        <x:v>1</x:v>
      </x:c>
      <x:c r="E295" s="9"/>
      <x:c r="F295" s="2" t="n">
        <x:f>IF(E295="",D295,IF(E295="U","U",IF(AND(ISNUMBER(E295),E295&gt;=0,E295&lt;=3,INT(E295)=E295),E295,"Invalid")))</x:f>
        <x:v>1</x:v>
      </x:c>
      <x:c r="G295" s="2" t="n">
        <x:f>IF(ISNUMBER(F295),1,0)</x:f>
        <x:v>1</x:v>
      </x:c>
      <x:c r="H295" s="2" t="n">
        <x:f>IF(ISNUMBER(F295),IF(F295&gt;=2,1,0),0)</x:f>
        <x:v>0</x:v>
      </x:c>
      <x:c r="I295" s="11" t="n">
        <x:f>IF(ISNUMBER(F295),2^F295-1,0)</x:f>
        <x:v>1</x:v>
      </x:c>
      <x:c r="J295" s="2" t="str">
        <x:v>Retained original 577</x:v>
      </x:c>
      <x:c r="K295" s="10" t="n">
        <x:v>4200</x:v>
      </x:c>
      <x:c r="L295" s="10" t="n">
        <x:v>3</x:v>
      </x:c>
      <x:c r="M295" s="10" t="n">
        <x:v>803</x:v>
      </x:c>
      <x:c r="N295" s="2" t="str">
        <x:v>D05</x:v>
      </x:c>
      <x:c r="O295" s="2" t="str">
        <x:v>hdb flat</x:v>
      </x:c>
      <x:c r="P295" s="2" t="str">
        <x:v>https://www.propertyguru.com.sg/listing/hdb-for-rent-429-clementi-avenue-3-60155193</x:v>
      </x:c>
      <x:c r="Q295" s="12" t="str">
        <x:v>Hard requirements pass. area 803 sqft, SGD 4,200/month. The reported area misses the main size preference; distance is only a hard limit here.</x:v>
      </x:c>
      <x:c r="R295" s="13"/>
    </x:row>
    <x:row r="296" ht="24" hidden="0" customHeight="1">
      <x:c r="A296" s="2" t="str">
        <x:v>S12|24981163</x:v>
      </x:c>
      <x:c r="B296" s="2" t="str">
        <x:v>S12</x:v>
      </x:c>
      <x:c r="C296" s="2" t="str">
        <x:v>24981163</x:v>
      </x:c>
      <x:c r="D296" s="2" t="n">
        <x:v>3</x:v>
      </x:c>
      <x:c r="E296" s="9"/>
      <x:c r="F296" s="2" t="n">
        <x:f>IF(E296="",D296,IF(E296="U","U",IF(AND(ISNUMBER(E296),E296&gt;=0,E296&lt;=3,INT(E296)=E296),E296,"Invalid")))</x:f>
        <x:v>3</x:v>
      </x:c>
      <x:c r="G296" s="2" t="n">
        <x:f>IF(ISNUMBER(F296),1,0)</x:f>
        <x:v>1</x:v>
      </x:c>
      <x:c r="H296" s="2" t="n">
        <x:f>IF(ISNUMBER(F296),IF(F296&gt;=2,1,0),0)</x:f>
        <x:v>1</x:v>
      </x:c>
      <x:c r="I296" s="11" t="n">
        <x:f>IF(ISNUMBER(F296),2^F296-1,0)</x:f>
        <x:v>7</x:v>
      </x:c>
      <x:c r="J296" s="2" t="str">
        <x:v>Retained original 577</x:v>
      </x:c>
      <x:c r="K296" s="10" t="n">
        <x:v>3800</x:v>
      </x:c>
      <x:c r="L296" s="10" t="n">
        <x:v>3</x:v>
      </x:c>
      <x:c r="M296" s="10" t="n">
        <x:v>1012</x:v>
      </x:c>
      <x:c r="N296" s="2" t="str">
        <x:v>D05</x:v>
      </x:c>
      <x:c r="O296" s="2" t="str">
        <x:v>hdb flat</x:v>
      </x:c>
      <x:c r="P296" s="2" t="str">
        <x:v>https://www.propertyguru.com.sg/listing/hdb-for-rent-381-clementi-avenue-5-24981163</x:v>
      </x:c>
      <x:c r="Q296" s="12" t="str">
        <x:v>Hard requirements pass. area 1,012 sqft, SGD 3,800/month. The preferred size is met with reasonable rent compared with other candidates.</x:v>
      </x:c>
      <x:c r="R296" s="13"/>
    </x:row>
    <x:row r="297" ht="24" hidden="0" customHeight="1">
      <x:c r="A297" s="2" t="str">
        <x:v>S12|60004488</x:v>
      </x:c>
      <x:c r="B297" s="2" t="str">
        <x:v>S12</x:v>
      </x:c>
      <x:c r="C297" s="2" t="str">
        <x:v>60004488</x:v>
      </x:c>
      <x:c r="D297" s="2" t="n">
        <x:v>2</x:v>
      </x:c>
      <x:c r="E297" s="9"/>
      <x:c r="F297" s="2" t="n">
        <x:f>IF(E297="",D297,IF(E297="U","U",IF(AND(ISNUMBER(E297),E297&gt;=0,E297&lt;=3,INT(E297)=E297),E297,"Invalid")))</x:f>
        <x:v>2</x:v>
      </x:c>
      <x:c r="G297" s="2" t="n">
        <x:f>IF(ISNUMBER(F297),1,0)</x:f>
        <x:v>1</x:v>
      </x:c>
      <x:c r="H297" s="2" t="n">
        <x:f>IF(ISNUMBER(F297),IF(F297&gt;=2,1,0),0)</x:f>
        <x:v>1</x:v>
      </x:c>
      <x:c r="I297" s="11" t="n">
        <x:f>IF(ISNUMBER(F297),2^F297-1,0)</x:f>
        <x:v>3</x:v>
      </x:c>
      <x:c r="J297" s="2" t="str">
        <x:v>Retained original 577</x:v>
      </x:c>
      <x:c r="K297" s="10" t="n">
        <x:v>4200</x:v>
      </x:c>
      <x:c r="L297" s="10" t="n">
        <x:v>2</x:v>
      </x:c>
      <x:c r="M297" s="10" t="n">
        <x:v>861</x:v>
      </x:c>
      <x:c r="N297" s="2" t="str">
        <x:v>D05</x:v>
      </x:c>
      <x:c r="O297" s="2" t="str">
        <x:v>condominium</x:v>
      </x:c>
      <x:c r="P297" s="2" t="str">
        <x:v>https://www.propertyguru.com.sg/listing/for-rent-murano-60004488</x:v>
      </x:c>
      <x:c r="Q297" s="12" t="str">
        <x:v>Hard requirements pass. area 861 sqft, SGD 4,200/month. A modest shortfall in the soft size target; still a usable trade-off, not a hard failure.</x:v>
      </x:c>
      <x:c r="R297" s="13"/>
    </x:row>
    <x:row r="298" ht="24" hidden="0" customHeight="1">
      <x:c r="A298" s="2" t="str">
        <x:v>S12|500252038</x:v>
      </x:c>
      <x:c r="B298" s="2" t="str">
        <x:v>S12</x:v>
      </x:c>
      <x:c r="C298" s="2" t="str">
        <x:v>500252038</x:v>
      </x:c>
      <x:c r="D298" s="2" t="n">
        <x:v>1</x:v>
      </x:c>
      <x:c r="E298" s="9"/>
      <x:c r="F298" s="2" t="n">
        <x:f>IF(E298="",D298,IF(E298="U","U",IF(AND(ISNUMBER(E298),E298&gt;=0,E298&lt;=3,INT(E298)=E298),E298,"Invalid")))</x:f>
        <x:v>1</x:v>
      </x:c>
      <x:c r="G298" s="2" t="n">
        <x:f>IF(ISNUMBER(F298),1,0)</x:f>
        <x:v>1</x:v>
      </x:c>
      <x:c r="H298" s="2" t="n">
        <x:f>IF(ISNUMBER(F298),IF(F298&gt;=2,1,0),0)</x:f>
        <x:v>0</x:v>
      </x:c>
      <x:c r="I298" s="11" t="n">
        <x:f>IF(ISNUMBER(F298),2^F298-1,0)</x:f>
        <x:v>1</x:v>
      </x:c>
      <x:c r="J298" s="2" t="str">
        <x:v>Retained original 577</x:v>
      </x:c>
      <x:c r="K298" s="10" t="n">
        <x:v>4500</x:v>
      </x:c>
      <x:c r="L298" s="10" t="n">
        <x:v>2</x:v>
      </x:c>
      <x:c r="M298" s="10" t="n">
        <x:v>667</x:v>
      </x:c>
      <x:c r="N298" s="2" t="str">
        <x:v>D05</x:v>
      </x:c>
      <x:c r="O298" s="2" t="str">
        <x:v>condominium</x:v>
      </x:c>
      <x:c r="P298" s="2" t="str">
        <x:v>https://www.propertyguru.com.sg/listing/for-rent-normanton-park-500252038</x:v>
      </x:c>
      <x:c r="Q298" s="12" t="str">
        <x:v>Hard requirements pass. area 667 sqft, SGD 4,500/month. The reported area misses the main size preference; distance is only a hard limit here.</x:v>
      </x:c>
      <x:c r="R298" s="13"/>
    </x:row>
    <x:row r="299" ht="24" hidden="0" customHeight="1">
      <x:c r="A299" s="2" t="str">
        <x:v>S12|500276845</x:v>
      </x:c>
      <x:c r="B299" s="2" t="str">
        <x:v>S12</x:v>
      </x:c>
      <x:c r="C299" s="2" t="str">
        <x:v>500276845</x:v>
      </x:c>
      <x:c r="D299" s="2" t="n">
        <x:v>1</x:v>
      </x:c>
      <x:c r="E299" s="9"/>
      <x:c r="F299" s="2" t="n">
        <x:f>IF(E299="",D299,IF(E299="U","U",IF(AND(ISNUMBER(E299),E299&gt;=0,E299&lt;=3,INT(E299)=E299),E299,"Invalid")))</x:f>
        <x:v>1</x:v>
      </x:c>
      <x:c r="G299" s="2" t="n">
        <x:f>IF(ISNUMBER(F299),1,0)</x:f>
        <x:v>1</x:v>
      </x:c>
      <x:c r="H299" s="2" t="n">
        <x:f>IF(ISNUMBER(F299),IF(F299&gt;=2,1,0),0)</x:f>
        <x:v>0</x:v>
      </x:c>
      <x:c r="I299" s="11" t="n">
        <x:f>IF(ISNUMBER(F299),2^F299-1,0)</x:f>
        <x:v>1</x:v>
      </x:c>
      <x:c r="J299" s="2" t="str">
        <x:v>Retained original 577</x:v>
      </x:c>
      <x:c r="K299" s="10" t="n">
        <x:v>4200</x:v>
      </x:c>
      <x:c r="L299" s="10" t="n">
        <x:v>3</x:v>
      </x:c>
      <x:c r="M299" s="10" t="n">
        <x:v>700</x:v>
      </x:c>
      <x:c r="N299" s="2" t="str">
        <x:v>D03</x:v>
      </x:c>
      <x:c r="O299" s="2" t="str">
        <x:v>hdb flat</x:v>
      </x:c>
      <x:c r="P299" s="2" t="str">
        <x:v>https://www.propertyguru.com.sg/listing/hdb-for-rent-37-jalan-rumah-tinggi-500276845</x:v>
      </x:c>
      <x:c r="Q299" s="12" t="str">
        <x:v>Hard requirements pass. area 700 sqft, SGD 4,200/month. The reported area misses the main size preference; distance is only a hard limit here.</x:v>
      </x:c>
      <x:c r="R299" s="13"/>
    </x:row>
    <x:row r="300" ht="15" hidden="0" customHeight="1">
      <x:c r="A300" s="2" t="str">
        <x:v>S12|500284281</x:v>
      </x:c>
      <x:c r="B300" s="2" t="str">
        <x:v>S12</x:v>
      </x:c>
      <x:c r="C300" s="2" t="str">
        <x:v>500284281</x:v>
      </x:c>
      <x:c r="D300" s="2" t="str">
        <x:v>U</x:v>
      </x:c>
      <x:c r="E300" s="9"/>
      <x:c r="F300" s="2" t="str">
        <x:f>IF(E300="",D300,IF(E300="U","U",IF(AND(ISNUMBER(E300),E300&gt;=0,E300&lt;=3,INT(E300)=E300),E300,"Invalid")))</x:f>
        <x:v>U</x:v>
      </x:c>
      <x:c r="G300" s="2" t="n">
        <x:f>IF(ISNUMBER(F300),1,0)</x:f>
        <x:v>0</x:v>
      </x:c>
      <x:c r="H300" s="2" t="n">
        <x:f>IF(ISNUMBER(F300),IF(F300&gt;=2,1,0),0)</x:f>
        <x:v>0</x:v>
      </x:c>
      <x:c r="I300" s="11" t="n">
        <x:f>IF(ISNUMBER(F300),2^F300-1,0)</x:f>
        <x:v>0</x:v>
      </x:c>
      <x:c r="J300" s="2" t="str">
        <x:v>Retained original 577</x:v>
      </x:c>
      <x:c r="K300" s="10" t="n">
        <x:v>3500</x:v>
      </x:c>
      <x:c r="L300" s="10" t="n">
        <x:v>2</x:v>
      </x:c>
      <x:c r="M300" s="10" t="n">
        <x:v>807</x:v>
      </x:c>
      <x:c r="N300" s="2" t="str">
        <x:v>D26</x:v>
      </x:c>
      <x:c r="O300" s="2" t="str">
        <x:v>condominium</x:v>
      </x:c>
      <x:c r="P300" s="2" t="str">
        <x:v>https://www.propertyguru.com.sg/listing/for-rent-bullion-park-500284281</x:v>
      </x:c>
      <x:c r="Q300" s="12" t="str">
        <x:v>No known hard failure. Cannot verify: nus straight-line distance (m).</x:v>
      </x:c>
      <x:c r="R300" s="13"/>
    </x:row>
    <x:row r="301" ht="24" hidden="0" customHeight="1">
      <x:c r="A301" s="2" t="str">
        <x:v>S12|500262756</x:v>
      </x:c>
      <x:c r="B301" s="2" t="str">
        <x:v>S12</x:v>
      </x:c>
      <x:c r="C301" s="2" t="str">
        <x:v>500262756</x:v>
      </x:c>
      <x:c r="D301" s="2" t="n">
        <x:v>1</x:v>
      </x:c>
      <x:c r="E301" s="9"/>
      <x:c r="F301" s="2" t="n">
        <x:f>IF(E301="",D301,IF(E301="U","U",IF(AND(ISNUMBER(E301),E301&gt;=0,E301&lt;=3,INT(E301)=E301),E301,"Invalid")))</x:f>
        <x:v>1</x:v>
      </x:c>
      <x:c r="G301" s="2" t="n">
        <x:f>IF(ISNUMBER(F301),1,0)</x:f>
        <x:v>1</x:v>
      </x:c>
      <x:c r="H301" s="2" t="n">
        <x:f>IF(ISNUMBER(F301),IF(F301&gt;=2,1,0),0)</x:f>
        <x:v>0</x:v>
      </x:c>
      <x:c r="I301" s="11" t="n">
        <x:f>IF(ISNUMBER(F301),2^F301-1,0)</x:f>
        <x:v>1</x:v>
      </x:c>
      <x:c r="J301" s="2" t="str">
        <x:v>Retained original 577</x:v>
      </x:c>
      <x:c r="K301" s="10" t="n">
        <x:v>3000</x:v>
      </x:c>
      <x:c r="L301" s="10" t="n">
        <x:v>2</x:v>
      </x:c>
      <x:c r="M301" s="10" t="n">
        <x:v>699</x:v>
      </x:c>
      <x:c r="N301" s="2" t="str">
        <x:v>D05</x:v>
      </x:c>
      <x:c r="O301" s="2" t="str">
        <x:v>hdb flat</x:v>
      </x:c>
      <x:c r="P301" s="2" t="str">
        <x:v>https://www.propertyguru.com.sg/listing/hdb-for-rent-2-dover-road-500262756</x:v>
      </x:c>
      <x:c r="Q301" s="12" t="str">
        <x:v>Hard requirements pass. area 699 sqft, SGD 3,000/month. The reported area misses the main size preference; distance is only a hard limit here.</x:v>
      </x:c>
      <x:c r="R301" s="13"/>
    </x:row>
    <x:row r="302" ht="24" hidden="0" customHeight="1">
      <x:c r="A302" s="2" t="str">
        <x:v>S12|18689152</x:v>
      </x:c>
      <x:c r="B302" s="2" t="str">
        <x:v>S12</x:v>
      </x:c>
      <x:c r="C302" s="2" t="str">
        <x:v>18689152</x:v>
      </x:c>
      <x:c r="D302" s="2" t="n">
        <x:v>3</x:v>
      </x:c>
      <x:c r="E302" s="9"/>
      <x:c r="F302" s="2" t="n">
        <x:f>IF(E302="",D302,IF(E302="U","U",IF(AND(ISNUMBER(E302),E302&gt;=0,E302&lt;=3,INT(E302)=E302),E302,"Invalid")))</x:f>
        <x:v>3</x:v>
      </x:c>
      <x:c r="G302" s="2" t="n">
        <x:f>IF(ISNUMBER(F302),1,0)</x:f>
        <x:v>1</x:v>
      </x:c>
      <x:c r="H302" s="2" t="n">
        <x:f>IF(ISNUMBER(F302),IF(F302&gt;=2,1,0),0)</x:f>
        <x:v>1</x:v>
      </x:c>
      <x:c r="I302" s="11" t="n">
        <x:f>IF(ISNUMBER(F302),2^F302-1,0)</x:f>
        <x:v>7</x:v>
      </x:c>
      <x:c r="J302" s="2" t="str">
        <x:v>Retained original 577</x:v>
      </x:c>
      <x:c r="K302" s="10" t="n">
        <x:v>3350</x:v>
      </x:c>
      <x:c r="L302" s="10" t="n">
        <x:v>2</x:v>
      </x:c>
      <x:c r="M302" s="10" t="n">
        <x:v>969</x:v>
      </x:c>
      <x:c r="N302" s="2" t="str">
        <x:v>D05</x:v>
      </x:c>
      <x:c r="O302" s="2" t="str">
        <x:v>hdb flat</x:v>
      </x:c>
      <x:c r="P302" s="2" t="str">
        <x:v>https://www.propertyguru.com.sg/listing/hdb-for-rent-508-west-coast-drive-18689152</x:v>
      </x:c>
      <x:c r="Q302" s="12" t="str">
        <x:v>Hard requirements pass. area 969 sqft, SGD 3,350/month. The preferred size is met with reasonable rent compared with other candidates.</x:v>
      </x:c>
      <x:c r="R302" s="13"/>
    </x:row>
    <x:row r="303" ht="15" hidden="0" customHeight="1">
      <x:c r="A303" s="2" t="str">
        <x:v>S12|500257944</x:v>
      </x:c>
      <x:c r="B303" s="2" t="str">
        <x:v>S12</x:v>
      </x:c>
      <x:c r="C303" s="2" t="str">
        <x:v>500257944</x:v>
      </x:c>
      <x:c r="D303" s="2" t="n">
        <x:v>0</x:v>
      </x:c>
      <x:c r="E303" s="9"/>
      <x:c r="F303" s="2" t="n">
        <x:f>IF(E303="",D303,IF(E303="U","U",IF(AND(ISNUMBER(E303),E303&gt;=0,E303&lt;=3,INT(E303)=E303),E303,"Invalid")))</x:f>
        <x:v>0</x:v>
      </x:c>
      <x:c r="G303" s="2" t="n">
        <x:f>IF(ISNUMBER(F303),1,0)</x:f>
        <x:v>1</x:v>
      </x:c>
      <x:c r="H303" s="2" t="n">
        <x:f>IF(ISNUMBER(F303),IF(F303&gt;=2,1,0),0)</x:f>
        <x:v>0</x:v>
      </x:c>
      <x:c r="I303" s="11" t="n">
        <x:f>IF(ISNUMBER(F303),2^F303-1,0)</x:f>
        <x:v>0</x:v>
      </x:c>
      <x:c r="J303" s="2" t="str">
        <x:v>Retained original 577</x:v>
      </x:c>
      <x:c r="K303" s="10" t="n">
        <x:v>4200</x:v>
      </x:c>
      <x:c r="L303" s="10" t="n">
        <x:v>1</x:v>
      </x:c>
      <x:c r="M303" s="10" t="n">
        <x:v>517</x:v>
      </x:c>
      <x:c r="N303" s="2" t="str">
        <x:v>D05</x:v>
      </x:c>
      <x:c r="O303" s="2" t="str">
        <x:v>condominium</x:v>
      </x:c>
      <x:c r="P303" s="2" t="str">
        <x:v>https://www.propertyguru.com.sg/listing/for-rent-one-north-eden-500257944</x:v>
      </x:c>
      <x:c r="Q303" s="12" t="str">
        <x:v>Hard failure: Reported bedrooms 1; required &gt;= 2.</x:v>
      </x:c>
      <x:c r="R303" s="13"/>
    </x:row>
    <x:row r="304" ht="24" hidden="0" customHeight="1">
      <x:c r="A304" s="2" t="str">
        <x:v>S12|6995669</x:v>
      </x:c>
      <x:c r="B304" s="2" t="str">
        <x:v>S12</x:v>
      </x:c>
      <x:c r="C304" s="2" t="str">
        <x:v>6995669</x:v>
      </x:c>
      <x:c r="D304" s="2" t="n">
        <x:v>1</x:v>
      </x:c>
      <x:c r="E304" s="9"/>
      <x:c r="F304" s="2" t="n">
        <x:f>IF(E304="",D304,IF(E304="U","U",IF(AND(ISNUMBER(E304),E304&gt;=0,E304&lt;=3,INT(E304)=E304),E304,"Invalid")))</x:f>
        <x:v>1</x:v>
      </x:c>
      <x:c r="G304" s="2" t="n">
        <x:f>IF(ISNUMBER(F304),1,0)</x:f>
        <x:v>1</x:v>
      </x:c>
      <x:c r="H304" s="2" t="n">
        <x:f>IF(ISNUMBER(F304),IF(F304&gt;=2,1,0),0)</x:f>
        <x:v>0</x:v>
      </x:c>
      <x:c r="I304" s="11" t="n">
        <x:f>IF(ISNUMBER(F304),2^F304-1,0)</x:f>
        <x:v>1</x:v>
      </x:c>
      <x:c r="J304" s="2" t="str">
        <x:v>Retained original 577</x:v>
      </x:c>
      <x:c r="K304" s="10" t="n">
        <x:v>3500</x:v>
      </x:c>
      <x:c r="L304" s="10" t="n">
        <x:v>2</x:v>
      </x:c>
      <x:c r="M304" s="10" t="n">
        <x:v>706</x:v>
      </x:c>
      <x:c r="N304" s="2" t="str">
        <x:v>D05</x:v>
      </x:c>
      <x:c r="O304" s="2" t="str">
        <x:v>hdb flat</x:v>
      </x:c>
      <x:c r="P304" s="2" t="str">
        <x:v>https://www.propertyguru.com.sg/listing/hdb-for-rent-509-west-coast-drive-6995669</x:v>
      </x:c>
      <x:c r="Q304" s="12" t="str">
        <x:v>Hard requirements pass. area 706 sqft, SGD 3,500/month. The reported area misses the main size preference; distance is only a hard limit here.</x:v>
      </x:c>
      <x:c r="R304" s="13"/>
    </x:row>
    <x:row r="305" ht="24" hidden="0" customHeight="1">
      <x:c r="A305" s="2" t="str">
        <x:v>S12|20945749</x:v>
      </x:c>
      <x:c r="B305" s="2" t="str">
        <x:v>S12</x:v>
      </x:c>
      <x:c r="C305" s="2" t="str">
        <x:v>20945749</x:v>
      </x:c>
      <x:c r="D305" s="2" t="n">
        <x:v>1</x:v>
      </x:c>
      <x:c r="E305" s="9"/>
      <x:c r="F305" s="2" t="n">
        <x:f>IF(E305="",D305,IF(E305="U","U",IF(AND(ISNUMBER(E305),E305&gt;=0,E305&lt;=3,INT(E305)=E305),E305,"Invalid")))</x:f>
        <x:v>1</x:v>
      </x:c>
      <x:c r="G305" s="2" t="n">
        <x:f>IF(ISNUMBER(F305),1,0)</x:f>
        <x:v>1</x:v>
      </x:c>
      <x:c r="H305" s="2" t="n">
        <x:f>IF(ISNUMBER(F305),IF(F305&gt;=2,1,0),0)</x:f>
        <x:v>0</x:v>
      </x:c>
      <x:c r="I305" s="11" t="n">
        <x:f>IF(ISNUMBER(F305),2^F305-1,0)</x:f>
        <x:v>1</x:v>
      </x:c>
      <x:c r="J305" s="2" t="str">
        <x:v>Retained original 577</x:v>
      </x:c>
      <x:c r="K305" s="10" t="n">
        <x:v>3200</x:v>
      </x:c>
      <x:c r="L305" s="10" t="n">
        <x:v>2</x:v>
      </x:c>
      <x:c r="M305" s="10" t="n">
        <x:v>700</x:v>
      </x:c>
      <x:c r="N305" s="2" t="str">
        <x:v>D05</x:v>
      </x:c>
      <x:c r="O305" s="2" t="str">
        <x:v>hdb flat</x:v>
      </x:c>
      <x:c r="P305" s="2" t="str">
        <x:v>https://www.propertyguru.com.sg/listing/hdb-for-rent-1-dover-road-20945749</x:v>
      </x:c>
      <x:c r="Q305" s="12" t="str">
        <x:v>Hard requirements pass. area 700 sqft, SGD 3,200/month. The reported area misses the main size preference; distance is only a hard limit here.</x:v>
      </x:c>
      <x:c r="R305" s="13"/>
    </x:row>
    <x:row r="306" ht="24" hidden="0" customHeight="1">
      <x:c r="A306" s="2" t="str">
        <x:v>S13|24866516</x:v>
      </x:c>
      <x:c r="B306" s="2" t="str">
        <x:v>S13</x:v>
      </x:c>
      <x:c r="C306" s="2" t="str">
        <x:v>24866516</x:v>
      </x:c>
      <x:c r="D306" s="2" t="n">
        <x:v>2</x:v>
      </x:c>
      <x:c r="E306" s="9"/>
      <x:c r="F306" s="2" t="n">
        <x:f>IF(E306="",D306,IF(E306="U","U",IF(AND(ISNUMBER(E306),E306&gt;=0,E306&lt;=3,INT(E306)=E306),E306,"Invalid")))</x:f>
        <x:v>2</x:v>
      </x:c>
      <x:c r="G306" s="2" t="n">
        <x:f>IF(ISNUMBER(F306),1,0)</x:f>
        <x:v>1</x:v>
      </x:c>
      <x:c r="H306" s="2" t="n">
        <x:f>IF(ISNUMBER(F306),IF(F306&gt;=2,1,0),0)</x:f>
        <x:v>1</x:v>
      </x:c>
      <x:c r="I306" s="11" t="n">
        <x:f>IF(ISNUMBER(F306),2^F306-1,0)</x:f>
        <x:v>3</x:v>
      </x:c>
      <x:c r="J306" s="2" t="str">
        <x:v>Retained original 577</x:v>
      </x:c>
      <x:c r="K306" s="10" t="n">
        <x:v>3000</x:v>
      </x:c>
      <x:c r="L306" s="10" t="n">
        <x:v>2</x:v>
      </x:c>
      <x:c r="M306" s="10" t="n">
        <x:v>700</x:v>
      </x:c>
      <x:c r="N306" s="2" t="str">
        <x:v>D10</x:v>
      </x:c>
      <x:c r="O306" s="2" t="str">
        <x:v>hdb flat</x:v>
      </x:c>
      <x:c r="P306" s="2" t="str">
        <x:v>https://www.propertyguru.com.sg/listing/hdb-for-rent-6-ghim-moh-road-24866516</x:v>
      </x:c>
      <x:c r="Q306" s="12" t="str">
        <x:v>Hard requirements pass. NUS 2,146.02 m straight-line, SGD 3,000/month. Relatively close, with a rent trade-off against cheaper near-campus choices.</x:v>
      </x:c>
      <x:c r="R306" s="13"/>
    </x:row>
    <x:row r="307" ht="24" hidden="0" customHeight="1">
      <x:c r="A307" s="2" t="str">
        <x:v>S13|21026007</x:v>
      </x:c>
      <x:c r="B307" s="2" t="str">
        <x:v>S13</x:v>
      </x:c>
      <x:c r="C307" s="2" t="str">
        <x:v>21026007</x:v>
      </x:c>
      <x:c r="D307" s="2" t="n">
        <x:v>1</x:v>
      </x:c>
      <x:c r="E307" s="9"/>
      <x:c r="F307" s="2" t="n">
        <x:f>IF(E307="",D307,IF(E307="U","U",IF(AND(ISNUMBER(E307),E307&gt;=0,E307&lt;=3,INT(E307)=E307),E307,"Invalid")))</x:f>
        <x:v>1</x:v>
      </x:c>
      <x:c r="G307" s="2" t="n">
        <x:f>IF(ISNUMBER(F307),1,0)</x:f>
        <x:v>1</x:v>
      </x:c>
      <x:c r="H307" s="2" t="n">
        <x:f>IF(ISNUMBER(F307),IF(F307&gt;=2,1,0),0)</x:f>
        <x:v>0</x:v>
      </x:c>
      <x:c r="I307" s="11" t="n">
        <x:f>IF(ISNUMBER(F307),2^F307-1,0)</x:f>
        <x:v>1</x:v>
      </x:c>
      <x:c r="J307" s="2" t="str">
        <x:v>Retained original 577</x:v>
      </x:c>
      <x:c r="K307" s="10" t="n">
        <x:v>450</x:v>
      </x:c>
      <x:c r="L307" s="10" t="n">
        <x:v>3</x:v>
      </x:c>
      <x:c r="M307" s="10" t="n">
        <x:v>100</x:v>
      </x:c>
      <x:c r="N307" s="2" t="str">
        <x:v>D25</x:v>
      </x:c>
      <x:c r="O307" s="2" t="str">
        <x:v>hdb flat</x:v>
      </x:c>
      <x:c r="P307" s="2" t="str">
        <x:v>https://www.propertyguru.com.sg/listing/hdb-for-rent-764a-woodlands-circle-21026007</x:v>
      </x:c>
      <x:c r="Q307" s="12" t="str">
        <x:v>Hard requirements pass. NUS 16,744.33 m straight-line, SGD 450/month. The long straight-line distance weakens the primary preference, despite any rent savings.</x:v>
      </x:c>
      <x:c r="R307" s="13"/>
    </x:row>
    <x:row r="308" ht="24" hidden="0" customHeight="1">
      <x:c r="A308" s="2" t="str">
        <x:v>S13|500226876</x:v>
      </x:c>
      <x:c r="B308" s="2" t="str">
        <x:v>S13</x:v>
      </x:c>
      <x:c r="C308" s="2" t="str">
        <x:v>500226876</x:v>
      </x:c>
      <x:c r="D308" s="2" t="n">
        <x:v>3</x:v>
      </x:c>
      <x:c r="E308" s="9"/>
      <x:c r="F308" s="2" t="n">
        <x:f>IF(E308="",D308,IF(E308="U","U",IF(AND(ISNUMBER(E308),E308&gt;=0,E308&lt;=3,INT(E308)=E308),E308,"Invalid")))</x:f>
        <x:v>3</x:v>
      </x:c>
      <x:c r="G308" s="2" t="n">
        <x:f>IF(ISNUMBER(F308),1,0)</x:f>
        <x:v>1</x:v>
      </x:c>
      <x:c r="H308" s="2" t="n">
        <x:f>IF(ISNUMBER(F308),IF(F308&gt;=2,1,0),0)</x:f>
        <x:v>1</x:v>
      </x:c>
      <x:c r="I308" s="11" t="n">
        <x:f>IF(ISNUMBER(F308),2^F308-1,0)</x:f>
        <x:v>7</x:v>
      </x:c>
      <x:c r="J308" s="2" t="str">
        <x:v>Retained original 577</x:v>
      </x:c>
      <x:c r="K308" s="10" t="n">
        <x:v>1100</x:v>
      </x:c>
      <x:c r="L308" s="10" t="n">
        <x:v>1</x:v>
      </x:c>
      <x:c r="M308" s="10" t="n">
        <x:v>118</x:v>
      </x:c>
      <x:c r="N308" s="2" t="str">
        <x:v>D10</x:v>
      </x:c>
      <x:c r="O308" s="2" t="str">
        <x:v>hdb flat</x:v>
      </x:c>
      <x:c r="P308" s="2" t="str">
        <x:v>https://www.propertyguru.com.sg/listing/hdb-for-rent-8-holland-avenue-500226876</x:v>
      </x:c>
      <x:c r="Q308" s="12" t="str">
        <x:v>Hard requirements pass. NUS 2,212.17 m straight-line, SGD 1,100/month. Relatively close to NUS with lower rent than the near-campus options at the cap.</x:v>
      </x:c>
      <x:c r="R308" s="13"/>
    </x:row>
    <x:row r="309" ht="24" hidden="0" customHeight="1">
      <x:c r="A309" s="2" t="str">
        <x:v>S13|20617351</x:v>
      </x:c>
      <x:c r="B309" s="2" t="str">
        <x:v>S13</x:v>
      </x:c>
      <x:c r="C309" s="2" t="str">
        <x:v>20617351</x:v>
      </x:c>
      <x:c r="D309" s="2" t="n">
        <x:v>2</x:v>
      </x:c>
      <x:c r="E309" s="9"/>
      <x:c r="F309" s="2" t="n">
        <x:f>IF(E309="",D309,IF(E309="U","U",IF(AND(ISNUMBER(E309),E309&gt;=0,E309&lt;=3,INT(E309)=E309),E309,"Invalid")))</x:f>
        <x:v>2</x:v>
      </x:c>
      <x:c r="G309" s="2" t="n">
        <x:f>IF(ISNUMBER(F309),1,0)</x:f>
        <x:v>1</x:v>
      </x:c>
      <x:c r="H309" s="2" t="n">
        <x:f>IF(ISNUMBER(F309),IF(F309&gt;=2,1,0),0)</x:f>
        <x:v>1</x:v>
      </x:c>
      <x:c r="I309" s="11" t="n">
        <x:f>IF(ISNUMBER(F309),2^F309-1,0)</x:f>
        <x:v>3</x:v>
      </x:c>
      <x:c r="J309" s="2" t="str">
        <x:v>Retained original 577</x:v>
      </x:c>
      <x:c r="K309" s="10" t="n">
        <x:v>3000</x:v>
      </x:c>
      <x:c r="L309" s="10" t="n">
        <x:v>2</x:v>
      </x:c>
      <x:c r="M309" s="10" t="n">
        <x:v>700</x:v>
      </x:c>
      <x:c r="N309" s="2" t="str">
        <x:v>D05</x:v>
      </x:c>
      <x:c r="O309" s="2" t="str">
        <x:v>hdb flat</x:v>
      </x:c>
      <x:c r="P309" s="2" t="str">
        <x:v>https://www.propertyguru.com.sg/listing/hdb-for-rent-354-clementi-avenue-2-20617351</x:v>
      </x:c>
      <x:c r="Q309" s="12" t="str">
        <x:v>Hard requirements pass. NUS 2,082.8 m straight-line, SGD 3,000/month. Relatively close, with a rent trade-off against cheaper near-campus choices.</x:v>
      </x:c>
      <x:c r="R309" s="13"/>
    </x:row>
    <x:row r="310" ht="24" hidden="0" customHeight="1">
      <x:c r="A310" s="2" t="str">
        <x:v>S13|500262756</x:v>
      </x:c>
      <x:c r="B310" s="2" t="str">
        <x:v>S13</x:v>
      </x:c>
      <x:c r="C310" s="2" t="str">
        <x:v>500262756</x:v>
      </x:c>
      <x:c r="D310" s="2" t="n">
        <x:v>3</x:v>
      </x:c>
      <x:c r="E310" s="9"/>
      <x:c r="F310" s="2" t="n">
        <x:f>IF(E310="",D310,IF(E310="U","U",IF(AND(ISNUMBER(E310),E310&gt;=0,E310&lt;=3,INT(E310)=E310),E310,"Invalid")))</x:f>
        <x:v>3</x:v>
      </x:c>
      <x:c r="G310" s="2" t="n">
        <x:f>IF(ISNUMBER(F310),1,0)</x:f>
        <x:v>1</x:v>
      </x:c>
      <x:c r="H310" s="2" t="n">
        <x:f>IF(ISNUMBER(F310),IF(F310&gt;=2,1,0),0)</x:f>
        <x:v>1</x:v>
      </x:c>
      <x:c r="I310" s="11" t="n">
        <x:f>IF(ISNUMBER(F310),2^F310-1,0)</x:f>
        <x:v>7</x:v>
      </x:c>
      <x:c r="J310" s="2" t="str">
        <x:v>Retained original 577</x:v>
      </x:c>
      <x:c r="K310" s="10" t="n">
        <x:v>3000</x:v>
      </x:c>
      <x:c r="L310" s="10" t="n">
        <x:v>2</x:v>
      </x:c>
      <x:c r="M310" s="10" t="n">
        <x:v>699</x:v>
      </x:c>
      <x:c r="N310" s="2" t="str">
        <x:v>D05</x:v>
      </x:c>
      <x:c r="O310" s="2" t="str">
        <x:v>hdb flat</x:v>
      </x:c>
      <x:c r="P310" s="2" t="str">
        <x:v>https://www.propertyguru.com.sg/listing/hdb-for-rent-2-dover-road-500262756</x:v>
      </x:c>
      <x:c r="Q310" s="12" t="str">
        <x:v>Hard requirements pass. NUS 971.62 m straight-line, SGD 3,000/month. The closest verified option in this set; the high rent is the proximity-first trade-off.</x:v>
      </x:c>
      <x:c r="R310" s="13"/>
    </x:row>
    <x:row r="311" ht="36" hidden="0" customHeight="1">
      <x:c r="A311" s="2" t="str">
        <x:v>S13|24124291</x:v>
      </x:c>
      <x:c r="B311" s="2" t="str">
        <x:v>S13</x:v>
      </x:c>
      <x:c r="C311" s="2" t="str">
        <x:v>24124291</x:v>
      </x:c>
      <x:c r="D311" s="2" t="n">
        <x:v>1</x:v>
      </x:c>
      <x:c r="E311" s="9"/>
      <x:c r="F311" s="2" t="n">
        <x:f>IF(E311="",D311,IF(E311="U","U",IF(AND(ISNUMBER(E311),E311&gt;=0,E311&lt;=3,INT(E311)=E311),E311,"Invalid")))</x:f>
        <x:v>1</x:v>
      </x:c>
      <x:c r="G311" s="2" t="n">
        <x:f>IF(ISNUMBER(F311),1,0)</x:f>
        <x:v>1</x:v>
      </x:c>
      <x:c r="H311" s="2" t="n">
        <x:f>IF(ISNUMBER(F311),IF(F311&gt;=2,1,0),0)</x:f>
        <x:v>0</x:v>
      </x:c>
      <x:c r="I311" s="11" t="n">
        <x:f>IF(ISNUMBER(F311),2^F311-1,0)</x:f>
        <x:v>1</x:v>
      </x:c>
      <x:c r="J311" s="2" t="str">
        <x:v>Retained original 577</x:v>
      </x:c>
      <x:c r="K311" s="10" t="n">
        <x:v>2850</x:v>
      </x:c>
      <x:c r="L311" s="10" t="n">
        <x:v>1</x:v>
      </x:c>
      <x:c r="M311" s="10" t="n">
        <x:v>409</x:v>
      </x:c>
      <x:c r="N311" s="2" t="str">
        <x:v>D14</x:v>
      </x:c>
      <x:c r="O311" s="2" t="str">
        <x:v>condominium</x:v>
      </x:c>
      <x:c r="P311" s="2" t="str">
        <x:v>https://www.propertyguru.com.sg/listing/for-rent-prime-residence-24124291</x:v>
      </x:c>
      <x:c r="Q311" s="12" t="str">
        <x:v>Hard requirements pass. NUS Unknown m straight-line, SGD 2,850/month. The primary proximity preference cannot be verified; missing soft evidence is not a hard failure.</x:v>
      </x:c>
      <x:c r="R311" s="13"/>
    </x:row>
    <x:row r="312" ht="24" hidden="0" customHeight="1">
      <x:c r="A312" s="2" t="str">
        <x:v>S13|23839651</x:v>
      </x:c>
      <x:c r="B312" s="2" t="str">
        <x:v>S13</x:v>
      </x:c>
      <x:c r="C312" s="2" t="str">
        <x:v>23839651</x:v>
      </x:c>
      <x:c r="D312" s="2" t="n">
        <x:v>3</x:v>
      </x:c>
      <x:c r="E312" s="9"/>
      <x:c r="F312" s="2" t="n">
        <x:f>IF(E312="",D312,IF(E312="U","U",IF(AND(ISNUMBER(E312),E312&gt;=0,E312&lt;=3,INT(E312)=E312),E312,"Invalid")))</x:f>
        <x:v>3</x:v>
      </x:c>
      <x:c r="G312" s="2" t="n">
        <x:f>IF(ISNUMBER(F312),1,0)</x:f>
        <x:v>1</x:v>
      </x:c>
      <x:c r="H312" s="2" t="n">
        <x:f>IF(ISNUMBER(F312),IF(F312&gt;=2,1,0),0)</x:f>
        <x:v>1</x:v>
      </x:c>
      <x:c r="I312" s="11" t="n">
        <x:f>IF(ISNUMBER(F312),2^F312-1,0)</x:f>
        <x:v>7</x:v>
      </x:c>
      <x:c r="J312" s="2" t="str">
        <x:v>Retained original 577</x:v>
      </x:c>
      <x:c r="K312" s="10" t="n">
        <x:v>1450</x:v>
      </x:c>
      <x:c r="L312" s="10" t="n">
        <x:v>1</x:v>
      </x:c>
      <x:c r="M312" s="10" t="n">
        <x:v>721</x:v>
      </x:c>
      <x:c r="N312" s="2" t="str">
        <x:v>D05</x:v>
      </x:c>
      <x:c r="O312" s="2" t="str">
        <x:v>hdb flat</x:v>
      </x:c>
      <x:c r="P312" s="2" t="str">
        <x:v>https://www.propertyguru.com.sg/listing/hdb-for-rent-701-west-coast-road-23839651</x:v>
      </x:c>
      <x:c r="Q312" s="12" t="str">
        <x:v>Hard requirements pass. NUS 2,206.21 m straight-line, SGD 1,450/month. Relatively close to NUS with lower rent than the near-campus options at the cap.</x:v>
      </x:c>
      <x:c r="R312" s="13"/>
    </x:row>
    <x:row r="313" ht="15" hidden="0" customHeight="1">
      <x:c r="A313" s="2" t="str">
        <x:v>S13|25280744</x:v>
      </x:c>
      <x:c r="B313" s="2" t="str">
        <x:v>S13</x:v>
      </x:c>
      <x:c r="C313" s="2" t="str">
        <x:v>25280744</x:v>
      </x:c>
      <x:c r="D313" s="2" t="n">
        <x:v>0</x:v>
      </x:c>
      <x:c r="E313" s="9"/>
      <x:c r="F313" s="2" t="n">
        <x:f>IF(E313="",D313,IF(E313="U","U",IF(AND(ISNUMBER(E313),E313&gt;=0,E313&lt;=3,INT(E313)=E313),E313,"Invalid")))</x:f>
        <x:v>0</x:v>
      </x:c>
      <x:c r="G313" s="2" t="n">
        <x:f>IF(ISNUMBER(F313),1,0)</x:f>
        <x:v>1</x:v>
      </x:c>
      <x:c r="H313" s="2" t="n">
        <x:f>IF(ISNUMBER(F313),IF(F313&gt;=2,1,0),0)</x:f>
        <x:v>0</x:v>
      </x:c>
      <x:c r="I313" s="11" t="n">
        <x:f>IF(ISNUMBER(F313),2^F313-1,0)</x:f>
        <x:v>0</x:v>
      </x:c>
      <x:c r="J313" s="2" t="str">
        <x:v>Retained original 577</x:v>
      </x:c>
      <x:c r="K313" s="10" t="n">
        <x:v>3050</x:v>
      </x:c>
      <x:c r="L313" s="10" t="n">
        <x:v>1</x:v>
      </x:c>
      <x:c r="M313" s="10" t="n">
        <x:v>494</x:v>
      </x:c>
      <x:c r="N313" s="2" t="str">
        <x:v>D18</x:v>
      </x:c>
      <x:c r="O313" s="2" t="str">
        <x:v>condominium</x:v>
      </x:c>
      <x:c r="P313" s="2" t="str">
        <x:v>https://www.propertyguru.com.sg/listing/for-rent-the-alps-residences-25280744</x:v>
      </x:c>
      <x:c r="Q313" s="12" t="str">
        <x:v>Hard failure: Rent (SGD/month) 3,050; required &lt;= 3,000.</x:v>
      </x:c>
      <x:c r="R313" s="13"/>
    </x:row>
    <x:row r="314" ht="15" hidden="0" customHeight="1">
      <x:c r="A314" s="2" t="str">
        <x:v>S13|25301156</x:v>
      </x:c>
      <x:c r="B314" s="2" t="str">
        <x:v>S13</x:v>
      </x:c>
      <x:c r="C314" s="2" t="str">
        <x:v>25301156</x:v>
      </x:c>
      <x:c r="D314" s="2" t="n">
        <x:v>0</x:v>
      </x:c>
      <x:c r="E314" s="9"/>
      <x:c r="F314" s="2" t="n">
        <x:f>IF(E314="",D314,IF(E314="U","U",IF(AND(ISNUMBER(E314),E314&gt;=0,E314&lt;=3,INT(E314)=E314),E314,"Invalid")))</x:f>
        <x:v>0</x:v>
      </x:c>
      <x:c r="G314" s="2" t="n">
        <x:f>IF(ISNUMBER(F314),1,0)</x:f>
        <x:v>1</x:v>
      </x:c>
      <x:c r="H314" s="2" t="n">
        <x:f>IF(ISNUMBER(F314),IF(F314&gt;=2,1,0),0)</x:f>
        <x:v>0</x:v>
      </x:c>
      <x:c r="I314" s="11" t="n">
        <x:f>IF(ISNUMBER(F314),2^F314-1,0)</x:f>
        <x:v>0</x:v>
      </x:c>
      <x:c r="J314" s="2" t="str">
        <x:v>Retained original 577</x:v>
      </x:c>
      <x:c r="K314" s="10" t="n">
        <x:v>3050</x:v>
      </x:c>
      <x:c r="L314" s="10" t="n">
        <x:v>1</x:v>
      </x:c>
      <x:c r="M314" s="10" t="n">
        <x:v>495</x:v>
      </x:c>
      <x:c r="N314" s="2" t="str">
        <x:v>D18</x:v>
      </x:c>
      <x:c r="O314" s="2" t="str">
        <x:v>condominium</x:v>
      </x:c>
      <x:c r="P314" s="2" t="str">
        <x:v>https://www.propertyguru.com.sg/listing/for-rent-the-alps-residences-25301156</x:v>
      </x:c>
      <x:c r="Q314" s="12" t="str">
        <x:v>Hard failure: Rent (SGD/month) 3,050; required &lt;= 3,000.</x:v>
      </x:c>
      <x:c r="R314" s="13"/>
    </x:row>
    <x:row r="315" ht="15" hidden="0" customHeight="1">
      <x:c r="A315" s="2" t="str">
        <x:v>S13|500040526</x:v>
      </x:c>
      <x:c r="B315" s="2" t="str">
        <x:v>S13</x:v>
      </x:c>
      <x:c r="C315" s="2" t="str">
        <x:v>500040526</x:v>
      </x:c>
      <x:c r="D315" s="2" t="str">
        <x:v>U</x:v>
      </x:c>
      <x:c r="E315" s="9"/>
      <x:c r="F315" s="2" t="str">
        <x:f>IF(E315="",D315,IF(E315="U","U",IF(AND(ISNUMBER(E315),E315&gt;=0,E315&lt;=3,INT(E315)=E315),E315,"Invalid")))</x:f>
        <x:v>U</x:v>
      </x:c>
      <x:c r="G315" s="2" t="n">
        <x:f>IF(ISNUMBER(F315),1,0)</x:f>
        <x:v>0</x:v>
      </x:c>
      <x:c r="H315" s="2" t="n">
        <x:f>IF(ISNUMBER(F315),IF(F315&gt;=2,1,0),0)</x:f>
        <x:v>0</x:v>
      </x:c>
      <x:c r="I315" s="11" t="n">
        <x:f>IF(ISNUMBER(F315),2^F315-1,0)</x:f>
        <x:v>0</x:v>
      </x:c>
      <x:c r="J315" s="2" t="str">
        <x:v>Retained original 577</x:v>
      </x:c>
      <x:c r="K315" s="10" t="n">
        <x:v>2500</x:v>
      </x:c>
      <x:c r="L315" s="10"/>
      <x:c r="M315" s="10" t="n">
        <x:v>209</x:v>
      </x:c>
      <x:c r="N315" s="2" t="str">
        <x:v>D09</x:v>
      </x:c>
      <x:c r="O315" s="2" t="str">
        <x:v>apartment</x:v>
      </x:c>
      <x:c r="P315" s="2" t="str">
        <x:v>https://www.propertyguru.com.sg/listing/for-rent-336-river-valley-500040526</x:v>
      </x:c>
      <x:c r="Q315" s="12" t="str">
        <x:v>No known hard failure. Cannot verify: reported bedrooms.</x:v>
      </x:c>
      <x:c r="R315" s="13"/>
    </x:row>
    <x:row r="316" ht="24" hidden="0" customHeight="1">
      <x:c r="A316" s="2" t="str">
        <x:v>S13|500271126</x:v>
      </x:c>
      <x:c r="B316" s="2" t="str">
        <x:v>S13</x:v>
      </x:c>
      <x:c r="C316" s="2" t="str">
        <x:v>500271126</x:v>
      </x:c>
      <x:c r="D316" s="2" t="n">
        <x:v>1</x:v>
      </x:c>
      <x:c r="E316" s="9"/>
      <x:c r="F316" s="2" t="n">
        <x:f>IF(E316="",D316,IF(E316="U","U",IF(AND(ISNUMBER(E316),E316&gt;=0,E316&lt;=3,INT(E316)=E316),E316,"Invalid")))</x:f>
        <x:v>1</x:v>
      </x:c>
      <x:c r="G316" s="2" t="n">
        <x:f>IF(ISNUMBER(F316),1,0)</x:f>
        <x:v>1</x:v>
      </x:c>
      <x:c r="H316" s="2" t="n">
        <x:f>IF(ISNUMBER(F316),IF(F316&gt;=2,1,0),0)</x:f>
        <x:v>0</x:v>
      </x:c>
      <x:c r="I316" s="11" t="n">
        <x:f>IF(ISNUMBER(F316),2^F316-1,0)</x:f>
        <x:v>1</x:v>
      </x:c>
      <x:c r="J316" s="2" t="str">
        <x:v>Retained original 577</x:v>
      </x:c>
      <x:c r="K316" s="10" t="n">
        <x:v>1100</x:v>
      </x:c>
      <x:c r="L316" s="10" t="n">
        <x:v>1</x:v>
      </x:c>
      <x:c r="M316" s="10" t="n">
        <x:v>107</x:v>
      </x:c>
      <x:c r="N316" s="2" t="str">
        <x:v>D12</x:v>
      </x:c>
      <x:c r="O316" s="2" t="str">
        <x:v>hdb flat</x:v>
      </x:c>
      <x:c r="P316" s="2" t="str">
        <x:v>https://www.propertyguru.com.sg/listing/hdb-for-rent-10a-bendemeer-light-500271126</x:v>
      </x:c>
      <x:c r="Q316" s="12" t="str">
        <x:v>Hard requirements pass. NUS 9,474.47 m straight-line, SGD 1,100/month. The long straight-line distance weakens the primary preference, despite any rent savings.</x:v>
      </x:c>
      <x:c r="R316" s="13"/>
    </x:row>
    <x:row r="317" ht="24" hidden="0" customHeight="1">
      <x:c r="A317" s="2" t="str">
        <x:v>S13|23368920</x:v>
      </x:c>
      <x:c r="B317" s="2" t="str">
        <x:v>S13</x:v>
      </x:c>
      <x:c r="C317" s="2" t="str">
        <x:v>23368920</x:v>
      </x:c>
      <x:c r="D317" s="2" t="n">
        <x:v>3</x:v>
      </x:c>
      <x:c r="E317" s="9"/>
      <x:c r="F317" s="2" t="n">
        <x:f>IF(E317="",D317,IF(E317="U","U",IF(AND(ISNUMBER(E317),E317&gt;=0,E317&lt;=3,INT(E317)=E317),E317,"Invalid")))</x:f>
        <x:v>3</x:v>
      </x:c>
      <x:c r="G317" s="2" t="n">
        <x:f>IF(ISNUMBER(F317),1,0)</x:f>
        <x:v>1</x:v>
      </x:c>
      <x:c r="H317" s="2" t="n">
        <x:f>IF(ISNUMBER(F317),IF(F317&gt;=2,1,0),0)</x:f>
        <x:v>1</x:v>
      </x:c>
      <x:c r="I317" s="11" t="n">
        <x:f>IF(ISNUMBER(F317),2^F317-1,0)</x:f>
        <x:v>7</x:v>
      </x:c>
      <x:c r="J317" s="2" t="str">
        <x:v>Retained original 577</x:v>
      </x:c>
      <x:c r="K317" s="10" t="n">
        <x:v>1300</x:v>
      </x:c>
      <x:c r="L317" s="10" t="n">
        <x:v>1</x:v>
      </x:c>
      <x:c r="M317" s="10" t="n">
        <x:v>102</x:v>
      </x:c>
      <x:c r="N317" s="2" t="str">
        <x:v>D10</x:v>
      </x:c>
      <x:c r="O317" s="2" t="str">
        <x:v>hdb flat</x:v>
      </x:c>
      <x:c r="P317" s="2" t="str">
        <x:v>https://www.propertyguru.com.sg/listing/hdb-for-rent-18d-holland-drive-23368920</x:v>
      </x:c>
      <x:c r="Q317" s="12" t="str">
        <x:v>Hard requirements pass. NUS 2,263.82 m straight-line, SGD 1,300/month. Relatively close to NUS with lower rent than the near-campus options at the cap.</x:v>
      </x:c>
      <x:c r="R317" s="13"/>
    </x:row>
    <x:row r="318" ht="24" hidden="0" customHeight="1">
      <x:c r="A318" s="2" t="str">
        <x:v>S13|500259227</x:v>
      </x:c>
      <x:c r="B318" s="2" t="str">
        <x:v>S13</x:v>
      </x:c>
      <x:c r="C318" s="2" t="str">
        <x:v>500259227</x:v>
      </x:c>
      <x:c r="D318" s="2" t="n">
        <x:v>2</x:v>
      </x:c>
      <x:c r="E318" s="9"/>
      <x:c r="F318" s="2" t="n">
        <x:f>IF(E318="",D318,IF(E318="U","U",IF(AND(ISNUMBER(E318),E318&gt;=0,E318&lt;=3,INT(E318)=E318),E318,"Invalid")))</x:f>
        <x:v>2</x:v>
      </x:c>
      <x:c r="G318" s="2" t="n">
        <x:f>IF(ISNUMBER(F318),1,0)</x:f>
        <x:v>1</x:v>
      </x:c>
      <x:c r="H318" s="2" t="n">
        <x:f>IF(ISNUMBER(F318),IF(F318&gt;=2,1,0),0)</x:f>
        <x:v>1</x:v>
      </x:c>
      <x:c r="I318" s="11" t="n">
        <x:f>IF(ISNUMBER(F318),2^F318-1,0)</x:f>
        <x:v>3</x:v>
      </x:c>
      <x:c r="J318" s="2" t="str">
        <x:v>Retained original 577</x:v>
      </x:c>
      <x:c r="K318" s="10" t="n">
        <x:v>3000</x:v>
      </x:c>
      <x:c r="L318" s="10" t="n">
        <x:v>2</x:v>
      </x:c>
      <x:c r="M318" s="10" t="n">
        <x:v>743</x:v>
      </x:c>
      <x:c r="N318" s="2" t="str">
        <x:v>D03</x:v>
      </x:c>
      <x:c r="O318" s="2" t="str">
        <x:v>hdb flat</x:v>
      </x:c>
      <x:c r="P318" s="2" t="str">
        <x:v>https://www.propertyguru.com.sg/listing/hdb-for-rent-89-commonwealth-drive-500259227</x:v>
      </x:c>
      <x:c r="Q318" s="12" t="str">
        <x:v>Hard requirements pass. NUS 2,658.97 m straight-line, SGD 3,000/month. Relatively close, with a rent trade-off against cheaper near-campus choices.</x:v>
      </x:c>
      <x:c r="R318" s="13"/>
    </x:row>
    <x:row r="319" ht="15" hidden="0" customHeight="1">
      <x:c r="A319" s="2" t="str">
        <x:v>S13|500283865</x:v>
      </x:c>
      <x:c r="B319" s="2" t="str">
        <x:v>S13</x:v>
      </x:c>
      <x:c r="C319" s="2" t="str">
        <x:v>500283865</x:v>
      </x:c>
      <x:c r="D319" s="2" t="n">
        <x:v>0</x:v>
      </x:c>
      <x:c r="E319" s="9"/>
      <x:c r="F319" s="2" t="n">
        <x:f>IF(E319="",D319,IF(E319="U","U",IF(AND(ISNUMBER(E319),E319&gt;=0,E319&lt;=3,INT(E319)=E319),E319,"Invalid")))</x:f>
        <x:v>0</x:v>
      </x:c>
      <x:c r="G319" s="2" t="n">
        <x:f>IF(ISNUMBER(F319),1,0)</x:f>
        <x:v>1</x:v>
      </x:c>
      <x:c r="H319" s="2" t="n">
        <x:f>IF(ISNUMBER(F319),IF(F319&gt;=2,1,0),0)</x:f>
        <x:v>0</x:v>
      </x:c>
      <x:c r="I319" s="11" t="n">
        <x:f>IF(ISNUMBER(F319),2^F319-1,0)</x:f>
        <x:v>0</x:v>
      </x:c>
      <x:c r="J319" s="2" t="str">
        <x:v>Retained original 577</x:v>
      </x:c>
      <x:c r="K319" s="10" t="n">
        <x:v>3050</x:v>
      </x:c>
      <x:c r="L319" s="10" t="n">
        <x:v>1</x:v>
      </x:c>
      <x:c r="M319" s="10" t="n">
        <x:v>506</x:v>
      </x:c>
      <x:c r="N319" s="2" t="str">
        <x:v>D19</x:v>
      </x:c>
      <x:c r="O319" s="2" t="str">
        <x:v>hdb flat</x:v>
      </x:c>
      <x:c r="P319" s="2" t="str">
        <x:v>https://www.propertyguru.com.sg/listing/hdb-for-rent-993a-buangkok-link-500283865</x:v>
      </x:c>
      <x:c r="Q319" s="12" t="str">
        <x:v>Hard failure: Rent (SGD/month) 3,050; required &lt;= 3,000.</x:v>
      </x:c>
      <x:c r="R319" s="13"/>
    </x:row>
    <x:row r="320" ht="15" hidden="0" customHeight="1">
      <x:c r="A320" s="2" t="str">
        <x:v>S13|60204777</x:v>
      </x:c>
      <x:c r="B320" s="2" t="str">
        <x:v>S13</x:v>
      </x:c>
      <x:c r="C320" s="2" t="str">
        <x:v>60204777</x:v>
      </x:c>
      <x:c r="D320" s="2" t="n">
        <x:v>0</x:v>
      </x:c>
      <x:c r="E320" s="9"/>
      <x:c r="F320" s="2" t="n">
        <x:f>IF(E320="",D320,IF(E320="U","U",IF(AND(ISNUMBER(E320),E320&gt;=0,E320&lt;=3,INT(E320)=E320),E320,"Invalid")))</x:f>
        <x:v>0</x:v>
      </x:c>
      <x:c r="G320" s="2" t="n">
        <x:f>IF(ISNUMBER(F320),1,0)</x:f>
        <x:v>1</x:v>
      </x:c>
      <x:c r="H320" s="2" t="n">
        <x:f>IF(ISNUMBER(F320),IF(F320&gt;=2,1,0),0)</x:f>
        <x:v>0</x:v>
      </x:c>
      <x:c r="I320" s="11" t="n">
        <x:f>IF(ISNUMBER(F320),2^F320-1,0)</x:f>
        <x:v>0</x:v>
      </x:c>
      <x:c r="J320" s="2" t="str">
        <x:v>Retained original 577</x:v>
      </x:c>
      <x:c r="K320" s="10" t="n">
        <x:v>1449</x:v>
      </x:c>
      <x:c r="L320" s="10" t="n">
        <x:v>0</x:v>
      </x:c>
      <x:c r="M320" s="10"/>
      <x:c r="N320" s="2" t="str">
        <x:v>D01</x:v>
      </x:c>
      <x:c r="O320" s="2" t="str">
        <x:v>condominium</x:v>
      </x:c>
      <x:c r="P320" s="2" t="str">
        <x:v>https://www.propertyguru.com.sg/listing/for-rent-emerald-garden-60204777</x:v>
      </x:c>
      <x:c r="Q320" s="12" t="str">
        <x:v>Hard failure: Reported bedrooms 0; required &gt;= 1.</x:v>
      </x:c>
      <x:c r="R320" s="13"/>
    </x:row>
    <x:row r="321" ht="15" hidden="0" customHeight="1">
      <x:c r="A321" s="2" t="str">
        <x:v>S13|500272523</x:v>
      </x:c>
      <x:c r="B321" s="2" t="str">
        <x:v>S13</x:v>
      </x:c>
      <x:c r="C321" s="2" t="str">
        <x:v>500272523</x:v>
      </x:c>
      <x:c r="D321" s="2" t="str">
        <x:v>U</x:v>
      </x:c>
      <x:c r="E321" s="9"/>
      <x:c r="F321" s="2" t="str">
        <x:f>IF(E321="",D321,IF(E321="U","U",IF(AND(ISNUMBER(E321),E321&gt;=0,E321&lt;=3,INT(E321)=E321),E321,"Invalid")))</x:f>
        <x:v>U</x:v>
      </x:c>
      <x:c r="G321" s="2" t="n">
        <x:f>IF(ISNUMBER(F321),1,0)</x:f>
        <x:v>0</x:v>
      </x:c>
      <x:c r="H321" s="2" t="n">
        <x:f>IF(ISNUMBER(F321),IF(F321&gt;=2,1,0),0)</x:f>
        <x:v>0</x:v>
      </x:c>
      <x:c r="I321" s="11" t="n">
        <x:f>IF(ISNUMBER(F321),2^F321-1,0)</x:f>
        <x:v>0</x:v>
      </x:c>
      <x:c r="J321" s="2" t="str">
        <x:v>Retained original 577</x:v>
      </x:c>
      <x:c r="K321" s="10" t="n">
        <x:v>2800</x:v>
      </x:c>
      <x:c r="L321" s="10"/>
      <x:c r="M321" s="10" t="n">
        <x:v>280</x:v>
      </x:c>
      <x:c r="N321" s="2" t="str">
        <x:v>D15</x:v>
      </x:c>
      <x:c r="O321" s="2" t="str">
        <x:v>condominium</x:v>
      </x:c>
      <x:c r="P321" s="2" t="str">
        <x:v>https://www.propertyguru.com.sg/listing/for-rent-grand-dunman-500272523</x:v>
      </x:c>
      <x:c r="Q321" s="12" t="str">
        <x:v>No known hard failure. Cannot verify: reported bedrooms.</x:v>
      </x:c>
      <x:c r="R321" s="13"/>
    </x:row>
    <x:row r="322" ht="24" hidden="0" customHeight="1">
      <x:c r="A322" s="2" t="str">
        <x:v>S13|500273063</x:v>
      </x:c>
      <x:c r="B322" s="2" t="str">
        <x:v>S13</x:v>
      </x:c>
      <x:c r="C322" s="2" t="str">
        <x:v>500273063</x:v>
      </x:c>
      <x:c r="D322" s="2" t="n">
        <x:v>1</x:v>
      </x:c>
      <x:c r="E322" s="9"/>
      <x:c r="F322" s="2" t="n">
        <x:f>IF(E322="",D322,IF(E322="U","U",IF(AND(ISNUMBER(E322),E322&gt;=0,E322&lt;=3,INT(E322)=E322),E322,"Invalid")))</x:f>
        <x:v>1</x:v>
      </x:c>
      <x:c r="G322" s="2" t="n">
        <x:f>IF(ISNUMBER(F322),1,0)</x:f>
        <x:v>1</x:v>
      </x:c>
      <x:c r="H322" s="2" t="n">
        <x:f>IF(ISNUMBER(F322),IF(F322&gt;=2,1,0),0)</x:f>
        <x:v>0</x:v>
      </x:c>
      <x:c r="I322" s="11" t="n">
        <x:f>IF(ISNUMBER(F322),2^F322-1,0)</x:f>
        <x:v>1</x:v>
      </x:c>
      <x:c r="J322" s="2" t="str">
        <x:v>Retained original 577</x:v>
      </x:c>
      <x:c r="K322" s="10" t="n">
        <x:v>1200</x:v>
      </x:c>
      <x:c r="L322" s="10" t="n">
        <x:v>1</x:v>
      </x:c>
      <x:c r="M322" s="10" t="n">
        <x:v>107</x:v>
      </x:c>
      <x:c r="N322" s="2" t="str">
        <x:v>D12</x:v>
      </x:c>
      <x:c r="O322" s="2" t="str">
        <x:v>hdb flat</x:v>
      </x:c>
      <x:c r="P322" s="2" t="str">
        <x:v>https://www.propertyguru.com.sg/listing/hdb-for-rent-26a-saint-george-s-lane-500273063</x:v>
      </x:c>
      <x:c r="Q322" s="12" t="str">
        <x:v>Hard requirements pass. NUS 9,903.99 m straight-line, SGD 1,200/month. The long straight-line distance weakens the primary preference, despite any rent savings.</x:v>
      </x:c>
      <x:c r="R322" s="13"/>
    </x:row>
    <x:row r="323" ht="36" hidden="0" customHeight="1">
      <x:c r="A323" s="2" t="str">
        <x:v>S13|25005309</x:v>
      </x:c>
      <x:c r="B323" s="2" t="str">
        <x:v>S13</x:v>
      </x:c>
      <x:c r="C323" s="2" t="str">
        <x:v>25005309</x:v>
      </x:c>
      <x:c r="D323" s="2" t="n">
        <x:v>1</x:v>
      </x:c>
      <x:c r="E323" s="9"/>
      <x:c r="F323" s="2" t="n">
        <x:f>IF(E323="",D323,IF(E323="U","U",IF(AND(ISNUMBER(E323),E323&gt;=0,E323&lt;=3,INT(E323)=E323),E323,"Invalid")))</x:f>
        <x:v>1</x:v>
      </x:c>
      <x:c r="G323" s="2" t="n">
        <x:f>IF(ISNUMBER(F323),1,0)</x:f>
        <x:v>1</x:v>
      </x:c>
      <x:c r="H323" s="2" t="n">
        <x:f>IF(ISNUMBER(F323),IF(F323&gt;=2,1,0),0)</x:f>
        <x:v>0</x:v>
      </x:c>
      <x:c r="I323" s="11" t="n">
        <x:f>IF(ISNUMBER(F323),2^F323-1,0)</x:f>
        <x:v>1</x:v>
      </x:c>
      <x:c r="J323" s="2" t="str">
        <x:v>Retained original 577</x:v>
      </x:c>
      <x:c r="K323" s="10" t="n">
        <x:v>2500</x:v>
      </x:c>
      <x:c r="L323" s="10" t="n">
        <x:v>1</x:v>
      </x:c>
      <x:c r="M323" s="10" t="n">
        <x:v>450</x:v>
      </x:c>
      <x:c r="N323" s="2" t="str">
        <x:v>D27</x:v>
      </x:c>
      <x:c r="O323" s="2" t="str">
        <x:v>condominium</x:v>
      </x:c>
      <x:c r="P323" s="2" t="str">
        <x:v>https://www.propertyguru.com.sg/listing/for-rent-skies-miltonia-25005309</x:v>
      </x:c>
      <x:c r="Q323" s="12" t="str">
        <x:v>Hard requirements pass. NUS 15,606.49 m straight-line, SGD 2,500/month. The long straight-line distance weakens the primary preference, despite any rent savings.</x:v>
      </x:c>
      <x:c r="R323" s="13"/>
    </x:row>
    <x:row r="324" ht="24" hidden="0" customHeight="1">
      <x:c r="A324" s="2" t="str">
        <x:v>S13|500285316</x:v>
      </x:c>
      <x:c r="B324" s="2" t="str">
        <x:v>S13</x:v>
      </x:c>
      <x:c r="C324" s="2" t="str">
        <x:v>500285316</x:v>
      </x:c>
      <x:c r="D324" s="2" t="n">
        <x:v>1</x:v>
      </x:c>
      <x:c r="E324" s="9"/>
      <x:c r="F324" s="2" t="n">
        <x:f>IF(E324="",D324,IF(E324="U","U",IF(AND(ISNUMBER(E324),E324&gt;=0,E324&lt;=3,INT(E324)=E324),E324,"Invalid")))</x:f>
        <x:v>1</x:v>
      </x:c>
      <x:c r="G324" s="2" t="n">
        <x:f>IF(ISNUMBER(F324),1,0)</x:f>
        <x:v>1</x:v>
      </x:c>
      <x:c r="H324" s="2" t="n">
        <x:f>IF(ISNUMBER(F324),IF(F324&gt;=2,1,0),0)</x:f>
        <x:v>0</x:v>
      </x:c>
      <x:c r="I324" s="11" t="n">
        <x:f>IF(ISNUMBER(F324),2^F324-1,0)</x:f>
        <x:v>1</x:v>
      </x:c>
      <x:c r="J324" s="2" t="str">
        <x:v>Retained original 577</x:v>
      </x:c>
      <x:c r="K324" s="10" t="n">
        <x:v>500</x:v>
      </x:c>
      <x:c r="L324" s="10" t="n">
        <x:v>1</x:v>
      </x:c>
      <x:c r="M324" s="10" t="n">
        <x:v>90</x:v>
      </x:c>
      <x:c r="N324" s="2" t="str">
        <x:v>D25</x:v>
      </x:c>
      <x:c r="O324" s="2" t="str">
        <x:v>hdb flat</x:v>
      </x:c>
      <x:c r="P324" s="2" t="str">
        <x:v>https://www.propertyguru.com.sg/listing/hdb-for-rent-728-woodlands-circle-500285316</x:v>
      </x:c>
      <x:c r="Q324" s="12" t="str">
        <x:v>Hard requirements pass. NUS 16,476.84 m straight-line, SGD 500/month. The long straight-line distance weakens the primary preference, despite any rent savings.</x:v>
      </x:c>
      <x:c r="R324" s="13"/>
    </x:row>
    <x:row r="325" ht="24" hidden="0" customHeight="1">
      <x:c r="A325" s="2" t="str">
        <x:v>S13|500211232</x:v>
      </x:c>
      <x:c r="B325" s="2" t="str">
        <x:v>S13</x:v>
      </x:c>
      <x:c r="C325" s="2" t="str">
        <x:v>500211232</x:v>
      </x:c>
      <x:c r="D325" s="2" t="n">
        <x:v>1</x:v>
      </x:c>
      <x:c r="E325" s="9"/>
      <x:c r="F325" s="2" t="n">
        <x:f>IF(E325="",D325,IF(E325="U","U",IF(AND(ISNUMBER(E325),E325&gt;=0,E325&lt;=3,INT(E325)=E325),E325,"Invalid")))</x:f>
        <x:v>1</x:v>
      </x:c>
      <x:c r="G325" s="2" t="n">
        <x:f>IF(ISNUMBER(F325),1,0)</x:f>
        <x:v>1</x:v>
      </x:c>
      <x:c r="H325" s="2" t="n">
        <x:f>IF(ISNUMBER(F325),IF(F325&gt;=2,1,0),0)</x:f>
        <x:v>0</x:v>
      </x:c>
      <x:c r="I325" s="11" t="n">
        <x:f>IF(ISNUMBER(F325),2^F325-1,0)</x:f>
        <x:v>1</x:v>
      </x:c>
      <x:c r="J325" s="2" t="str">
        <x:v>Retained original 577</x:v>
      </x:c>
      <x:c r="K325" s="10" t="n">
        <x:v>550</x:v>
      </x:c>
      <x:c r="L325" s="10" t="n">
        <x:v>1</x:v>
      </x:c>
      <x:c r="M325" s="10"/>
      <x:c r="N325" s="2" t="str">
        <x:v>D20</x:v>
      </x:c>
      <x:c r="O325" s="2" t="str">
        <x:v>hdb flat</x:v>
      </x:c>
      <x:c r="P325" s="2" t="str">
        <x:v>https://www.propertyguru.com.sg/listing/hdb-for-rent-629-ang-mo-kio-avenue-4-500211232</x:v>
      </x:c>
      <x:c r="Q325" s="12" t="str">
        <x:v>Hard requirements pass. NUS 11,680.98 m straight-line, SGD 550/month. The long straight-line distance weakens the primary preference, despite any rent savings.</x:v>
      </x:c>
      <x:c r="R325" s="13"/>
    </x:row>
    <x:row r="326" ht="36" hidden="0" customHeight="1">
      <x:c r="A326" s="2" t="str">
        <x:v>S13|23810434</x:v>
      </x:c>
      <x:c r="B326" s="2" t="str">
        <x:v>S13</x:v>
      </x:c>
      <x:c r="C326" s="2" t="str">
        <x:v>23810434</x:v>
      </x:c>
      <x:c r="D326" s="2" t="n">
        <x:v>1</x:v>
      </x:c>
      <x:c r="E326" s="9"/>
      <x:c r="F326" s="2" t="n">
        <x:f>IF(E326="",D326,IF(E326="U","U",IF(AND(ISNUMBER(E326),E326&gt;=0,E326&lt;=3,INT(E326)=E326),E326,"Invalid")))</x:f>
        <x:v>1</x:v>
      </x:c>
      <x:c r="G326" s="2" t="n">
        <x:f>IF(ISNUMBER(F326),1,0)</x:f>
        <x:v>1</x:v>
      </x:c>
      <x:c r="H326" s="2" t="n">
        <x:f>IF(ISNUMBER(F326),IF(F326&gt;=2,1,0),0)</x:f>
        <x:v>0</x:v>
      </x:c>
      <x:c r="I326" s="11" t="n">
        <x:f>IF(ISNUMBER(F326),2^F326-1,0)</x:f>
        <x:v>1</x:v>
      </x:c>
      <x:c r="J326" s="2" t="str">
        <x:v>Retained original 577</x:v>
      </x:c>
      <x:c r="K326" s="10" t="n">
        <x:v>2950</x:v>
      </x:c>
      <x:c r="L326" s="10" t="n">
        <x:v>2</x:v>
      </x:c>
      <x:c r="M326" s="10" t="n">
        <x:v>456</x:v>
      </x:c>
      <x:c r="N326" s="2" t="str">
        <x:v>D08</x:v>
      </x:c>
      <x:c r="O326" s="2" t="str">
        <x:v>apartment</x:v>
      </x:c>
      <x:c r="P326" s="2" t="str">
        <x:v>https://www.propertyguru.com.sg/listing/for-rent-jalan-besar-plaza-23810434</x:v>
      </x:c>
      <x:c r="Q326" s="12" t="str">
        <x:v>Hard requirements pass. NUS Unknown m straight-line, SGD 2,950/month. The primary proximity preference cannot be verified; missing soft evidence is not a hard failure.</x:v>
      </x:c>
      <x:c r="R326" s="13"/>
    </x:row>
    <x:row r="327" ht="24" hidden="0" customHeight="1">
      <x:c r="A327" s="2" t="str">
        <x:v>S13|21644298</x:v>
      </x:c>
      <x:c r="B327" s="2" t="str">
        <x:v>S13</x:v>
      </x:c>
      <x:c r="C327" s="2" t="str">
        <x:v>21644298</x:v>
      </x:c>
      <x:c r="D327" s="2" t="n">
        <x:v>1</x:v>
      </x:c>
      <x:c r="E327" s="9"/>
      <x:c r="F327" s="2" t="n">
        <x:f>IF(E327="",D327,IF(E327="U","U",IF(AND(ISNUMBER(E327),E327&gt;=0,E327&lt;=3,INT(E327)=E327),E327,"Invalid")))</x:f>
        <x:v>1</x:v>
      </x:c>
      <x:c r="G327" s="2" t="n">
        <x:f>IF(ISNUMBER(F327),1,0)</x:f>
        <x:v>1</x:v>
      </x:c>
      <x:c r="H327" s="2" t="n">
        <x:f>IF(ISNUMBER(F327),IF(F327&gt;=2,1,0),0)</x:f>
        <x:v>0</x:v>
      </x:c>
      <x:c r="I327" s="11" t="n">
        <x:f>IF(ISNUMBER(F327),2^F327-1,0)</x:f>
        <x:v>1</x:v>
      </x:c>
      <x:c r="J327" s="2" t="str">
        <x:v>Retained original 577</x:v>
      </x:c>
      <x:c r="K327" s="10" t="n">
        <x:v>500</x:v>
      </x:c>
      <x:c r="L327" s="10" t="n">
        <x:v>1</x:v>
      </x:c>
      <x:c r="M327" s="10" t="n">
        <x:v>215</x:v>
      </x:c>
      <x:c r="N327" s="2" t="str">
        <x:v>D25</x:v>
      </x:c>
      <x:c r="O327" s="2" t="str">
        <x:v>hdb flat</x:v>
      </x:c>
      <x:c r="P327" s="2" t="str">
        <x:v>https://www.propertyguru.com.sg/listing/hdb-for-rent-605-woodlands-drive-42-21644298</x:v>
      </x:c>
      <x:c r="Q327" s="12" t="str">
        <x:v>Hard requirements pass. NUS 15,836.67 m straight-line, SGD 500/month. The long straight-line distance weakens the primary preference, despite any rent savings.</x:v>
      </x:c>
      <x:c r="R327" s="13"/>
    </x:row>
    <x:row r="328" ht="15" hidden="0" customHeight="1">
      <x:c r="A328" s="2" t="str">
        <x:v>S13|500068015</x:v>
      </x:c>
      <x:c r="B328" s="2" t="str">
        <x:v>S13</x:v>
      </x:c>
      <x:c r="C328" s="2" t="str">
        <x:v>500068015</x:v>
      </x:c>
      <x:c r="D328" s="2" t="str">
        <x:v>U</x:v>
      </x:c>
      <x:c r="E328" s="9"/>
      <x:c r="F328" s="2" t="str">
        <x:f>IF(E328="",D328,IF(E328="U","U",IF(AND(ISNUMBER(E328),E328&gt;=0,E328&lt;=3,INT(E328)=E328),E328,"Invalid")))</x:f>
        <x:v>U</x:v>
      </x:c>
      <x:c r="G328" s="2" t="n">
        <x:f>IF(ISNUMBER(F328),1,0)</x:f>
        <x:v>0</x:v>
      </x:c>
      <x:c r="H328" s="2" t="n">
        <x:f>IF(ISNUMBER(F328),IF(F328&gt;=2,1,0),0)</x:f>
        <x:v>0</x:v>
      </x:c>
      <x:c r="I328" s="11" t="n">
        <x:f>IF(ISNUMBER(F328),2^F328-1,0)</x:f>
        <x:v>0</x:v>
      </x:c>
      <x:c r="J328" s="2" t="str">
        <x:v>Retained original 577</x:v>
      </x:c>
      <x:c r="K328" s="10" t="n">
        <x:v>2300</x:v>
      </x:c>
      <x:c r="L328" s="10"/>
      <x:c r="M328" s="10" t="n">
        <x:v>100</x:v>
      </x:c>
      <x:c r="N328" s="2" t="str">
        <x:v>D07</x:v>
      </x:c>
      <x:c r="O328" s="2" t="str">
        <x:v>apartment</x:v>
      </x:c>
      <x:c r="P328" s="2" t="str">
        <x:v>https://www.propertyguru.com.sg/listing/for-rent-coliwoo-midtown-near-smu-kaplan-bugis-area-500068015</x:v>
      </x:c>
      <x:c r="Q328" s="12" t="str">
        <x:v>No known hard failure. Cannot verify: reported bedrooms.</x:v>
      </x:c>
      <x:c r="R328" s="13"/>
    </x:row>
    <x:row r="329" ht="24" hidden="0" customHeight="1">
      <x:c r="A329" s="2" t="str">
        <x:v>S13|500215736</x:v>
      </x:c>
      <x:c r="B329" s="2" t="str">
        <x:v>S13</x:v>
      </x:c>
      <x:c r="C329" s="2" t="str">
        <x:v>500215736</x:v>
      </x:c>
      <x:c r="D329" s="2" t="n">
        <x:v>3</x:v>
      </x:c>
      <x:c r="E329" s="9"/>
      <x:c r="F329" s="2" t="n">
        <x:f>IF(E329="",D329,IF(E329="U","U",IF(AND(ISNUMBER(E329),E329&gt;=0,E329&lt;=3,INT(E329)=E329),E329,"Invalid")))</x:f>
        <x:v>3</x:v>
      </x:c>
      <x:c r="G329" s="2" t="n">
        <x:f>IF(ISNUMBER(F329),1,0)</x:f>
        <x:v>1</x:v>
      </x:c>
      <x:c r="H329" s="2" t="n">
        <x:f>IF(ISNUMBER(F329),IF(F329&gt;=2,1,0),0)</x:f>
        <x:v>1</x:v>
      </x:c>
      <x:c r="I329" s="11" t="n">
        <x:f>IF(ISNUMBER(F329),2^F329-1,0)</x:f>
        <x:v>7</x:v>
      </x:c>
      <x:c r="J329" s="2" t="str">
        <x:v>Retained original 577</x:v>
      </x:c>
      <x:c r="K329" s="10" t="n">
        <x:v>1450</x:v>
      </x:c>
      <x:c r="L329" s="10" t="n">
        <x:v>1</x:v>
      </x:c>
      <x:c r="M329" s="10" t="n">
        <x:v>721</x:v>
      </x:c>
      <x:c r="N329" s="2" t="str">
        <x:v>D05</x:v>
      </x:c>
      <x:c r="O329" s="2" t="str">
        <x:v>hdb flat</x:v>
      </x:c>
      <x:c r="P329" s="2" t="str">
        <x:v>https://www.propertyguru.com.sg/listing/hdb-for-rent-701-west-coast-road-500215736</x:v>
      </x:c>
      <x:c r="Q329" s="12" t="str">
        <x:v>Hard requirements pass. NUS 2,206.21 m straight-line, SGD 1,450/month. Relatively close to NUS with lower rent than the near-campus options at the cap.</x:v>
      </x:c>
      <x:c r="R329" s="13"/>
    </x:row>
    <x:row r="330" ht="15" hidden="0" customHeight="1">
      <x:c r="A330" s="2" t="str">
        <x:v>S13|500021477</x:v>
      </x:c>
      <x:c r="B330" s="2" t="str">
        <x:v>S13</x:v>
      </x:c>
      <x:c r="C330" s="2" t="str">
        <x:v>500021477</x:v>
      </x:c>
      <x:c r="D330" s="2" t="n">
        <x:v>0</x:v>
      </x:c>
      <x:c r="E330" s="9"/>
      <x:c r="F330" s="2" t="n">
        <x:f>IF(E330="",D330,IF(E330="U","U",IF(AND(ISNUMBER(E330),E330&gt;=0,E330&lt;=3,INT(E330)=E330),E330,"Invalid")))</x:f>
        <x:v>0</x:v>
      </x:c>
      <x:c r="G330" s="2" t="n">
        <x:f>IF(ISNUMBER(F330),1,0)</x:f>
        <x:v>1</x:v>
      </x:c>
      <x:c r="H330" s="2" t="n">
        <x:f>IF(ISNUMBER(F330),IF(F330&gt;=2,1,0),0)</x:f>
        <x:v>0</x:v>
      </x:c>
      <x:c r="I330" s="11" t="n">
        <x:f>IF(ISNUMBER(F330),2^F330-1,0)</x:f>
        <x:v>0</x:v>
      </x:c>
      <x:c r="J330" s="2" t="str">
        <x:v>Retained original 577</x:v>
      </x:c>
      <x:c r="K330" s="10" t="n">
        <x:v>1350</x:v>
      </x:c>
      <x:c r="L330" s="10" t="n">
        <x:v>0</x:v>
      </x:c>
      <x:c r="M330" s="10"/>
      <x:c r="N330" s="2" t="str">
        <x:v>D03</x:v>
      </x:c>
      <x:c r="O330" s="2" t="str">
        <x:v>hdb flat</x:v>
      </x:c>
      <x:c r="P330" s="2" t="str">
        <x:v>https://www.propertyguru.com.sg/listing/hdb-for-rent-125-bukit-merah-lane-1-500021477</x:v>
      </x:c>
      <x:c r="Q330" s="12" t="str">
        <x:v>Hard failure: Reported bedrooms 0; required &gt;= 1.</x:v>
      </x:c>
      <x:c r="R330" s="13"/>
    </x:row>
    <x:row r="331" ht="24" hidden="0" customHeight="1">
      <x:c r="A331" s="2" t="str">
        <x:v>S14|23368920</x:v>
      </x:c>
      <x:c r="B331" s="2" t="str">
        <x:v>S14</x:v>
      </x:c>
      <x:c r="C331" s="2" t="str">
        <x:v>23368920</x:v>
      </x:c>
      <x:c r="D331" s="2" t="n">
        <x:v>3</x:v>
      </x:c>
      <x:c r="E331" s="9"/>
      <x:c r="F331" s="2" t="n">
        <x:f>IF(E331="",D331,IF(E331="U","U",IF(AND(ISNUMBER(E331),E331&gt;=0,E331&lt;=3,INT(E331)=E331),E331,"Invalid")))</x:f>
        <x:v>3</x:v>
      </x:c>
      <x:c r="G331" s="2" t="n">
        <x:f>IF(ISNUMBER(F331),1,0)</x:f>
        <x:v>1</x:v>
      </x:c>
      <x:c r="H331" s="2" t="n">
        <x:f>IF(ISNUMBER(F331),IF(F331&gt;=2,1,0),0)</x:f>
        <x:v>1</x:v>
      </x:c>
      <x:c r="I331" s="11" t="n">
        <x:f>IF(ISNUMBER(F331),2^F331-1,0)</x:f>
        <x:v>7</x:v>
      </x:c>
      <x:c r="J331" s="2" t="str">
        <x:v>Retained original 577</x:v>
      </x:c>
      <x:c r="K331" s="10" t="n">
        <x:v>1300</x:v>
      </x:c>
      <x:c r="L331" s="10" t="n">
        <x:v>1</x:v>
      </x:c>
      <x:c r="M331" s="10" t="n">
        <x:v>102</x:v>
      </x:c>
      <x:c r="N331" s="2" t="str">
        <x:v>D10</x:v>
      </x:c>
      <x:c r="O331" s="2" t="str">
        <x:v>hdb flat</x:v>
      </x:c>
      <x:c r="P331" s="2" t="str">
        <x:v>https://www.propertyguru.com.sg/listing/hdb-for-rent-18d-holland-drive-23368920</x:v>
      </x:c>
      <x:c r="Q331" s="12" t="str">
        <x:v>Hard requirements pass. SGD 1,300/month, NUS 2,263.82 m straight-line. Good rent savings together with a relatively short verified NUS distance.</x:v>
      </x:c>
      <x:c r="R331" s="13"/>
    </x:row>
    <x:row r="332" ht="24" hidden="0" customHeight="1">
      <x:c r="A332" s="2" t="str">
        <x:v>S14|500285316</x:v>
      </x:c>
      <x:c r="B332" s="2" t="str">
        <x:v>S14</x:v>
      </x:c>
      <x:c r="C332" s="2" t="str">
        <x:v>500285316</x:v>
      </x:c>
      <x:c r="D332" s="2" t="n">
        <x:v>2</x:v>
      </x:c>
      <x:c r="E332" s="9"/>
      <x:c r="F332" s="2" t="n">
        <x:f>IF(E332="",D332,IF(E332="U","U",IF(AND(ISNUMBER(E332),E332&gt;=0,E332&lt;=3,INT(E332)=E332),E332,"Invalid")))</x:f>
        <x:v>2</x:v>
      </x:c>
      <x:c r="G332" s="2" t="n">
        <x:f>IF(ISNUMBER(F332),1,0)</x:f>
        <x:v>1</x:v>
      </x:c>
      <x:c r="H332" s="2" t="n">
        <x:f>IF(ISNUMBER(F332),IF(F332&gt;=2,1,0),0)</x:f>
        <x:v>1</x:v>
      </x:c>
      <x:c r="I332" s="11" t="n">
        <x:f>IF(ISNUMBER(F332),2^F332-1,0)</x:f>
        <x:v>3</x:v>
      </x:c>
      <x:c r="J332" s="2" t="str">
        <x:v>Retained original 577</x:v>
      </x:c>
      <x:c r="K332" s="10" t="n">
        <x:v>500</x:v>
      </x:c>
      <x:c r="L332" s="10" t="n">
        <x:v>1</x:v>
      </x:c>
      <x:c r="M332" s="10" t="n">
        <x:v>90</x:v>
      </x:c>
      <x:c r="N332" s="2" t="str">
        <x:v>D25</x:v>
      </x:c>
      <x:c r="O332" s="2" t="str">
        <x:v>hdb flat</x:v>
      </x:c>
      <x:c r="P332" s="2" t="str">
        <x:v>https://www.propertyguru.com.sg/listing/hdb-for-rent-728-woodlands-circle-500285316</x:v>
      </x:c>
      <x:c r="Q332" s="12" t="str">
        <x:v>Hard requirements pass. SGD 500/month, NUS 16,476.84 m straight-line. Strong rent savings support the primary preference, with a substantial distance trade-off.</x:v>
      </x:c>
      <x:c r="R332" s="13"/>
    </x:row>
    <x:row r="333" ht="15" hidden="0" customHeight="1">
      <x:c r="A333" s="2" t="str">
        <x:v>S14|25280744</x:v>
      </x:c>
      <x:c r="B333" s="2" t="str">
        <x:v>S14</x:v>
      </x:c>
      <x:c r="C333" s="2" t="str">
        <x:v>25280744</x:v>
      </x:c>
      <x:c r="D333" s="2" t="n">
        <x:v>0</x:v>
      </x:c>
      <x:c r="E333" s="9"/>
      <x:c r="F333" s="2" t="n">
        <x:f>IF(E333="",D333,IF(E333="U","U",IF(AND(ISNUMBER(E333),E333&gt;=0,E333&lt;=3,INT(E333)=E333),E333,"Invalid")))</x:f>
        <x:v>0</x:v>
      </x:c>
      <x:c r="G333" s="2" t="n">
        <x:f>IF(ISNUMBER(F333),1,0)</x:f>
        <x:v>1</x:v>
      </x:c>
      <x:c r="H333" s="2" t="n">
        <x:f>IF(ISNUMBER(F333),IF(F333&gt;=2,1,0),0)</x:f>
        <x:v>0</x:v>
      </x:c>
      <x:c r="I333" s="11" t="n">
        <x:f>IF(ISNUMBER(F333),2^F333-1,0)</x:f>
        <x:v>0</x:v>
      </x:c>
      <x:c r="J333" s="2" t="str">
        <x:v>Retained original 577</x:v>
      </x:c>
      <x:c r="K333" s="10" t="n">
        <x:v>3050</x:v>
      </x:c>
      <x:c r="L333" s="10" t="n">
        <x:v>1</x:v>
      </x:c>
      <x:c r="M333" s="10" t="n">
        <x:v>494</x:v>
      </x:c>
      <x:c r="N333" s="2" t="str">
        <x:v>D18</x:v>
      </x:c>
      <x:c r="O333" s="2" t="str">
        <x:v>condominium</x:v>
      </x:c>
      <x:c r="P333" s="2" t="str">
        <x:v>https://www.propertyguru.com.sg/listing/for-rent-the-alps-residences-25280744</x:v>
      </x:c>
      <x:c r="Q333" s="12" t="str">
        <x:v>Hard failure: Rent (SGD/month) 3,050; required &lt;= 3,000.</x:v>
      </x:c>
      <x:c r="R333" s="13"/>
    </x:row>
    <x:row r="334" ht="36" hidden="0" customHeight="1">
      <x:c r="A334" s="2" t="str">
        <x:v>S14|23810434</x:v>
      </x:c>
      <x:c r="B334" s="2" t="str">
        <x:v>S14</x:v>
      </x:c>
      <x:c r="C334" s="2" t="str">
        <x:v>23810434</x:v>
      </x:c>
      <x:c r="D334" s="2" t="n">
        <x:v>1</x:v>
      </x:c>
      <x:c r="E334" s="9"/>
      <x:c r="F334" s="2" t="n">
        <x:f>IF(E334="",D334,IF(E334="U","U",IF(AND(ISNUMBER(E334),E334&gt;=0,E334&lt;=3,INT(E334)=E334),E334,"Invalid")))</x:f>
        <x:v>1</x:v>
      </x:c>
      <x:c r="G334" s="2" t="n">
        <x:f>IF(ISNUMBER(F334),1,0)</x:f>
        <x:v>1</x:v>
      </x:c>
      <x:c r="H334" s="2" t="n">
        <x:f>IF(ISNUMBER(F334),IF(F334&gt;=2,1,0),0)</x:f>
        <x:v>0</x:v>
      </x:c>
      <x:c r="I334" s="11" t="n">
        <x:f>IF(ISNUMBER(F334),2^F334-1,0)</x:f>
        <x:v>1</x:v>
      </x:c>
      <x:c r="J334" s="2" t="str">
        <x:v>Retained original 577</x:v>
      </x:c>
      <x:c r="K334" s="10" t="n">
        <x:v>2950</x:v>
      </x:c>
      <x:c r="L334" s="10" t="n">
        <x:v>2</x:v>
      </x:c>
      <x:c r="M334" s="10" t="n">
        <x:v>456</x:v>
      </x:c>
      <x:c r="N334" s="2" t="str">
        <x:v>D08</x:v>
      </x:c>
      <x:c r="O334" s="2" t="str">
        <x:v>apartment</x:v>
      </x:c>
      <x:c r="P334" s="2" t="str">
        <x:v>https://www.propertyguru.com.sg/listing/for-rent-jalan-besar-plaza-23810434</x:v>
      </x:c>
      <x:c r="Q334" s="12" t="str">
        <x:v>Hard requirements pass. SGD 2,950/month, NUS Unknown m straight-line. Rent is toward the expensive end of this pool; closeness alone does not fulfil the price-first preference.</x:v>
      </x:c>
      <x:c r="R334" s="13"/>
    </x:row>
    <x:row r="335" ht="15" hidden="0" customHeight="1">
      <x:c r="A335" s="2" t="str">
        <x:v>S14|500068015</x:v>
      </x:c>
      <x:c r="B335" s="2" t="str">
        <x:v>S14</x:v>
      </x:c>
      <x:c r="C335" s="2" t="str">
        <x:v>500068015</x:v>
      </x:c>
      <x:c r="D335" s="2" t="str">
        <x:v>U</x:v>
      </x:c>
      <x:c r="E335" s="9"/>
      <x:c r="F335" s="2" t="str">
        <x:f>IF(E335="",D335,IF(E335="U","U",IF(AND(ISNUMBER(E335),E335&gt;=0,E335&lt;=3,INT(E335)=E335),E335,"Invalid")))</x:f>
        <x:v>U</x:v>
      </x:c>
      <x:c r="G335" s="2" t="n">
        <x:f>IF(ISNUMBER(F335),1,0)</x:f>
        <x:v>0</x:v>
      </x:c>
      <x:c r="H335" s="2" t="n">
        <x:f>IF(ISNUMBER(F335),IF(F335&gt;=2,1,0),0)</x:f>
        <x:v>0</x:v>
      </x:c>
      <x:c r="I335" s="11" t="n">
        <x:f>IF(ISNUMBER(F335),2^F335-1,0)</x:f>
        <x:v>0</x:v>
      </x:c>
      <x:c r="J335" s="2" t="str">
        <x:v>Retained original 577</x:v>
      </x:c>
      <x:c r="K335" s="10" t="n">
        <x:v>2300</x:v>
      </x:c>
      <x:c r="L335" s="10"/>
      <x:c r="M335" s="10" t="n">
        <x:v>100</x:v>
      </x:c>
      <x:c r="N335" s="2" t="str">
        <x:v>D07</x:v>
      </x:c>
      <x:c r="O335" s="2" t="str">
        <x:v>apartment</x:v>
      </x:c>
      <x:c r="P335" s="2" t="str">
        <x:v>https://www.propertyguru.com.sg/listing/for-rent-coliwoo-midtown-near-smu-kaplan-bugis-area-500068015</x:v>
      </x:c>
      <x:c r="Q335" s="12" t="str">
        <x:v>No known hard failure. Cannot verify: reported bedrooms.</x:v>
      </x:c>
      <x:c r="R335" s="13"/>
    </x:row>
    <x:row r="336" ht="36" hidden="0" customHeight="1">
      <x:c r="A336" s="2" t="str">
        <x:v>S14|20617351</x:v>
      </x:c>
      <x:c r="B336" s="2" t="str">
        <x:v>S14</x:v>
      </x:c>
      <x:c r="C336" s="2" t="str">
        <x:v>20617351</x:v>
      </x:c>
      <x:c r="D336" s="2" t="n">
        <x:v>1</x:v>
      </x:c>
      <x:c r="E336" s="9"/>
      <x:c r="F336" s="2" t="n">
        <x:f>IF(E336="",D336,IF(E336="U","U",IF(AND(ISNUMBER(E336),E336&gt;=0,E336&lt;=3,INT(E336)=E336),E336,"Invalid")))</x:f>
        <x:v>1</x:v>
      </x:c>
      <x:c r="G336" s="2" t="n">
        <x:f>IF(ISNUMBER(F336),1,0)</x:f>
        <x:v>1</x:v>
      </x:c>
      <x:c r="H336" s="2" t="n">
        <x:f>IF(ISNUMBER(F336),IF(F336&gt;=2,1,0),0)</x:f>
        <x:v>0</x:v>
      </x:c>
      <x:c r="I336" s="11" t="n">
        <x:f>IF(ISNUMBER(F336),2^F336-1,0)</x:f>
        <x:v>1</x:v>
      </x:c>
      <x:c r="J336" s="2" t="str">
        <x:v>Retained original 577</x:v>
      </x:c>
      <x:c r="K336" s="10" t="n">
        <x:v>3000</x:v>
      </x:c>
      <x:c r="L336" s="10" t="n">
        <x:v>2</x:v>
      </x:c>
      <x:c r="M336" s="10" t="n">
        <x:v>700</x:v>
      </x:c>
      <x:c r="N336" s="2" t="str">
        <x:v>D05</x:v>
      </x:c>
      <x:c r="O336" s="2" t="str">
        <x:v>hdb flat</x:v>
      </x:c>
      <x:c r="P336" s="2" t="str">
        <x:v>https://www.propertyguru.com.sg/listing/hdb-for-rent-354-clementi-avenue-2-20617351</x:v>
      </x:c>
      <x:c r="Q336" s="12" t="str">
        <x:v>Hard requirements pass. SGD 3,000/month, NUS 2,082.8 m straight-line. Rent is toward the expensive end of this pool; closeness alone does not fulfil the price-first preference.</x:v>
      </x:c>
      <x:c r="R336" s="13"/>
    </x:row>
    <x:row r="337" ht="15" hidden="0" customHeight="1">
      <x:c r="A337" s="2" t="str">
        <x:v>S14|500021477</x:v>
      </x:c>
      <x:c r="B337" s="2" t="str">
        <x:v>S14</x:v>
      </x:c>
      <x:c r="C337" s="2" t="str">
        <x:v>500021477</x:v>
      </x:c>
      <x:c r="D337" s="2" t="n">
        <x:v>0</x:v>
      </x:c>
      <x:c r="E337" s="9"/>
      <x:c r="F337" s="2" t="n">
        <x:f>IF(E337="",D337,IF(E337="U","U",IF(AND(ISNUMBER(E337),E337&gt;=0,E337&lt;=3,INT(E337)=E337),E337,"Invalid")))</x:f>
        <x:v>0</x:v>
      </x:c>
      <x:c r="G337" s="2" t="n">
        <x:f>IF(ISNUMBER(F337),1,0)</x:f>
        <x:v>1</x:v>
      </x:c>
      <x:c r="H337" s="2" t="n">
        <x:f>IF(ISNUMBER(F337),IF(F337&gt;=2,1,0),0)</x:f>
        <x:v>0</x:v>
      </x:c>
      <x:c r="I337" s="11" t="n">
        <x:f>IF(ISNUMBER(F337),2^F337-1,0)</x:f>
        <x:v>0</x:v>
      </x:c>
      <x:c r="J337" s="2" t="str">
        <x:v>Retained original 577</x:v>
      </x:c>
      <x:c r="K337" s="10" t="n">
        <x:v>1350</x:v>
      </x:c>
      <x:c r="L337" s="10" t="n">
        <x:v>0</x:v>
      </x:c>
      <x:c r="M337" s="10"/>
      <x:c r="N337" s="2" t="str">
        <x:v>D03</x:v>
      </x:c>
      <x:c r="O337" s="2" t="str">
        <x:v>hdb flat</x:v>
      </x:c>
      <x:c r="P337" s="2" t="str">
        <x:v>https://www.propertyguru.com.sg/listing/hdb-for-rent-125-bukit-merah-lane-1-500021477</x:v>
      </x:c>
      <x:c r="Q337" s="12" t="str">
        <x:v>Hard failure: Reported bedrooms 0; required &gt;= 1.</x:v>
      </x:c>
      <x:c r="R337" s="13"/>
    </x:row>
    <x:row r="338" ht="24" hidden="0" customHeight="1">
      <x:c r="A338" s="2" t="str">
        <x:v>S14|500211232</x:v>
      </x:c>
      <x:c r="B338" s="2" t="str">
        <x:v>S14</x:v>
      </x:c>
      <x:c r="C338" s="2" t="str">
        <x:v>500211232</x:v>
      </x:c>
      <x:c r="D338" s="2" t="n">
        <x:v>2</x:v>
      </x:c>
      <x:c r="E338" s="9"/>
      <x:c r="F338" s="2" t="n">
        <x:f>IF(E338="",D338,IF(E338="U","U",IF(AND(ISNUMBER(E338),E338&gt;=0,E338&lt;=3,INT(E338)=E338),E338,"Invalid")))</x:f>
        <x:v>2</x:v>
      </x:c>
      <x:c r="G338" s="2" t="n">
        <x:f>IF(ISNUMBER(F338),1,0)</x:f>
        <x:v>1</x:v>
      </x:c>
      <x:c r="H338" s="2" t="n">
        <x:f>IF(ISNUMBER(F338),IF(F338&gt;=2,1,0),0)</x:f>
        <x:v>1</x:v>
      </x:c>
      <x:c r="I338" s="11" t="n">
        <x:f>IF(ISNUMBER(F338),2^F338-1,0)</x:f>
        <x:v>3</x:v>
      </x:c>
      <x:c r="J338" s="2" t="str">
        <x:v>Retained original 577</x:v>
      </x:c>
      <x:c r="K338" s="10" t="n">
        <x:v>550</x:v>
      </x:c>
      <x:c r="L338" s="10" t="n">
        <x:v>1</x:v>
      </x:c>
      <x:c r="M338" s="10"/>
      <x:c r="N338" s="2" t="str">
        <x:v>D20</x:v>
      </x:c>
      <x:c r="O338" s="2" t="str">
        <x:v>hdb flat</x:v>
      </x:c>
      <x:c r="P338" s="2" t="str">
        <x:v>https://www.propertyguru.com.sg/listing/hdb-for-rent-629-ang-mo-kio-avenue-4-500211232</x:v>
      </x:c>
      <x:c r="Q338" s="12" t="str">
        <x:v>Hard requirements pass. SGD 550/month, NUS 11,680.98 m straight-line. Strong rent savings support the primary preference, with a substantial distance trade-off.</x:v>
      </x:c>
      <x:c r="R338" s="13"/>
    </x:row>
    <x:row r="339" ht="24" hidden="0" customHeight="1">
      <x:c r="A339" s="2" t="str">
        <x:v>S14|500226876</x:v>
      </x:c>
      <x:c r="B339" s="2" t="str">
        <x:v>S14</x:v>
      </x:c>
      <x:c r="C339" s="2" t="str">
        <x:v>500226876</x:v>
      </x:c>
      <x:c r="D339" s="2" t="n">
        <x:v>3</x:v>
      </x:c>
      <x:c r="E339" s="9"/>
      <x:c r="F339" s="2" t="n">
        <x:f>IF(E339="",D339,IF(E339="U","U",IF(AND(ISNUMBER(E339),E339&gt;=0,E339&lt;=3,INT(E339)=E339),E339,"Invalid")))</x:f>
        <x:v>3</x:v>
      </x:c>
      <x:c r="G339" s="2" t="n">
        <x:f>IF(ISNUMBER(F339),1,0)</x:f>
        <x:v>1</x:v>
      </x:c>
      <x:c r="H339" s="2" t="n">
        <x:f>IF(ISNUMBER(F339),IF(F339&gt;=2,1,0),0)</x:f>
        <x:v>1</x:v>
      </x:c>
      <x:c r="I339" s="11" t="n">
        <x:f>IF(ISNUMBER(F339),2^F339-1,0)</x:f>
        <x:v>7</x:v>
      </x:c>
      <x:c r="J339" s="2" t="str">
        <x:v>Retained original 577</x:v>
      </x:c>
      <x:c r="K339" s="10" t="n">
        <x:v>1100</x:v>
      </x:c>
      <x:c r="L339" s="10" t="n">
        <x:v>1</x:v>
      </x:c>
      <x:c r="M339" s="10" t="n">
        <x:v>118</x:v>
      </x:c>
      <x:c r="N339" s="2" t="str">
        <x:v>D10</x:v>
      </x:c>
      <x:c r="O339" s="2" t="str">
        <x:v>hdb flat</x:v>
      </x:c>
      <x:c r="P339" s="2" t="str">
        <x:v>https://www.propertyguru.com.sg/listing/hdb-for-rent-8-holland-avenue-500226876</x:v>
      </x:c>
      <x:c r="Q339" s="12" t="str">
        <x:v>Hard requirements pass. SGD 1,100/month, NUS 2,212.17 m straight-line. Good rent savings together with a relatively short verified NUS distance.</x:v>
      </x:c>
      <x:c r="R339" s="13"/>
    </x:row>
    <x:row r="340" ht="36" hidden="0" customHeight="1">
      <x:c r="A340" s="2" t="str">
        <x:v>S14|24866516</x:v>
      </x:c>
      <x:c r="B340" s="2" t="str">
        <x:v>S14</x:v>
      </x:c>
      <x:c r="C340" s="2" t="str">
        <x:v>24866516</x:v>
      </x:c>
      <x:c r="D340" s="2" t="n">
        <x:v>1</x:v>
      </x:c>
      <x:c r="E340" s="9"/>
      <x:c r="F340" s="2" t="n">
        <x:f>IF(E340="",D340,IF(E340="U","U",IF(AND(ISNUMBER(E340),E340&gt;=0,E340&lt;=3,INT(E340)=E340),E340,"Invalid")))</x:f>
        <x:v>1</x:v>
      </x:c>
      <x:c r="G340" s="2" t="n">
        <x:f>IF(ISNUMBER(F340),1,0)</x:f>
        <x:v>1</x:v>
      </x:c>
      <x:c r="H340" s="2" t="n">
        <x:f>IF(ISNUMBER(F340),IF(F340&gt;=2,1,0),0)</x:f>
        <x:v>0</x:v>
      </x:c>
      <x:c r="I340" s="11" t="n">
        <x:f>IF(ISNUMBER(F340),2^F340-1,0)</x:f>
        <x:v>1</x:v>
      </x:c>
      <x:c r="J340" s="2" t="str">
        <x:v>Retained original 577</x:v>
      </x:c>
      <x:c r="K340" s="10" t="n">
        <x:v>3000</x:v>
      </x:c>
      <x:c r="L340" s="10" t="n">
        <x:v>2</x:v>
      </x:c>
      <x:c r="M340" s="10" t="n">
        <x:v>700</x:v>
      </x:c>
      <x:c r="N340" s="2" t="str">
        <x:v>D10</x:v>
      </x:c>
      <x:c r="O340" s="2" t="str">
        <x:v>hdb flat</x:v>
      </x:c>
      <x:c r="P340" s="2" t="str">
        <x:v>https://www.propertyguru.com.sg/listing/hdb-for-rent-6-ghim-moh-road-24866516</x:v>
      </x:c>
      <x:c r="Q340" s="12" t="str">
        <x:v>Hard requirements pass. SGD 3,000/month, NUS 2,146.02 m straight-line. Rent is toward the expensive end of this pool; closeness alone does not fulfil the price-first preference.</x:v>
      </x:c>
      <x:c r="R340" s="13"/>
    </x:row>
    <x:row r="341" ht="24" hidden="0" customHeight="1">
      <x:c r="A341" s="2" t="str">
        <x:v>S14|23839651</x:v>
      </x:c>
      <x:c r="B341" s="2" t="str">
        <x:v>S14</x:v>
      </x:c>
      <x:c r="C341" s="2" t="str">
        <x:v>23839651</x:v>
      </x:c>
      <x:c r="D341" s="2" t="n">
        <x:v>3</x:v>
      </x:c>
      <x:c r="E341" s="9"/>
      <x:c r="F341" s="2" t="n">
        <x:f>IF(E341="",D341,IF(E341="U","U",IF(AND(ISNUMBER(E341),E341&gt;=0,E341&lt;=3,INT(E341)=E341),E341,"Invalid")))</x:f>
        <x:v>3</x:v>
      </x:c>
      <x:c r="G341" s="2" t="n">
        <x:f>IF(ISNUMBER(F341),1,0)</x:f>
        <x:v>1</x:v>
      </x:c>
      <x:c r="H341" s="2" t="n">
        <x:f>IF(ISNUMBER(F341),IF(F341&gt;=2,1,0),0)</x:f>
        <x:v>1</x:v>
      </x:c>
      <x:c r="I341" s="11" t="n">
        <x:f>IF(ISNUMBER(F341),2^F341-1,0)</x:f>
        <x:v>7</x:v>
      </x:c>
      <x:c r="J341" s="2" t="str">
        <x:v>Retained original 577</x:v>
      </x:c>
      <x:c r="K341" s="10" t="n">
        <x:v>1450</x:v>
      </x:c>
      <x:c r="L341" s="10" t="n">
        <x:v>1</x:v>
      </x:c>
      <x:c r="M341" s="10" t="n">
        <x:v>721</x:v>
      </x:c>
      <x:c r="N341" s="2" t="str">
        <x:v>D05</x:v>
      </x:c>
      <x:c r="O341" s="2" t="str">
        <x:v>hdb flat</x:v>
      </x:c>
      <x:c r="P341" s="2" t="str">
        <x:v>https://www.propertyguru.com.sg/listing/hdb-for-rent-701-west-coast-road-23839651</x:v>
      </x:c>
      <x:c r="Q341" s="12" t="str">
        <x:v>Hard requirements pass. SGD 1,450/month, NUS 2,206.21 m straight-line. Good rent savings together with a relatively short verified NUS distance.</x:v>
      </x:c>
      <x:c r="R341" s="13"/>
    </x:row>
    <x:row r="342" ht="36" hidden="0" customHeight="1">
      <x:c r="A342" s="2" t="str">
        <x:v>S14|24124291</x:v>
      </x:c>
      <x:c r="B342" s="2" t="str">
        <x:v>S14</x:v>
      </x:c>
      <x:c r="C342" s="2" t="str">
        <x:v>24124291</x:v>
      </x:c>
      <x:c r="D342" s="2" t="n">
        <x:v>1</x:v>
      </x:c>
      <x:c r="E342" s="9"/>
      <x:c r="F342" s="2" t="n">
        <x:f>IF(E342="",D342,IF(E342="U","U",IF(AND(ISNUMBER(E342),E342&gt;=0,E342&lt;=3,INT(E342)=E342),E342,"Invalid")))</x:f>
        <x:v>1</x:v>
      </x:c>
      <x:c r="G342" s="2" t="n">
        <x:f>IF(ISNUMBER(F342),1,0)</x:f>
        <x:v>1</x:v>
      </x:c>
      <x:c r="H342" s="2" t="n">
        <x:f>IF(ISNUMBER(F342),IF(F342&gt;=2,1,0),0)</x:f>
        <x:v>0</x:v>
      </x:c>
      <x:c r="I342" s="11" t="n">
        <x:f>IF(ISNUMBER(F342),2^F342-1,0)</x:f>
        <x:v>1</x:v>
      </x:c>
      <x:c r="J342" s="2" t="str">
        <x:v>Retained original 577</x:v>
      </x:c>
      <x:c r="K342" s="10" t="n">
        <x:v>2850</x:v>
      </x:c>
      <x:c r="L342" s="10" t="n">
        <x:v>1</x:v>
      </x:c>
      <x:c r="M342" s="10" t="n">
        <x:v>409</x:v>
      </x:c>
      <x:c r="N342" s="2" t="str">
        <x:v>D14</x:v>
      </x:c>
      <x:c r="O342" s="2" t="str">
        <x:v>condominium</x:v>
      </x:c>
      <x:c r="P342" s="2" t="str">
        <x:v>https://www.propertyguru.com.sg/listing/for-rent-prime-residence-24124291</x:v>
      </x:c>
      <x:c r="Q342" s="12" t="str">
        <x:v>Hard requirements pass. SGD 2,850/month, NUS Unknown m straight-line. Rent is toward the expensive end of this pool; closeness alone does not fulfil the price-first preference.</x:v>
      </x:c>
      <x:c r="R342" s="13"/>
    </x:row>
    <x:row r="343" ht="36" hidden="0" customHeight="1">
      <x:c r="A343" s="2" t="str">
        <x:v>S14|500262756</x:v>
      </x:c>
      <x:c r="B343" s="2" t="str">
        <x:v>S14</x:v>
      </x:c>
      <x:c r="C343" s="2" t="str">
        <x:v>500262756</x:v>
      </x:c>
      <x:c r="D343" s="2" t="n">
        <x:v>1</x:v>
      </x:c>
      <x:c r="E343" s="9"/>
      <x:c r="F343" s="2" t="n">
        <x:f>IF(E343="",D343,IF(E343="U","U",IF(AND(ISNUMBER(E343),E343&gt;=0,E343&lt;=3,INT(E343)=E343),E343,"Invalid")))</x:f>
        <x:v>1</x:v>
      </x:c>
      <x:c r="G343" s="2" t="n">
        <x:f>IF(ISNUMBER(F343),1,0)</x:f>
        <x:v>1</x:v>
      </x:c>
      <x:c r="H343" s="2" t="n">
        <x:f>IF(ISNUMBER(F343),IF(F343&gt;=2,1,0),0)</x:f>
        <x:v>0</x:v>
      </x:c>
      <x:c r="I343" s="11" t="n">
        <x:f>IF(ISNUMBER(F343),2^F343-1,0)</x:f>
        <x:v>1</x:v>
      </x:c>
      <x:c r="J343" s="2" t="str">
        <x:v>Retained original 577</x:v>
      </x:c>
      <x:c r="K343" s="10" t="n">
        <x:v>3000</x:v>
      </x:c>
      <x:c r="L343" s="10" t="n">
        <x:v>2</x:v>
      </x:c>
      <x:c r="M343" s="10" t="n">
        <x:v>699</x:v>
      </x:c>
      <x:c r="N343" s="2" t="str">
        <x:v>D05</x:v>
      </x:c>
      <x:c r="O343" s="2" t="str">
        <x:v>hdb flat</x:v>
      </x:c>
      <x:c r="P343" s="2" t="str">
        <x:v>https://www.propertyguru.com.sg/listing/hdb-for-rent-2-dover-road-500262756</x:v>
      </x:c>
      <x:c r="Q343" s="12" t="str">
        <x:v>Hard requirements pass. SGD 3,000/month, NUS 971.62 m straight-line. Rent is toward the expensive end of this pool; closeness alone does not fulfil the price-first preference.</x:v>
      </x:c>
      <x:c r="R343" s="13"/>
    </x:row>
    <x:row r="344" ht="24" hidden="0" customHeight="1">
      <x:c r="A344" s="2" t="str">
        <x:v>S14|500271126</x:v>
      </x:c>
      <x:c r="B344" s="2" t="str">
        <x:v>S14</x:v>
      </x:c>
      <x:c r="C344" s="2" t="str">
        <x:v>500271126</x:v>
      </x:c>
      <x:c r="D344" s="2" t="n">
        <x:v>2</x:v>
      </x:c>
      <x:c r="E344" s="9"/>
      <x:c r="F344" s="2" t="n">
        <x:f>IF(E344="",D344,IF(E344="U","U",IF(AND(ISNUMBER(E344),E344&gt;=0,E344&lt;=3,INT(E344)=E344),E344,"Invalid")))</x:f>
        <x:v>2</x:v>
      </x:c>
      <x:c r="G344" s="2" t="n">
        <x:f>IF(ISNUMBER(F344),1,0)</x:f>
        <x:v>1</x:v>
      </x:c>
      <x:c r="H344" s="2" t="n">
        <x:f>IF(ISNUMBER(F344),IF(F344&gt;=2,1,0),0)</x:f>
        <x:v>1</x:v>
      </x:c>
      <x:c r="I344" s="11" t="n">
        <x:f>IF(ISNUMBER(F344),2^F344-1,0)</x:f>
        <x:v>3</x:v>
      </x:c>
      <x:c r="J344" s="2" t="str">
        <x:v>Retained original 577</x:v>
      </x:c>
      <x:c r="K344" s="10" t="n">
        <x:v>1100</x:v>
      </x:c>
      <x:c r="L344" s="10" t="n">
        <x:v>1</x:v>
      </x:c>
      <x:c r="M344" s="10" t="n">
        <x:v>107</x:v>
      </x:c>
      <x:c r="N344" s="2" t="str">
        <x:v>D12</x:v>
      </x:c>
      <x:c r="O344" s="2" t="str">
        <x:v>hdb flat</x:v>
      </x:c>
      <x:c r="P344" s="2" t="str">
        <x:v>https://www.propertyguru.com.sg/listing/hdb-for-rent-10a-bendemeer-light-500271126</x:v>
      </x:c>
      <x:c r="Q344" s="12" t="str">
        <x:v>Hard requirements pass. SGD 1,100/month, NUS 9,474.47 m straight-line. Strong rent savings support the primary preference, with a substantial distance trade-off.</x:v>
      </x:c>
      <x:c r="R344" s="13"/>
    </x:row>
    <x:row r="345" ht="36" hidden="0" customHeight="1">
      <x:c r="A345" s="2" t="str">
        <x:v>S14|500259227</x:v>
      </x:c>
      <x:c r="B345" s="2" t="str">
        <x:v>S14</x:v>
      </x:c>
      <x:c r="C345" s="2" t="str">
        <x:v>500259227</x:v>
      </x:c>
      <x:c r="D345" s="2" t="n">
        <x:v>1</x:v>
      </x:c>
      <x:c r="E345" s="9"/>
      <x:c r="F345" s="2" t="n">
        <x:f>IF(E345="",D345,IF(E345="U","U",IF(AND(ISNUMBER(E345),E345&gt;=0,E345&lt;=3,INT(E345)=E345),E345,"Invalid")))</x:f>
        <x:v>1</x:v>
      </x:c>
      <x:c r="G345" s="2" t="n">
        <x:f>IF(ISNUMBER(F345),1,0)</x:f>
        <x:v>1</x:v>
      </x:c>
      <x:c r="H345" s="2" t="n">
        <x:f>IF(ISNUMBER(F345),IF(F345&gt;=2,1,0),0)</x:f>
        <x:v>0</x:v>
      </x:c>
      <x:c r="I345" s="11" t="n">
        <x:f>IF(ISNUMBER(F345),2^F345-1,0)</x:f>
        <x:v>1</x:v>
      </x:c>
      <x:c r="J345" s="2" t="str">
        <x:v>Retained original 577</x:v>
      </x:c>
      <x:c r="K345" s="10" t="n">
        <x:v>3000</x:v>
      </x:c>
      <x:c r="L345" s="10" t="n">
        <x:v>2</x:v>
      </x:c>
      <x:c r="M345" s="10" t="n">
        <x:v>743</x:v>
      </x:c>
      <x:c r="N345" s="2" t="str">
        <x:v>D03</x:v>
      </x:c>
      <x:c r="O345" s="2" t="str">
        <x:v>hdb flat</x:v>
      </x:c>
      <x:c r="P345" s="2" t="str">
        <x:v>https://www.propertyguru.com.sg/listing/hdb-for-rent-89-commonwealth-drive-500259227</x:v>
      </x:c>
      <x:c r="Q345" s="12" t="str">
        <x:v>Hard requirements pass. SGD 3,000/month, NUS 2,658.97 m straight-line. Rent is toward the expensive end of this pool; closeness alone does not fulfil the price-first preference.</x:v>
      </x:c>
      <x:c r="R345" s="13"/>
    </x:row>
    <x:row r="346" ht="24" hidden="0" customHeight="1">
      <x:c r="A346" s="2" t="str">
        <x:v>S14|21644298</x:v>
      </x:c>
      <x:c r="B346" s="2" t="str">
        <x:v>S14</x:v>
      </x:c>
      <x:c r="C346" s="2" t="str">
        <x:v>21644298</x:v>
      </x:c>
      <x:c r="D346" s="2" t="n">
        <x:v>2</x:v>
      </x:c>
      <x:c r="E346" s="9"/>
      <x:c r="F346" s="2" t="n">
        <x:f>IF(E346="",D346,IF(E346="U","U",IF(AND(ISNUMBER(E346),E346&gt;=0,E346&lt;=3,INT(E346)=E346),E346,"Invalid")))</x:f>
        <x:v>2</x:v>
      </x:c>
      <x:c r="G346" s="2" t="n">
        <x:f>IF(ISNUMBER(F346),1,0)</x:f>
        <x:v>1</x:v>
      </x:c>
      <x:c r="H346" s="2" t="n">
        <x:f>IF(ISNUMBER(F346),IF(F346&gt;=2,1,0),0)</x:f>
        <x:v>1</x:v>
      </x:c>
      <x:c r="I346" s="11" t="n">
        <x:f>IF(ISNUMBER(F346),2^F346-1,0)</x:f>
        <x:v>3</x:v>
      </x:c>
      <x:c r="J346" s="2" t="str">
        <x:v>Retained original 577</x:v>
      </x:c>
      <x:c r="K346" s="10" t="n">
        <x:v>500</x:v>
      </x:c>
      <x:c r="L346" s="10" t="n">
        <x:v>1</x:v>
      </x:c>
      <x:c r="M346" s="10" t="n">
        <x:v>215</x:v>
      </x:c>
      <x:c r="N346" s="2" t="str">
        <x:v>D25</x:v>
      </x:c>
      <x:c r="O346" s="2" t="str">
        <x:v>hdb flat</x:v>
      </x:c>
      <x:c r="P346" s="2" t="str">
        <x:v>https://www.propertyguru.com.sg/listing/hdb-for-rent-605-woodlands-drive-42-21644298</x:v>
      </x:c>
      <x:c r="Q346" s="12" t="str">
        <x:v>Hard requirements pass. SGD 500/month, NUS 15,836.67 m straight-line. Strong rent savings support the primary preference, with a substantial distance trade-off.</x:v>
      </x:c>
      <x:c r="R346" s="13"/>
    </x:row>
    <x:row r="347" ht="15" hidden="0" customHeight="1">
      <x:c r="A347" s="2" t="str">
        <x:v>S14|500272523</x:v>
      </x:c>
      <x:c r="B347" s="2" t="str">
        <x:v>S14</x:v>
      </x:c>
      <x:c r="C347" s="2" t="str">
        <x:v>500272523</x:v>
      </x:c>
      <x:c r="D347" s="2" t="str">
        <x:v>U</x:v>
      </x:c>
      <x:c r="E347" s="9"/>
      <x:c r="F347" s="2" t="str">
        <x:f>IF(E347="",D347,IF(E347="U","U",IF(AND(ISNUMBER(E347),E347&gt;=0,E347&lt;=3,INT(E347)=E347),E347,"Invalid")))</x:f>
        <x:v>U</x:v>
      </x:c>
      <x:c r="G347" s="2" t="n">
        <x:f>IF(ISNUMBER(F347),1,0)</x:f>
        <x:v>0</x:v>
      </x:c>
      <x:c r="H347" s="2" t="n">
        <x:f>IF(ISNUMBER(F347),IF(F347&gt;=2,1,0),0)</x:f>
        <x:v>0</x:v>
      </x:c>
      <x:c r="I347" s="11" t="n">
        <x:f>IF(ISNUMBER(F347),2^F347-1,0)</x:f>
        <x:v>0</x:v>
      </x:c>
      <x:c r="J347" s="2" t="str">
        <x:v>Retained original 577</x:v>
      </x:c>
      <x:c r="K347" s="10" t="n">
        <x:v>2800</x:v>
      </x:c>
      <x:c r="L347" s="10"/>
      <x:c r="M347" s="10" t="n">
        <x:v>280</x:v>
      </x:c>
      <x:c r="N347" s="2" t="str">
        <x:v>D15</x:v>
      </x:c>
      <x:c r="O347" s="2" t="str">
        <x:v>condominium</x:v>
      </x:c>
      <x:c r="P347" s="2" t="str">
        <x:v>https://www.propertyguru.com.sg/listing/for-rent-grand-dunman-500272523</x:v>
      </x:c>
      <x:c r="Q347" s="12" t="str">
        <x:v>No known hard failure. Cannot verify: reported bedrooms.</x:v>
      </x:c>
      <x:c r="R347" s="13"/>
    </x:row>
    <x:row r="348" ht="24" hidden="0" customHeight="1">
      <x:c r="A348" s="2" t="str">
        <x:v>S14|500273063</x:v>
      </x:c>
      <x:c r="B348" s="2" t="str">
        <x:v>S14</x:v>
      </x:c>
      <x:c r="C348" s="2" t="str">
        <x:v>500273063</x:v>
      </x:c>
      <x:c r="D348" s="2" t="n">
        <x:v>2</x:v>
      </x:c>
      <x:c r="E348" s="9"/>
      <x:c r="F348" s="2" t="n">
        <x:f>IF(E348="",D348,IF(E348="U","U",IF(AND(ISNUMBER(E348),E348&gt;=0,E348&lt;=3,INT(E348)=E348),E348,"Invalid")))</x:f>
        <x:v>2</x:v>
      </x:c>
      <x:c r="G348" s="2" t="n">
        <x:f>IF(ISNUMBER(F348),1,0)</x:f>
        <x:v>1</x:v>
      </x:c>
      <x:c r="H348" s="2" t="n">
        <x:f>IF(ISNUMBER(F348),IF(F348&gt;=2,1,0),0)</x:f>
        <x:v>1</x:v>
      </x:c>
      <x:c r="I348" s="11" t="n">
        <x:f>IF(ISNUMBER(F348),2^F348-1,0)</x:f>
        <x:v>3</x:v>
      </x:c>
      <x:c r="J348" s="2" t="str">
        <x:v>Retained original 577</x:v>
      </x:c>
      <x:c r="K348" s="10" t="n">
        <x:v>1200</x:v>
      </x:c>
      <x:c r="L348" s="10" t="n">
        <x:v>1</x:v>
      </x:c>
      <x:c r="M348" s="10" t="n">
        <x:v>107</x:v>
      </x:c>
      <x:c r="N348" s="2" t="str">
        <x:v>D12</x:v>
      </x:c>
      <x:c r="O348" s="2" t="str">
        <x:v>hdb flat</x:v>
      </x:c>
      <x:c r="P348" s="2" t="str">
        <x:v>https://www.propertyguru.com.sg/listing/hdb-for-rent-26a-saint-george-s-lane-500273063</x:v>
      </x:c>
      <x:c r="Q348" s="12" t="str">
        <x:v>Hard requirements pass. SGD 1,200/month, NUS 9,903.99 m straight-line. Strong rent savings support the primary preference, with a substantial distance trade-off.</x:v>
      </x:c>
      <x:c r="R348" s="13"/>
    </x:row>
    <x:row r="349" ht="24" hidden="0" customHeight="1">
      <x:c r="A349" s="2" t="str">
        <x:v>S14|21026007</x:v>
      </x:c>
      <x:c r="B349" s="2" t="str">
        <x:v>S14</x:v>
      </x:c>
      <x:c r="C349" s="2" t="str">
        <x:v>21026007</x:v>
      </x:c>
      <x:c r="D349" s="2" t="n">
        <x:v>2</x:v>
      </x:c>
      <x:c r="E349" s="9"/>
      <x:c r="F349" s="2" t="n">
        <x:f>IF(E349="",D349,IF(E349="U","U",IF(AND(ISNUMBER(E349),E349&gt;=0,E349&lt;=3,INT(E349)=E349),E349,"Invalid")))</x:f>
        <x:v>2</x:v>
      </x:c>
      <x:c r="G349" s="2" t="n">
        <x:f>IF(ISNUMBER(F349),1,0)</x:f>
        <x:v>1</x:v>
      </x:c>
      <x:c r="H349" s="2" t="n">
        <x:f>IF(ISNUMBER(F349),IF(F349&gt;=2,1,0),0)</x:f>
        <x:v>1</x:v>
      </x:c>
      <x:c r="I349" s="11" t="n">
        <x:f>IF(ISNUMBER(F349),2^F349-1,0)</x:f>
        <x:v>3</x:v>
      </x:c>
      <x:c r="J349" s="2" t="str">
        <x:v>Retained original 577</x:v>
      </x:c>
      <x:c r="K349" s="10" t="n">
        <x:v>450</x:v>
      </x:c>
      <x:c r="L349" s="10" t="n">
        <x:v>3</x:v>
      </x:c>
      <x:c r="M349" s="10" t="n">
        <x:v>100</x:v>
      </x:c>
      <x:c r="N349" s="2" t="str">
        <x:v>D25</x:v>
      </x:c>
      <x:c r="O349" s="2" t="str">
        <x:v>hdb flat</x:v>
      </x:c>
      <x:c r="P349" s="2" t="str">
        <x:v>https://www.propertyguru.com.sg/listing/hdb-for-rent-764a-woodlands-circle-21026007</x:v>
      </x:c>
      <x:c r="Q349" s="12" t="str">
        <x:v>Hard requirements pass. SGD 450/month, NUS 16,744.33 m straight-line. Strong rent savings support the primary preference, with a substantial distance trade-off.</x:v>
      </x:c>
      <x:c r="R349" s="13"/>
    </x:row>
    <x:row r="350" ht="15" hidden="0" customHeight="1">
      <x:c r="A350" s="2" t="str">
        <x:v>S14|60204777</x:v>
      </x:c>
      <x:c r="B350" s="2" t="str">
        <x:v>S14</x:v>
      </x:c>
      <x:c r="C350" s="2" t="str">
        <x:v>60204777</x:v>
      </x:c>
      <x:c r="D350" s="2" t="n">
        <x:v>0</x:v>
      </x:c>
      <x:c r="E350" s="9"/>
      <x:c r="F350" s="2" t="n">
        <x:f>IF(E350="",D350,IF(E350="U","U",IF(AND(ISNUMBER(E350),E350&gt;=0,E350&lt;=3,INT(E350)=E350),E350,"Invalid")))</x:f>
        <x:v>0</x:v>
      </x:c>
      <x:c r="G350" s="2" t="n">
        <x:f>IF(ISNUMBER(F350),1,0)</x:f>
        <x:v>1</x:v>
      </x:c>
      <x:c r="H350" s="2" t="n">
        <x:f>IF(ISNUMBER(F350),IF(F350&gt;=2,1,0),0)</x:f>
        <x:v>0</x:v>
      </x:c>
      <x:c r="I350" s="11" t="n">
        <x:f>IF(ISNUMBER(F350),2^F350-1,0)</x:f>
        <x:v>0</x:v>
      </x:c>
      <x:c r="J350" s="2" t="str">
        <x:v>Retained original 577</x:v>
      </x:c>
      <x:c r="K350" s="10" t="n">
        <x:v>1449</x:v>
      </x:c>
      <x:c r="L350" s="10" t="n">
        <x:v>0</x:v>
      </x:c>
      <x:c r="M350" s="10"/>
      <x:c r="N350" s="2" t="str">
        <x:v>D01</x:v>
      </x:c>
      <x:c r="O350" s="2" t="str">
        <x:v>condominium</x:v>
      </x:c>
      <x:c r="P350" s="2" t="str">
        <x:v>https://www.propertyguru.com.sg/listing/for-rent-emerald-garden-60204777</x:v>
      </x:c>
      <x:c r="Q350" s="12" t="str">
        <x:v>Hard failure: Reported bedrooms 0; required &gt;= 1.</x:v>
      </x:c>
      <x:c r="R350" s="13"/>
    </x:row>
    <x:row r="351" ht="15" hidden="0" customHeight="1">
      <x:c r="A351" s="2" t="str">
        <x:v>S14|500283865</x:v>
      </x:c>
      <x:c r="B351" s="2" t="str">
        <x:v>S14</x:v>
      </x:c>
      <x:c r="C351" s="2" t="str">
        <x:v>500283865</x:v>
      </x:c>
      <x:c r="D351" s="2" t="n">
        <x:v>0</x:v>
      </x:c>
      <x:c r="E351" s="9"/>
      <x:c r="F351" s="2" t="n">
        <x:f>IF(E351="",D351,IF(E351="U","U",IF(AND(ISNUMBER(E351),E351&gt;=0,E351&lt;=3,INT(E351)=E351),E351,"Invalid")))</x:f>
        <x:v>0</x:v>
      </x:c>
      <x:c r="G351" s="2" t="n">
        <x:f>IF(ISNUMBER(F351),1,0)</x:f>
        <x:v>1</x:v>
      </x:c>
      <x:c r="H351" s="2" t="n">
        <x:f>IF(ISNUMBER(F351),IF(F351&gt;=2,1,0),0)</x:f>
        <x:v>0</x:v>
      </x:c>
      <x:c r="I351" s="11" t="n">
        <x:f>IF(ISNUMBER(F351),2^F351-1,0)</x:f>
        <x:v>0</x:v>
      </x:c>
      <x:c r="J351" s="2" t="str">
        <x:v>Retained original 577</x:v>
      </x:c>
      <x:c r="K351" s="10" t="n">
        <x:v>3050</x:v>
      </x:c>
      <x:c r="L351" s="10" t="n">
        <x:v>1</x:v>
      </x:c>
      <x:c r="M351" s="10" t="n">
        <x:v>506</x:v>
      </x:c>
      <x:c r="N351" s="2" t="str">
        <x:v>D19</x:v>
      </x:c>
      <x:c r="O351" s="2" t="str">
        <x:v>hdb flat</x:v>
      </x:c>
      <x:c r="P351" s="2" t="str">
        <x:v>https://www.propertyguru.com.sg/listing/hdb-for-rent-993a-buangkok-link-500283865</x:v>
      </x:c>
      <x:c r="Q351" s="12" t="str">
        <x:v>Hard failure: Rent (SGD/month) 3,050; required &lt;= 3,000.</x:v>
      </x:c>
      <x:c r="R351" s="13"/>
    </x:row>
    <x:row r="352" ht="36" hidden="0" customHeight="1">
      <x:c r="A352" s="2" t="str">
        <x:v>S14|25005309</x:v>
      </x:c>
      <x:c r="B352" s="2" t="str">
        <x:v>S14</x:v>
      </x:c>
      <x:c r="C352" s="2" t="str">
        <x:v>25005309</x:v>
      </x:c>
      <x:c r="D352" s="2" t="n">
        <x:v>1</x:v>
      </x:c>
      <x:c r="E352" s="9"/>
      <x:c r="F352" s="2" t="n">
        <x:f>IF(E352="",D352,IF(E352="U","U",IF(AND(ISNUMBER(E352),E352&gt;=0,E352&lt;=3,INT(E352)=E352),E352,"Invalid")))</x:f>
        <x:v>1</x:v>
      </x:c>
      <x:c r="G352" s="2" t="n">
        <x:f>IF(ISNUMBER(F352),1,0)</x:f>
        <x:v>1</x:v>
      </x:c>
      <x:c r="H352" s="2" t="n">
        <x:f>IF(ISNUMBER(F352),IF(F352&gt;=2,1,0),0)</x:f>
        <x:v>0</x:v>
      </x:c>
      <x:c r="I352" s="11" t="n">
        <x:f>IF(ISNUMBER(F352),2^F352-1,0)</x:f>
        <x:v>1</x:v>
      </x:c>
      <x:c r="J352" s="2" t="str">
        <x:v>Retained original 577</x:v>
      </x:c>
      <x:c r="K352" s="10" t="n">
        <x:v>2500</x:v>
      </x:c>
      <x:c r="L352" s="10" t="n">
        <x:v>1</x:v>
      </x:c>
      <x:c r="M352" s="10" t="n">
        <x:v>450</x:v>
      </x:c>
      <x:c r="N352" s="2" t="str">
        <x:v>D27</x:v>
      </x:c>
      <x:c r="O352" s="2" t="str">
        <x:v>condominium</x:v>
      </x:c>
      <x:c r="P352" s="2" t="str">
        <x:v>https://www.propertyguru.com.sg/listing/for-rent-skies-miltonia-25005309</x:v>
      </x:c>
      <x:c r="Q352" s="12" t="str">
        <x:v>Hard requirements pass. SGD 2,500/month, NUS 15,606.49 m straight-line. Rent is toward the expensive end of this pool; closeness alone does not fulfil the price-first preference.</x:v>
      </x:c>
      <x:c r="R352" s="13"/>
    </x:row>
    <x:row r="353" ht="24" hidden="0" customHeight="1">
      <x:c r="A353" s="2" t="str">
        <x:v>S14|500215736</x:v>
      </x:c>
      <x:c r="B353" s="2" t="str">
        <x:v>S14</x:v>
      </x:c>
      <x:c r="C353" s="2" t="str">
        <x:v>500215736</x:v>
      </x:c>
      <x:c r="D353" s="2" t="n">
        <x:v>3</x:v>
      </x:c>
      <x:c r="E353" s="9"/>
      <x:c r="F353" s="2" t="n">
        <x:f>IF(E353="",D353,IF(E353="U","U",IF(AND(ISNUMBER(E353),E353&gt;=0,E353&lt;=3,INT(E353)=E353),E353,"Invalid")))</x:f>
        <x:v>3</x:v>
      </x:c>
      <x:c r="G353" s="2" t="n">
        <x:f>IF(ISNUMBER(F353),1,0)</x:f>
        <x:v>1</x:v>
      </x:c>
      <x:c r="H353" s="2" t="n">
        <x:f>IF(ISNUMBER(F353),IF(F353&gt;=2,1,0),0)</x:f>
        <x:v>1</x:v>
      </x:c>
      <x:c r="I353" s="11" t="n">
        <x:f>IF(ISNUMBER(F353),2^F353-1,0)</x:f>
        <x:v>7</x:v>
      </x:c>
      <x:c r="J353" s="2" t="str">
        <x:v>Retained original 577</x:v>
      </x:c>
      <x:c r="K353" s="10" t="n">
        <x:v>1450</x:v>
      </x:c>
      <x:c r="L353" s="10" t="n">
        <x:v>1</x:v>
      </x:c>
      <x:c r="M353" s="10" t="n">
        <x:v>721</x:v>
      </x:c>
      <x:c r="N353" s="2" t="str">
        <x:v>D05</x:v>
      </x:c>
      <x:c r="O353" s="2" t="str">
        <x:v>hdb flat</x:v>
      </x:c>
      <x:c r="P353" s="2" t="str">
        <x:v>https://www.propertyguru.com.sg/listing/hdb-for-rent-701-west-coast-road-500215736</x:v>
      </x:c>
      <x:c r="Q353" s="12" t="str">
        <x:v>Hard requirements pass. SGD 1,450/month, NUS 2,206.21 m straight-line. Good rent savings together with a relatively short verified NUS distance.</x:v>
      </x:c>
      <x:c r="R353" s="13"/>
    </x:row>
    <x:row r="354" ht="15" hidden="0" customHeight="1">
      <x:c r="A354" s="2" t="str">
        <x:v>S14|500040526</x:v>
      </x:c>
      <x:c r="B354" s="2" t="str">
        <x:v>S14</x:v>
      </x:c>
      <x:c r="C354" s="2" t="str">
        <x:v>500040526</x:v>
      </x:c>
      <x:c r="D354" s="2" t="str">
        <x:v>U</x:v>
      </x:c>
      <x:c r="E354" s="9"/>
      <x:c r="F354" s="2" t="str">
        <x:f>IF(E354="",D354,IF(E354="U","U",IF(AND(ISNUMBER(E354),E354&gt;=0,E354&lt;=3,INT(E354)=E354),E354,"Invalid")))</x:f>
        <x:v>U</x:v>
      </x:c>
      <x:c r="G354" s="2" t="n">
        <x:f>IF(ISNUMBER(F354),1,0)</x:f>
        <x:v>0</x:v>
      </x:c>
      <x:c r="H354" s="2" t="n">
        <x:f>IF(ISNUMBER(F354),IF(F354&gt;=2,1,0),0)</x:f>
        <x:v>0</x:v>
      </x:c>
      <x:c r="I354" s="11" t="n">
        <x:f>IF(ISNUMBER(F354),2^F354-1,0)</x:f>
        <x:v>0</x:v>
      </x:c>
      <x:c r="J354" s="2" t="str">
        <x:v>Retained original 577</x:v>
      </x:c>
      <x:c r="K354" s="10" t="n">
        <x:v>2500</x:v>
      </x:c>
      <x:c r="L354" s="10"/>
      <x:c r="M354" s="10" t="n">
        <x:v>209</x:v>
      </x:c>
      <x:c r="N354" s="2" t="str">
        <x:v>D09</x:v>
      </x:c>
      <x:c r="O354" s="2" t="str">
        <x:v>apartment</x:v>
      </x:c>
      <x:c r="P354" s="2" t="str">
        <x:v>https://www.propertyguru.com.sg/listing/for-rent-336-river-valley-500040526</x:v>
      </x:c>
      <x:c r="Q354" s="12" t="str">
        <x:v>No known hard failure. Cannot verify: reported bedrooms.</x:v>
      </x:c>
      <x:c r="R354" s="13"/>
    </x:row>
    <x:row r="355" ht="15" hidden="0" customHeight="1">
      <x:c r="A355" s="2" t="str">
        <x:v>S14|25301156</x:v>
      </x:c>
      <x:c r="B355" s="2" t="str">
        <x:v>S14</x:v>
      </x:c>
      <x:c r="C355" s="2" t="str">
        <x:v>25301156</x:v>
      </x:c>
      <x:c r="D355" s="2" t="n">
        <x:v>0</x:v>
      </x:c>
      <x:c r="E355" s="9"/>
      <x:c r="F355" s="2" t="n">
        <x:f>IF(E355="",D355,IF(E355="U","U",IF(AND(ISNUMBER(E355),E355&gt;=0,E355&lt;=3,INT(E355)=E355),E355,"Invalid")))</x:f>
        <x:v>0</x:v>
      </x:c>
      <x:c r="G355" s="2" t="n">
        <x:f>IF(ISNUMBER(F355),1,0)</x:f>
        <x:v>1</x:v>
      </x:c>
      <x:c r="H355" s="2" t="n">
        <x:f>IF(ISNUMBER(F355),IF(F355&gt;=2,1,0),0)</x:f>
        <x:v>0</x:v>
      </x:c>
      <x:c r="I355" s="11" t="n">
        <x:f>IF(ISNUMBER(F355),2^F355-1,0)</x:f>
        <x:v>0</x:v>
      </x:c>
      <x:c r="J355" s="2" t="str">
        <x:v>Retained original 577</x:v>
      </x:c>
      <x:c r="K355" s="10" t="n">
        <x:v>3050</x:v>
      </x:c>
      <x:c r="L355" s="10" t="n">
        <x:v>1</x:v>
      </x:c>
      <x:c r="M355" s="10" t="n">
        <x:v>495</x:v>
      </x:c>
      <x:c r="N355" s="2" t="str">
        <x:v>D18</x:v>
      </x:c>
      <x:c r="O355" s="2" t="str">
        <x:v>condominium</x:v>
      </x:c>
      <x:c r="P355" s="2" t="str">
        <x:v>https://www.propertyguru.com.sg/listing/for-rent-the-alps-residences-25301156</x:v>
      </x:c>
      <x:c r="Q355" s="12" t="str">
        <x:v>Hard failure: Rent (SGD/month) 3,050; required &lt;= 3,000.</x:v>
      </x:c>
      <x:c r="R355" s="13"/>
    </x:row>
    <x:row r="356" ht="24" hidden="0" customHeight="1">
      <x:c r="A356" s="2" t="str">
        <x:v>S15|500027180</x:v>
      </x:c>
      <x:c r="B356" s="2" t="str">
        <x:v>S15</x:v>
      </x:c>
      <x:c r="C356" s="2" t="str">
        <x:v>500027180</x:v>
      </x:c>
      <x:c r="D356" s="2" t="n">
        <x:v>1</x:v>
      </x:c>
      <x:c r="E356" s="9"/>
      <x:c r="F356" s="2" t="n">
        <x:f>IF(E356="",D356,IF(E356="U","U",IF(AND(ISNUMBER(E356),E356&gt;=0,E356&lt;=3,INT(E356)=E356),E356,"Invalid")))</x:f>
        <x:v>1</x:v>
      </x:c>
      <x:c r="G356" s="2" t="n">
        <x:f>IF(ISNUMBER(F356),1,0)</x:f>
        <x:v>1</x:v>
      </x:c>
      <x:c r="H356" s="2" t="n">
        <x:f>IF(ISNUMBER(F356),IF(F356&gt;=2,1,0),0)</x:f>
        <x:v>0</x:v>
      </x:c>
      <x:c r="I356" s="11" t="n">
        <x:f>IF(ISNUMBER(F356),2^F356-1,0)</x:f>
        <x:v>1</x:v>
      </x:c>
      <x:c r="J356" s="2" t="str">
        <x:v>Retained original 577</x:v>
      </x:c>
      <x:c r="K356" s="10" t="n">
        <x:v>4499</x:v>
      </x:c>
      <x:c r="L356" s="10" t="n">
        <x:v>3</x:v>
      </x:c>
      <x:c r="M356" s="10" t="n">
        <x:v>1152</x:v>
      </x:c>
      <x:c r="N356" s="2" t="str">
        <x:v>D19</x:v>
      </x:c>
      <x:c r="O356" s="2" t="str">
        <x:v>condominium</x:v>
      </x:c>
      <x:c r="P356" s="2" t="str">
        <x:v>https://www.propertyguru.com.sg/listing/for-rent-regentville-500027180</x:v>
      </x:c>
      <x:c r="Q356" s="12" t="str">
        <x:v>Hard requirements pass. D19, area 1,152 sqft. The primary D05 preference is unmet; additional space does not replace it.</x:v>
      </x:c>
      <x:c r="R356" s="13"/>
    </x:row>
    <x:row r="357" ht="24" hidden="0" customHeight="1">
      <x:c r="A357" s="2" t="str">
        <x:v>S15|500253637</x:v>
      </x:c>
      <x:c r="B357" s="2" t="str">
        <x:v>S15</x:v>
      </x:c>
      <x:c r="C357" s="2" t="str">
        <x:v>500253637</x:v>
      </x:c>
      <x:c r="D357" s="2" t="n">
        <x:v>1</x:v>
      </x:c>
      <x:c r="E357" s="9"/>
      <x:c r="F357" s="2" t="n">
        <x:f>IF(E357="",D357,IF(E357="U","U",IF(AND(ISNUMBER(E357),E357&gt;=0,E357&lt;=3,INT(E357)=E357),E357,"Invalid")))</x:f>
        <x:v>1</x:v>
      </x:c>
      <x:c r="G357" s="2" t="n">
        <x:f>IF(ISNUMBER(F357),1,0)</x:f>
        <x:v>1</x:v>
      </x:c>
      <x:c r="H357" s="2" t="n">
        <x:f>IF(ISNUMBER(F357),IF(F357&gt;=2,1,0),0)</x:f>
        <x:v>0</x:v>
      </x:c>
      <x:c r="I357" s="11" t="n">
        <x:f>IF(ISNUMBER(F357),2^F357-1,0)</x:f>
        <x:v>1</x:v>
      </x:c>
      <x:c r="J357" s="2" t="str">
        <x:v>Retained original 577</x:v>
      </x:c>
      <x:c r="K357" s="10" t="n">
        <x:v>4300</x:v>
      </x:c>
      <x:c r="L357" s="10" t="n">
        <x:v>3</x:v>
      </x:c>
      <x:c r="M357" s="10" t="n">
        <x:v>1560</x:v>
      </x:c>
      <x:c r="N357" s="2" t="str">
        <x:v>D18</x:v>
      </x:c>
      <x:c r="O357" s="2" t="str">
        <x:v>hdb flat</x:v>
      </x:c>
      <x:c r="P357" s="2" t="str">
        <x:v>https://www.propertyguru.com.sg/listing/hdb-for-rent-156-tampines-street-12-500253637</x:v>
      </x:c>
      <x:c r="Q357" s="12" t="str">
        <x:v>Hard requirements pass. D18, area 1,560 sqft. The primary D05 preference is unmet; additional space does not replace it.</x:v>
      </x:c>
      <x:c r="R357" s="13"/>
    </x:row>
    <x:row r="358" ht="15" hidden="0" customHeight="1">
      <x:c r="A358" s="2" t="str">
        <x:v>S15|25135809</x:v>
      </x:c>
      <x:c r="B358" s="2" t="str">
        <x:v>S15</x:v>
      </x:c>
      <x:c r="C358" s="2" t="str">
        <x:v>25135809</x:v>
      </x:c>
      <x:c r="D358" s="2" t="n">
        <x:v>0</x:v>
      </x:c>
      <x:c r="E358" s="9"/>
      <x:c r="F358" s="2" t="n">
        <x:f>IF(E358="",D358,IF(E358="U","U",IF(AND(ISNUMBER(E358),E358&gt;=0,E358&lt;=3,INT(E358)=E358),E358,"Invalid")))</x:f>
        <x:v>0</x:v>
      </x:c>
      <x:c r="G358" s="2" t="n">
        <x:f>IF(ISNUMBER(F358),1,0)</x:f>
        <x:v>1</x:v>
      </x:c>
      <x:c r="H358" s="2" t="n">
        <x:f>IF(ISNUMBER(F358),IF(F358&gt;=2,1,0),0)</x:f>
        <x:v>0</x:v>
      </x:c>
      <x:c r="I358" s="11" t="n">
        <x:f>IF(ISNUMBER(F358),2^F358-1,0)</x:f>
        <x:v>0</x:v>
      </x:c>
      <x:c r="J358" s="2" t="str">
        <x:v>Retained original 577</x:v>
      </x:c>
      <x:c r="K358" s="10" t="n">
        <x:v>5087</x:v>
      </x:c>
      <x:c r="L358" s="10" t="n">
        <x:v>2</x:v>
      </x:c>
      <x:c r="M358" s="10" t="n">
        <x:v>826</x:v>
      </x:c>
      <x:c r="N358" s="2" t="str">
        <x:v>D14</x:v>
      </x:c>
      <x:c r="O358" s="2" t="str">
        <x:v>condominium</x:v>
      </x:c>
      <x:c r="P358" s="2" t="str">
        <x:v>https://www.propertyguru.com.sg/listing/for-rent-lotus-at-paya-lebar-25135809</x:v>
      </x:c>
      <x:c r="Q358" s="12" t="str">
        <x:v>Hard failure: Rent (SGD/month) 5,087; required &lt;= 5,000.</x:v>
      </x:c>
      <x:c r="R358" s="13"/>
    </x:row>
    <x:row r="359" ht="24" hidden="0" customHeight="1">
      <x:c r="A359" s="2" t="str">
        <x:v>S15|500281545</x:v>
      </x:c>
      <x:c r="B359" s="2" t="str">
        <x:v>S15</x:v>
      </x:c>
      <x:c r="C359" s="2" t="str">
        <x:v>500281545</x:v>
      </x:c>
      <x:c r="D359" s="2" t="n">
        <x:v>1</x:v>
      </x:c>
      <x:c r="E359" s="9"/>
      <x:c r="F359" s="2" t="n">
        <x:f>IF(E359="",D359,IF(E359="U","U",IF(AND(ISNUMBER(E359),E359&gt;=0,E359&lt;=3,INT(E359)=E359),E359,"Invalid")))</x:f>
        <x:v>1</x:v>
      </x:c>
      <x:c r="G359" s="2" t="n">
        <x:f>IF(ISNUMBER(F359),1,0)</x:f>
        <x:v>1</x:v>
      </x:c>
      <x:c r="H359" s="2" t="n">
        <x:f>IF(ISNUMBER(F359),IF(F359&gt;=2,1,0),0)</x:f>
        <x:v>0</x:v>
      </x:c>
      <x:c r="I359" s="11" t="n">
        <x:f>IF(ISNUMBER(F359),2^F359-1,0)</x:f>
        <x:v>1</x:v>
      </x:c>
      <x:c r="J359" s="2" t="str">
        <x:v>Retained original 577</x:v>
      </x:c>
      <x:c r="K359" s="10" t="n">
        <x:v>700</x:v>
      </x:c>
      <x:c r="L359" s="10" t="n">
        <x:v>3</x:v>
      </x:c>
      <x:c r="M359" s="10" t="n">
        <x:v>904</x:v>
      </x:c>
      <x:c r="N359" s="2" t="str">
        <x:v>D18</x:v>
      </x:c>
      <x:c r="O359" s="2" t="str">
        <x:v>hdb flat</x:v>
      </x:c>
      <x:c r="P359" s="2" t="str">
        <x:v>https://www.propertyguru.com.sg/listing/hdb-for-rent-832-tampines-street-82-500281545</x:v>
      </x:c>
      <x:c r="Q359" s="12" t="str">
        <x:v>Hard requirements pass. D18, area 904 sqft. The primary D05 preference is unmet; additional space does not replace it.</x:v>
      </x:c>
      <x:c r="R359" s="13"/>
    </x:row>
    <x:row r="360" ht="15" hidden="0" customHeight="1">
      <x:c r="A360" s="2" t="str">
        <x:v>S15|25179005</x:v>
      </x:c>
      <x:c r="B360" s="2" t="str">
        <x:v>S15</x:v>
      </x:c>
      <x:c r="C360" s="2" t="str">
        <x:v>25179005</x:v>
      </x:c>
      <x:c r="D360" s="2" t="str">
        <x:v>U</x:v>
      </x:c>
      <x:c r="E360" s="9"/>
      <x:c r="F360" s="2" t="str">
        <x:f>IF(E360="",D360,IF(E360="U","U",IF(AND(ISNUMBER(E360),E360&gt;=0,E360&lt;=3,INT(E360)=E360),E360,"Invalid")))</x:f>
        <x:v>U</x:v>
      </x:c>
      <x:c r="G360" s="2" t="n">
        <x:f>IF(ISNUMBER(F360),1,0)</x:f>
        <x:v>0</x:v>
      </x:c>
      <x:c r="H360" s="2" t="n">
        <x:f>IF(ISNUMBER(F360),IF(F360&gt;=2,1,0),0)</x:f>
        <x:v>0</x:v>
      </x:c>
      <x:c r="I360" s="11" t="n">
        <x:f>IF(ISNUMBER(F360),2^F360-1,0)</x:f>
        <x:v>0</x:v>
      </x:c>
      <x:c r="J360" s="2" t="str">
        <x:v>Retained original 577</x:v>
      </x:c>
      <x:c r="K360" s="10" t="n">
        <x:v>2600</x:v>
      </x:c>
      <x:c r="L360" s="10"/>
      <x:c r="M360" s="10" t="n">
        <x:v>400</x:v>
      </x:c>
      <x:c r="N360" s="2" t="str">
        <x:v>D27</x:v>
      </x:c>
      <x:c r="O360" s="2" t="str">
        <x:v>condominium</x:v>
      </x:c>
      <x:c r="P360" s="2" t="str">
        <x:v>https://www.propertyguru.com.sg/listing/for-rent-eight-courtyards-25179005</x:v>
      </x:c>
      <x:c r="Q360" s="12" t="str">
        <x:v>No known hard failure. Cannot verify: reported bedrooms.</x:v>
      </x:c>
      <x:c r="R360" s="13"/>
    </x:row>
    <x:row r="361" ht="24" hidden="0" customHeight="1">
      <x:c r="A361" s="2" t="str">
        <x:v>S15|12885293</x:v>
      </x:c>
      <x:c r="B361" s="2" t="str">
        <x:v>S15</x:v>
      </x:c>
      <x:c r="C361" s="2" t="str">
        <x:v>12885293</x:v>
      </x:c>
      <x:c r="D361" s="2" t="n">
        <x:v>3</x:v>
      </x:c>
      <x:c r="E361" s="9"/>
      <x:c r="F361" s="2" t="n">
        <x:f>IF(E361="",D361,IF(E361="U","U",IF(AND(ISNUMBER(E361),E361&gt;=0,E361&lt;=3,INT(E361)=E361),E361,"Invalid")))</x:f>
        <x:v>3</x:v>
      </x:c>
      <x:c r="G361" s="2" t="n">
        <x:f>IF(ISNUMBER(F361),1,0)</x:f>
        <x:v>1</x:v>
      </x:c>
      <x:c r="H361" s="2" t="n">
        <x:f>IF(ISNUMBER(F361),IF(F361&gt;=2,1,0),0)</x:f>
        <x:v>1</x:v>
      </x:c>
      <x:c r="I361" s="11" t="n">
        <x:f>IF(ISNUMBER(F361),2^F361-1,0)</x:f>
        <x:v>7</x:v>
      </x:c>
      <x:c r="J361" s="2" t="str">
        <x:v>Retained original 577</x:v>
      </x:c>
      <x:c r="K361" s="10" t="n">
        <x:v>4000</x:v>
      </x:c>
      <x:c r="L361" s="10" t="n">
        <x:v>2</x:v>
      </x:c>
      <x:c r="M361" s="10" t="n">
        <x:v>1000</x:v>
      </x:c>
      <x:c r="N361" s="2" t="str">
        <x:v>D05</x:v>
      </x:c>
      <x:c r="O361" s="2" t="str">
        <x:v>hdb flat</x:v>
      </x:c>
      <x:c r="P361" s="2" t="str">
        <x:v>https://www.propertyguru.com.sg/listing/hdb-for-rent-17-dover-crescent-12885293</x:v>
      </x:c>
      <x:c r="Q361" s="12" t="str">
        <x:v>Hard requirements pass. D05, area 1,000 sqft. Both D05 and the 1,000-sqft preference are met.</x:v>
      </x:c>
      <x:c r="R361" s="13"/>
    </x:row>
    <x:row r="362" ht="24" hidden="0" customHeight="1">
      <x:c r="A362" s="2" t="str">
        <x:v>S15|24808155</x:v>
      </x:c>
      <x:c r="B362" s="2" t="str">
        <x:v>S15</x:v>
      </x:c>
      <x:c r="C362" s="2" t="str">
        <x:v>24808155</x:v>
      </x:c>
      <x:c r="D362" s="2" t="n">
        <x:v>1</x:v>
      </x:c>
      <x:c r="E362" s="9"/>
      <x:c r="F362" s="2" t="n">
        <x:f>IF(E362="",D362,IF(E362="U","U",IF(AND(ISNUMBER(E362),E362&gt;=0,E362&lt;=3,INT(E362)=E362),E362,"Invalid")))</x:f>
        <x:v>1</x:v>
      </x:c>
      <x:c r="G362" s="2" t="n">
        <x:f>IF(ISNUMBER(F362),1,0)</x:f>
        <x:v>1</x:v>
      </x:c>
      <x:c r="H362" s="2" t="n">
        <x:f>IF(ISNUMBER(F362),IF(F362&gt;=2,1,0),0)</x:f>
        <x:v>0</x:v>
      </x:c>
      <x:c r="I362" s="11" t="n">
        <x:f>IF(ISNUMBER(F362),2^F362-1,0)</x:f>
        <x:v>1</x:v>
      </x:c>
      <x:c r="J362" s="2" t="str">
        <x:v>Retained original 577</x:v>
      </x:c>
      <x:c r="K362" s="10" t="n">
        <x:v>3850</x:v>
      </x:c>
      <x:c r="L362" s="10" t="n">
        <x:v>2</x:v>
      </x:c>
      <x:c r="M362" s="10" t="n">
        <x:v>710</x:v>
      </x:c>
      <x:c r="N362" s="2" t="str">
        <x:v>D23</x:v>
      </x:c>
      <x:c r="O362" s="2" t="str">
        <x:v>condominium</x:v>
      </x:c>
      <x:c r="P362" s="2" t="str">
        <x:v>https://www.propertyguru.com.sg/listing/for-rent-dairy-farm-residences-24808155</x:v>
      </x:c>
      <x:c r="Q362" s="12" t="str">
        <x:v>Hard requirements pass. D23, area 710 sqft. The primary D05 preference is unmet; additional space does not replace it.</x:v>
      </x:c>
      <x:c r="R362" s="13"/>
    </x:row>
    <x:row r="363" ht="24" hidden="0" customHeight="1">
      <x:c r="A363" s="2" t="str">
        <x:v>S15|25544801</x:v>
      </x:c>
      <x:c r="B363" s="2" t="str">
        <x:v>S15</x:v>
      </x:c>
      <x:c r="C363" s="2" t="str">
        <x:v>25544801</x:v>
      </x:c>
      <x:c r="D363" s="2" t="n">
        <x:v>1</x:v>
      </x:c>
      <x:c r="E363" s="9"/>
      <x:c r="F363" s="2" t="n">
        <x:f>IF(E363="",D363,IF(E363="U","U",IF(AND(ISNUMBER(E363),E363&gt;=0,E363&lt;=3,INT(E363)=E363),E363,"Invalid")))</x:f>
        <x:v>1</x:v>
      </x:c>
      <x:c r="G363" s="2" t="n">
        <x:f>IF(ISNUMBER(F363),1,0)</x:f>
        <x:v>1</x:v>
      </x:c>
      <x:c r="H363" s="2" t="n">
        <x:f>IF(ISNUMBER(F363),IF(F363&gt;=2,1,0),0)</x:f>
        <x:v>0</x:v>
      </x:c>
      <x:c r="I363" s="11" t="n">
        <x:f>IF(ISNUMBER(F363),2^F363-1,0)</x:f>
        <x:v>1</x:v>
      </x:c>
      <x:c r="J363" s="2" t="str">
        <x:v>Retained original 577</x:v>
      </x:c>
      <x:c r="K363" s="10" t="n">
        <x:v>950</x:v>
      </x:c>
      <x:c r="L363" s="10" t="n">
        <x:v>7</x:v>
      </x:c>
      <x:c r="M363" s="10" t="n">
        <x:v>100</x:v>
      </x:c>
      <x:c r="N363" s="2" t="str">
        <x:v>D16</x:v>
      </x:c>
      <x:c r="O363" s="2" t="str">
        <x:v>condominium</x:v>
      </x:c>
      <x:c r="P363" s="2" t="str">
        <x:v>https://www.propertyguru.com.sg/listing/for-rent-the-bayshore-25544801</x:v>
      </x:c>
      <x:c r="Q363" s="12" t="str">
        <x:v>Hard requirements pass. D16, area 100 sqft. The primary D05 preference is unmet; additional space does not replace it.</x:v>
      </x:c>
      <x:c r="R363" s="13"/>
    </x:row>
    <x:row r="364" ht="24" hidden="0" customHeight="1">
      <x:c r="A364" s="2" t="str">
        <x:v>S15|500276083</x:v>
      </x:c>
      <x:c r="B364" s="2" t="str">
        <x:v>S15</x:v>
      </x:c>
      <x:c r="C364" s="2" t="str">
        <x:v>500276083</x:v>
      </x:c>
      <x:c r="D364" s="2" t="n">
        <x:v>1</x:v>
      </x:c>
      <x:c r="E364" s="9"/>
      <x:c r="F364" s="2" t="n">
        <x:f>IF(E364="",D364,IF(E364="U","U",IF(AND(ISNUMBER(E364),E364&gt;=0,E364&lt;=3,INT(E364)=E364),E364,"Invalid")))</x:f>
        <x:v>1</x:v>
      </x:c>
      <x:c r="G364" s="2" t="n">
        <x:f>IF(ISNUMBER(F364),1,0)</x:f>
        <x:v>1</x:v>
      </x:c>
      <x:c r="H364" s="2" t="n">
        <x:f>IF(ISNUMBER(F364),IF(F364&gt;=2,1,0),0)</x:f>
        <x:v>0</x:v>
      </x:c>
      <x:c r="I364" s="11" t="n">
        <x:f>IF(ISNUMBER(F364),2^F364-1,0)</x:f>
        <x:v>1</x:v>
      </x:c>
      <x:c r="J364" s="2" t="str">
        <x:v>Retained original 577</x:v>
      </x:c>
      <x:c r="K364" s="10" t="n">
        <x:v>3900</x:v>
      </x:c>
      <x:c r="L364" s="10" t="n">
        <x:v>2</x:v>
      </x:c>
      <x:c r="M364" s="10" t="n">
        <x:v>947</x:v>
      </x:c>
      <x:c r="N364" s="2" t="str">
        <x:v>D16</x:v>
      </x:c>
      <x:c r="O364" s="2" t="str">
        <x:v>condominium</x:v>
      </x:c>
      <x:c r="P364" s="2" t="str">
        <x:v>https://www.propertyguru.com.sg/listing/for-rent-the-bayshore-500276083</x:v>
      </x:c>
      <x:c r="Q364" s="12" t="str">
        <x:v>Hard requirements pass. D16, area 947 sqft. The primary D05 preference is unmet; additional space does not replace it.</x:v>
      </x:c>
      <x:c r="R364" s="13"/>
    </x:row>
    <x:row r="365" ht="24" hidden="0" customHeight="1">
      <x:c r="A365" s="2" t="str">
        <x:v>S15|18074957</x:v>
      </x:c>
      <x:c r="B365" s="2" t="str">
        <x:v>S15</x:v>
      </x:c>
      <x:c r="C365" s="2" t="str">
        <x:v>18074957</x:v>
      </x:c>
      <x:c r="D365" s="2" t="n">
        <x:v>3</x:v>
      </x:c>
      <x:c r="E365" s="9"/>
      <x:c r="F365" s="2" t="n">
        <x:f>IF(E365="",D365,IF(E365="U","U",IF(AND(ISNUMBER(E365),E365&gt;=0,E365&lt;=3,INT(E365)=E365),E365,"Invalid")))</x:f>
        <x:v>3</x:v>
      </x:c>
      <x:c r="G365" s="2" t="n">
        <x:f>IF(ISNUMBER(F365),1,0)</x:f>
        <x:v>1</x:v>
      </x:c>
      <x:c r="H365" s="2" t="n">
        <x:f>IF(ISNUMBER(F365),IF(F365&gt;=2,1,0),0)</x:f>
        <x:v>1</x:v>
      </x:c>
      <x:c r="I365" s="11" t="n">
        <x:f>IF(ISNUMBER(F365),2^F365-1,0)</x:f>
        <x:v>7</x:v>
      </x:c>
      <x:c r="J365" s="2" t="str">
        <x:v>Retained original 577</x:v>
      </x:c>
      <x:c r="K365" s="10" t="n">
        <x:v>4500</x:v>
      </x:c>
      <x:c r="L365" s="10" t="n">
        <x:v>3</x:v>
      </x:c>
      <x:c r="M365" s="10" t="n">
        <x:v>1000</x:v>
      </x:c>
      <x:c r="N365" s="2" t="str">
        <x:v>D05</x:v>
      </x:c>
      <x:c r="O365" s="2" t="str">
        <x:v>hdb flat</x:v>
      </x:c>
      <x:c r="P365" s="2" t="str">
        <x:v>https://www.propertyguru.com.sg/listing/hdb-for-rent-456-clementi-avenue-3-18074957</x:v>
      </x:c>
      <x:c r="Q365" s="12" t="str">
        <x:v>Hard requirements pass. D05, area 1,000 sqft. Both D05 and the 1,000-sqft preference are met.</x:v>
      </x:c>
      <x:c r="R365" s="13"/>
    </x:row>
    <x:row r="366" ht="15" hidden="0" customHeight="1">
      <x:c r="A366" s="2" t="str">
        <x:v>S15|500265661</x:v>
      </x:c>
      <x:c r="B366" s="2" t="str">
        <x:v>S15</x:v>
      </x:c>
      <x:c r="C366" s="2" t="str">
        <x:v>500265661</x:v>
      </x:c>
      <x:c r="D366" s="2" t="n">
        <x:v>0</x:v>
      </x:c>
      <x:c r="E366" s="9"/>
      <x:c r="F366" s="2" t="n">
        <x:f>IF(E366="",D366,IF(E366="U","U",IF(AND(ISNUMBER(E366),E366&gt;=0,E366&lt;=3,INT(E366)=E366),E366,"Invalid")))</x:f>
        <x:v>0</x:v>
      </x:c>
      <x:c r="G366" s="2" t="n">
        <x:f>IF(ISNUMBER(F366),1,0)</x:f>
        <x:v>1</x:v>
      </x:c>
      <x:c r="H366" s="2" t="n">
        <x:f>IF(ISNUMBER(F366),IF(F366&gt;=2,1,0),0)</x:f>
        <x:v>0</x:v>
      </x:c>
      <x:c r="I366" s="11" t="n">
        <x:f>IF(ISNUMBER(F366),2^F366-1,0)</x:f>
        <x:v>0</x:v>
      </x:c>
      <x:c r="J366" s="2" t="str">
        <x:v>Retained original 577</x:v>
      </x:c>
      <x:c r="K366" s="10" t="n">
        <x:v>4000</x:v>
      </x:c>
      <x:c r="L366" s="10" t="n">
        <x:v>1</x:v>
      </x:c>
      <x:c r="M366" s="10" t="n">
        <x:v>538</x:v>
      </x:c>
      <x:c r="N366" s="2" t="str">
        <x:v>D21</x:v>
      </x:c>
      <x:c r="O366" s="2" t="str">
        <x:v>condominium</x:v>
      </x:c>
      <x:c r="P366" s="2" t="str">
        <x:v>https://www.propertyguru.com.sg/listing/for-rent-pinetree-hill-500265661</x:v>
      </x:c>
      <x:c r="Q366" s="12" t="str">
        <x:v>Hard failure: Reported bedrooms 1; required &gt;= 2.</x:v>
      </x:c>
      <x:c r="R366" s="13"/>
    </x:row>
    <x:row r="367" ht="15" hidden="0" customHeight="1">
      <x:c r="A367" s="2" t="str">
        <x:v>S15|500272100</x:v>
      </x:c>
      <x:c r="B367" s="2" t="str">
        <x:v>S15</x:v>
      </x:c>
      <x:c r="C367" s="2" t="str">
        <x:v>500272100</x:v>
      </x:c>
      <x:c r="D367" s="2" t="n">
        <x:v>0</x:v>
      </x:c>
      <x:c r="E367" s="9"/>
      <x:c r="F367" s="2" t="n">
        <x:f>IF(E367="",D367,IF(E367="U","U",IF(AND(ISNUMBER(E367),E367&gt;=0,E367&lt;=3,INT(E367)=E367),E367,"Invalid")))</x:f>
        <x:v>0</x:v>
      </x:c>
      <x:c r="G367" s="2" t="n">
        <x:f>IF(ISNUMBER(F367),1,0)</x:f>
        <x:v>1</x:v>
      </x:c>
      <x:c r="H367" s="2" t="n">
        <x:f>IF(ISNUMBER(F367),IF(F367&gt;=2,1,0),0)</x:f>
        <x:v>0</x:v>
      </x:c>
      <x:c r="I367" s="11" t="n">
        <x:f>IF(ISNUMBER(F367),2^F367-1,0)</x:f>
        <x:v>0</x:v>
      </x:c>
      <x:c r="J367" s="2" t="str">
        <x:v>Retained original 577</x:v>
      </x:c>
      <x:c r="K367" s="10" t="n">
        <x:v>5001</x:v>
      </x:c>
      <x:c r="L367" s="10" t="n">
        <x:v>2</x:v>
      </x:c>
      <x:c r="M367" s="10" t="n">
        <x:v>667</x:v>
      </x:c>
      <x:c r="N367" s="2" t="str">
        <x:v>D15</x:v>
      </x:c>
      <x:c r="O367" s="2" t="str">
        <x:v>condominium</x:v>
      </x:c>
      <x:c r="P367" s="2" t="str">
        <x:v>https://www.propertyguru.com.sg/listing/for-rent-grand-dunman-500272100</x:v>
      </x:c>
      <x:c r="Q367" s="12" t="str">
        <x:v>Hard failure: Rent (SGD/month) 5,001; required &lt;= 5,000.</x:v>
      </x:c>
      <x:c r="R367" s="13"/>
    </x:row>
    <x:row r="368" ht="24" hidden="0" customHeight="1">
      <x:c r="A368" s="2" t="str">
        <x:v>S15|25299240</x:v>
      </x:c>
      <x:c r="B368" s="2" t="str">
        <x:v>S15</x:v>
      </x:c>
      <x:c r="C368" s="2" t="str">
        <x:v>25299240</x:v>
      </x:c>
      <x:c r="D368" s="2" t="n">
        <x:v>3</x:v>
      </x:c>
      <x:c r="E368" s="9"/>
      <x:c r="F368" s="2" t="n">
        <x:f>IF(E368="",D368,IF(E368="U","U",IF(AND(ISNUMBER(E368),E368&gt;=0,E368&lt;=3,INT(E368)=E368),E368,"Invalid")))</x:f>
        <x:v>3</x:v>
      </x:c>
      <x:c r="G368" s="2" t="n">
        <x:f>IF(ISNUMBER(F368),1,0)</x:f>
        <x:v>1</x:v>
      </x:c>
      <x:c r="H368" s="2" t="n">
        <x:f>IF(ISNUMBER(F368),IF(F368&gt;=2,1,0),0)</x:f>
        <x:v>1</x:v>
      </x:c>
      <x:c r="I368" s="11" t="n">
        <x:f>IF(ISNUMBER(F368),2^F368-1,0)</x:f>
        <x:v>7</x:v>
      </x:c>
      <x:c r="J368" s="2" t="str">
        <x:v>Retained original 577</x:v>
      </x:c>
      <x:c r="K368" s="10" t="n">
        <x:v>5000</x:v>
      </x:c>
      <x:c r="L368" s="10" t="n">
        <x:v>2</x:v>
      </x:c>
      <x:c r="M368" s="10" t="n">
        <x:v>1184</x:v>
      </x:c>
      <x:c r="N368" s="2" t="str">
        <x:v>D05</x:v>
      </x:c>
      <x:c r="O368" s="2" t="str">
        <x:v>condominium</x:v>
      </x:c>
      <x:c r="P368" s="2" t="str">
        <x:v>https://www.propertyguru.com.sg/listing/for-rent-clementiwoods-condominium-25299240</x:v>
      </x:c>
      <x:c r="Q368" s="12" t="str">
        <x:v>Hard requirements pass. D05, area 1,184 sqft. Both D05 and the 1,000-sqft preference are met.</x:v>
      </x:c>
      <x:c r="R368" s="13"/>
    </x:row>
    <x:row r="369" ht="15" hidden="0" customHeight="1">
      <x:c r="A369" s="2" t="str">
        <x:v>S15|500232123</x:v>
      </x:c>
      <x:c r="B369" s="2" t="str">
        <x:v>S15</x:v>
      </x:c>
      <x:c r="C369" s="2" t="str">
        <x:v>500232123</x:v>
      </x:c>
      <x:c r="D369" s="2" t="n">
        <x:v>0</x:v>
      </x:c>
      <x:c r="E369" s="9"/>
      <x:c r="F369" s="2" t="n">
        <x:f>IF(E369="",D369,IF(E369="U","U",IF(AND(ISNUMBER(E369),E369&gt;=0,E369&lt;=3,INT(E369)=E369),E369,"Invalid")))</x:f>
        <x:v>0</x:v>
      </x:c>
      <x:c r="G369" s="2" t="n">
        <x:f>IF(ISNUMBER(F369),1,0)</x:f>
        <x:v>1</x:v>
      </x:c>
      <x:c r="H369" s="2" t="n">
        <x:f>IF(ISNUMBER(F369),IF(F369&gt;=2,1,0),0)</x:f>
        <x:v>0</x:v>
      </x:c>
      <x:c r="I369" s="11" t="n">
        <x:f>IF(ISNUMBER(F369),2^F369-1,0)</x:f>
        <x:v>0</x:v>
      </x:c>
      <x:c r="J369" s="2" t="str">
        <x:v>Retained original 577</x:v>
      </x:c>
      <x:c r="K369" s="10" t="n">
        <x:v>1550</x:v>
      </x:c>
      <x:c r="L369" s="10" t="n">
        <x:v>1</x:v>
      </x:c>
      <x:c r="M369" s="10" t="n">
        <x:v>200</x:v>
      </x:c>
      <x:c r="N369" s="2" t="str">
        <x:v>D09</x:v>
      </x:c>
      <x:c r="O369" s="2" t="str">
        <x:v>apartment</x:v>
      </x:c>
      <x:c r="P369" s="2" t="str">
        <x:v>https://www.propertyguru.com.sg/listing/for-rent-280-river-valley-road-500232123</x:v>
      </x:c>
      <x:c r="Q369" s="12" t="str">
        <x:v>Hard failure: Reported bedrooms 1; required &gt;= 2.</x:v>
      </x:c>
      <x:c r="R369" s="13"/>
    </x:row>
    <x:row r="370" ht="15" hidden="0" customHeight="1">
      <x:c r="A370" s="2" t="str">
        <x:v>S15|500272940</x:v>
      </x:c>
      <x:c r="B370" s="2" t="str">
        <x:v>S15</x:v>
      </x:c>
      <x:c r="C370" s="2" t="str">
        <x:v>500272940</x:v>
      </x:c>
      <x:c r="D370" s="2" t="n">
        <x:v>0</x:v>
      </x:c>
      <x:c r="E370" s="9"/>
      <x:c r="F370" s="2" t="n">
        <x:f>IF(E370="",D370,IF(E370="U","U",IF(AND(ISNUMBER(E370),E370&gt;=0,E370&lt;=3,INT(E370)=E370),E370,"Invalid")))</x:f>
        <x:v>0</x:v>
      </x:c>
      <x:c r="G370" s="2" t="n">
        <x:f>IF(ISNUMBER(F370),1,0)</x:f>
        <x:v>1</x:v>
      </x:c>
      <x:c r="H370" s="2" t="n">
        <x:f>IF(ISNUMBER(F370),IF(F370&gt;=2,1,0),0)</x:f>
        <x:v>0</x:v>
      </x:c>
      <x:c r="I370" s="11" t="n">
        <x:f>IF(ISNUMBER(F370),2^F370-1,0)</x:f>
        <x:v>0</x:v>
      </x:c>
      <x:c r="J370" s="2" t="str">
        <x:v>Retained original 577</x:v>
      </x:c>
      <x:c r="K370" s="10" t="n">
        <x:v>5050</x:v>
      </x:c>
      <x:c r="L370" s="10" t="n">
        <x:v>3</x:v>
      </x:c>
      <x:c r="M370" s="10" t="n">
        <x:v>1151</x:v>
      </x:c>
      <x:c r="N370" s="2" t="str">
        <x:v>D13</x:v>
      </x:c>
      <x:c r="O370" s="2" t="str">
        <x:v>condominium</x:v>
      </x:c>
      <x:c r="P370" s="2" t="str">
        <x:v>https://www.propertyguru.com.sg/listing/for-rent-sky-green-500272940</x:v>
      </x:c>
      <x:c r="Q370" s="12" t="str">
        <x:v>Hard failure: Rent (SGD/month) 5,050; required &lt;= 5,000.</x:v>
      </x:c>
      <x:c r="R370" s="13"/>
    </x:row>
    <x:row r="371" ht="24" hidden="0" customHeight="1">
      <x:c r="A371" s="2" t="str">
        <x:v>S15|500286637</x:v>
      </x:c>
      <x:c r="B371" s="2" t="str">
        <x:v>S15</x:v>
      </x:c>
      <x:c r="C371" s="2" t="str">
        <x:v>500286637</x:v>
      </x:c>
      <x:c r="D371" s="2" t="n">
        <x:v>2</x:v>
      </x:c>
      <x:c r="E371" s="9"/>
      <x:c r="F371" s="2" t="n">
        <x:f>IF(E371="",D371,IF(E371="U","U",IF(AND(ISNUMBER(E371),E371&gt;=0,E371&lt;=3,INT(E371)=E371),E371,"Invalid")))</x:f>
        <x:v>2</x:v>
      </x:c>
      <x:c r="G371" s="2" t="n">
        <x:f>IF(ISNUMBER(F371),1,0)</x:f>
        <x:v>1</x:v>
      </x:c>
      <x:c r="H371" s="2" t="n">
        <x:f>IF(ISNUMBER(F371),IF(F371&gt;=2,1,0),0)</x:f>
        <x:v>1</x:v>
      </x:c>
      <x:c r="I371" s="11" t="n">
        <x:f>IF(ISNUMBER(F371),2^F371-1,0)</x:f>
        <x:v>3</x:v>
      </x:c>
      <x:c r="J371" s="2" t="str">
        <x:v>Retained original 577</x:v>
      </x:c>
      <x:c r="K371" s="10" t="n">
        <x:v>3200</x:v>
      </x:c>
      <x:c r="L371" s="10" t="n">
        <x:v>2</x:v>
      </x:c>
      <x:c r="M371" s="10" t="n">
        <x:v>732</x:v>
      </x:c>
      <x:c r="N371" s="2" t="str">
        <x:v>D05</x:v>
      </x:c>
      <x:c r="O371" s="2" t="str">
        <x:v>hdb flat</x:v>
      </x:c>
      <x:c r="P371" s="2" t="str">
        <x:v>https://www.propertyguru.com.sg/listing/hdb-for-rent-375-clementi-avenue-4-500286637</x:v>
      </x:c>
      <x:c r="Q371" s="12" t="str">
        <x:v>Hard requirements pass. D05, area 732 sqft. D05 is met, with a shortfall in the secondary size preference.</x:v>
      </x:c>
      <x:c r="R371" s="13"/>
    </x:row>
    <x:row r="372" ht="15" hidden="0" customHeight="1">
      <x:c r="A372" s="2" t="str">
        <x:v>S15|500267180</x:v>
      </x:c>
      <x:c r="B372" s="2" t="str">
        <x:v>S15</x:v>
      </x:c>
      <x:c r="C372" s="2" t="str">
        <x:v>500267180</x:v>
      </x:c>
      <x:c r="D372" s="2" t="str">
        <x:v>U</x:v>
      </x:c>
      <x:c r="E372" s="9"/>
      <x:c r="F372" s="2" t="str">
        <x:f>IF(E372="",D372,IF(E372="U","U",IF(AND(ISNUMBER(E372),E372&gt;=0,E372&lt;=3,INT(E372)=E372),E372,"Invalid")))</x:f>
        <x:v>U</x:v>
      </x:c>
      <x:c r="G372" s="2" t="n">
        <x:f>IF(ISNUMBER(F372),1,0)</x:f>
        <x:v>0</x:v>
      </x:c>
      <x:c r="H372" s="2" t="n">
        <x:f>IF(ISNUMBER(F372),IF(F372&gt;=2,1,0),0)</x:f>
        <x:v>0</x:v>
      </x:c>
      <x:c r="I372" s="11" t="n">
        <x:f>IF(ISNUMBER(F372),2^F372-1,0)</x:f>
        <x:v>0</x:v>
      </x:c>
      <x:c r="J372" s="2" t="str">
        <x:v>Retained original 577</x:v>
      </x:c>
      <x:c r="K372" s="10" t="n">
        <x:v>3000</x:v>
      </x:c>
      <x:c r="L372" s="10"/>
      <x:c r="M372" s="10" t="n">
        <x:v>520</x:v>
      </x:c>
      <x:c r="N372" s="2" t="str">
        <x:v>D14</x:v>
      </x:c>
      <x:c r="O372" s="2" t="str">
        <x:v>apartment</x:v>
      </x:c>
      <x:c r="P372" s="2" t="str">
        <x:v>https://www.propertyguru.com.sg/listing/for-rent-the-edelweiss-residences-500267180</x:v>
      </x:c>
      <x:c r="Q372" s="12" t="str">
        <x:v>No known hard failure. Cannot verify: reported bedrooms.</x:v>
      </x:c>
      <x:c r="R372" s="13"/>
    </x:row>
    <x:row r="373" ht="24" hidden="0" customHeight="1">
      <x:c r="A373" s="2" t="str">
        <x:v>S15|23822395</x:v>
      </x:c>
      <x:c r="B373" s="2" t="str">
        <x:v>S15</x:v>
      </x:c>
      <x:c r="C373" s="2" t="str">
        <x:v>23822395</x:v>
      </x:c>
      <x:c r="D373" s="2" t="n">
        <x:v>1</x:v>
      </x:c>
      <x:c r="E373" s="9"/>
      <x:c r="F373" s="2" t="n">
        <x:f>IF(E373="",D373,IF(E373="U","U",IF(AND(ISNUMBER(E373),E373&gt;=0,E373&lt;=3,INT(E373)=E373),E373,"Invalid")))</x:f>
        <x:v>1</x:v>
      </x:c>
      <x:c r="G373" s="2" t="n">
        <x:f>IF(ISNUMBER(F373),1,0)</x:f>
        <x:v>1</x:v>
      </x:c>
      <x:c r="H373" s="2" t="n">
        <x:f>IF(ISNUMBER(F373),IF(F373&gt;=2,1,0),0)</x:f>
        <x:v>0</x:v>
      </x:c>
      <x:c r="I373" s="11" t="n">
        <x:f>IF(ISNUMBER(F373),2^F373-1,0)</x:f>
        <x:v>1</x:v>
      </x:c>
      <x:c r="J373" s="2" t="str">
        <x:v>Retained original 577</x:v>
      </x:c>
      <x:c r="K373" s="10" t="n">
        <x:v>3300</x:v>
      </x:c>
      <x:c r="L373" s="10" t="n">
        <x:v>2</x:v>
      </x:c>
      <x:c r="M373" s="10" t="n">
        <x:v>753</x:v>
      </x:c>
      <x:c r="N373" s="2" t="str">
        <x:v>D14</x:v>
      </x:c>
      <x:c r="O373" s="2" t="str">
        <x:v>hdb flat</x:v>
      </x:c>
      <x:c r="P373" s="2" t="str">
        <x:v>https://www.propertyguru.com.sg/listing/hdb-for-rent-8a-upper-boon-keng-road-23822395</x:v>
      </x:c>
      <x:c r="Q373" s="12" t="str">
        <x:v>Hard requirements pass. D14, area 753 sqft. The primary D05 preference is unmet; additional space does not replace it.</x:v>
      </x:c>
      <x:c r="R373" s="13"/>
    </x:row>
    <x:row r="374" ht="24" hidden="0" customHeight="1">
      <x:c r="A374" s="2" t="str">
        <x:v>S15|22773305</x:v>
      </x:c>
      <x:c r="B374" s="2" t="str">
        <x:v>S15</x:v>
      </x:c>
      <x:c r="C374" s="2" t="str">
        <x:v>22773305</x:v>
      </x:c>
      <x:c r="D374" s="2" t="n">
        <x:v>3</x:v>
      </x:c>
      <x:c r="E374" s="9"/>
      <x:c r="F374" s="2" t="n">
        <x:f>IF(E374="",D374,IF(E374="U","U",IF(AND(ISNUMBER(E374),E374&gt;=0,E374&lt;=3,INT(E374)=E374),E374,"Invalid")))</x:f>
        <x:v>3</x:v>
      </x:c>
      <x:c r="G374" s="2" t="n">
        <x:f>IF(ISNUMBER(F374),1,0)</x:f>
        <x:v>1</x:v>
      </x:c>
      <x:c r="H374" s="2" t="n">
        <x:f>IF(ISNUMBER(F374),IF(F374&gt;=2,1,0),0)</x:f>
        <x:v>1</x:v>
      </x:c>
      <x:c r="I374" s="11" t="n">
        <x:f>IF(ISNUMBER(F374),2^F374-1,0)</x:f>
        <x:v>7</x:v>
      </x:c>
      <x:c r="J374" s="2" t="str">
        <x:v>Retained original 577</x:v>
      </x:c>
      <x:c r="K374" s="10" t="n">
        <x:v>4500</x:v>
      </x:c>
      <x:c r="L374" s="10" t="n">
        <x:v>3</x:v>
      </x:c>
      <x:c r="M374" s="10" t="n">
        <x:v>1259</x:v>
      </x:c>
      <x:c r="N374" s="2" t="str">
        <x:v>D05</x:v>
      </x:c>
      <x:c r="O374" s="2" t="str">
        <x:v>hdb flat</x:v>
      </x:c>
      <x:c r="P374" s="2" t="str">
        <x:v>https://www.propertyguru.com.sg/listing/hdb-for-rent-355-clementi-avenue-2-22773305</x:v>
      </x:c>
      <x:c r="Q374" s="12" t="str">
        <x:v>Hard requirements pass. D05, area 1,259 sqft. Both D05 and the 1,000-sqft preference are met.</x:v>
      </x:c>
      <x:c r="R374" s="13"/>
    </x:row>
    <x:row r="375" ht="24" hidden="0" customHeight="1">
      <x:c r="A375" s="2" t="str">
        <x:v>S15|21026007</x:v>
      </x:c>
      <x:c r="B375" s="2" t="str">
        <x:v>S15</x:v>
      </x:c>
      <x:c r="C375" s="2" t="str">
        <x:v>21026007</x:v>
      </x:c>
      <x:c r="D375" s="2" t="n">
        <x:v>1</x:v>
      </x:c>
      <x:c r="E375" s="9"/>
      <x:c r="F375" s="2" t="n">
        <x:f>IF(E375="",D375,IF(E375="U","U",IF(AND(ISNUMBER(E375),E375&gt;=0,E375&lt;=3,INT(E375)=E375),E375,"Invalid")))</x:f>
        <x:v>1</x:v>
      </x:c>
      <x:c r="G375" s="2" t="n">
        <x:f>IF(ISNUMBER(F375),1,0)</x:f>
        <x:v>1</x:v>
      </x:c>
      <x:c r="H375" s="2" t="n">
        <x:f>IF(ISNUMBER(F375),IF(F375&gt;=2,1,0),0)</x:f>
        <x:v>0</x:v>
      </x:c>
      <x:c r="I375" s="11" t="n">
        <x:f>IF(ISNUMBER(F375),2^F375-1,0)</x:f>
        <x:v>1</x:v>
      </x:c>
      <x:c r="J375" s="2" t="str">
        <x:v>Retained original 577</x:v>
      </x:c>
      <x:c r="K375" s="10" t="n">
        <x:v>450</x:v>
      </x:c>
      <x:c r="L375" s="10" t="n">
        <x:v>3</x:v>
      </x:c>
      <x:c r="M375" s="10" t="n">
        <x:v>100</x:v>
      </x:c>
      <x:c r="N375" s="2" t="str">
        <x:v>D25</x:v>
      </x:c>
      <x:c r="O375" s="2" t="str">
        <x:v>hdb flat</x:v>
      </x:c>
      <x:c r="P375" s="2" t="str">
        <x:v>https://www.propertyguru.com.sg/listing/hdb-for-rent-764a-woodlands-circle-21026007</x:v>
      </x:c>
      <x:c r="Q375" s="12" t="str">
        <x:v>Hard requirements pass. D25, area 100 sqft. The primary D05 preference is unmet; additional space does not replace it.</x:v>
      </x:c>
      <x:c r="R375" s="13"/>
    </x:row>
    <x:row r="376" ht="24" hidden="0" customHeight="1">
      <x:c r="A376" s="2" t="str">
        <x:v>S15|20369392</x:v>
      </x:c>
      <x:c r="B376" s="2" t="str">
        <x:v>S15</x:v>
      </x:c>
      <x:c r="C376" s="2" t="str">
        <x:v>20369392</x:v>
      </x:c>
      <x:c r="D376" s="2" t="n">
        <x:v>3</x:v>
      </x:c>
      <x:c r="E376" s="9"/>
      <x:c r="F376" s="2" t="n">
        <x:f>IF(E376="",D376,IF(E376="U","U",IF(AND(ISNUMBER(E376),E376&gt;=0,E376&lt;=3,INT(E376)=E376),E376,"Invalid")))</x:f>
        <x:v>3</x:v>
      </x:c>
      <x:c r="G376" s="2" t="n">
        <x:f>IF(ISNUMBER(F376),1,0)</x:f>
        <x:v>1</x:v>
      </x:c>
      <x:c r="H376" s="2" t="n">
        <x:f>IF(ISNUMBER(F376),IF(F376&gt;=2,1,0),0)</x:f>
        <x:v>1</x:v>
      </x:c>
      <x:c r="I376" s="11" t="n">
        <x:f>IF(ISNUMBER(F376),2^F376-1,0)</x:f>
        <x:v>7</x:v>
      </x:c>
      <x:c r="J376" s="2" t="str">
        <x:v>Retained original 577</x:v>
      </x:c>
      <x:c r="K376" s="10" t="n">
        <x:v>4400</x:v>
      </x:c>
      <x:c r="L376" s="10" t="n">
        <x:v>3</x:v>
      </x:c>
      <x:c r="M376" s="10" t="n">
        <x:v>1259</x:v>
      </x:c>
      <x:c r="N376" s="2" t="str">
        <x:v>D05</x:v>
      </x:c>
      <x:c r="O376" s="2" t="str">
        <x:v>hdb flat</x:v>
      </x:c>
      <x:c r="P376" s="2" t="str">
        <x:v>https://www.propertyguru.com.sg/listing/hdb-for-rent-356-clementi-avenue-2-20369392</x:v>
      </x:c>
      <x:c r="Q376" s="12" t="str">
        <x:v>Hard requirements pass. D05, area 1,259 sqft. Both D05 and the 1,000-sqft preference are met.</x:v>
      </x:c>
      <x:c r="R376" s="13"/>
    </x:row>
    <x:row r="377" ht="15" hidden="0" customHeight="1">
      <x:c r="A377" s="2" t="str">
        <x:v>S15|20355486</x:v>
      </x:c>
      <x:c r="B377" s="2" t="str">
        <x:v>S15</x:v>
      </x:c>
      <x:c r="C377" s="2" t="str">
        <x:v>20355486</x:v>
      </x:c>
      <x:c r="D377" s="2" t="str">
        <x:v>U</x:v>
      </x:c>
      <x:c r="E377" s="9"/>
      <x:c r="F377" s="2" t="str">
        <x:f>IF(E377="",D377,IF(E377="U","U",IF(AND(ISNUMBER(E377),E377&gt;=0,E377&lt;=3,INT(E377)=E377),E377,"Invalid")))</x:f>
        <x:v>U</x:v>
      </x:c>
      <x:c r="G377" s="2" t="n">
        <x:f>IF(ISNUMBER(F377),1,0)</x:f>
        <x:v>0</x:v>
      </x:c>
      <x:c r="H377" s="2" t="n">
        <x:f>IF(ISNUMBER(F377),IF(F377&gt;=2,1,0),0)</x:f>
        <x:v>0</x:v>
      </x:c>
      <x:c r="I377" s="11" t="n">
        <x:f>IF(ISNUMBER(F377),2^F377-1,0)</x:f>
        <x:v>0</x:v>
      </x:c>
      <x:c r="J377" s="2" t="str">
        <x:v>Retained original 577</x:v>
      </x:c>
      <x:c r="K377" s="10" t="n">
        <x:v>1500</x:v>
      </x:c>
      <x:c r="L377" s="10"/>
      <x:c r="M377" s="10" t="n">
        <x:v>200</x:v>
      </x:c>
      <x:c r="N377" s="2" t="str">
        <x:v>D19</x:v>
      </x:c>
      <x:c r="O377" s="2" t="str">
        <x:v>terraced house</x:v>
      </x:c>
      <x:c r="P377" s="2" t="str">
        <x:v>https://www.propertyguru.com.sg/listing/for-rent-chuan-hoe-ave-20355486</x:v>
      </x:c>
      <x:c r="Q377" s="12" t="str">
        <x:v>No known hard failure. Cannot verify: reported bedrooms.</x:v>
      </x:c>
      <x:c r="R377" s="13"/>
    </x:row>
    <x:row r="378" ht="24" hidden="0" customHeight="1">
      <x:c r="A378" s="2" t="str">
        <x:v>S15|19221832</x:v>
      </x:c>
      <x:c r="B378" s="2" t="str">
        <x:v>S15</x:v>
      </x:c>
      <x:c r="C378" s="2" t="str">
        <x:v>19221832</x:v>
      </x:c>
      <x:c r="D378" s="2" t="n">
        <x:v>3</x:v>
      </x:c>
      <x:c r="E378" s="9"/>
      <x:c r="F378" s="2" t="n">
        <x:f>IF(E378="",D378,IF(E378="U","U",IF(AND(ISNUMBER(E378),E378&gt;=0,E378&lt;=3,INT(E378)=E378),E378,"Invalid")))</x:f>
        <x:v>3</x:v>
      </x:c>
      <x:c r="G378" s="2" t="n">
        <x:f>IF(ISNUMBER(F378),1,0)</x:f>
        <x:v>1</x:v>
      </x:c>
      <x:c r="H378" s="2" t="n">
        <x:f>IF(ISNUMBER(F378),IF(F378&gt;=2,1,0),0)</x:f>
        <x:v>1</x:v>
      </x:c>
      <x:c r="I378" s="11" t="n">
        <x:f>IF(ISNUMBER(F378),2^F378-1,0)</x:f>
        <x:v>7</x:v>
      </x:c>
      <x:c r="J378" s="2" t="str">
        <x:v>Retained original 577</x:v>
      </x:c>
      <x:c r="K378" s="10" t="n">
        <x:v>4200</x:v>
      </x:c>
      <x:c r="L378" s="10" t="n">
        <x:v>3</x:v>
      </x:c>
      <x:c r="M378" s="10" t="n">
        <x:v>1184</x:v>
      </x:c>
      <x:c r="N378" s="2" t="str">
        <x:v>D05</x:v>
      </x:c>
      <x:c r="O378" s="2" t="str">
        <x:v>hdb flat</x:v>
      </x:c>
      <x:c r="P378" s="2" t="str">
        <x:v>https://www.propertyguru.com.sg/listing/hdb-for-rent-458-clementi-avenue-3-19221832</x:v>
      </x:c>
      <x:c r="Q378" s="12" t="str">
        <x:v>Hard requirements pass. D05, area 1,184 sqft. Both D05 and the 1,000-sqft preference are met.</x:v>
      </x:c>
      <x:c r="R378" s="13"/>
    </x:row>
    <x:row r="379" ht="24" hidden="0" customHeight="1">
      <x:c r="A379" s="2" t="str">
        <x:v>S15|24465175</x:v>
      </x:c>
      <x:c r="B379" s="2" t="str">
        <x:v>S15</x:v>
      </x:c>
      <x:c r="C379" s="2" t="str">
        <x:v>24465175</x:v>
      </x:c>
      <x:c r="D379" s="2" t="n">
        <x:v>2</x:v>
      </x:c>
      <x:c r="E379" s="9"/>
      <x:c r="F379" s="2" t="n">
        <x:f>IF(E379="",D379,IF(E379="U","U",IF(AND(ISNUMBER(E379),E379&gt;=0,E379&lt;=3,INT(E379)=E379),E379,"Invalid")))</x:f>
        <x:v>2</x:v>
      </x:c>
      <x:c r="G379" s="2" t="n">
        <x:f>IF(ISNUMBER(F379),1,0)</x:f>
        <x:v>1</x:v>
      </x:c>
      <x:c r="H379" s="2" t="n">
        <x:f>IF(ISNUMBER(F379),IF(F379&gt;=2,1,0),0)</x:f>
        <x:v>1</x:v>
      </x:c>
      <x:c r="I379" s="11" t="n">
        <x:f>IF(ISNUMBER(F379),2^F379-1,0)</x:f>
        <x:v>3</x:v>
      </x:c>
      <x:c r="J379" s="2" t="str">
        <x:v>Retained original 577</x:v>
      </x:c>
      <x:c r="K379" s="10" t="n">
        <x:v>4700</x:v>
      </x:c>
      <x:c r="L379" s="10" t="n">
        <x:v>2</x:v>
      </x:c>
      <x:c r="M379" s="10" t="n">
        <x:v>980</x:v>
      </x:c>
      <x:c r="N379" s="2" t="str">
        <x:v>D05</x:v>
      </x:c>
      <x:c r="O379" s="2" t="str">
        <x:v>condominium</x:v>
      </x:c>
      <x:c r="P379" s="2" t="str">
        <x:v>https://www.propertyguru.com.sg/listing/for-rent-the-parc-condominium-24465175</x:v>
      </x:c>
      <x:c r="Q379" s="12" t="str">
        <x:v>Hard requirements pass. D05, area 980 sqft. D05 is met, with a shortfall in the secondary size preference.</x:v>
      </x:c>
      <x:c r="R379" s="13"/>
    </x:row>
    <x:row r="380" ht="24" hidden="0" customHeight="1">
      <x:c r="A380" s="2" t="str">
        <x:v>S15|60023928</x:v>
      </x:c>
      <x:c r="B380" s="2" t="str">
        <x:v>S15</x:v>
      </x:c>
      <x:c r="C380" s="2" t="str">
        <x:v>60023928</x:v>
      </x:c>
      <x:c r="D380" s="2" t="n">
        <x:v>1</x:v>
      </x:c>
      <x:c r="E380" s="9"/>
      <x:c r="F380" s="2" t="n">
        <x:f>IF(E380="",D380,IF(E380="U","U",IF(AND(ISNUMBER(E380),E380&gt;=0,E380&lt;=3,INT(E380)=E380),E380,"Invalid")))</x:f>
        <x:v>1</x:v>
      </x:c>
      <x:c r="G380" s="2" t="n">
        <x:f>IF(ISNUMBER(F380),1,0)</x:f>
        <x:v>1</x:v>
      </x:c>
      <x:c r="H380" s="2" t="n">
        <x:f>IF(ISNUMBER(F380),IF(F380&gt;=2,1,0),0)</x:f>
        <x:v>0</x:v>
      </x:c>
      <x:c r="I380" s="11" t="n">
        <x:f>IF(ISNUMBER(F380),2^F380-1,0)</x:f>
        <x:v>1</x:v>
      </x:c>
      <x:c r="J380" s="2" t="str">
        <x:v>Retained original 577</x:v>
      </x:c>
      <x:c r="K380" s="10" t="n">
        <x:v>800</x:v>
      </x:c>
      <x:c r="L380" s="10" t="n">
        <x:v>2</x:v>
      </x:c>
      <x:c r="M380" s="10" t="n">
        <x:v>120</x:v>
      </x:c>
      <x:c r="N380" s="2" t="str">
        <x:v>D27</x:v>
      </x:c>
      <x:c r="O380" s="2" t="str">
        <x:v>hdb flat</x:v>
      </x:c>
      <x:c r="P380" s="2" t="str">
        <x:v>https://www.propertyguru.com.sg/listing/hdb-for-rent-203-yishun-street-21-60023928</x:v>
      </x:c>
      <x:c r="Q380" s="12" t="str">
        <x:v>Hard requirements pass. D27, area 120 sqft. The primary D05 preference is unmet; additional space does not replace it.</x:v>
      </x:c>
      <x:c r="R380" s="13"/>
    </x:row>
    <x:row r="381" ht="15" hidden="0" customHeight="1">
      <x:c r="A381" s="2" t="str">
        <x:v>S16|25179005</x:v>
      </x:c>
      <x:c r="B381" s="2" t="str">
        <x:v>S16</x:v>
      </x:c>
      <x:c r="C381" s="2" t="str">
        <x:v>25179005</x:v>
      </x:c>
      <x:c r="D381" s="2" t="str">
        <x:v>U</x:v>
      </x:c>
      <x:c r="E381" s="9"/>
      <x:c r="F381" s="2" t="str">
        <x:f>IF(E381="",D381,IF(E381="U","U",IF(AND(ISNUMBER(E381),E381&gt;=0,E381&lt;=3,INT(E381)=E381),E381,"Invalid")))</x:f>
        <x:v>U</x:v>
      </x:c>
      <x:c r="G381" s="2" t="n">
        <x:f>IF(ISNUMBER(F381),1,0)</x:f>
        <x:v>0</x:v>
      </x:c>
      <x:c r="H381" s="2" t="n">
        <x:f>IF(ISNUMBER(F381),IF(F381&gt;=2,1,0),0)</x:f>
        <x:v>0</x:v>
      </x:c>
      <x:c r="I381" s="11" t="n">
        <x:f>IF(ISNUMBER(F381),2^F381-1,0)</x:f>
        <x:v>0</x:v>
      </x:c>
      <x:c r="J381" s="2" t="str">
        <x:v>Retained original 577</x:v>
      </x:c>
      <x:c r="K381" s="10" t="n">
        <x:v>2600</x:v>
      </x:c>
      <x:c r="L381" s="10"/>
      <x:c r="M381" s="10" t="n">
        <x:v>400</x:v>
      </x:c>
      <x:c r="N381" s="2" t="str">
        <x:v>D27</x:v>
      </x:c>
      <x:c r="O381" s="2" t="str">
        <x:v>condominium</x:v>
      </x:c>
      <x:c r="P381" s="2" t="str">
        <x:v>https://www.propertyguru.com.sg/listing/for-rent-eight-courtyards-25179005</x:v>
      </x:c>
      <x:c r="Q381" s="12" t="str">
        <x:v>No known hard failure. Cannot verify: reported bedrooms.</x:v>
      </x:c>
      <x:c r="R381" s="13"/>
    </x:row>
    <x:row r="382" ht="24" hidden="0" customHeight="1">
      <x:c r="A382" s="2" t="str">
        <x:v>S16|500253637</x:v>
      </x:c>
      <x:c r="B382" s="2" t="str">
        <x:v>S16</x:v>
      </x:c>
      <x:c r="C382" s="2" t="str">
        <x:v>500253637</x:v>
      </x:c>
      <x:c r="D382" s="2" t="n">
        <x:v>2</x:v>
      </x:c>
      <x:c r="E382" s="9"/>
      <x:c r="F382" s="2" t="n">
        <x:f>IF(E382="",D382,IF(E382="U","U",IF(AND(ISNUMBER(E382),E382&gt;=0,E382&lt;=3,INT(E382)=E382),E382,"Invalid")))</x:f>
        <x:v>2</x:v>
      </x:c>
      <x:c r="G382" s="2" t="n">
        <x:f>IF(ISNUMBER(F382),1,0)</x:f>
        <x:v>1</x:v>
      </x:c>
      <x:c r="H382" s="2" t="n">
        <x:f>IF(ISNUMBER(F382),IF(F382&gt;=2,1,0),0)</x:f>
        <x:v>1</x:v>
      </x:c>
      <x:c r="I382" s="11" t="n">
        <x:f>IF(ISNUMBER(F382),2^F382-1,0)</x:f>
        <x:v>3</x:v>
      </x:c>
      <x:c r="J382" s="2" t="str">
        <x:v>Retained original 577</x:v>
      </x:c>
      <x:c r="K382" s="10" t="n">
        <x:v>4300</x:v>
      </x:c>
      <x:c r="L382" s="10" t="n">
        <x:v>3</x:v>
      </x:c>
      <x:c r="M382" s="10" t="n">
        <x:v>1560</x:v>
      </x:c>
      <x:c r="N382" s="2" t="str">
        <x:v>D18</x:v>
      </x:c>
      <x:c r="O382" s="2" t="str">
        <x:v>hdb flat</x:v>
      </x:c>
      <x:c r="P382" s="2" t="str">
        <x:v>https://www.propertyguru.com.sg/listing/hdb-for-rent-156-tampines-street-12-500253637</x:v>
      </x:c>
      <x:c r="Q382" s="12" t="str">
        <x:v>Hard requirements pass. area 1,560 sqft, D18. The primary size preference is met, with a trade-off outside D05.</x:v>
      </x:c>
      <x:c r="R382" s="13"/>
    </x:row>
    <x:row r="383" ht="24" hidden="0" customHeight="1">
      <x:c r="A383" s="2" t="str">
        <x:v>S16|18074957</x:v>
      </x:c>
      <x:c r="B383" s="2" t="str">
        <x:v>S16</x:v>
      </x:c>
      <x:c r="C383" s="2" t="str">
        <x:v>18074957</x:v>
      </x:c>
      <x:c r="D383" s="2" t="n">
        <x:v>3</x:v>
      </x:c>
      <x:c r="E383" s="9"/>
      <x:c r="F383" s="2" t="n">
        <x:f>IF(E383="",D383,IF(E383="U","U",IF(AND(ISNUMBER(E383),E383&gt;=0,E383&lt;=3,INT(E383)=E383),E383,"Invalid")))</x:f>
        <x:v>3</x:v>
      </x:c>
      <x:c r="G383" s="2" t="n">
        <x:f>IF(ISNUMBER(F383),1,0)</x:f>
        <x:v>1</x:v>
      </x:c>
      <x:c r="H383" s="2" t="n">
        <x:f>IF(ISNUMBER(F383),IF(F383&gt;=2,1,0),0)</x:f>
        <x:v>1</x:v>
      </x:c>
      <x:c r="I383" s="11" t="n">
        <x:f>IF(ISNUMBER(F383),2^F383-1,0)</x:f>
        <x:v>7</x:v>
      </x:c>
      <x:c r="J383" s="2" t="str">
        <x:v>Retained original 577</x:v>
      </x:c>
      <x:c r="K383" s="10" t="n">
        <x:v>4500</x:v>
      </x:c>
      <x:c r="L383" s="10" t="n">
        <x:v>3</x:v>
      </x:c>
      <x:c r="M383" s="10" t="n">
        <x:v>1000</x:v>
      </x:c>
      <x:c r="N383" s="2" t="str">
        <x:v>D05</x:v>
      </x:c>
      <x:c r="O383" s="2" t="str">
        <x:v>hdb flat</x:v>
      </x:c>
      <x:c r="P383" s="2" t="str">
        <x:v>https://www.propertyguru.com.sg/listing/hdb-for-rent-456-clementi-avenue-3-18074957</x:v>
      </x:c>
      <x:c r="Q383" s="12" t="str">
        <x:v>Hard requirements pass. area 1,000 sqft, D05. Both the primary 1,000-sqft preference and D05 are met.</x:v>
      </x:c>
      <x:c r="R383" s="13"/>
    </x:row>
    <x:row r="384" ht="24" hidden="0" customHeight="1">
      <x:c r="A384" s="2" t="str">
        <x:v>S16|500286637</x:v>
      </x:c>
      <x:c r="B384" s="2" t="str">
        <x:v>S16</x:v>
      </x:c>
      <x:c r="C384" s="2" t="str">
        <x:v>500286637</x:v>
      </x:c>
      <x:c r="D384" s="2" t="n">
        <x:v>1</x:v>
      </x:c>
      <x:c r="E384" s="9"/>
      <x:c r="F384" s="2" t="n">
        <x:f>IF(E384="",D384,IF(E384="U","U",IF(AND(ISNUMBER(E384),E384&gt;=0,E384&lt;=3,INT(E384)=E384),E384,"Invalid")))</x:f>
        <x:v>1</x:v>
      </x:c>
      <x:c r="G384" s="2" t="n">
        <x:f>IF(ISNUMBER(F384),1,0)</x:f>
        <x:v>1</x:v>
      </x:c>
      <x:c r="H384" s="2" t="n">
        <x:f>IF(ISNUMBER(F384),IF(F384&gt;=2,1,0),0)</x:f>
        <x:v>0</x:v>
      </x:c>
      <x:c r="I384" s="11" t="n">
        <x:f>IF(ISNUMBER(F384),2^F384-1,0)</x:f>
        <x:v>1</x:v>
      </x:c>
      <x:c r="J384" s="2" t="str">
        <x:v>Retained original 577</x:v>
      </x:c>
      <x:c r="K384" s="10" t="n">
        <x:v>3200</x:v>
      </x:c>
      <x:c r="L384" s="10" t="n">
        <x:v>2</x:v>
      </x:c>
      <x:c r="M384" s="10" t="n">
        <x:v>732</x:v>
      </x:c>
      <x:c r="N384" s="2" t="str">
        <x:v>D05</x:v>
      </x:c>
      <x:c r="O384" s="2" t="str">
        <x:v>hdb flat</x:v>
      </x:c>
      <x:c r="P384" s="2" t="str">
        <x:v>https://www.propertyguru.com.sg/listing/hdb-for-rent-375-clementi-avenue-4-500286637</x:v>
      </x:c>
      <x:c r="Q384" s="12" t="str">
        <x:v>Hard requirements pass. area 732 sqft, D05. The primary size target is unmet; D05 alone, where present, does not replace the space preference.</x:v>
      </x:c>
      <x:c r="R384" s="13"/>
    </x:row>
    <x:row r="385" ht="24" hidden="0" customHeight="1">
      <x:c r="A385" s="2" t="str">
        <x:v>S16|23822395</x:v>
      </x:c>
      <x:c r="B385" s="2" t="str">
        <x:v>S16</x:v>
      </x:c>
      <x:c r="C385" s="2" t="str">
        <x:v>23822395</x:v>
      </x:c>
      <x:c r="D385" s="2" t="n">
        <x:v>1</x:v>
      </x:c>
      <x:c r="E385" s="9"/>
      <x:c r="F385" s="2" t="n">
        <x:f>IF(E385="",D385,IF(E385="U","U",IF(AND(ISNUMBER(E385),E385&gt;=0,E385&lt;=3,INT(E385)=E385),E385,"Invalid")))</x:f>
        <x:v>1</x:v>
      </x:c>
      <x:c r="G385" s="2" t="n">
        <x:f>IF(ISNUMBER(F385),1,0)</x:f>
        <x:v>1</x:v>
      </x:c>
      <x:c r="H385" s="2" t="n">
        <x:f>IF(ISNUMBER(F385),IF(F385&gt;=2,1,0),0)</x:f>
        <x:v>0</x:v>
      </x:c>
      <x:c r="I385" s="11" t="n">
        <x:f>IF(ISNUMBER(F385),2^F385-1,0)</x:f>
        <x:v>1</x:v>
      </x:c>
      <x:c r="J385" s="2" t="str">
        <x:v>Retained original 577</x:v>
      </x:c>
      <x:c r="K385" s="10" t="n">
        <x:v>3300</x:v>
      </x:c>
      <x:c r="L385" s="10" t="n">
        <x:v>2</x:v>
      </x:c>
      <x:c r="M385" s="10" t="n">
        <x:v>753</x:v>
      </x:c>
      <x:c r="N385" s="2" t="str">
        <x:v>D14</x:v>
      </x:c>
      <x:c r="O385" s="2" t="str">
        <x:v>hdb flat</x:v>
      </x:c>
      <x:c r="P385" s="2" t="str">
        <x:v>https://www.propertyguru.com.sg/listing/hdb-for-rent-8a-upper-boon-keng-road-23822395</x:v>
      </x:c>
      <x:c r="Q385" s="12" t="str">
        <x:v>Hard requirements pass. area 753 sqft, D14. The primary size target is unmet; D05 alone, where present, does not replace the space preference.</x:v>
      </x:c>
      <x:c r="R385" s="13"/>
    </x:row>
    <x:row r="386" ht="15" hidden="0" customHeight="1">
      <x:c r="A386" s="2" t="str">
        <x:v>S16|500272100</x:v>
      </x:c>
      <x:c r="B386" s="2" t="str">
        <x:v>S16</x:v>
      </x:c>
      <x:c r="C386" s="2" t="str">
        <x:v>500272100</x:v>
      </x:c>
      <x:c r="D386" s="2" t="n">
        <x:v>0</x:v>
      </x:c>
      <x:c r="E386" s="9"/>
      <x:c r="F386" s="2" t="n">
        <x:f>IF(E386="",D386,IF(E386="U","U",IF(AND(ISNUMBER(E386),E386&gt;=0,E386&lt;=3,INT(E386)=E386),E386,"Invalid")))</x:f>
        <x:v>0</x:v>
      </x:c>
      <x:c r="G386" s="2" t="n">
        <x:f>IF(ISNUMBER(F386),1,0)</x:f>
        <x:v>1</x:v>
      </x:c>
      <x:c r="H386" s="2" t="n">
        <x:f>IF(ISNUMBER(F386),IF(F386&gt;=2,1,0),0)</x:f>
        <x:v>0</x:v>
      </x:c>
      <x:c r="I386" s="11" t="n">
        <x:f>IF(ISNUMBER(F386),2^F386-1,0)</x:f>
        <x:v>0</x:v>
      </x:c>
      <x:c r="J386" s="2" t="str">
        <x:v>Retained original 577</x:v>
      </x:c>
      <x:c r="K386" s="10" t="n">
        <x:v>5001</x:v>
      </x:c>
      <x:c r="L386" s="10" t="n">
        <x:v>2</x:v>
      </x:c>
      <x:c r="M386" s="10" t="n">
        <x:v>667</x:v>
      </x:c>
      <x:c r="N386" s="2" t="str">
        <x:v>D15</x:v>
      </x:c>
      <x:c r="O386" s="2" t="str">
        <x:v>condominium</x:v>
      </x:c>
      <x:c r="P386" s="2" t="str">
        <x:v>https://www.propertyguru.com.sg/listing/for-rent-grand-dunman-500272100</x:v>
      </x:c>
      <x:c r="Q386" s="12" t="str">
        <x:v>Hard failure: Rent (SGD/month) 5,001; required &lt;= 5,000.</x:v>
      </x:c>
      <x:c r="R386" s="13"/>
    </x:row>
    <x:row r="387" ht="24" hidden="0" customHeight="1">
      <x:c r="A387" s="2" t="str">
        <x:v>S16|20369392</x:v>
      </x:c>
      <x:c r="B387" s="2" t="str">
        <x:v>S16</x:v>
      </x:c>
      <x:c r="C387" s="2" t="str">
        <x:v>20369392</x:v>
      </x:c>
      <x:c r="D387" s="2" t="n">
        <x:v>3</x:v>
      </x:c>
      <x:c r="E387" s="9"/>
      <x:c r="F387" s="2" t="n">
        <x:f>IF(E387="",D387,IF(E387="U","U",IF(AND(ISNUMBER(E387),E387&gt;=0,E387&lt;=3,INT(E387)=E387),E387,"Invalid")))</x:f>
        <x:v>3</x:v>
      </x:c>
      <x:c r="G387" s="2" t="n">
        <x:f>IF(ISNUMBER(F387),1,0)</x:f>
        <x:v>1</x:v>
      </x:c>
      <x:c r="H387" s="2" t="n">
        <x:f>IF(ISNUMBER(F387),IF(F387&gt;=2,1,0),0)</x:f>
        <x:v>1</x:v>
      </x:c>
      <x:c r="I387" s="11" t="n">
        <x:f>IF(ISNUMBER(F387),2^F387-1,0)</x:f>
        <x:v>7</x:v>
      </x:c>
      <x:c r="J387" s="2" t="str">
        <x:v>Retained original 577</x:v>
      </x:c>
      <x:c r="K387" s="10" t="n">
        <x:v>4400</x:v>
      </x:c>
      <x:c r="L387" s="10" t="n">
        <x:v>3</x:v>
      </x:c>
      <x:c r="M387" s="10" t="n">
        <x:v>1259</x:v>
      </x:c>
      <x:c r="N387" s="2" t="str">
        <x:v>D05</x:v>
      </x:c>
      <x:c r="O387" s="2" t="str">
        <x:v>hdb flat</x:v>
      </x:c>
      <x:c r="P387" s="2" t="str">
        <x:v>https://www.propertyguru.com.sg/listing/hdb-for-rent-356-clementi-avenue-2-20369392</x:v>
      </x:c>
      <x:c r="Q387" s="12" t="str">
        <x:v>Hard requirements pass. area 1,259 sqft, D05. Both the primary 1,000-sqft preference and D05 are met.</x:v>
      </x:c>
      <x:c r="R387" s="13"/>
    </x:row>
    <x:row r="388" ht="24" hidden="0" customHeight="1">
      <x:c r="A388" s="2" t="str">
        <x:v>S16|12885293</x:v>
      </x:c>
      <x:c r="B388" s="2" t="str">
        <x:v>S16</x:v>
      </x:c>
      <x:c r="C388" s="2" t="str">
        <x:v>12885293</x:v>
      </x:c>
      <x:c r="D388" s="2" t="n">
        <x:v>3</x:v>
      </x:c>
      <x:c r="E388" s="9"/>
      <x:c r="F388" s="2" t="n">
        <x:f>IF(E388="",D388,IF(E388="U","U",IF(AND(ISNUMBER(E388),E388&gt;=0,E388&lt;=3,INT(E388)=E388),E388,"Invalid")))</x:f>
        <x:v>3</x:v>
      </x:c>
      <x:c r="G388" s="2" t="n">
        <x:f>IF(ISNUMBER(F388),1,0)</x:f>
        <x:v>1</x:v>
      </x:c>
      <x:c r="H388" s="2" t="n">
        <x:f>IF(ISNUMBER(F388),IF(F388&gt;=2,1,0),0)</x:f>
        <x:v>1</x:v>
      </x:c>
      <x:c r="I388" s="11" t="n">
        <x:f>IF(ISNUMBER(F388),2^F388-1,0)</x:f>
        <x:v>7</x:v>
      </x:c>
      <x:c r="J388" s="2" t="str">
        <x:v>Retained original 577</x:v>
      </x:c>
      <x:c r="K388" s="10" t="n">
        <x:v>4000</x:v>
      </x:c>
      <x:c r="L388" s="10" t="n">
        <x:v>2</x:v>
      </x:c>
      <x:c r="M388" s="10" t="n">
        <x:v>1000</x:v>
      </x:c>
      <x:c r="N388" s="2" t="str">
        <x:v>D05</x:v>
      </x:c>
      <x:c r="O388" s="2" t="str">
        <x:v>hdb flat</x:v>
      </x:c>
      <x:c r="P388" s="2" t="str">
        <x:v>https://www.propertyguru.com.sg/listing/hdb-for-rent-17-dover-crescent-12885293</x:v>
      </x:c>
      <x:c r="Q388" s="12" t="str">
        <x:v>Hard requirements pass. area 1,000 sqft, D05. Both the primary 1,000-sqft preference and D05 are met.</x:v>
      </x:c>
      <x:c r="R388" s="13"/>
    </x:row>
    <x:row r="389" ht="24" hidden="0" customHeight="1">
      <x:c r="A389" s="2" t="str">
        <x:v>S16|21026007</x:v>
      </x:c>
      <x:c r="B389" s="2" t="str">
        <x:v>S16</x:v>
      </x:c>
      <x:c r="C389" s="2" t="str">
        <x:v>21026007</x:v>
      </x:c>
      <x:c r="D389" s="2" t="n">
        <x:v>1</x:v>
      </x:c>
      <x:c r="E389" s="9"/>
      <x:c r="F389" s="2" t="n">
        <x:f>IF(E389="",D389,IF(E389="U","U",IF(AND(ISNUMBER(E389),E389&gt;=0,E389&lt;=3,INT(E389)=E389),E389,"Invalid")))</x:f>
        <x:v>1</x:v>
      </x:c>
      <x:c r="G389" s="2" t="n">
        <x:f>IF(ISNUMBER(F389),1,0)</x:f>
        <x:v>1</x:v>
      </x:c>
      <x:c r="H389" s="2" t="n">
        <x:f>IF(ISNUMBER(F389),IF(F389&gt;=2,1,0),0)</x:f>
        <x:v>0</x:v>
      </x:c>
      <x:c r="I389" s="11" t="n">
        <x:f>IF(ISNUMBER(F389),2^F389-1,0)</x:f>
        <x:v>1</x:v>
      </x:c>
      <x:c r="J389" s="2" t="str">
        <x:v>Retained original 577</x:v>
      </x:c>
      <x:c r="K389" s="10" t="n">
        <x:v>450</x:v>
      </x:c>
      <x:c r="L389" s="10" t="n">
        <x:v>3</x:v>
      </x:c>
      <x:c r="M389" s="10" t="n">
        <x:v>100</x:v>
      </x:c>
      <x:c r="N389" s="2" t="str">
        <x:v>D25</x:v>
      </x:c>
      <x:c r="O389" s="2" t="str">
        <x:v>hdb flat</x:v>
      </x:c>
      <x:c r="P389" s="2" t="str">
        <x:v>https://www.propertyguru.com.sg/listing/hdb-for-rent-764a-woodlands-circle-21026007</x:v>
      </x:c>
      <x:c r="Q389" s="12" t="str">
        <x:v>Hard requirements pass. area 100 sqft, D25. The primary size target is unmet; D05 alone, where present, does not replace the space preference.</x:v>
      </x:c>
      <x:c r="R389" s="13"/>
    </x:row>
    <x:row r="390" ht="15" hidden="0" customHeight="1">
      <x:c r="A390" s="2" t="str">
        <x:v>S16|500267180</x:v>
      </x:c>
      <x:c r="B390" s="2" t="str">
        <x:v>S16</x:v>
      </x:c>
      <x:c r="C390" s="2" t="str">
        <x:v>500267180</x:v>
      </x:c>
      <x:c r="D390" s="2" t="str">
        <x:v>U</x:v>
      </x:c>
      <x:c r="E390" s="9"/>
      <x:c r="F390" s="2" t="str">
        <x:f>IF(E390="",D390,IF(E390="U","U",IF(AND(ISNUMBER(E390),E390&gt;=0,E390&lt;=3,INT(E390)=E390),E390,"Invalid")))</x:f>
        <x:v>U</x:v>
      </x:c>
      <x:c r="G390" s="2" t="n">
        <x:f>IF(ISNUMBER(F390),1,0)</x:f>
        <x:v>0</x:v>
      </x:c>
      <x:c r="H390" s="2" t="n">
        <x:f>IF(ISNUMBER(F390),IF(F390&gt;=2,1,0),0)</x:f>
        <x:v>0</x:v>
      </x:c>
      <x:c r="I390" s="11" t="n">
        <x:f>IF(ISNUMBER(F390),2^F390-1,0)</x:f>
        <x:v>0</x:v>
      </x:c>
      <x:c r="J390" s="2" t="str">
        <x:v>Retained original 577</x:v>
      </x:c>
      <x:c r="K390" s="10" t="n">
        <x:v>3000</x:v>
      </x:c>
      <x:c r="L390" s="10"/>
      <x:c r="M390" s="10" t="n">
        <x:v>520</x:v>
      </x:c>
      <x:c r="N390" s="2" t="str">
        <x:v>D14</x:v>
      </x:c>
      <x:c r="O390" s="2" t="str">
        <x:v>apartment</x:v>
      </x:c>
      <x:c r="P390" s="2" t="str">
        <x:v>https://www.propertyguru.com.sg/listing/for-rent-the-edelweiss-residences-500267180</x:v>
      </x:c>
      <x:c r="Q390" s="12" t="str">
        <x:v>No known hard failure. Cannot verify: reported bedrooms.</x:v>
      </x:c>
      <x:c r="R390" s="13"/>
    </x:row>
    <x:row r="391" ht="15" hidden="0" customHeight="1">
      <x:c r="A391" s="2" t="str">
        <x:v>S16|25135809</x:v>
      </x:c>
      <x:c r="B391" s="2" t="str">
        <x:v>S16</x:v>
      </x:c>
      <x:c r="C391" s="2" t="str">
        <x:v>25135809</x:v>
      </x:c>
      <x:c r="D391" s="2" t="n">
        <x:v>0</x:v>
      </x:c>
      <x:c r="E391" s="9"/>
      <x:c r="F391" s="2" t="n">
        <x:f>IF(E391="",D391,IF(E391="U","U",IF(AND(ISNUMBER(E391),E391&gt;=0,E391&lt;=3,INT(E391)=E391),E391,"Invalid")))</x:f>
        <x:v>0</x:v>
      </x:c>
      <x:c r="G391" s="2" t="n">
        <x:f>IF(ISNUMBER(F391),1,0)</x:f>
        <x:v>1</x:v>
      </x:c>
      <x:c r="H391" s="2" t="n">
        <x:f>IF(ISNUMBER(F391),IF(F391&gt;=2,1,0),0)</x:f>
        <x:v>0</x:v>
      </x:c>
      <x:c r="I391" s="11" t="n">
        <x:f>IF(ISNUMBER(F391),2^F391-1,0)</x:f>
        <x:v>0</x:v>
      </x:c>
      <x:c r="J391" s="2" t="str">
        <x:v>Retained original 577</x:v>
      </x:c>
      <x:c r="K391" s="10" t="n">
        <x:v>5087</x:v>
      </x:c>
      <x:c r="L391" s="10" t="n">
        <x:v>2</x:v>
      </x:c>
      <x:c r="M391" s="10" t="n">
        <x:v>826</x:v>
      </x:c>
      <x:c r="N391" s="2" t="str">
        <x:v>D14</x:v>
      </x:c>
      <x:c r="O391" s="2" t="str">
        <x:v>condominium</x:v>
      </x:c>
      <x:c r="P391" s="2" t="str">
        <x:v>https://www.propertyguru.com.sg/listing/for-rent-lotus-at-paya-lebar-25135809</x:v>
      </x:c>
      <x:c r="Q391" s="12" t="str">
        <x:v>Hard failure: Rent (SGD/month) 5,087; required &lt;= 5,000.</x:v>
      </x:c>
      <x:c r="R391" s="13"/>
    </x:row>
    <x:row r="392" ht="15" hidden="0" customHeight="1">
      <x:c r="A392" s="2" t="str">
        <x:v>S16|500265661</x:v>
      </x:c>
      <x:c r="B392" s="2" t="str">
        <x:v>S16</x:v>
      </x:c>
      <x:c r="C392" s="2" t="str">
        <x:v>500265661</x:v>
      </x:c>
      <x:c r="D392" s="2" t="n">
        <x:v>0</x:v>
      </x:c>
      <x:c r="E392" s="9"/>
      <x:c r="F392" s="2" t="n">
        <x:f>IF(E392="",D392,IF(E392="U","U",IF(AND(ISNUMBER(E392),E392&gt;=0,E392&lt;=3,INT(E392)=E392),E392,"Invalid")))</x:f>
        <x:v>0</x:v>
      </x:c>
      <x:c r="G392" s="2" t="n">
        <x:f>IF(ISNUMBER(F392),1,0)</x:f>
        <x:v>1</x:v>
      </x:c>
      <x:c r="H392" s="2" t="n">
        <x:f>IF(ISNUMBER(F392),IF(F392&gt;=2,1,0),0)</x:f>
        <x:v>0</x:v>
      </x:c>
      <x:c r="I392" s="11" t="n">
        <x:f>IF(ISNUMBER(F392),2^F392-1,0)</x:f>
        <x:v>0</x:v>
      </x:c>
      <x:c r="J392" s="2" t="str">
        <x:v>Retained original 577</x:v>
      </x:c>
      <x:c r="K392" s="10" t="n">
        <x:v>4000</x:v>
      </x:c>
      <x:c r="L392" s="10" t="n">
        <x:v>1</x:v>
      </x:c>
      <x:c r="M392" s="10" t="n">
        <x:v>538</x:v>
      </x:c>
      <x:c r="N392" s="2" t="str">
        <x:v>D21</x:v>
      </x:c>
      <x:c r="O392" s="2" t="str">
        <x:v>condominium</x:v>
      </x:c>
      <x:c r="P392" s="2" t="str">
        <x:v>https://www.propertyguru.com.sg/listing/for-rent-pinetree-hill-500265661</x:v>
      </x:c>
      <x:c r="Q392" s="12" t="str">
        <x:v>Hard failure: Reported bedrooms 1; required &gt;= 2.</x:v>
      </x:c>
      <x:c r="R392" s="13"/>
    </x:row>
    <x:row r="393" ht="24" hidden="0" customHeight="1">
      <x:c r="A393" s="2" t="str">
        <x:v>S16|500281545</x:v>
      </x:c>
      <x:c r="B393" s="2" t="str">
        <x:v>S16</x:v>
      </x:c>
      <x:c r="C393" s="2" t="str">
        <x:v>500281545</x:v>
      </x:c>
      <x:c r="D393" s="2" t="n">
        <x:v>1</x:v>
      </x:c>
      <x:c r="E393" s="9"/>
      <x:c r="F393" s="2" t="n">
        <x:f>IF(E393="",D393,IF(E393="U","U",IF(AND(ISNUMBER(E393),E393&gt;=0,E393&lt;=3,INT(E393)=E393),E393,"Invalid")))</x:f>
        <x:v>1</x:v>
      </x:c>
      <x:c r="G393" s="2" t="n">
        <x:f>IF(ISNUMBER(F393),1,0)</x:f>
        <x:v>1</x:v>
      </x:c>
      <x:c r="H393" s="2" t="n">
        <x:f>IF(ISNUMBER(F393),IF(F393&gt;=2,1,0),0)</x:f>
        <x:v>0</x:v>
      </x:c>
      <x:c r="I393" s="11" t="n">
        <x:f>IF(ISNUMBER(F393),2^F393-1,0)</x:f>
        <x:v>1</x:v>
      </x:c>
      <x:c r="J393" s="2" t="str">
        <x:v>Retained original 577</x:v>
      </x:c>
      <x:c r="K393" s="10" t="n">
        <x:v>700</x:v>
      </x:c>
      <x:c r="L393" s="10" t="n">
        <x:v>3</x:v>
      </x:c>
      <x:c r="M393" s="10" t="n">
        <x:v>904</x:v>
      </x:c>
      <x:c r="N393" s="2" t="str">
        <x:v>D18</x:v>
      </x:c>
      <x:c r="O393" s="2" t="str">
        <x:v>hdb flat</x:v>
      </x:c>
      <x:c r="P393" s="2" t="str">
        <x:v>https://www.propertyguru.com.sg/listing/hdb-for-rent-832-tampines-street-82-500281545</x:v>
      </x:c>
      <x:c r="Q393" s="12" t="str">
        <x:v>Hard requirements pass. area 904 sqft, D18. The primary size target is unmet; D05 alone, where present, does not replace the space preference.</x:v>
      </x:c>
      <x:c r="R393" s="13"/>
    </x:row>
    <x:row r="394" ht="24" hidden="0" customHeight="1">
      <x:c r="A394" s="2" t="str">
        <x:v>S16|19221832</x:v>
      </x:c>
      <x:c r="B394" s="2" t="str">
        <x:v>S16</x:v>
      </x:c>
      <x:c r="C394" s="2" t="str">
        <x:v>19221832</x:v>
      </x:c>
      <x:c r="D394" s="2" t="n">
        <x:v>3</x:v>
      </x:c>
      <x:c r="E394" s="9"/>
      <x:c r="F394" s="2" t="n">
        <x:f>IF(E394="",D394,IF(E394="U","U",IF(AND(ISNUMBER(E394),E394&gt;=0,E394&lt;=3,INT(E394)=E394),E394,"Invalid")))</x:f>
        <x:v>3</x:v>
      </x:c>
      <x:c r="G394" s="2" t="n">
        <x:f>IF(ISNUMBER(F394),1,0)</x:f>
        <x:v>1</x:v>
      </x:c>
      <x:c r="H394" s="2" t="n">
        <x:f>IF(ISNUMBER(F394),IF(F394&gt;=2,1,0),0)</x:f>
        <x:v>1</x:v>
      </x:c>
      <x:c r="I394" s="11" t="n">
        <x:f>IF(ISNUMBER(F394),2^F394-1,0)</x:f>
        <x:v>7</x:v>
      </x:c>
      <x:c r="J394" s="2" t="str">
        <x:v>Retained original 577</x:v>
      </x:c>
      <x:c r="K394" s="10" t="n">
        <x:v>4200</x:v>
      </x:c>
      <x:c r="L394" s="10" t="n">
        <x:v>3</x:v>
      </x:c>
      <x:c r="M394" s="10" t="n">
        <x:v>1184</x:v>
      </x:c>
      <x:c r="N394" s="2" t="str">
        <x:v>D05</x:v>
      </x:c>
      <x:c r="O394" s="2" t="str">
        <x:v>hdb flat</x:v>
      </x:c>
      <x:c r="P394" s="2" t="str">
        <x:v>https://www.propertyguru.com.sg/listing/hdb-for-rent-458-clementi-avenue-3-19221832</x:v>
      </x:c>
      <x:c r="Q394" s="12" t="str">
        <x:v>Hard requirements pass. area 1,184 sqft, D05. Both the primary 1,000-sqft preference and D05 are met.</x:v>
      </x:c>
      <x:c r="R394" s="13"/>
    </x:row>
    <x:row r="395" ht="24" hidden="0" customHeight="1">
      <x:c r="A395" s="2" t="str">
        <x:v>S16|60023928</x:v>
      </x:c>
      <x:c r="B395" s="2" t="str">
        <x:v>S16</x:v>
      </x:c>
      <x:c r="C395" s="2" t="str">
        <x:v>60023928</x:v>
      </x:c>
      <x:c r="D395" s="2" t="n">
        <x:v>1</x:v>
      </x:c>
      <x:c r="E395" s="9"/>
      <x:c r="F395" s="2" t="n">
        <x:f>IF(E395="",D395,IF(E395="U","U",IF(AND(ISNUMBER(E395),E395&gt;=0,E395&lt;=3,INT(E395)=E395),E395,"Invalid")))</x:f>
        <x:v>1</x:v>
      </x:c>
      <x:c r="G395" s="2" t="n">
        <x:f>IF(ISNUMBER(F395),1,0)</x:f>
        <x:v>1</x:v>
      </x:c>
      <x:c r="H395" s="2" t="n">
        <x:f>IF(ISNUMBER(F395),IF(F395&gt;=2,1,0),0)</x:f>
        <x:v>0</x:v>
      </x:c>
      <x:c r="I395" s="11" t="n">
        <x:f>IF(ISNUMBER(F395),2^F395-1,0)</x:f>
        <x:v>1</x:v>
      </x:c>
      <x:c r="J395" s="2" t="str">
        <x:v>Retained original 577</x:v>
      </x:c>
      <x:c r="K395" s="10" t="n">
        <x:v>800</x:v>
      </x:c>
      <x:c r="L395" s="10" t="n">
        <x:v>2</x:v>
      </x:c>
      <x:c r="M395" s="10" t="n">
        <x:v>120</x:v>
      </x:c>
      <x:c r="N395" s="2" t="str">
        <x:v>D27</x:v>
      </x:c>
      <x:c r="O395" s="2" t="str">
        <x:v>hdb flat</x:v>
      </x:c>
      <x:c r="P395" s="2" t="str">
        <x:v>https://www.propertyguru.com.sg/listing/hdb-for-rent-203-yishun-street-21-60023928</x:v>
      </x:c>
      <x:c r="Q395" s="12" t="str">
        <x:v>Hard requirements pass. area 120 sqft, D27. The primary size target is unmet; D05 alone, where present, does not replace the space preference.</x:v>
      </x:c>
      <x:c r="R395" s="13"/>
    </x:row>
    <x:row r="396" ht="24" hidden="0" customHeight="1">
      <x:c r="A396" s="2" t="str">
        <x:v>S16|25299240</x:v>
      </x:c>
      <x:c r="B396" s="2" t="str">
        <x:v>S16</x:v>
      </x:c>
      <x:c r="C396" s="2" t="str">
        <x:v>25299240</x:v>
      </x:c>
      <x:c r="D396" s="2" t="n">
        <x:v>3</x:v>
      </x:c>
      <x:c r="E396" s="9"/>
      <x:c r="F396" s="2" t="n">
        <x:f>IF(E396="",D396,IF(E396="U","U",IF(AND(ISNUMBER(E396),E396&gt;=0,E396&lt;=3,INT(E396)=E396),E396,"Invalid")))</x:f>
        <x:v>3</x:v>
      </x:c>
      <x:c r="G396" s="2" t="n">
        <x:f>IF(ISNUMBER(F396),1,0)</x:f>
        <x:v>1</x:v>
      </x:c>
      <x:c r="H396" s="2" t="n">
        <x:f>IF(ISNUMBER(F396),IF(F396&gt;=2,1,0),0)</x:f>
        <x:v>1</x:v>
      </x:c>
      <x:c r="I396" s="11" t="n">
        <x:f>IF(ISNUMBER(F396),2^F396-1,0)</x:f>
        <x:v>7</x:v>
      </x:c>
      <x:c r="J396" s="2" t="str">
        <x:v>Retained original 577</x:v>
      </x:c>
      <x:c r="K396" s="10" t="n">
        <x:v>5000</x:v>
      </x:c>
      <x:c r="L396" s="10" t="n">
        <x:v>2</x:v>
      </x:c>
      <x:c r="M396" s="10" t="n">
        <x:v>1184</x:v>
      </x:c>
      <x:c r="N396" s="2" t="str">
        <x:v>D05</x:v>
      </x:c>
      <x:c r="O396" s="2" t="str">
        <x:v>condominium</x:v>
      </x:c>
      <x:c r="P396" s="2" t="str">
        <x:v>https://www.propertyguru.com.sg/listing/for-rent-clementiwoods-condominium-25299240</x:v>
      </x:c>
      <x:c r="Q396" s="12" t="str">
        <x:v>Hard requirements pass. area 1,184 sqft, D05. Both the primary 1,000-sqft preference and D05 are met.</x:v>
      </x:c>
      <x:c r="R396" s="13"/>
    </x:row>
    <x:row r="397" ht="24" hidden="0" customHeight="1">
      <x:c r="A397" s="2" t="str">
        <x:v>S16|22773305</x:v>
      </x:c>
      <x:c r="B397" s="2" t="str">
        <x:v>S16</x:v>
      </x:c>
      <x:c r="C397" s="2" t="str">
        <x:v>22773305</x:v>
      </x:c>
      <x:c r="D397" s="2" t="n">
        <x:v>3</x:v>
      </x:c>
      <x:c r="E397" s="9"/>
      <x:c r="F397" s="2" t="n">
        <x:f>IF(E397="",D397,IF(E397="U","U",IF(AND(ISNUMBER(E397),E397&gt;=0,E397&lt;=3,INT(E397)=E397),E397,"Invalid")))</x:f>
        <x:v>3</x:v>
      </x:c>
      <x:c r="G397" s="2" t="n">
        <x:f>IF(ISNUMBER(F397),1,0)</x:f>
        <x:v>1</x:v>
      </x:c>
      <x:c r="H397" s="2" t="n">
        <x:f>IF(ISNUMBER(F397),IF(F397&gt;=2,1,0),0)</x:f>
        <x:v>1</x:v>
      </x:c>
      <x:c r="I397" s="11" t="n">
        <x:f>IF(ISNUMBER(F397),2^F397-1,0)</x:f>
        <x:v>7</x:v>
      </x:c>
      <x:c r="J397" s="2" t="str">
        <x:v>Retained original 577</x:v>
      </x:c>
      <x:c r="K397" s="10" t="n">
        <x:v>4500</x:v>
      </x:c>
      <x:c r="L397" s="10" t="n">
        <x:v>3</x:v>
      </x:c>
      <x:c r="M397" s="10" t="n">
        <x:v>1259</x:v>
      </x:c>
      <x:c r="N397" s="2" t="str">
        <x:v>D05</x:v>
      </x:c>
      <x:c r="O397" s="2" t="str">
        <x:v>hdb flat</x:v>
      </x:c>
      <x:c r="P397" s="2" t="str">
        <x:v>https://www.propertyguru.com.sg/listing/hdb-for-rent-355-clementi-avenue-2-22773305</x:v>
      </x:c>
      <x:c r="Q397" s="12" t="str">
        <x:v>Hard requirements pass. area 1,259 sqft, D05. Both the primary 1,000-sqft preference and D05 are met.</x:v>
      </x:c>
      <x:c r="R397" s="13"/>
    </x:row>
    <x:row r="398" ht="15" hidden="0" customHeight="1">
      <x:c r="A398" s="2" t="str">
        <x:v>S16|500232123</x:v>
      </x:c>
      <x:c r="B398" s="2" t="str">
        <x:v>S16</x:v>
      </x:c>
      <x:c r="C398" s="2" t="str">
        <x:v>500232123</x:v>
      </x:c>
      <x:c r="D398" s="2" t="n">
        <x:v>0</x:v>
      </x:c>
      <x:c r="E398" s="9"/>
      <x:c r="F398" s="2" t="n">
        <x:f>IF(E398="",D398,IF(E398="U","U",IF(AND(ISNUMBER(E398),E398&gt;=0,E398&lt;=3,INT(E398)=E398),E398,"Invalid")))</x:f>
        <x:v>0</x:v>
      </x:c>
      <x:c r="G398" s="2" t="n">
        <x:f>IF(ISNUMBER(F398),1,0)</x:f>
        <x:v>1</x:v>
      </x:c>
      <x:c r="H398" s="2" t="n">
        <x:f>IF(ISNUMBER(F398),IF(F398&gt;=2,1,0),0)</x:f>
        <x:v>0</x:v>
      </x:c>
      <x:c r="I398" s="11" t="n">
        <x:f>IF(ISNUMBER(F398),2^F398-1,0)</x:f>
        <x:v>0</x:v>
      </x:c>
      <x:c r="J398" s="2" t="str">
        <x:v>Retained original 577</x:v>
      </x:c>
      <x:c r="K398" s="10" t="n">
        <x:v>1550</x:v>
      </x:c>
      <x:c r="L398" s="10" t="n">
        <x:v>1</x:v>
      </x:c>
      <x:c r="M398" s="10" t="n">
        <x:v>200</x:v>
      </x:c>
      <x:c r="N398" s="2" t="str">
        <x:v>D09</x:v>
      </x:c>
      <x:c r="O398" s="2" t="str">
        <x:v>apartment</x:v>
      </x:c>
      <x:c r="P398" s="2" t="str">
        <x:v>https://www.propertyguru.com.sg/listing/for-rent-280-river-valley-road-500232123</x:v>
      </x:c>
      <x:c r="Q398" s="12" t="str">
        <x:v>Hard failure: Reported bedrooms 1; required &gt;= 2.</x:v>
      </x:c>
      <x:c r="R398" s="13"/>
    </x:row>
    <x:row r="399" ht="24" hidden="0" customHeight="1">
      <x:c r="A399" s="2" t="str">
        <x:v>S16|24808155</x:v>
      </x:c>
      <x:c r="B399" s="2" t="str">
        <x:v>S16</x:v>
      </x:c>
      <x:c r="C399" s="2" t="str">
        <x:v>24808155</x:v>
      </x:c>
      <x:c r="D399" s="2" t="n">
        <x:v>1</x:v>
      </x:c>
      <x:c r="E399" s="9"/>
      <x:c r="F399" s="2" t="n">
        <x:f>IF(E399="",D399,IF(E399="U","U",IF(AND(ISNUMBER(E399),E399&gt;=0,E399&lt;=3,INT(E399)=E399),E399,"Invalid")))</x:f>
        <x:v>1</x:v>
      </x:c>
      <x:c r="G399" s="2" t="n">
        <x:f>IF(ISNUMBER(F399),1,0)</x:f>
        <x:v>1</x:v>
      </x:c>
      <x:c r="H399" s="2" t="n">
        <x:f>IF(ISNUMBER(F399),IF(F399&gt;=2,1,0),0)</x:f>
        <x:v>0</x:v>
      </x:c>
      <x:c r="I399" s="11" t="n">
        <x:f>IF(ISNUMBER(F399),2^F399-1,0)</x:f>
        <x:v>1</x:v>
      </x:c>
      <x:c r="J399" s="2" t="str">
        <x:v>Retained original 577</x:v>
      </x:c>
      <x:c r="K399" s="10" t="n">
        <x:v>3850</x:v>
      </x:c>
      <x:c r="L399" s="10" t="n">
        <x:v>2</x:v>
      </x:c>
      <x:c r="M399" s="10" t="n">
        <x:v>710</x:v>
      </x:c>
      <x:c r="N399" s="2" t="str">
        <x:v>D23</x:v>
      </x:c>
      <x:c r="O399" s="2" t="str">
        <x:v>condominium</x:v>
      </x:c>
      <x:c r="P399" s="2" t="str">
        <x:v>https://www.propertyguru.com.sg/listing/for-rent-dairy-farm-residences-24808155</x:v>
      </x:c>
      <x:c r="Q399" s="12" t="str">
        <x:v>Hard requirements pass. area 710 sqft, D23. The primary size target is unmet; D05 alone, where present, does not replace the space preference.</x:v>
      </x:c>
      <x:c r="R399" s="13"/>
    </x:row>
    <x:row r="400" ht="15" hidden="0" customHeight="1">
      <x:c r="A400" s="2" t="str">
        <x:v>S16|20355486</x:v>
      </x:c>
      <x:c r="B400" s="2" t="str">
        <x:v>S16</x:v>
      </x:c>
      <x:c r="C400" s="2" t="str">
        <x:v>20355486</x:v>
      </x:c>
      <x:c r="D400" s="2" t="str">
        <x:v>U</x:v>
      </x:c>
      <x:c r="E400" s="9"/>
      <x:c r="F400" s="2" t="str">
        <x:f>IF(E400="",D400,IF(E400="U","U",IF(AND(ISNUMBER(E400),E400&gt;=0,E400&lt;=3,INT(E400)=E400),E400,"Invalid")))</x:f>
        <x:v>U</x:v>
      </x:c>
      <x:c r="G400" s="2" t="n">
        <x:f>IF(ISNUMBER(F400),1,0)</x:f>
        <x:v>0</x:v>
      </x:c>
      <x:c r="H400" s="2" t="n">
        <x:f>IF(ISNUMBER(F400),IF(F400&gt;=2,1,0),0)</x:f>
        <x:v>0</x:v>
      </x:c>
      <x:c r="I400" s="11" t="n">
        <x:f>IF(ISNUMBER(F400),2^F400-1,0)</x:f>
        <x:v>0</x:v>
      </x:c>
      <x:c r="J400" s="2" t="str">
        <x:v>Retained original 577</x:v>
      </x:c>
      <x:c r="K400" s="10" t="n">
        <x:v>1500</x:v>
      </x:c>
      <x:c r="L400" s="10"/>
      <x:c r="M400" s="10" t="n">
        <x:v>200</x:v>
      </x:c>
      <x:c r="N400" s="2" t="str">
        <x:v>D19</x:v>
      </x:c>
      <x:c r="O400" s="2" t="str">
        <x:v>terraced house</x:v>
      </x:c>
      <x:c r="P400" s="2" t="str">
        <x:v>https://www.propertyguru.com.sg/listing/for-rent-chuan-hoe-ave-20355486</x:v>
      </x:c>
      <x:c r="Q400" s="12" t="str">
        <x:v>No known hard failure. Cannot verify: reported bedrooms.</x:v>
      </x:c>
      <x:c r="R400" s="13"/>
    </x:row>
    <x:row r="401" ht="24" hidden="0" customHeight="1">
      <x:c r="A401" s="2" t="str">
        <x:v>S16|500276083</x:v>
      </x:c>
      <x:c r="B401" s="2" t="str">
        <x:v>S16</x:v>
      </x:c>
      <x:c r="C401" s="2" t="str">
        <x:v>500276083</x:v>
      </x:c>
      <x:c r="D401" s="2" t="n">
        <x:v>1</x:v>
      </x:c>
      <x:c r="E401" s="9"/>
      <x:c r="F401" s="2" t="n">
        <x:f>IF(E401="",D401,IF(E401="U","U",IF(AND(ISNUMBER(E401),E401&gt;=0,E401&lt;=3,INT(E401)=E401),E401,"Invalid")))</x:f>
        <x:v>1</x:v>
      </x:c>
      <x:c r="G401" s="2" t="n">
        <x:f>IF(ISNUMBER(F401),1,0)</x:f>
        <x:v>1</x:v>
      </x:c>
      <x:c r="H401" s="2" t="n">
        <x:f>IF(ISNUMBER(F401),IF(F401&gt;=2,1,0),0)</x:f>
        <x:v>0</x:v>
      </x:c>
      <x:c r="I401" s="11" t="n">
        <x:f>IF(ISNUMBER(F401),2^F401-1,0)</x:f>
        <x:v>1</x:v>
      </x:c>
      <x:c r="J401" s="2" t="str">
        <x:v>Retained original 577</x:v>
      </x:c>
      <x:c r="K401" s="10" t="n">
        <x:v>3900</x:v>
      </x:c>
      <x:c r="L401" s="10" t="n">
        <x:v>2</x:v>
      </x:c>
      <x:c r="M401" s="10" t="n">
        <x:v>947</x:v>
      </x:c>
      <x:c r="N401" s="2" t="str">
        <x:v>D16</x:v>
      </x:c>
      <x:c r="O401" s="2" t="str">
        <x:v>condominium</x:v>
      </x:c>
      <x:c r="P401" s="2" t="str">
        <x:v>https://www.propertyguru.com.sg/listing/for-rent-the-bayshore-500276083</x:v>
      </x:c>
      <x:c r="Q401" s="12" t="str">
        <x:v>Hard requirements pass. area 947 sqft, D16. The primary size target is unmet; D05 alone, where present, does not replace the space preference.</x:v>
      </x:c>
      <x:c r="R401" s="13"/>
    </x:row>
    <x:row r="402" ht="24" hidden="0" customHeight="1">
      <x:c r="A402" s="2" t="str">
        <x:v>S16|24465175</x:v>
      </x:c>
      <x:c r="B402" s="2" t="str">
        <x:v>S16</x:v>
      </x:c>
      <x:c r="C402" s="2" t="str">
        <x:v>24465175</x:v>
      </x:c>
      <x:c r="D402" s="2" t="n">
        <x:v>2</x:v>
      </x:c>
      <x:c r="E402" s="9"/>
      <x:c r="F402" s="2" t="n">
        <x:f>IF(E402="",D402,IF(E402="U","U",IF(AND(ISNUMBER(E402),E402&gt;=0,E402&lt;=3,INT(E402)=E402),E402,"Invalid")))</x:f>
        <x:v>2</x:v>
      </x:c>
      <x:c r="G402" s="2" t="n">
        <x:f>IF(ISNUMBER(F402),1,0)</x:f>
        <x:v>1</x:v>
      </x:c>
      <x:c r="H402" s="2" t="n">
        <x:f>IF(ISNUMBER(F402),IF(F402&gt;=2,1,0),0)</x:f>
        <x:v>1</x:v>
      </x:c>
      <x:c r="I402" s="11" t="n">
        <x:f>IF(ISNUMBER(F402),2^F402-1,0)</x:f>
        <x:v>3</x:v>
      </x:c>
      <x:c r="J402" s="2" t="str">
        <x:v>Retained original 577</x:v>
      </x:c>
      <x:c r="K402" s="10" t="n">
        <x:v>4700</x:v>
      </x:c>
      <x:c r="L402" s="10" t="n">
        <x:v>2</x:v>
      </x:c>
      <x:c r="M402" s="10" t="n">
        <x:v>980</x:v>
      </x:c>
      <x:c r="N402" s="2" t="str">
        <x:v>D05</x:v>
      </x:c>
      <x:c r="O402" s="2" t="str">
        <x:v>condominium</x:v>
      </x:c>
      <x:c r="P402" s="2" t="str">
        <x:v>https://www.propertyguru.com.sg/listing/for-rent-the-parc-condominium-24465175</x:v>
      </x:c>
      <x:c r="Q402" s="12" t="str">
        <x:v>Hard requirements pass. area 980 sqft, D05. The area is very close to the soft target and D05 is met.</x:v>
      </x:c>
      <x:c r="R402" s="13"/>
    </x:row>
    <x:row r="403" ht="24" hidden="0" customHeight="1">
      <x:c r="A403" s="2" t="str">
        <x:v>S16|25544801</x:v>
      </x:c>
      <x:c r="B403" s="2" t="str">
        <x:v>S16</x:v>
      </x:c>
      <x:c r="C403" s="2" t="str">
        <x:v>25544801</x:v>
      </x:c>
      <x:c r="D403" s="2" t="n">
        <x:v>1</x:v>
      </x:c>
      <x:c r="E403" s="9"/>
      <x:c r="F403" s="2" t="n">
        <x:f>IF(E403="",D403,IF(E403="U","U",IF(AND(ISNUMBER(E403),E403&gt;=0,E403&lt;=3,INT(E403)=E403),E403,"Invalid")))</x:f>
        <x:v>1</x:v>
      </x:c>
      <x:c r="G403" s="2" t="n">
        <x:f>IF(ISNUMBER(F403),1,0)</x:f>
        <x:v>1</x:v>
      </x:c>
      <x:c r="H403" s="2" t="n">
        <x:f>IF(ISNUMBER(F403),IF(F403&gt;=2,1,0),0)</x:f>
        <x:v>0</x:v>
      </x:c>
      <x:c r="I403" s="11" t="n">
        <x:f>IF(ISNUMBER(F403),2^F403-1,0)</x:f>
        <x:v>1</x:v>
      </x:c>
      <x:c r="J403" s="2" t="str">
        <x:v>Retained original 577</x:v>
      </x:c>
      <x:c r="K403" s="10" t="n">
        <x:v>950</x:v>
      </x:c>
      <x:c r="L403" s="10" t="n">
        <x:v>7</x:v>
      </x:c>
      <x:c r="M403" s="10" t="n">
        <x:v>100</x:v>
      </x:c>
      <x:c r="N403" s="2" t="str">
        <x:v>D16</x:v>
      </x:c>
      <x:c r="O403" s="2" t="str">
        <x:v>condominium</x:v>
      </x:c>
      <x:c r="P403" s="2" t="str">
        <x:v>https://www.propertyguru.com.sg/listing/for-rent-the-bayshore-25544801</x:v>
      </x:c>
      <x:c r="Q403" s="12" t="str">
        <x:v>Hard requirements pass. area 100 sqft, D16. The primary size target is unmet; D05 alone, where present, does not replace the space preference.</x:v>
      </x:c>
      <x:c r="R403" s="13"/>
    </x:row>
    <x:row r="404" ht="24" hidden="0" customHeight="1">
      <x:c r="A404" s="2" t="str">
        <x:v>S16|500027180</x:v>
      </x:c>
      <x:c r="B404" s="2" t="str">
        <x:v>S16</x:v>
      </x:c>
      <x:c r="C404" s="2" t="str">
        <x:v>500027180</x:v>
      </x:c>
      <x:c r="D404" s="2" t="n">
        <x:v>2</x:v>
      </x:c>
      <x:c r="E404" s="9"/>
      <x:c r="F404" s="2" t="n">
        <x:f>IF(E404="",D404,IF(E404="U","U",IF(AND(ISNUMBER(E404),E404&gt;=0,E404&lt;=3,INT(E404)=E404),E404,"Invalid")))</x:f>
        <x:v>2</x:v>
      </x:c>
      <x:c r="G404" s="2" t="n">
        <x:f>IF(ISNUMBER(F404),1,0)</x:f>
        <x:v>1</x:v>
      </x:c>
      <x:c r="H404" s="2" t="n">
        <x:f>IF(ISNUMBER(F404),IF(F404&gt;=2,1,0),0)</x:f>
        <x:v>1</x:v>
      </x:c>
      <x:c r="I404" s="11" t="n">
        <x:f>IF(ISNUMBER(F404),2^F404-1,0)</x:f>
        <x:v>3</x:v>
      </x:c>
      <x:c r="J404" s="2" t="str">
        <x:v>Retained original 577</x:v>
      </x:c>
      <x:c r="K404" s="10" t="n">
        <x:v>4499</x:v>
      </x:c>
      <x:c r="L404" s="10" t="n">
        <x:v>3</x:v>
      </x:c>
      <x:c r="M404" s="10" t="n">
        <x:v>1152</x:v>
      </x:c>
      <x:c r="N404" s="2" t="str">
        <x:v>D19</x:v>
      </x:c>
      <x:c r="O404" s="2" t="str">
        <x:v>condominium</x:v>
      </x:c>
      <x:c r="P404" s="2" t="str">
        <x:v>https://www.propertyguru.com.sg/listing/for-rent-regentville-500027180</x:v>
      </x:c>
      <x:c r="Q404" s="12" t="str">
        <x:v>Hard requirements pass. area 1,152 sqft, D19. The primary size preference is met, with a trade-off outside D05.</x:v>
      </x:c>
      <x:c r="R404" s="13"/>
    </x:row>
    <x:row r="405" ht="15" hidden="0" customHeight="1">
      <x:c r="A405" s="2" t="str">
        <x:v>S16|500272940</x:v>
      </x:c>
      <x:c r="B405" s="2" t="str">
        <x:v>S16</x:v>
      </x:c>
      <x:c r="C405" s="2" t="str">
        <x:v>500272940</x:v>
      </x:c>
      <x:c r="D405" s="2" t="n">
        <x:v>0</x:v>
      </x:c>
      <x:c r="E405" s="9"/>
      <x:c r="F405" s="2" t="n">
        <x:f>IF(E405="",D405,IF(E405="U","U",IF(AND(ISNUMBER(E405),E405&gt;=0,E405&lt;=3,INT(E405)=E405),E405,"Invalid")))</x:f>
        <x:v>0</x:v>
      </x:c>
      <x:c r="G405" s="2" t="n">
        <x:f>IF(ISNUMBER(F405),1,0)</x:f>
        <x:v>1</x:v>
      </x:c>
      <x:c r="H405" s="2" t="n">
        <x:f>IF(ISNUMBER(F405),IF(F405&gt;=2,1,0),0)</x:f>
        <x:v>0</x:v>
      </x:c>
      <x:c r="I405" s="11" t="n">
        <x:f>IF(ISNUMBER(F405),2^F405-1,0)</x:f>
        <x:v>0</x:v>
      </x:c>
      <x:c r="J405" s="2" t="str">
        <x:v>Retained original 577</x:v>
      </x:c>
      <x:c r="K405" s="10" t="n">
        <x:v>5050</x:v>
      </x:c>
      <x:c r="L405" s="10" t="n">
        <x:v>3</x:v>
      </x:c>
      <x:c r="M405" s="10" t="n">
        <x:v>1151</x:v>
      </x:c>
      <x:c r="N405" s="2" t="str">
        <x:v>D13</x:v>
      </x:c>
      <x:c r="O405" s="2" t="str">
        <x:v>condominium</x:v>
      </x:c>
      <x:c r="P405" s="2" t="str">
        <x:v>https://www.propertyguru.com.sg/listing/for-rent-sky-green-500272940</x:v>
      </x:c>
      <x:c r="Q405" s="12" t="str">
        <x:v>Hard failure: Rent (SGD/month) 5,050; required &lt;= 5,000.</x:v>
      </x:c>
      <x:c r="R405" s="13"/>
    </x:row>
    <x:row r="406" ht="15" hidden="0" customHeight="1">
      <x:c r="A406" s="2" t="str">
        <x:v>S17|24205038</x:v>
      </x:c>
      <x:c r="B406" s="2" t="str">
        <x:v>S17</x:v>
      </x:c>
      <x:c r="C406" s="2" t="str">
        <x:v>24205038</x:v>
      </x:c>
      <x:c r="D406" s="2" t="n">
        <x:v>0</x:v>
      </x:c>
      <x:c r="E406" s="9"/>
      <x:c r="F406" s="2" t="n">
        <x:f>IF(E406="",D406,IF(E406="U","U",IF(AND(ISNUMBER(E406),E406&gt;=0,E406&lt;=3,INT(E406)=E406),E406,"Invalid")))</x:f>
        <x:v>0</x:v>
      </x:c>
      <x:c r="G406" s="2" t="n">
        <x:f>IF(ISNUMBER(F406),1,0)</x:f>
        <x:v>1</x:v>
      </x:c>
      <x:c r="H406" s="2" t="n">
        <x:f>IF(ISNUMBER(F406),IF(F406&gt;=2,1,0),0)</x:f>
        <x:v>0</x:v>
      </x:c>
      <x:c r="I406" s="11" t="n">
        <x:f>IF(ISNUMBER(F406),2^F406-1,0)</x:f>
        <x:v>0</x:v>
      </x:c>
      <x:c r="J406" s="2" t="str">
        <x:v>Retained original 577</x:v>
      </x:c>
      <x:c r="K406" s="10" t="n">
        <x:v>1590</x:v>
      </x:c>
      <x:c r="L406" s="10" t="n">
        <x:v>1</x:v>
      </x:c>
      <x:c r="M406" s="10" t="n">
        <x:v>150</x:v>
      </x:c>
      <x:c r="N406" s="2" t="str">
        <x:v>D05</x:v>
      </x:c>
      <x:c r="O406" s="2" t="str">
        <x:v>terraced house</x:v>
      </x:c>
      <x:c r="P406" s="2" t="str">
        <x:v>https://www.propertyguru.com.sg/listing/for-rent-west-coast-drive-24205038</x:v>
      </x:c>
      <x:c r="Q406" s="12" t="str">
        <x:v>Hard failure: Reported bedrooms 1; required &gt;= 2.</x:v>
      </x:c>
      <x:c r="R406" s="13"/>
    </x:row>
    <x:row r="407" ht="15" hidden="0" customHeight="1">
      <x:c r="A407" s="2" t="str">
        <x:v>S17|500256005</x:v>
      </x:c>
      <x:c r="B407" s="2" t="str">
        <x:v>S17</x:v>
      </x:c>
      <x:c r="C407" s="2" t="str">
        <x:v>500256005</x:v>
      </x:c>
      <x:c r="D407" s="2" t="n">
        <x:v>0</x:v>
      </x:c>
      <x:c r="E407" s="9"/>
      <x:c r="F407" s="2" t="n">
        <x:f>IF(E407="",D407,IF(E407="U","U",IF(AND(ISNUMBER(E407),E407&gt;=0,E407&lt;=3,INT(E407)=E407),E407,"Invalid")))</x:f>
        <x:v>0</x:v>
      </x:c>
      <x:c r="G407" s="2" t="n">
        <x:f>IF(ISNUMBER(F407),1,0)</x:f>
        <x:v>1</x:v>
      </x:c>
      <x:c r="H407" s="2" t="n">
        <x:f>IF(ISNUMBER(F407),IF(F407&gt;=2,1,0),0)</x:f>
        <x:v>0</x:v>
      </x:c>
      <x:c r="I407" s="11" t="n">
        <x:f>IF(ISNUMBER(F407),2^F407-1,0)</x:f>
        <x:v>0</x:v>
      </x:c>
      <x:c r="J407" s="2" t="str">
        <x:v>Retained original 577</x:v>
      </x:c>
      <x:c r="K407" s="10" t="n">
        <x:v>3100</x:v>
      </x:c>
      <x:c r="L407" s="10" t="n">
        <x:v>2</x:v>
      </x:c>
      <x:c r="M407" s="10" t="n">
        <x:v>67</x:v>
      </x:c>
      <x:c r="N407" s="2" t="str">
        <x:v>D05</x:v>
      </x:c>
      <x:c r="O407" s="2" t="str">
        <x:v>hdb flat</x:v>
      </x:c>
      <x:c r="P407" s="2" t="str">
        <x:v>https://www.propertyguru.com.sg/listing/hdb-for-rent-351-clementi-avenue-2-500256005</x:v>
      </x:c>
      <x:c r="Q407" s="12" t="str">
        <x:v>Hard failure: Rent (SGD/month) 3,100; required &lt;= 3,000.</x:v>
      </x:c>
      <x:c r="R407" s="13"/>
    </x:row>
    <x:row r="408" ht="15" hidden="0" customHeight="1">
      <x:c r="A408" s="2" t="str">
        <x:v>S17|23839651</x:v>
      </x:c>
      <x:c r="B408" s="2" t="str">
        <x:v>S17</x:v>
      </x:c>
      <x:c r="C408" s="2" t="str">
        <x:v>23839651</x:v>
      </x:c>
      <x:c r="D408" s="2" t="n">
        <x:v>0</x:v>
      </x:c>
      <x:c r="E408" s="9"/>
      <x:c r="F408" s="2" t="n">
        <x:f>IF(E408="",D408,IF(E408="U","U",IF(AND(ISNUMBER(E408),E408&gt;=0,E408&lt;=3,INT(E408)=E408),E408,"Invalid")))</x:f>
        <x:v>0</x:v>
      </x:c>
      <x:c r="G408" s="2" t="n">
        <x:f>IF(ISNUMBER(F408),1,0)</x:f>
        <x:v>1</x:v>
      </x:c>
      <x:c r="H408" s="2" t="n">
        <x:f>IF(ISNUMBER(F408),IF(F408&gt;=2,1,0),0)</x:f>
        <x:v>0</x:v>
      </x:c>
      <x:c r="I408" s="11" t="n">
        <x:f>IF(ISNUMBER(F408),2^F408-1,0)</x:f>
        <x:v>0</x:v>
      </x:c>
      <x:c r="J408" s="2" t="str">
        <x:v>Retained original 577</x:v>
      </x:c>
      <x:c r="K408" s="10" t="n">
        <x:v>1450</x:v>
      </x:c>
      <x:c r="L408" s="10" t="n">
        <x:v>1</x:v>
      </x:c>
      <x:c r="M408" s="10" t="n">
        <x:v>721</x:v>
      </x:c>
      <x:c r="N408" s="2" t="str">
        <x:v>D05</x:v>
      </x:c>
      <x:c r="O408" s="2" t="str">
        <x:v>hdb flat</x:v>
      </x:c>
      <x:c r="P408" s="2" t="str">
        <x:v>https://www.propertyguru.com.sg/listing/hdb-for-rent-701-west-coast-road-23839651</x:v>
      </x:c>
      <x:c r="Q408" s="12" t="str">
        <x:v>Hard failure: Reported bedrooms 1; required &gt;= 2.</x:v>
      </x:c>
      <x:c r="R408" s="13"/>
    </x:row>
    <x:row r="409" ht="15" hidden="0" customHeight="1">
      <x:c r="A409" s="2" t="str">
        <x:v>S17|20205305</x:v>
      </x:c>
      <x:c r="B409" s="2" t="str">
        <x:v>S17</x:v>
      </x:c>
      <x:c r="C409" s="2" t="str">
        <x:v>20205305</x:v>
      </x:c>
      <x:c r="D409" s="2" t="n">
        <x:v>0</x:v>
      </x:c>
      <x:c r="E409" s="9"/>
      <x:c r="F409" s="2" t="n">
        <x:f>IF(E409="",D409,IF(E409="U","U",IF(AND(ISNUMBER(E409),E409&gt;=0,E409&lt;=3,INT(E409)=E409),E409,"Invalid")))</x:f>
        <x:v>0</x:v>
      </x:c>
      <x:c r="G409" s="2" t="n">
        <x:f>IF(ISNUMBER(F409),1,0)</x:f>
        <x:v>1</x:v>
      </x:c>
      <x:c r="H409" s="2" t="n">
        <x:f>IF(ISNUMBER(F409),IF(F409&gt;=2,1,0),0)</x:f>
        <x:v>0</x:v>
      </x:c>
      <x:c r="I409" s="11" t="n">
        <x:f>IF(ISNUMBER(F409),2^F409-1,0)</x:f>
        <x:v>0</x:v>
      </x:c>
      <x:c r="J409" s="2" t="str">
        <x:v>Retained original 577</x:v>
      </x:c>
      <x:c r="K409" s="10" t="n">
        <x:v>3200</x:v>
      </x:c>
      <x:c r="L409" s="10" t="n">
        <x:v>2</x:v>
      </x:c>
      <x:c r="M409" s="10" t="n">
        <x:v>721</x:v>
      </x:c>
      <x:c r="N409" s="2" t="str">
        <x:v>D05</x:v>
      </x:c>
      <x:c r="O409" s="2" t="str">
        <x:v>hdb flat</x:v>
      </x:c>
      <x:c r="P409" s="2" t="str">
        <x:v>https://www.propertyguru.com.sg/listing/hdb-for-rent-379-clementi-avenue-5-20205305</x:v>
      </x:c>
      <x:c r="Q409" s="12" t="str">
        <x:v>Hard failure: Rent (SGD/month) 3,200; required &lt;= 3,000.</x:v>
      </x:c>
      <x:c r="R409" s="13"/>
    </x:row>
    <x:row r="410" ht="15" hidden="0" customHeight="1">
      <x:c r="A410" s="2" t="str">
        <x:v>S17|25608818</x:v>
      </x:c>
      <x:c r="B410" s="2" t="str">
        <x:v>S17</x:v>
      </x:c>
      <x:c r="C410" s="2" t="str">
        <x:v>25608818</x:v>
      </x:c>
      <x:c r="D410" s="2" t="n">
        <x:v>0</x:v>
      </x:c>
      <x:c r="E410" s="9"/>
      <x:c r="F410" s="2" t="n">
        <x:f>IF(E410="",D410,IF(E410="U","U",IF(AND(ISNUMBER(E410),E410&gt;=0,E410&lt;=3,INT(E410)=E410),E410,"Invalid")))</x:f>
        <x:v>0</x:v>
      </x:c>
      <x:c r="G410" s="2" t="n">
        <x:f>IF(ISNUMBER(F410),1,0)</x:f>
        <x:v>1</x:v>
      </x:c>
      <x:c r="H410" s="2" t="n">
        <x:f>IF(ISNUMBER(F410),IF(F410&gt;=2,1,0),0)</x:f>
        <x:v>0</x:v>
      </x:c>
      <x:c r="I410" s="11" t="n">
        <x:f>IF(ISNUMBER(F410),2^F410-1,0)</x:f>
        <x:v>0</x:v>
      </x:c>
      <x:c r="J410" s="2" t="str">
        <x:v>Retained original 577</x:v>
      </x:c>
      <x:c r="K410" s="10" t="n">
        <x:v>1800</x:v>
      </x:c>
      <x:c r="L410" s="10" t="n">
        <x:v>1</x:v>
      </x:c>
      <x:c r="M410" s="10" t="n">
        <x:v>200</x:v>
      </x:c>
      <x:c r="N410" s="2" t="str">
        <x:v>D05</x:v>
      </x:c>
      <x:c r="O410" s="2" t="str">
        <x:v>corner terrace</x:v>
      </x:c>
      <x:c r="P410" s="2" t="str">
        <x:v>https://www.propertyguru.com.sg/listing/for-rent-170-pasir-panjang-road-25608818</x:v>
      </x:c>
      <x:c r="Q410" s="12" t="str">
        <x:v>Hard failure: Reported bedrooms 1; required &gt;= 2.</x:v>
      </x:c>
      <x:c r="R410" s="13"/>
    </x:row>
    <x:row r="411" ht="15" hidden="0" customHeight="1">
      <x:c r="A411" s="2" t="str">
        <x:v>S17|500173631</x:v>
      </x:c>
      <x:c r="B411" s="2" t="str">
        <x:v>S17</x:v>
      </x:c>
      <x:c r="C411" s="2" t="str">
        <x:v>500173631</x:v>
      </x:c>
      <x:c r="D411" s="2" t="n">
        <x:v>0</x:v>
      </x:c>
      <x:c r="E411" s="9"/>
      <x:c r="F411" s="2" t="n">
        <x:f>IF(E411="",D411,IF(E411="U","U",IF(AND(ISNUMBER(E411),E411&gt;=0,E411&lt;=3,INT(E411)=E411),E411,"Invalid")))</x:f>
        <x:v>0</x:v>
      </x:c>
      <x:c r="G411" s="2" t="n">
        <x:f>IF(ISNUMBER(F411),1,0)</x:f>
        <x:v>1</x:v>
      </x:c>
      <x:c r="H411" s="2" t="n">
        <x:f>IF(ISNUMBER(F411),IF(F411&gt;=2,1,0),0)</x:f>
        <x:v>0</x:v>
      </x:c>
      <x:c r="I411" s="11" t="n">
        <x:f>IF(ISNUMBER(F411),2^F411-1,0)</x:f>
        <x:v>0</x:v>
      </x:c>
      <x:c r="J411" s="2" t="str">
        <x:v>Retained original 577</x:v>
      </x:c>
      <x:c r="K411" s="10" t="n">
        <x:v>3000</x:v>
      </x:c>
      <x:c r="L411" s="10" t="n">
        <x:v>2</x:v>
      </x:c>
      <x:c r="M411" s="10" t="n">
        <x:v>645</x:v>
      </x:c>
      <x:c r="N411" s="2" t="str">
        <x:v>D12</x:v>
      </x:c>
      <x:c r="O411" s="2" t="str">
        <x:v>hdb flat</x:v>
      </x:c>
      <x:c r="P411" s="2" t="str">
        <x:v>https://www.propertyguru.com.sg/listing/hdb-for-rent-94-lorong-4-toa-payoh-500173631</x:v>
      </x:c>
      <x:c r="Q411" s="12" t="str">
        <x:v>Hard failure: District D12; required = D05.</x:v>
      </x:c>
      <x:c r="R411" s="13"/>
    </x:row>
    <x:row r="412" ht="15" hidden="0" customHeight="1">
      <x:c r="A412" s="2" t="str">
        <x:v>S17|20160391</x:v>
      </x:c>
      <x:c r="B412" s="2" t="str">
        <x:v>S17</x:v>
      </x:c>
      <x:c r="C412" s="2" t="str">
        <x:v>20160391</x:v>
      </x:c>
      <x:c r="D412" s="2" t="n">
        <x:v>0</x:v>
      </x:c>
      <x:c r="E412" s="9"/>
      <x:c r="F412" s="2" t="n">
        <x:f>IF(E412="",D412,IF(E412="U","U",IF(AND(ISNUMBER(E412),E412&gt;=0,E412&lt;=3,INT(E412)=E412),E412,"Invalid")))</x:f>
        <x:v>0</x:v>
      </x:c>
      <x:c r="G412" s="2" t="n">
        <x:f>IF(ISNUMBER(F412),1,0)</x:f>
        <x:v>1</x:v>
      </x:c>
      <x:c r="H412" s="2" t="n">
        <x:f>IF(ISNUMBER(F412),IF(F412&gt;=2,1,0),0)</x:f>
        <x:v>0</x:v>
      </x:c>
      <x:c r="I412" s="11" t="n">
        <x:f>IF(ISNUMBER(F412),2^F412-1,0)</x:f>
        <x:v>0</x:v>
      </x:c>
      <x:c r="J412" s="2" t="str">
        <x:v>Retained original 577</x:v>
      </x:c>
      <x:c r="K412" s="10" t="n">
        <x:v>2800</x:v>
      </x:c>
      <x:c r="L412" s="10" t="n">
        <x:v>2</x:v>
      </x:c>
      <x:c r="M412" s="10" t="n">
        <x:v>731</x:v>
      </x:c>
      <x:c r="N412" s="2" t="str">
        <x:v>D20</x:v>
      </x:c>
      <x:c r="O412" s="2" t="str">
        <x:v>hdb flat</x:v>
      </x:c>
      <x:c r="P412" s="2" t="str">
        <x:v>https://www.propertyguru.com.sg/listing/hdb-for-rent-22-sin-ming-road-20160391</x:v>
      </x:c>
      <x:c r="Q412" s="12" t="str">
        <x:v>Hard failure: District D20; required = D05.</x:v>
      </x:c>
      <x:c r="R412" s="13"/>
    </x:row>
    <x:row r="413" ht="15" hidden="0" customHeight="1">
      <x:c r="A413" s="2" t="str">
        <x:v>S17|25283210</x:v>
      </x:c>
      <x:c r="B413" s="2" t="str">
        <x:v>S17</x:v>
      </x:c>
      <x:c r="C413" s="2" t="str">
        <x:v>25283210</x:v>
      </x:c>
      <x:c r="D413" s="2" t="n">
        <x:v>0</x:v>
      </x:c>
      <x:c r="E413" s="9"/>
      <x:c r="F413" s="2" t="n">
        <x:f>IF(E413="",D413,IF(E413="U","U",IF(AND(ISNUMBER(E413),E413&gt;=0,E413&lt;=3,INT(E413)=E413),E413,"Invalid")))</x:f>
        <x:v>0</x:v>
      </x:c>
      <x:c r="G413" s="2" t="n">
        <x:f>IF(ISNUMBER(F413),1,0)</x:f>
        <x:v>1</x:v>
      </x:c>
      <x:c r="H413" s="2" t="n">
        <x:f>IF(ISNUMBER(F413),IF(F413&gt;=2,1,0),0)</x:f>
        <x:v>0</x:v>
      </x:c>
      <x:c r="I413" s="11" t="n">
        <x:f>IF(ISNUMBER(F413),2^F413-1,0)</x:f>
        <x:v>0</x:v>
      </x:c>
      <x:c r="J413" s="2" t="str">
        <x:v>Retained original 577</x:v>
      </x:c>
      <x:c r="K413" s="10" t="n">
        <x:v>1200</x:v>
      </x:c>
      <x:c r="L413" s="10" t="n">
        <x:v>1</x:v>
      </x:c>
      <x:c r="M413" s="10" t="n">
        <x:v>200</x:v>
      </x:c>
      <x:c r="N413" s="2" t="str">
        <x:v>D05</x:v>
      </x:c>
      <x:c r="O413" s="2" t="str">
        <x:v>condominium</x:v>
      </x:c>
      <x:c r="P413" s="2" t="str">
        <x:v>https://www.propertyguru.com.sg/listing/for-rent-heritage-view-25283210</x:v>
      </x:c>
      <x:c r="Q413" s="12" t="str">
        <x:v>Hard failure: Reported bedrooms 1; required &gt;= 2.</x:v>
      </x:c>
      <x:c r="R413" s="13"/>
    </x:row>
    <x:row r="414" ht="36" hidden="0" customHeight="1">
      <x:c r="A414" s="2" t="str">
        <x:v>S17|20617351</x:v>
      </x:c>
      <x:c r="B414" s="2" t="str">
        <x:v>S17</x:v>
      </x:c>
      <x:c r="C414" s="2" t="str">
        <x:v>20617351</x:v>
      </x:c>
      <x:c r="D414" s="2" t="n">
        <x:v>3</x:v>
      </x:c>
      <x:c r="E414" s="9"/>
      <x:c r="F414" s="2" t="n">
        <x:f>IF(E414="",D414,IF(E414="U","U",IF(AND(ISNUMBER(E414),E414&gt;=0,E414&lt;=3,INT(E414)=E414),E414,"Invalid")))</x:f>
        <x:v>3</x:v>
      </x:c>
      <x:c r="G414" s="2" t="n">
        <x:f>IF(ISNUMBER(F414),1,0)</x:f>
        <x:v>1</x:v>
      </x:c>
      <x:c r="H414" s="2" t="n">
        <x:f>IF(ISNUMBER(F414),IF(F414&gt;=2,1,0),0)</x:f>
        <x:v>1</x:v>
      </x:c>
      <x:c r="I414" s="11" t="n">
        <x:f>IF(ISNUMBER(F414),2^F414-1,0)</x:f>
        <x:v>7</x:v>
      </x:c>
      <x:c r="J414" s="2" t="str">
        <x:v>Retained original 577</x:v>
      </x:c>
      <x:c r="K414" s="10" t="n">
        <x:v>3000</x:v>
      </x:c>
      <x:c r="L414" s="10" t="n">
        <x:v>2</x:v>
      </x:c>
      <x:c r="M414" s="10" t="n">
        <x:v>700</x:v>
      </x:c>
      <x:c r="N414" s="2" t="str">
        <x:v>D05</x:v>
      </x:c>
      <x:c r="O414" s="2" t="str">
        <x:v>hdb flat</x:v>
      </x:c>
      <x:c r="P414" s="2" t="str">
        <x:v>https://www.propertyguru.com.sg/listing/hdb-for-rent-354-clementi-avenue-2-20617351</x:v>
      </x:c>
      <x:c r="Q414" s="12" t="str">
        <x:v>Hard requirements pass. area 700 sqft. Only three supplied candidates pass the final hard requirements. Their 699-721 sqft areas are close enough to share a strong-fit grade.</x:v>
      </x:c>
      <x:c r="R414" s="13"/>
    </x:row>
    <x:row r="415" ht="15" hidden="0" customHeight="1">
      <x:c r="A415" s="2" t="str">
        <x:v>S17|60027306</x:v>
      </x:c>
      <x:c r="B415" s="2" t="str">
        <x:v>S17</x:v>
      </x:c>
      <x:c r="C415" s="2" t="str">
        <x:v>60027306</x:v>
      </x:c>
      <x:c r="D415" s="2" t="str">
        <x:v>U</x:v>
      </x:c>
      <x:c r="E415" s="9"/>
      <x:c r="F415" s="2" t="str">
        <x:f>IF(E415="",D415,IF(E415="U","U",IF(AND(ISNUMBER(E415),E415&gt;=0,E415&lt;=3,INT(E415)=E415),E415,"Invalid")))</x:f>
        <x:v>U</x:v>
      </x:c>
      <x:c r="G415" s="2" t="n">
        <x:f>IF(ISNUMBER(F415),1,0)</x:f>
        <x:v>0</x:v>
      </x:c>
      <x:c r="H415" s="2" t="n">
        <x:f>IF(ISNUMBER(F415),IF(F415&gt;=2,1,0),0)</x:f>
        <x:v>0</x:v>
      </x:c>
      <x:c r="I415" s="11" t="n">
        <x:f>IF(ISNUMBER(F415),2^F415-1,0)</x:f>
        <x:v>0</x:v>
      </x:c>
      <x:c r="J415" s="2" t="str">
        <x:v>Retained original 577</x:v>
      </x:c>
      <x:c r="K415" s="10" t="n">
        <x:v>2000</x:v>
      </x:c>
      <x:c r="L415" s="10"/>
      <x:c r="M415" s="10" t="n">
        <x:v>250</x:v>
      </x:c>
      <x:c r="N415" s="2" t="str">
        <x:v>D05</x:v>
      </x:c>
      <x:c r="O415" s="2" t="str">
        <x:v>apartment</x:v>
      </x:c>
      <x:c r="P415" s="2" t="str">
        <x:v>https://www.propertyguru.com.sg/listing/for-rent-pasir-panjang-road-60027306</x:v>
      </x:c>
      <x:c r="Q415" s="12" t="str">
        <x:v>No known hard failure. Cannot verify: reported bedrooms.</x:v>
      </x:c>
      <x:c r="R415" s="13"/>
    </x:row>
    <x:row r="416" ht="15" hidden="0" customHeight="1">
      <x:c r="A416" s="2" t="str">
        <x:v>S17|500249657</x:v>
      </x:c>
      <x:c r="B416" s="2" t="str">
        <x:v>S17</x:v>
      </x:c>
      <x:c r="C416" s="2" t="str">
        <x:v>500249657</x:v>
      </x:c>
      <x:c r="D416" s="2" t="n">
        <x:v>0</x:v>
      </x:c>
      <x:c r="E416" s="9"/>
      <x:c r="F416" s="2" t="n">
        <x:f>IF(E416="",D416,IF(E416="U","U",IF(AND(ISNUMBER(E416),E416&gt;=0,E416&lt;=3,INT(E416)=E416),E416,"Invalid")))</x:f>
        <x:v>0</x:v>
      </x:c>
      <x:c r="G416" s="2" t="n">
        <x:f>IF(ISNUMBER(F416),1,0)</x:f>
        <x:v>1</x:v>
      </x:c>
      <x:c r="H416" s="2" t="n">
        <x:f>IF(ISNUMBER(F416),IF(F416&gt;=2,1,0),0)</x:f>
        <x:v>0</x:v>
      </x:c>
      <x:c r="I416" s="11" t="n">
        <x:f>IF(ISNUMBER(F416),2^F416-1,0)</x:f>
        <x:v>0</x:v>
      </x:c>
      <x:c r="J416" s="2" t="str">
        <x:v>Retained original 577</x:v>
      </x:c>
      <x:c r="K416" s="10" t="n">
        <x:v>3100</x:v>
      </x:c>
      <x:c r="L416" s="10" t="n">
        <x:v>2</x:v>
      </x:c>
      <x:c r="M416" s="10" t="n">
        <x:v>732</x:v>
      </x:c>
      <x:c r="N416" s="2" t="str">
        <x:v>D05</x:v>
      </x:c>
      <x:c r="O416" s="2" t="str">
        <x:v>hdb flat</x:v>
      </x:c>
      <x:c r="P416" s="2" t="str">
        <x:v>https://www.propertyguru.com.sg/listing/hdb-for-rent-374-clementi-avenue-4-500249657</x:v>
      </x:c>
      <x:c r="Q416" s="12" t="str">
        <x:v>Hard failure: Rent (SGD/month) 3,100; required &lt;= 3,000.</x:v>
      </x:c>
      <x:c r="R416" s="13"/>
    </x:row>
    <x:row r="417" ht="15" hidden="0" customHeight="1">
      <x:c r="A417" s="2" t="str">
        <x:v>S17|24009806</x:v>
      </x:c>
      <x:c r="B417" s="2" t="str">
        <x:v>S17</x:v>
      </x:c>
      <x:c r="C417" s="2" t="str">
        <x:v>24009806</x:v>
      </x:c>
      <x:c r="D417" s="2" t="n">
        <x:v>0</x:v>
      </x:c>
      <x:c r="E417" s="9"/>
      <x:c r="F417" s="2" t="n">
        <x:f>IF(E417="",D417,IF(E417="U","U",IF(AND(ISNUMBER(E417),E417&gt;=0,E417&lt;=3,INT(E417)=E417),E417,"Invalid")))</x:f>
        <x:v>0</x:v>
      </x:c>
      <x:c r="G417" s="2" t="n">
        <x:f>IF(ISNUMBER(F417),1,0)</x:f>
        <x:v>1</x:v>
      </x:c>
      <x:c r="H417" s="2" t="n">
        <x:f>IF(ISNUMBER(F417),IF(F417&gt;=2,1,0),0)</x:f>
        <x:v>0</x:v>
      </x:c>
      <x:c r="I417" s="11" t="n">
        <x:f>IF(ISNUMBER(F417),2^F417-1,0)</x:f>
        <x:v>0</x:v>
      </x:c>
      <x:c r="J417" s="2" t="str">
        <x:v>Retained original 577</x:v>
      </x:c>
      <x:c r="K417" s="10" t="n">
        <x:v>2400</x:v>
      </x:c>
      <x:c r="L417" s="10" t="n">
        <x:v>1</x:v>
      </x:c>
      <x:c r="M417" s="10" t="n">
        <x:v>250</x:v>
      </x:c>
      <x:c r="N417" s="2" t="str">
        <x:v>D05</x:v>
      </x:c>
      <x:c r="O417" s="2" t="str">
        <x:v>semi-detached house</x:v>
      </x:c>
      <x:c r="P417" s="2" t="str">
        <x:v>https://www.propertyguru.com.sg/listing/for-rent-west-coast-24009806</x:v>
      </x:c>
      <x:c r="Q417" s="12" t="str">
        <x:v>Hard failure: Reported bedrooms 1; required &gt;= 2.</x:v>
      </x:c>
      <x:c r="R417" s="13"/>
    </x:row>
    <x:row r="418" ht="15" hidden="0" customHeight="1">
      <x:c r="A418" s="2" t="str">
        <x:v>S17|500286637</x:v>
      </x:c>
      <x:c r="B418" s="2" t="str">
        <x:v>S17</x:v>
      </x:c>
      <x:c r="C418" s="2" t="str">
        <x:v>500286637</x:v>
      </x:c>
      <x:c r="D418" s="2" t="n">
        <x:v>0</x:v>
      </x:c>
      <x:c r="E418" s="9"/>
      <x:c r="F418" s="2" t="n">
        <x:f>IF(E418="",D418,IF(E418="U","U",IF(AND(ISNUMBER(E418),E418&gt;=0,E418&lt;=3,INT(E418)=E418),E418,"Invalid")))</x:f>
        <x:v>0</x:v>
      </x:c>
      <x:c r="G418" s="2" t="n">
        <x:f>IF(ISNUMBER(F418),1,0)</x:f>
        <x:v>1</x:v>
      </x:c>
      <x:c r="H418" s="2" t="n">
        <x:f>IF(ISNUMBER(F418),IF(F418&gt;=2,1,0),0)</x:f>
        <x:v>0</x:v>
      </x:c>
      <x:c r="I418" s="11" t="n">
        <x:f>IF(ISNUMBER(F418),2^F418-1,0)</x:f>
        <x:v>0</x:v>
      </x:c>
      <x:c r="J418" s="2" t="str">
        <x:v>Retained original 577</x:v>
      </x:c>
      <x:c r="K418" s="10" t="n">
        <x:v>3200</x:v>
      </x:c>
      <x:c r="L418" s="10" t="n">
        <x:v>2</x:v>
      </x:c>
      <x:c r="M418" s="10" t="n">
        <x:v>732</x:v>
      </x:c>
      <x:c r="N418" s="2" t="str">
        <x:v>D05</x:v>
      </x:c>
      <x:c r="O418" s="2" t="str">
        <x:v>hdb flat</x:v>
      </x:c>
      <x:c r="P418" s="2" t="str">
        <x:v>https://www.propertyguru.com.sg/listing/hdb-for-rent-375-clementi-avenue-4-500286637</x:v>
      </x:c>
      <x:c r="Q418" s="12" t="str">
        <x:v>Hard failure: Rent (SGD/month) 3,200; required &lt;= 3,000.</x:v>
      </x:c>
      <x:c r="R418" s="13"/>
    </x:row>
    <x:row r="419" ht="15" hidden="0" customHeight="1">
      <x:c r="A419" s="2" t="str">
        <x:v>S17|500186462</x:v>
      </x:c>
      <x:c r="B419" s="2" t="str">
        <x:v>S17</x:v>
      </x:c>
      <x:c r="C419" s="2" t="str">
        <x:v>500186462</x:v>
      </x:c>
      <x:c r="D419" s="2" t="str">
        <x:v>U</x:v>
      </x:c>
      <x:c r="E419" s="9"/>
      <x:c r="F419" s="2" t="str">
        <x:f>IF(E419="",D419,IF(E419="U","U",IF(AND(ISNUMBER(E419),E419&gt;=0,E419&lt;=3,INT(E419)=E419),E419,"Invalid")))</x:f>
        <x:v>U</x:v>
      </x:c>
      <x:c r="G419" s="2" t="n">
        <x:f>IF(ISNUMBER(F419),1,0)</x:f>
        <x:v>0</x:v>
      </x:c>
      <x:c r="H419" s="2" t="n">
        <x:f>IF(ISNUMBER(F419),IF(F419&gt;=2,1,0),0)</x:f>
        <x:v>0</x:v>
      </x:c>
      <x:c r="I419" s="11" t="n">
        <x:f>IF(ISNUMBER(F419),2^F419-1,0)</x:f>
        <x:v>0</x:v>
      </x:c>
      <x:c r="J419" s="2" t="str">
        <x:v>Retained original 577</x:v>
      </x:c>
      <x:c r="K419" s="10" t="n">
        <x:v>2800</x:v>
      </x:c>
      <x:c r="L419" s="10"/>
      <x:c r="M419" s="10" t="n">
        <x:v>120</x:v>
      </x:c>
      <x:c r="N419" s="2" t="str">
        <x:v>D05</x:v>
      </x:c>
      <x:c r="O419" s="2" t="str">
        <x:v>apartment</x:v>
      </x:c>
      <x:c r="P419" s="2" t="str">
        <x:v>https://www.propertyguru.com.sg/listing/for-rent-lyf-one-north-singapore-80-nepal-park-singapore-139409-500186462</x:v>
      </x:c>
      <x:c r="Q419" s="12" t="str">
        <x:v>No known hard failure. Cannot verify: reported bedrooms.</x:v>
      </x:c>
      <x:c r="R419" s="13"/>
    </x:row>
    <x:row r="420" ht="15" hidden="0" customHeight="1">
      <x:c r="A420" s="2" t="str">
        <x:v>S17|25338956</x:v>
      </x:c>
      <x:c r="B420" s="2" t="str">
        <x:v>S17</x:v>
      </x:c>
      <x:c r="C420" s="2" t="str">
        <x:v>25338956</x:v>
      </x:c>
      <x:c r="D420" s="2" t="n">
        <x:v>0</x:v>
      </x:c>
      <x:c r="E420" s="9"/>
      <x:c r="F420" s="2" t="n">
        <x:f>IF(E420="",D420,IF(E420="U","U",IF(AND(ISNUMBER(E420),E420&gt;=0,E420&lt;=3,INT(E420)=E420),E420,"Invalid")))</x:f>
        <x:v>0</x:v>
      </x:c>
      <x:c r="G420" s="2" t="n">
        <x:f>IF(ISNUMBER(F420),1,0)</x:f>
        <x:v>1</x:v>
      </x:c>
      <x:c r="H420" s="2" t="n">
        <x:f>IF(ISNUMBER(F420),IF(F420&gt;=2,1,0),0)</x:f>
        <x:v>0</x:v>
      </x:c>
      <x:c r="I420" s="11" t="n">
        <x:f>IF(ISNUMBER(F420),2^F420-1,0)</x:f>
        <x:v>0</x:v>
      </x:c>
      <x:c r="J420" s="2" t="str">
        <x:v>Retained original 577</x:v>
      </x:c>
      <x:c r="K420" s="10" t="n">
        <x:v>3000</x:v>
      </x:c>
      <x:c r="L420" s="10" t="n">
        <x:v>2</x:v>
      </x:c>
      <x:c r="M420" s="10" t="n">
        <x:v>463</x:v>
      </x:c>
      <x:c r="N420" s="2" t="str">
        <x:v>D14</x:v>
      </x:c>
      <x:c r="O420" s="2" t="str">
        <x:v>condominium</x:v>
      </x:c>
      <x:c r="P420" s="2" t="str">
        <x:v>https://www.propertyguru.com.sg/listing/for-rent-la-brisa-25338956</x:v>
      </x:c>
      <x:c r="Q420" s="12" t="str">
        <x:v>Hard failure: District D14; required = D05.</x:v>
      </x:c>
      <x:c r="R420" s="13"/>
    </x:row>
    <x:row r="421" ht="15" hidden="0" customHeight="1">
      <x:c r="A421" s="2" t="str">
        <x:v>S17|25375523</x:v>
      </x:c>
      <x:c r="B421" s="2" t="str">
        <x:v>S17</x:v>
      </x:c>
      <x:c r="C421" s="2" t="str">
        <x:v>25375523</x:v>
      </x:c>
      <x:c r="D421" s="2" t="n">
        <x:v>0</x:v>
      </x:c>
      <x:c r="E421" s="9"/>
      <x:c r="F421" s="2" t="n">
        <x:f>IF(E421="",D421,IF(E421="U","U",IF(AND(ISNUMBER(E421),E421&gt;=0,E421&lt;=3,INT(E421)=E421),E421,"Invalid")))</x:f>
        <x:v>0</x:v>
      </x:c>
      <x:c r="G421" s="2" t="n">
        <x:f>IF(ISNUMBER(F421),1,0)</x:f>
        <x:v>1</x:v>
      </x:c>
      <x:c r="H421" s="2" t="n">
        <x:f>IF(ISNUMBER(F421),IF(F421&gt;=2,1,0),0)</x:f>
        <x:v>0</x:v>
      </x:c>
      <x:c r="I421" s="11" t="n">
        <x:f>IF(ISNUMBER(F421),2^F421-1,0)</x:f>
        <x:v>0</x:v>
      </x:c>
      <x:c r="J421" s="2" t="str">
        <x:v>Retained original 577</x:v>
      </x:c>
      <x:c r="K421" s="10" t="n">
        <x:v>2750</x:v>
      </x:c>
      <x:c r="L421" s="10" t="n">
        <x:v>2</x:v>
      </x:c>
      <x:c r="M421" s="10" t="n">
        <x:v>700</x:v>
      </x:c>
      <x:c r="N421" s="2" t="str">
        <x:v>D25</x:v>
      </x:c>
      <x:c r="O421" s="2" t="str">
        <x:v>hdb flat</x:v>
      </x:c>
      <x:c r="P421" s="2" t="str">
        <x:v>https://www.propertyguru.com.sg/listing/hdb-for-rent-151-woodlands-street-13-25375523</x:v>
      </x:c>
      <x:c r="Q421" s="12" t="str">
        <x:v>Hard failure: District D25; required = D05.</x:v>
      </x:c>
      <x:c r="R421" s="13"/>
    </x:row>
    <x:row r="422" ht="15" hidden="0" customHeight="1">
      <x:c r="A422" s="2" t="str">
        <x:v>S17|24863047</x:v>
      </x:c>
      <x:c r="B422" s="2" t="str">
        <x:v>S17</x:v>
      </x:c>
      <x:c r="C422" s="2" t="str">
        <x:v>24863047</x:v>
      </x:c>
      <x:c r="D422" s="2" t="n">
        <x:v>0</x:v>
      </x:c>
      <x:c r="E422" s="9"/>
      <x:c r="F422" s="2" t="n">
        <x:f>IF(E422="",D422,IF(E422="U","U",IF(AND(ISNUMBER(E422),E422&gt;=0,E422&lt;=3,INT(E422)=E422),E422,"Invalid")))</x:f>
        <x:v>0</x:v>
      </x:c>
      <x:c r="G422" s="2" t="n">
        <x:f>IF(ISNUMBER(F422),1,0)</x:f>
        <x:v>1</x:v>
      </x:c>
      <x:c r="H422" s="2" t="n">
        <x:f>IF(ISNUMBER(F422),IF(F422&gt;=2,1,0),0)</x:f>
        <x:v>0</x:v>
      </x:c>
      <x:c r="I422" s="11" t="n">
        <x:f>IF(ISNUMBER(F422),2^F422-1,0)</x:f>
        <x:v>0</x:v>
      </x:c>
      <x:c r="J422" s="2" t="str">
        <x:v>Retained original 577</x:v>
      </x:c>
      <x:c r="K422" s="10" t="n">
        <x:v>3000</x:v>
      </x:c>
      <x:c r="L422" s="10" t="n">
        <x:v>1</x:v>
      </x:c>
      <x:c r="M422" s="10" t="n">
        <x:v>180</x:v>
      </x:c>
      <x:c r="N422" s="2" t="str">
        <x:v>D05</x:v>
      </x:c>
      <x:c r="O422" s="2" t="str">
        <x:v>apartment</x:v>
      </x:c>
      <x:c r="P422" s="2" t="str">
        <x:v>https://www.propertyguru.com.sg/listing/for-rent-coliwoo-pasir-panjang-walking-distance-to-nus-24863047</x:v>
      </x:c>
      <x:c r="Q422" s="12" t="str">
        <x:v>Hard failure: Reported bedrooms 1; required &gt;= 2.</x:v>
      </x:c>
      <x:c r="R422" s="13"/>
    </x:row>
    <x:row r="423" ht="15" hidden="0" customHeight="1">
      <x:c r="A423" s="2" t="str">
        <x:v>S17|25376394</x:v>
      </x:c>
      <x:c r="B423" s="2" t="str">
        <x:v>S17</x:v>
      </x:c>
      <x:c r="C423" s="2" t="str">
        <x:v>25376394</x:v>
      </x:c>
      <x:c r="D423" s="2" t="n">
        <x:v>0</x:v>
      </x:c>
      <x:c r="E423" s="9"/>
      <x:c r="F423" s="2" t="n">
        <x:f>IF(E423="",D423,IF(E423="U","U",IF(AND(ISNUMBER(E423),E423&gt;=0,E423&lt;=3,INT(E423)=E423),E423,"Invalid")))</x:f>
        <x:v>0</x:v>
      </x:c>
      <x:c r="G423" s="2" t="n">
        <x:f>IF(ISNUMBER(F423),1,0)</x:f>
        <x:v>1</x:v>
      </x:c>
      <x:c r="H423" s="2" t="n">
        <x:f>IF(ISNUMBER(F423),IF(F423&gt;=2,1,0),0)</x:f>
        <x:v>0</x:v>
      </x:c>
      <x:c r="I423" s="11" t="n">
        <x:f>IF(ISNUMBER(F423),2^F423-1,0)</x:f>
        <x:v>0</x:v>
      </x:c>
      <x:c r="J423" s="2" t="str">
        <x:v>Retained original 577</x:v>
      </x:c>
      <x:c r="K423" s="10" t="n">
        <x:v>3000</x:v>
      </x:c>
      <x:c r="L423" s="10" t="n">
        <x:v>2</x:v>
      </x:c>
      <x:c r="M423" s="10" t="n">
        <x:v>818</x:v>
      </x:c>
      <x:c r="N423" s="2" t="str">
        <x:v>D18</x:v>
      </x:c>
      <x:c r="O423" s="2" t="str">
        <x:v>hdb flat</x:v>
      </x:c>
      <x:c r="P423" s="2" t="str">
        <x:v>https://www.propertyguru.com.sg/listing/hdb-for-rent-406-tampines-street-41-25376394</x:v>
      </x:c>
      <x:c r="Q423" s="12" t="str">
        <x:v>Hard failure: District D18; required = D05.</x:v>
      </x:c>
      <x:c r="R423" s="13"/>
    </x:row>
    <x:row r="424" ht="36" hidden="0" customHeight="1">
      <x:c r="A424" s="2" t="str">
        <x:v>S17|500262756</x:v>
      </x:c>
      <x:c r="B424" s="2" t="str">
        <x:v>S17</x:v>
      </x:c>
      <x:c r="C424" s="2" t="str">
        <x:v>500262756</x:v>
      </x:c>
      <x:c r="D424" s="2" t="n">
        <x:v>3</x:v>
      </x:c>
      <x:c r="E424" s="9"/>
      <x:c r="F424" s="2" t="n">
        <x:f>IF(E424="",D424,IF(E424="U","U",IF(AND(ISNUMBER(E424),E424&gt;=0,E424&lt;=3,INT(E424)=E424),E424,"Invalid")))</x:f>
        <x:v>3</x:v>
      </x:c>
      <x:c r="G424" s="2" t="n">
        <x:f>IF(ISNUMBER(F424),1,0)</x:f>
        <x:v>1</x:v>
      </x:c>
      <x:c r="H424" s="2" t="n">
        <x:f>IF(ISNUMBER(F424),IF(F424&gt;=2,1,0),0)</x:f>
        <x:v>1</x:v>
      </x:c>
      <x:c r="I424" s="11" t="n">
        <x:f>IF(ISNUMBER(F424),2^F424-1,0)</x:f>
        <x:v>7</x:v>
      </x:c>
      <x:c r="J424" s="2" t="str">
        <x:v>Retained original 577</x:v>
      </x:c>
      <x:c r="K424" s="10" t="n">
        <x:v>3000</x:v>
      </x:c>
      <x:c r="L424" s="10" t="n">
        <x:v>2</x:v>
      </x:c>
      <x:c r="M424" s="10" t="n">
        <x:v>699</x:v>
      </x:c>
      <x:c r="N424" s="2" t="str">
        <x:v>D05</x:v>
      </x:c>
      <x:c r="O424" s="2" t="str">
        <x:v>hdb flat</x:v>
      </x:c>
      <x:c r="P424" s="2" t="str">
        <x:v>https://www.propertyguru.com.sg/listing/hdb-for-rent-2-dover-road-500262756</x:v>
      </x:c>
      <x:c r="Q424" s="12" t="str">
        <x:v>Hard requirements pass. area 699 sqft. Only three supplied candidates pass the final hard requirements. Their 699-721 sqft areas are close enough to share a strong-fit grade.</x:v>
      </x:c>
      <x:c r="R424" s="13"/>
    </x:row>
    <x:row r="425" ht="15" hidden="0" customHeight="1">
      <x:c r="A425" s="2" t="str">
        <x:v>S17|500133785</x:v>
      </x:c>
      <x:c r="B425" s="2" t="str">
        <x:v>S17</x:v>
      </x:c>
      <x:c r="C425" s="2" t="str">
        <x:v>500133785</x:v>
      </x:c>
      <x:c r="D425" s="2" t="n">
        <x:v>0</x:v>
      </x:c>
      <x:c r="E425" s="9"/>
      <x:c r="F425" s="2" t="n">
        <x:f>IF(E425="",D425,IF(E425="U","U",IF(AND(ISNUMBER(E425),E425&gt;=0,E425&lt;=3,INT(E425)=E425),E425,"Invalid")))</x:f>
        <x:v>0</x:v>
      </x:c>
      <x:c r="G425" s="2" t="n">
        <x:f>IF(ISNUMBER(F425),1,0)</x:f>
        <x:v>1</x:v>
      </x:c>
      <x:c r="H425" s="2" t="n">
        <x:f>IF(ISNUMBER(F425),IF(F425&gt;=2,1,0),0)</x:f>
        <x:v>0</x:v>
      </x:c>
      <x:c r="I425" s="11" t="n">
        <x:f>IF(ISNUMBER(F425),2^F425-1,0)</x:f>
        <x:v>0</x:v>
      </x:c>
      <x:c r="J425" s="2" t="str">
        <x:v>Retained original 577</x:v>
      </x:c>
      <x:c r="K425" s="10" t="n">
        <x:v>3200</x:v>
      </x:c>
      <x:c r="L425" s="10" t="n">
        <x:v>2</x:v>
      </x:c>
      <x:c r="M425" s="10" t="n">
        <x:v>721</x:v>
      </x:c>
      <x:c r="N425" s="2" t="str">
        <x:v>D05</x:v>
      </x:c>
      <x:c r="O425" s="2" t="str">
        <x:v>hdb flat</x:v>
      </x:c>
      <x:c r="P425" s="2" t="str">
        <x:v>https://www.propertyguru.com.sg/listing/hdb-for-rent-351-clementi-avenue-2-500133785</x:v>
      </x:c>
      <x:c r="Q425" s="12" t="str">
        <x:v>Hard failure: Rent (SGD/month) 3,200; required &lt;= 3,000.</x:v>
      </x:c>
      <x:c r="R425" s="13"/>
    </x:row>
    <x:row r="426" ht="36" hidden="0" customHeight="1">
      <x:c r="A426" s="2" t="str">
        <x:v>S17|500267173</x:v>
      </x:c>
      <x:c r="B426" s="2" t="str">
        <x:v>S17</x:v>
      </x:c>
      <x:c r="C426" s="2" t="str">
        <x:v>500267173</x:v>
      </x:c>
      <x:c r="D426" s="2" t="n">
        <x:v>3</x:v>
      </x:c>
      <x:c r="E426" s="9"/>
      <x:c r="F426" s="2" t="n">
        <x:f>IF(E426="",D426,IF(E426="U","U",IF(AND(ISNUMBER(E426),E426&gt;=0,E426&lt;=3,INT(E426)=E426),E426,"Invalid")))</x:f>
        <x:v>3</x:v>
      </x:c>
      <x:c r="G426" s="2" t="n">
        <x:f>IF(ISNUMBER(F426),1,0)</x:f>
        <x:v>1</x:v>
      </x:c>
      <x:c r="H426" s="2" t="n">
        <x:f>IF(ISNUMBER(F426),IF(F426&gt;=2,1,0),0)</x:f>
        <x:v>1</x:v>
      </x:c>
      <x:c r="I426" s="11" t="n">
        <x:f>IF(ISNUMBER(F426),2^F426-1,0)</x:f>
        <x:v>7</x:v>
      </x:c>
      <x:c r="J426" s="2" t="str">
        <x:v>Retained original 577</x:v>
      </x:c>
      <x:c r="K426" s="10" t="n">
        <x:v>3000</x:v>
      </x:c>
      <x:c r="L426" s="10" t="n">
        <x:v>2</x:v>
      </x:c>
      <x:c r="M426" s="10" t="n">
        <x:v>721</x:v>
      </x:c>
      <x:c r="N426" s="2" t="str">
        <x:v>D05</x:v>
      </x:c>
      <x:c r="O426" s="2" t="str">
        <x:v>hdb flat</x:v>
      </x:c>
      <x:c r="P426" s="2" t="str">
        <x:v>https://www.propertyguru.com.sg/listing/hdb-for-rent-306-clementi-avenue-4-500267173</x:v>
      </x:c>
      <x:c r="Q426" s="12" t="str">
        <x:v>Hard requirements pass. area 721 sqft. Only three supplied candidates pass the final hard requirements. Their 699-721 sqft areas are close enough to share a strong-fit grade.</x:v>
      </x:c>
      <x:c r="R426" s="13"/>
    </x:row>
    <x:row r="427" ht="15" hidden="0" customHeight="1">
      <x:c r="A427" s="2" t="str">
        <x:v>S17|60126094</x:v>
      </x:c>
      <x:c r="B427" s="2" t="str">
        <x:v>S17</x:v>
      </x:c>
      <x:c r="C427" s="2" t="str">
        <x:v>60126094</x:v>
      </x:c>
      <x:c r="D427" s="2" t="n">
        <x:v>0</x:v>
      </x:c>
      <x:c r="E427" s="9"/>
      <x:c r="F427" s="2" t="n">
        <x:f>IF(E427="",D427,IF(E427="U","U",IF(AND(ISNUMBER(E427),E427&gt;=0,E427&lt;=3,INT(E427)=E427),E427,"Invalid")))</x:f>
        <x:v>0</x:v>
      </x:c>
      <x:c r="G427" s="2" t="n">
        <x:f>IF(ISNUMBER(F427),1,0)</x:f>
        <x:v>1</x:v>
      </x:c>
      <x:c r="H427" s="2" t="n">
        <x:f>IF(ISNUMBER(F427),IF(F427&gt;=2,1,0),0)</x:f>
        <x:v>0</x:v>
      </x:c>
      <x:c r="I427" s="11" t="n">
        <x:f>IF(ISNUMBER(F427),2^F427-1,0)</x:f>
        <x:v>0</x:v>
      </x:c>
      <x:c r="J427" s="2" t="str">
        <x:v>Retained original 577</x:v>
      </x:c>
      <x:c r="K427" s="10" t="n">
        <x:v>3100</x:v>
      </x:c>
      <x:c r="L427" s="10" t="n">
        <x:v>2</x:v>
      </x:c>
      <x:c r="M427" s="10" t="n">
        <x:v>721</x:v>
      </x:c>
      <x:c r="N427" s="2" t="str">
        <x:v>D05</x:v>
      </x:c>
      <x:c r="O427" s="2" t="str">
        <x:v>hdb flat</x:v>
      </x:c>
      <x:c r="P427" s="2" t="str">
        <x:v>https://www.propertyguru.com.sg/listing/hdb-for-rent-339-clementi-avenue-5-60126094</x:v>
      </x:c>
      <x:c r="Q427" s="12" t="str">
        <x:v>Hard failure: Rent (SGD/month) 3,100; required &lt;= 3,000.</x:v>
      </x:c>
      <x:c r="R427" s="13"/>
    </x:row>
    <x:row r="428" ht="15" hidden="0" customHeight="1">
      <x:c r="A428" s="2" t="str">
        <x:v>S17|60100685</x:v>
      </x:c>
      <x:c r="B428" s="2" t="str">
        <x:v>S17</x:v>
      </x:c>
      <x:c r="C428" s="2" t="str">
        <x:v>60100685</x:v>
      </x:c>
      <x:c r="D428" s="2" t="str">
        <x:v>U</x:v>
      </x:c>
      <x:c r="E428" s="9"/>
      <x:c r="F428" s="2" t="str">
        <x:f>IF(E428="",D428,IF(E428="U","U",IF(AND(ISNUMBER(E428),E428&gt;=0,E428&lt;=3,INT(E428)=E428),E428,"Invalid")))</x:f>
        <x:v>U</x:v>
      </x:c>
      <x:c r="G428" s="2" t="n">
        <x:f>IF(ISNUMBER(F428),1,0)</x:f>
        <x:v>0</x:v>
      </x:c>
      <x:c r="H428" s="2" t="n">
        <x:f>IF(ISNUMBER(F428),IF(F428&gt;=2,1,0),0)</x:f>
        <x:v>0</x:v>
      </x:c>
      <x:c r="I428" s="11" t="n">
        <x:f>IF(ISNUMBER(F428),2^F428-1,0)</x:f>
        <x:v>0</x:v>
      </x:c>
      <x:c r="J428" s="2" t="str">
        <x:v>Retained original 577</x:v>
      </x:c>
      <x:c r="K428" s="10" t="n">
        <x:v>2800</x:v>
      </x:c>
      <x:c r="L428" s="10"/>
      <x:c r="M428" s="10" t="n">
        <x:v>300</x:v>
      </x:c>
      <x:c r="N428" s="2" t="str">
        <x:v>D05</x:v>
      </x:c>
      <x:c r="O428" s="2" t="str">
        <x:v>terraced house</x:v>
      </x:c>
      <x:c r="P428" s="2" t="str">
        <x:v>https://www.propertyguru.com.sg/listing/for-rent-406f-pasir-panjang-road-60100685</x:v>
      </x:c>
      <x:c r="Q428" s="12" t="str">
        <x:v>No known hard failure. Cannot verify: reported bedrooms.</x:v>
      </x:c>
      <x:c r="R428" s="13"/>
    </x:row>
    <x:row r="429" ht="15" hidden="0" customHeight="1">
      <x:c r="A429" s="2" t="str">
        <x:v>S17|25300986</x:v>
      </x:c>
      <x:c r="B429" s="2" t="str">
        <x:v>S17</x:v>
      </x:c>
      <x:c r="C429" s="2" t="str">
        <x:v>25300986</x:v>
      </x:c>
      <x:c r="D429" s="2" t="n">
        <x:v>0</x:v>
      </x:c>
      <x:c r="E429" s="9"/>
      <x:c r="F429" s="2" t="n">
        <x:f>IF(E429="",D429,IF(E429="U","U",IF(AND(ISNUMBER(E429),E429&gt;=0,E429&lt;=3,INT(E429)=E429),E429,"Invalid")))</x:f>
        <x:v>0</x:v>
      </x:c>
      <x:c r="G429" s="2" t="n">
        <x:f>IF(ISNUMBER(F429),1,0)</x:f>
        <x:v>1</x:v>
      </x:c>
      <x:c r="H429" s="2" t="n">
        <x:f>IF(ISNUMBER(F429),IF(F429&gt;=2,1,0),0)</x:f>
        <x:v>0</x:v>
      </x:c>
      <x:c r="I429" s="11" t="n">
        <x:f>IF(ISNUMBER(F429),2^F429-1,0)</x:f>
        <x:v>0</x:v>
      </x:c>
      <x:c r="J429" s="2" t="str">
        <x:v>Retained original 577</x:v>
      </x:c>
      <x:c r="K429" s="10" t="n">
        <x:v>3200</x:v>
      </x:c>
      <x:c r="L429" s="10" t="n">
        <x:v>2</x:v>
      </x:c>
      <x:c r="M429" s="10" t="n">
        <x:v>721</x:v>
      </x:c>
      <x:c r="N429" s="2" t="str">
        <x:v>D05</x:v>
      </x:c>
      <x:c r="O429" s="2" t="str">
        <x:v>hdb flat</x:v>
      </x:c>
      <x:c r="P429" s="2" t="str">
        <x:v>https://www.propertyguru.com.sg/listing/hdb-for-rent-354-clementi-avenue-2-25300986</x:v>
      </x:c>
      <x:c r="Q429" s="12" t="str">
        <x:v>Hard failure: Rent (SGD/month) 3,200; required &lt;= 3,000.</x:v>
      </x:c>
      <x:c r="R429" s="13"/>
    </x:row>
    <x:row r="430" ht="15" hidden="0" customHeight="1">
      <x:c r="A430" s="2" t="str">
        <x:v>S17|500262073</x:v>
      </x:c>
      <x:c r="B430" s="2" t="str">
        <x:v>S17</x:v>
      </x:c>
      <x:c r="C430" s="2" t="str">
        <x:v>500262073</x:v>
      </x:c>
      <x:c r="D430" s="2" t="n">
        <x:v>0</x:v>
      </x:c>
      <x:c r="E430" s="9"/>
      <x:c r="F430" s="2" t="n">
        <x:f>IF(E430="",D430,IF(E430="U","U",IF(AND(ISNUMBER(E430),E430&gt;=0,E430&lt;=3,INT(E430)=E430),E430,"Invalid")))</x:f>
        <x:v>0</x:v>
      </x:c>
      <x:c r="G430" s="2" t="n">
        <x:f>IF(ISNUMBER(F430),1,0)</x:f>
        <x:v>1</x:v>
      </x:c>
      <x:c r="H430" s="2" t="n">
        <x:f>IF(ISNUMBER(F430),IF(F430&gt;=2,1,0),0)</x:f>
        <x:v>0</x:v>
      </x:c>
      <x:c r="I430" s="11" t="n">
        <x:f>IF(ISNUMBER(F430),2^F430-1,0)</x:f>
        <x:v>0</x:v>
      </x:c>
      <x:c r="J430" s="2" t="str">
        <x:v>Retained original 577</x:v>
      </x:c>
      <x:c r="K430" s="10" t="n">
        <x:v>3000</x:v>
      </x:c>
      <x:c r="L430" s="10" t="n">
        <x:v>2</x:v>
      </x:c>
      <x:c r="M430" s="10" t="n">
        <x:v>570</x:v>
      </x:c>
      <x:c r="N430" s="2" t="str">
        <x:v>D13</x:v>
      </x:c>
      <x:c r="O430" s="2" t="str">
        <x:v>hdb flat</x:v>
      </x:c>
      <x:c r="P430" s="2" t="str">
        <x:v>https://www.propertyguru.com.sg/listing/hdb-for-rent-38-circuit-road-500262073</x:v>
      </x:c>
      <x:c r="Q430" s="12" t="str">
        <x:v>Hard failure: District D13; required = D05.</x:v>
      </x:c>
      <x:c r="R430" s="13"/>
    </x:row>
    <x:row r="431" ht="24" hidden="0" customHeight="1">
      <x:c r="A431" s="2" t="str">
        <x:v>S18|500265489</x:v>
      </x:c>
      <x:c r="B431" s="2" t="str">
        <x:v>S18</x:v>
      </x:c>
      <x:c r="C431" s="2" t="str">
        <x:v>500265489</x:v>
      </x:c>
      <x:c r="D431" s="2" t="n">
        <x:v>1</x:v>
      </x:c>
      <x:c r="E431" s="9"/>
      <x:c r="F431" s="2" t="n">
        <x:f>IF(E431="",D431,IF(E431="U","U",IF(AND(ISNUMBER(E431),E431&gt;=0,E431&lt;=3,INT(E431)=E431),E431,"Invalid")))</x:f>
        <x:v>1</x:v>
      </x:c>
      <x:c r="G431" s="2" t="n">
        <x:f>IF(ISNUMBER(F431),1,0)</x:f>
        <x:v>1</x:v>
      </x:c>
      <x:c r="H431" s="2" t="n">
        <x:f>IF(ISNUMBER(F431),IF(F431&gt;=2,1,0),0)</x:f>
        <x:v>0</x:v>
      </x:c>
      <x:c r="I431" s="11" t="n">
        <x:f>IF(ISNUMBER(F431),2^F431-1,0)</x:f>
        <x:v>1</x:v>
      </x:c>
      <x:c r="J431" s="2" t="str">
        <x:v>Retained original 577</x:v>
      </x:c>
      <x:c r="K431" s="10" t="n">
        <x:v>2850</x:v>
      </x:c>
      <x:c r="L431" s="10" t="n">
        <x:v>2</x:v>
      </x:c>
      <x:c r="M431" s="10" t="n">
        <x:v>785</x:v>
      </x:c>
      <x:c r="N431" s="2" t="str">
        <x:v>D23</x:v>
      </x:c>
      <x:c r="O431" s="2" t="str">
        <x:v>hdb flat</x:v>
      </x:c>
      <x:c r="P431" s="2" t="str">
        <x:v>https://www.propertyguru.com.sg/listing/hdb-for-rent-104-gangsa-road-500265489</x:v>
      </x:c>
      <x:c r="Q431" s="12" t="str">
        <x:v>Hard requirements pass. SGD 2,850/month. Rent is near the cap and well above the lower-rent alternatives; D05 receives no retained preference.</x:v>
      </x:c>
      <x:c r="R431" s="13"/>
    </x:row>
    <x:row r="432" ht="15" hidden="0" customHeight="1">
      <x:c r="A432" s="2" t="str">
        <x:v>S18|25323296</x:v>
      </x:c>
      <x:c r="B432" s="2" t="str">
        <x:v>S18</x:v>
      </x:c>
      <x:c r="C432" s="2" t="str">
        <x:v>25323296</x:v>
      </x:c>
      <x:c r="D432" s="2" t="n">
        <x:v>0</x:v>
      </x:c>
      <x:c r="E432" s="9"/>
      <x:c r="F432" s="2" t="n">
        <x:f>IF(E432="",D432,IF(E432="U","U",IF(AND(ISNUMBER(E432),E432&gt;=0,E432&lt;=3,INT(E432)=E432),E432,"Invalid")))</x:f>
        <x:v>0</x:v>
      </x:c>
      <x:c r="G432" s="2" t="n">
        <x:f>IF(ISNUMBER(F432),1,0)</x:f>
        <x:v>1</x:v>
      </x:c>
      <x:c r="H432" s="2" t="n">
        <x:f>IF(ISNUMBER(F432),IF(F432&gt;=2,1,0),0)</x:f>
        <x:v>0</x:v>
      </x:c>
      <x:c r="I432" s="11" t="n">
        <x:f>IF(ISNUMBER(F432),2^F432-1,0)</x:f>
        <x:v>0</x:v>
      </x:c>
      <x:c r="J432" s="2" t="str">
        <x:v>Retained original 577</x:v>
      </x:c>
      <x:c r="K432" s="10" t="n">
        <x:v>3050</x:v>
      </x:c>
      <x:c r="L432" s="10" t="n">
        <x:v>2</x:v>
      </x:c>
      <x:c r="M432" s="10" t="n">
        <x:v>710</x:v>
      </x:c>
      <x:c r="N432" s="2" t="str">
        <x:v>D19</x:v>
      </x:c>
      <x:c r="O432" s="2" t="str">
        <x:v>condominium</x:v>
      </x:c>
      <x:c r="P432" s="2" t="str">
        <x:v>https://www.propertyguru.com.sg/listing/for-rent-boathouse-residences-25323296</x:v>
      </x:c>
      <x:c r="Q432" s="12" t="str">
        <x:v>Hard failure: Rent (SGD/month) 3,050; required &lt;= 3,000.</x:v>
      </x:c>
      <x:c r="R432" s="13"/>
    </x:row>
    <x:row r="433" ht="24" hidden="0" customHeight="1">
      <x:c r="A433" s="2" t="str">
        <x:v>S18|500287027</x:v>
      </x:c>
      <x:c r="B433" s="2" t="str">
        <x:v>S18</x:v>
      </x:c>
      <x:c r="C433" s="2" t="str">
        <x:v>500287027</x:v>
      </x:c>
      <x:c r="D433" s="2" t="n">
        <x:v>1</x:v>
      </x:c>
      <x:c r="E433" s="9"/>
      <x:c r="F433" s="2" t="n">
        <x:f>IF(E433="",D433,IF(E433="U","U",IF(AND(ISNUMBER(E433),E433&gt;=0,E433&lt;=3,INT(E433)=E433),E433,"Invalid")))</x:f>
        <x:v>1</x:v>
      </x:c>
      <x:c r="G433" s="2" t="n">
        <x:f>IF(ISNUMBER(F433),1,0)</x:f>
        <x:v>1</x:v>
      </x:c>
      <x:c r="H433" s="2" t="n">
        <x:f>IF(ISNUMBER(F433),IF(F433&gt;=2,1,0),0)</x:f>
        <x:v>0</x:v>
      </x:c>
      <x:c r="I433" s="11" t="n">
        <x:f>IF(ISNUMBER(F433),2^F433-1,0)</x:f>
        <x:v>1</x:v>
      </x:c>
      <x:c r="J433" s="2" t="str">
        <x:v>Retained original 577</x:v>
      </x:c>
      <x:c r="K433" s="10" t="n">
        <x:v>3000</x:v>
      </x:c>
      <x:c r="L433" s="10" t="n">
        <x:v>2</x:v>
      </x:c>
      <x:c r="M433" s="10" t="n">
        <x:v>730</x:v>
      </x:c>
      <x:c r="N433" s="2" t="str">
        <x:v>D16</x:v>
      </x:c>
      <x:c r="O433" s="2" t="str">
        <x:v>hdb flat</x:v>
      </x:c>
      <x:c r="P433" s="2" t="str">
        <x:v>https://www.propertyguru.com.sg/listing/hdb-for-rent-45-chai-chee-street-500287027</x:v>
      </x:c>
      <x:c r="Q433" s="12" t="str">
        <x:v>Hard requirements pass. SGD 3,000/month. Rent is near the cap and well above the lower-rent alternatives; D05 receives no retained preference.</x:v>
      </x:c>
      <x:c r="R433" s="13"/>
    </x:row>
    <x:row r="434" ht="15" hidden="0" customHeight="1">
      <x:c r="A434" s="2" t="str">
        <x:v>S18|500158855</x:v>
      </x:c>
      <x:c r="B434" s="2" t="str">
        <x:v>S18</x:v>
      </x:c>
      <x:c r="C434" s="2" t="str">
        <x:v>500158855</x:v>
      </x:c>
      <x:c r="D434" s="2" t="str">
        <x:v>U</x:v>
      </x:c>
      <x:c r="E434" s="9"/>
      <x:c r="F434" s="2" t="str">
        <x:f>IF(E434="",D434,IF(E434="U","U",IF(AND(ISNUMBER(E434),E434&gt;=0,E434&lt;=3,INT(E434)=E434),E434,"Invalid")))</x:f>
        <x:v>U</x:v>
      </x:c>
      <x:c r="G434" s="2" t="n">
        <x:f>IF(ISNUMBER(F434),1,0)</x:f>
        <x:v>0</x:v>
      </x:c>
      <x:c r="H434" s="2" t="n">
        <x:f>IF(ISNUMBER(F434),IF(F434&gt;=2,1,0),0)</x:f>
        <x:v>0</x:v>
      </x:c>
      <x:c r="I434" s="11" t="n">
        <x:f>IF(ISNUMBER(F434),2^F434-1,0)</x:f>
        <x:v>0</x:v>
      </x:c>
      <x:c r="J434" s="2" t="str">
        <x:v>Retained original 577</x:v>
      </x:c>
      <x:c r="K434" s="10" t="n">
        <x:v>2200</x:v>
      </x:c>
      <x:c r="L434" s="10"/>
      <x:c r="M434" s="10" t="n">
        <x:v>150</x:v>
      </x:c>
      <x:c r="N434" s="2" t="str">
        <x:v>D09</x:v>
      </x:c>
      <x:c r="O434" s="2" t="str">
        <x:v>apartment</x:v>
      </x:c>
      <x:c r="P434" s="2" t="str">
        <x:v>https://www.propertyguru.com.sg/listing/for-rent-mackenzie-138-500158855</x:v>
      </x:c>
      <x:c r="Q434" s="12" t="str">
        <x:v>No known hard failure. Cannot verify: reported bedrooms.</x:v>
      </x:c>
      <x:c r="R434" s="13"/>
    </x:row>
    <x:row r="435" ht="24" hidden="0" customHeight="1">
      <x:c r="A435" s="2" t="str">
        <x:v>S18|500235539</x:v>
      </x:c>
      <x:c r="B435" s="2" t="str">
        <x:v>S18</x:v>
      </x:c>
      <x:c r="C435" s="2" t="str">
        <x:v>500235539</x:v>
      </x:c>
      <x:c r="D435" s="2" t="n">
        <x:v>1</x:v>
      </x:c>
      <x:c r="E435" s="9"/>
      <x:c r="F435" s="2" t="n">
        <x:f>IF(E435="",D435,IF(E435="U","U",IF(AND(ISNUMBER(E435),E435&gt;=0,E435&lt;=3,INT(E435)=E435),E435,"Invalid")))</x:f>
        <x:v>1</x:v>
      </x:c>
      <x:c r="G435" s="2" t="n">
        <x:f>IF(ISNUMBER(F435),1,0)</x:f>
        <x:v>1</x:v>
      </x:c>
      <x:c r="H435" s="2" t="n">
        <x:f>IF(ISNUMBER(F435),IF(F435&gt;=2,1,0),0)</x:f>
        <x:v>0</x:v>
      </x:c>
      <x:c r="I435" s="11" t="n">
        <x:f>IF(ISNUMBER(F435),2^F435-1,0)</x:f>
        <x:v>1</x:v>
      </x:c>
      <x:c r="J435" s="2" t="str">
        <x:v>Retained original 577</x:v>
      </x:c>
      <x:c r="K435" s="10" t="n">
        <x:v>3000</x:v>
      </x:c>
      <x:c r="L435" s="10" t="n">
        <x:v>2</x:v>
      </x:c>
      <x:c r="M435" s="10" t="n">
        <x:v>699</x:v>
      </x:c>
      <x:c r="N435" s="2" t="str">
        <x:v>D12</x:v>
      </x:c>
      <x:c r="O435" s="2" t="str">
        <x:v>hdb flat</x:v>
      </x:c>
      <x:c r="P435" s="2" t="str">
        <x:v>https://www.propertyguru.com.sg/listing/hdb-for-rent-75-whampoa-drive-500235539</x:v>
      </x:c>
      <x:c r="Q435" s="12" t="str">
        <x:v>Hard requirements pass. SGD 3,000/month. Rent is near the cap and well above the lower-rent alternatives; D05 receives no retained preference.</x:v>
      </x:c>
      <x:c r="R435" s="13"/>
    </x:row>
    <x:row r="436" ht="15" hidden="0" customHeight="1">
      <x:c r="A436" s="2" t="str">
        <x:v>S18|25369981</x:v>
      </x:c>
      <x:c r="B436" s="2" t="str">
        <x:v>S18</x:v>
      </x:c>
      <x:c r="C436" s="2" t="str">
        <x:v>25369981</x:v>
      </x:c>
      <x:c r="D436" s="2" t="str">
        <x:v>U</x:v>
      </x:c>
      <x:c r="E436" s="9"/>
      <x:c r="F436" s="2" t="str">
        <x:f>IF(E436="",D436,IF(E436="U","U",IF(AND(ISNUMBER(E436),E436&gt;=0,E436&lt;=3,INT(E436)=E436),E436,"Invalid")))</x:f>
        <x:v>U</x:v>
      </x:c>
      <x:c r="G436" s="2" t="n">
        <x:f>IF(ISNUMBER(F436),1,0)</x:f>
        <x:v>0</x:v>
      </x:c>
      <x:c r="H436" s="2" t="n">
        <x:f>IF(ISNUMBER(F436),IF(F436&gt;=2,1,0),0)</x:f>
        <x:v>0</x:v>
      </x:c>
      <x:c r="I436" s="11" t="n">
        <x:f>IF(ISNUMBER(F436),2^F436-1,0)</x:f>
        <x:v>0</x:v>
      </x:c>
      <x:c r="J436" s="2" t="str">
        <x:v>Retained original 577</x:v>
      </x:c>
      <x:c r="K436" s="10" t="n">
        <x:v>2100</x:v>
      </x:c>
      <x:c r="L436" s="10"/>
      <x:c r="M436" s="10" t="n">
        <x:v>230</x:v>
      </x:c>
      <x:c r="N436" s="2" t="str">
        <x:v>D28</x:v>
      </x:c>
      <x:c r="O436" s="2" t="str">
        <x:v>executive condominium</x:v>
      </x:c>
      <x:c r="P436" s="2" t="str">
        <x:v>https://www.propertyguru.com.sg/listing/for-rent-the-topiary-25369981</x:v>
      </x:c>
      <x:c r="Q436" s="12" t="str">
        <x:v>No known hard failure. Cannot verify: reported bedrooms.</x:v>
      </x:c>
      <x:c r="R436" s="13"/>
    </x:row>
    <x:row r="437" ht="24" hidden="0" customHeight="1">
      <x:c r="A437" s="2" t="str">
        <x:v>S18|500281716</x:v>
      </x:c>
      <x:c r="B437" s="2" t="str">
        <x:v>S18</x:v>
      </x:c>
      <x:c r="C437" s="2" t="str">
        <x:v>500281716</x:v>
      </x:c>
      <x:c r="D437" s="2" t="n">
        <x:v>1</x:v>
      </x:c>
      <x:c r="E437" s="9"/>
      <x:c r="F437" s="2" t="n">
        <x:f>IF(E437="",D437,IF(E437="U","U",IF(AND(ISNUMBER(E437),E437&gt;=0,E437&lt;=3,INT(E437)=E437),E437,"Invalid")))</x:f>
        <x:v>1</x:v>
      </x:c>
      <x:c r="G437" s="2" t="n">
        <x:f>IF(ISNUMBER(F437),1,0)</x:f>
        <x:v>1</x:v>
      </x:c>
      <x:c r="H437" s="2" t="n">
        <x:f>IF(ISNUMBER(F437),IF(F437&gt;=2,1,0),0)</x:f>
        <x:v>0</x:v>
      </x:c>
      <x:c r="I437" s="11" t="n">
        <x:f>IF(ISNUMBER(F437),2^F437-1,0)</x:f>
        <x:v>1</x:v>
      </x:c>
      <x:c r="J437" s="2" t="str">
        <x:v>Retained original 577</x:v>
      </x:c>
      <x:c r="K437" s="10" t="n">
        <x:v>2850</x:v>
      </x:c>
      <x:c r="L437" s="10" t="n">
        <x:v>2</x:v>
      </x:c>
      <x:c r="M437" s="10" t="n">
        <x:v>721</x:v>
      </x:c>
      <x:c r="N437" s="2" t="str">
        <x:v>D14</x:v>
      </x:c>
      <x:c r="O437" s="2" t="str">
        <x:v>hdb flat</x:v>
      </x:c>
      <x:c r="P437" s="2" t="str">
        <x:v>https://www.propertyguru.com.sg/listing/hdb-for-rent-112-aljunied-crescent-500281716</x:v>
      </x:c>
      <x:c r="Q437" s="12" t="str">
        <x:v>Hard requirements pass. SGD 2,850/month. Rent is near the cap and well above the lower-rent alternatives; D05 receives no retained preference.</x:v>
      </x:c>
      <x:c r="R437" s="13"/>
    </x:row>
    <x:row r="438" ht="24" hidden="0" customHeight="1">
      <x:c r="A438" s="2" t="str">
        <x:v>S18|24123060</x:v>
      </x:c>
      <x:c r="B438" s="2" t="str">
        <x:v>S18</x:v>
      </x:c>
      <x:c r="C438" s="2" t="str">
        <x:v>24123060</x:v>
      </x:c>
      <x:c r="D438" s="2" t="n">
        <x:v>1</x:v>
      </x:c>
      <x:c r="E438" s="9"/>
      <x:c r="F438" s="2" t="n">
        <x:f>IF(E438="",D438,IF(E438="U","U",IF(AND(ISNUMBER(E438),E438&gt;=0,E438&lt;=3,INT(E438)=E438),E438,"Invalid")))</x:f>
        <x:v>1</x:v>
      </x:c>
      <x:c r="G438" s="2" t="n">
        <x:f>IF(ISNUMBER(F438),1,0)</x:f>
        <x:v>1</x:v>
      </x:c>
      <x:c r="H438" s="2" t="n">
        <x:f>IF(ISNUMBER(F438),IF(F438&gt;=2,1,0),0)</x:f>
        <x:v>0</x:v>
      </x:c>
      <x:c r="I438" s="11" t="n">
        <x:f>IF(ISNUMBER(F438),2^F438-1,0)</x:f>
        <x:v>1</x:v>
      </x:c>
      <x:c r="J438" s="2" t="str">
        <x:v>Retained original 577</x:v>
      </x:c>
      <x:c r="K438" s="10" t="n">
        <x:v>2800</x:v>
      </x:c>
      <x:c r="L438" s="10" t="n">
        <x:v>2</x:v>
      </x:c>
      <x:c r="M438" s="10" t="n">
        <x:v>721</x:v>
      </x:c>
      <x:c r="N438" s="2" t="str">
        <x:v>D19</x:v>
      </x:c>
      <x:c r="O438" s="2" t="str">
        <x:v>hdb flat</x:v>
      </x:c>
      <x:c r="P438" s="2" t="str">
        <x:v>https://www.propertyguru.com.sg/listing/hdb-for-rent-120b-punggol-edge-24123060</x:v>
      </x:c>
      <x:c r="Q438" s="12" t="str">
        <x:v>Hard requirements pass. SGD 2,800/month. Rent is near the cap and well above the lower-rent alternatives; D05 receives no retained preference.</x:v>
      </x:c>
      <x:c r="R438" s="13"/>
    </x:row>
    <x:row r="439" ht="24" hidden="0" customHeight="1">
      <x:c r="A439" s="2" t="str">
        <x:v>S18|21026007</x:v>
      </x:c>
      <x:c r="B439" s="2" t="str">
        <x:v>S18</x:v>
      </x:c>
      <x:c r="C439" s="2" t="str">
        <x:v>21026007</x:v>
      </x:c>
      <x:c r="D439" s="2" t="n">
        <x:v>3</x:v>
      </x:c>
      <x:c r="E439" s="9"/>
      <x:c r="F439" s="2" t="n">
        <x:f>IF(E439="",D439,IF(E439="U","U",IF(AND(ISNUMBER(E439),E439&gt;=0,E439&lt;=3,INT(E439)=E439),E439,"Invalid")))</x:f>
        <x:v>3</x:v>
      </x:c>
      <x:c r="G439" s="2" t="n">
        <x:f>IF(ISNUMBER(F439),1,0)</x:f>
        <x:v>1</x:v>
      </x:c>
      <x:c r="H439" s="2" t="n">
        <x:f>IF(ISNUMBER(F439),IF(F439&gt;=2,1,0),0)</x:f>
        <x:v>1</x:v>
      </x:c>
      <x:c r="I439" s="11" t="n">
        <x:f>IF(ISNUMBER(F439),2^F439-1,0)</x:f>
        <x:v>7</x:v>
      </x:c>
      <x:c r="J439" s="2" t="str">
        <x:v>Retained original 577</x:v>
      </x:c>
      <x:c r="K439" s="10" t="n">
        <x:v>450</x:v>
      </x:c>
      <x:c r="L439" s="10" t="n">
        <x:v>3</x:v>
      </x:c>
      <x:c r="M439" s="10" t="n">
        <x:v>100</x:v>
      </x:c>
      <x:c r="N439" s="2" t="str">
        <x:v>D25</x:v>
      </x:c>
      <x:c r="O439" s="2" t="str">
        <x:v>hdb flat</x:v>
      </x:c>
      <x:c r="P439" s="2" t="str">
        <x:v>https://www.propertyguru.com.sg/listing/hdb-for-rent-764a-woodlands-circle-21026007</x:v>
      </x:c>
      <x:c r="Q439" s="12" t="str">
        <x:v>Hard requirements pass. SGD 450/month. Among the lowest reported rents after the district requirement is removed.</x:v>
      </x:c>
      <x:c r="R439" s="13"/>
    </x:row>
    <x:row r="440" ht="15" hidden="0" customHeight="1">
      <x:c r="A440" s="2" t="str">
        <x:v>S18|500260526</x:v>
      </x:c>
      <x:c r="B440" s="2" t="str">
        <x:v>S18</x:v>
      </x:c>
      <x:c r="C440" s="2" t="str">
        <x:v>500260526</x:v>
      </x:c>
      <x:c r="D440" s="2" t="n">
        <x:v>0</x:v>
      </x:c>
      <x:c r="E440" s="9"/>
      <x:c r="F440" s="2" t="n">
        <x:f>IF(E440="",D440,IF(E440="U","U",IF(AND(ISNUMBER(E440),E440&gt;=0,E440&lt;=3,INT(E440)=E440),E440,"Invalid")))</x:f>
        <x:v>0</x:v>
      </x:c>
      <x:c r="G440" s="2" t="n">
        <x:f>IF(ISNUMBER(F440),1,0)</x:f>
        <x:v>1</x:v>
      </x:c>
      <x:c r="H440" s="2" t="n">
        <x:f>IF(ISNUMBER(F440),IF(F440&gt;=2,1,0),0)</x:f>
        <x:v>0</x:v>
      </x:c>
      <x:c r="I440" s="11" t="n">
        <x:f>IF(ISNUMBER(F440),2^F440-1,0)</x:f>
        <x:v>0</x:v>
      </x:c>
      <x:c r="J440" s="2" t="str">
        <x:v>Retained original 577</x:v>
      </x:c>
      <x:c r="K440" s="10" t="n">
        <x:v>2600</x:v>
      </x:c>
      <x:c r="L440" s="10" t="n">
        <x:v>1</x:v>
      </x:c>
      <x:c r="M440" s="10" t="n">
        <x:v>366</x:v>
      </x:c>
      <x:c r="N440" s="2" t="str">
        <x:v>D08</x:v>
      </x:c>
      <x:c r="O440" s="2" t="str">
        <x:v>apartment</x:v>
      </x:c>
      <x:c r="P440" s="2" t="str">
        <x:v>https://www.propertyguru.com.sg/listing/for-rent-city-loft-500260526</x:v>
      </x:c>
      <x:c r="Q440" s="12" t="str">
        <x:v>Hard failure: Reported bedrooms 1; required &gt;= 2.</x:v>
      </x:c>
      <x:c r="R440" s="13"/>
    </x:row>
    <x:row r="441" ht="24" hidden="0" customHeight="1">
      <x:c r="A441" s="2" t="str">
        <x:v>S18|500271412</x:v>
      </x:c>
      <x:c r="B441" s="2" t="str">
        <x:v>S18</x:v>
      </x:c>
      <x:c r="C441" s="2" t="str">
        <x:v>500271412</x:v>
      </x:c>
      <x:c r="D441" s="2" t="n">
        <x:v>1</x:v>
      </x:c>
      <x:c r="E441" s="9"/>
      <x:c r="F441" s="2" t="n">
        <x:f>IF(E441="",D441,IF(E441="U","U",IF(AND(ISNUMBER(E441),E441&gt;=0,E441&lt;=3,INT(E441)=E441),E441,"Invalid")))</x:f>
        <x:v>1</x:v>
      </x:c>
      <x:c r="G441" s="2" t="n">
        <x:f>IF(ISNUMBER(F441),1,0)</x:f>
        <x:v>1</x:v>
      </x:c>
      <x:c r="H441" s="2" t="n">
        <x:f>IF(ISNUMBER(F441),IF(F441&gt;=2,1,0),0)</x:f>
        <x:v>0</x:v>
      </x:c>
      <x:c r="I441" s="11" t="n">
        <x:f>IF(ISNUMBER(F441),2^F441-1,0)</x:f>
        <x:v>1</x:v>
      </x:c>
      <x:c r="J441" s="2" t="str">
        <x:v>Retained original 577</x:v>
      </x:c>
      <x:c r="K441" s="10" t="n">
        <x:v>3000</x:v>
      </x:c>
      <x:c r="L441" s="10" t="n">
        <x:v>2</x:v>
      </x:c>
      <x:c r="M441" s="10" t="n">
        <x:v>700</x:v>
      </x:c>
      <x:c r="N441" s="2" t="str">
        <x:v>D19</x:v>
      </x:c>
      <x:c r="O441" s="2" t="str">
        <x:v>hdb flat</x:v>
      </x:c>
      <x:c r="P441" s="2" t="str">
        <x:v>https://www.propertyguru.com.sg/listing/hdb-for-rent-306-serangoon-avenue-2-500271412</x:v>
      </x:c>
      <x:c r="Q441" s="12" t="str">
        <x:v>Hard requirements pass. SGD 3,000/month. Rent is near the cap and well above the lower-rent alternatives; D05 receives no retained preference.</x:v>
      </x:c>
      <x:c r="R441" s="13"/>
    </x:row>
    <x:row r="442" ht="24" hidden="0" customHeight="1">
      <x:c r="A442" s="2" t="str">
        <x:v>S18|24252348</x:v>
      </x:c>
      <x:c r="B442" s="2" t="str">
        <x:v>S18</x:v>
      </x:c>
      <x:c r="C442" s="2" t="str">
        <x:v>24252348</x:v>
      </x:c>
      <x:c r="D442" s="2" t="n">
        <x:v>1</x:v>
      </x:c>
      <x:c r="E442" s="9"/>
      <x:c r="F442" s="2" t="n">
        <x:f>IF(E442="",D442,IF(E442="U","U",IF(AND(ISNUMBER(E442),E442&gt;=0,E442&lt;=3,INT(E442)=E442),E442,"Invalid")))</x:f>
        <x:v>1</x:v>
      </x:c>
      <x:c r="G442" s="2" t="n">
        <x:f>IF(ISNUMBER(F442),1,0)</x:f>
        <x:v>1</x:v>
      </x:c>
      <x:c r="H442" s="2" t="n">
        <x:f>IF(ISNUMBER(F442),IF(F442&gt;=2,1,0),0)</x:f>
        <x:v>0</x:v>
      </x:c>
      <x:c r="I442" s="11" t="n">
        <x:f>IF(ISNUMBER(F442),2^F442-1,0)</x:f>
        <x:v>1</x:v>
      </x:c>
      <x:c r="J442" s="2" t="str">
        <x:v>Retained original 577</x:v>
      </x:c>
      <x:c r="K442" s="10" t="n">
        <x:v>3000</x:v>
      </x:c>
      <x:c r="L442" s="10" t="n">
        <x:v>2</x:v>
      </x:c>
      <x:c r="M442" s="10" t="n">
        <x:v>635</x:v>
      </x:c>
      <x:c r="N442" s="2" t="str">
        <x:v>D16</x:v>
      </x:c>
      <x:c r="O442" s="2" t="str">
        <x:v>hdb flat</x:v>
      </x:c>
      <x:c r="P442" s="2" t="str">
        <x:v>https://www.propertyguru.com.sg/listing/hdb-for-rent-74-bedok-north-road-24252348</x:v>
      </x:c>
      <x:c r="Q442" s="12" t="str">
        <x:v>Hard requirements pass. SGD 3,000/month. Rent is near the cap and well above the lower-rent alternatives; D05 receives no retained preference.</x:v>
      </x:c>
      <x:c r="R442" s="13"/>
    </x:row>
    <x:row r="443" ht="24" hidden="0" customHeight="1">
      <x:c r="A443" s="2" t="str">
        <x:v>S18|25544801</x:v>
      </x:c>
      <x:c r="B443" s="2" t="str">
        <x:v>S18</x:v>
      </x:c>
      <x:c r="C443" s="2" t="str">
        <x:v>25544801</x:v>
      </x:c>
      <x:c r="D443" s="2" t="n">
        <x:v>3</x:v>
      </x:c>
      <x:c r="E443" s="9"/>
      <x:c r="F443" s="2" t="n">
        <x:f>IF(E443="",D443,IF(E443="U","U",IF(AND(ISNUMBER(E443),E443&gt;=0,E443&lt;=3,INT(E443)=E443),E443,"Invalid")))</x:f>
        <x:v>3</x:v>
      </x:c>
      <x:c r="G443" s="2" t="n">
        <x:f>IF(ISNUMBER(F443),1,0)</x:f>
        <x:v>1</x:v>
      </x:c>
      <x:c r="H443" s="2" t="n">
        <x:f>IF(ISNUMBER(F443),IF(F443&gt;=2,1,0),0)</x:f>
        <x:v>1</x:v>
      </x:c>
      <x:c r="I443" s="11" t="n">
        <x:f>IF(ISNUMBER(F443),2^F443-1,0)</x:f>
        <x:v>7</x:v>
      </x:c>
      <x:c r="J443" s="2" t="str">
        <x:v>Retained original 577</x:v>
      </x:c>
      <x:c r="K443" s="10" t="n">
        <x:v>950</x:v>
      </x:c>
      <x:c r="L443" s="10" t="n">
        <x:v>7</x:v>
      </x:c>
      <x:c r="M443" s="10" t="n">
        <x:v>100</x:v>
      </x:c>
      <x:c r="N443" s="2" t="str">
        <x:v>D16</x:v>
      </x:c>
      <x:c r="O443" s="2" t="str">
        <x:v>condominium</x:v>
      </x:c>
      <x:c r="P443" s="2" t="str">
        <x:v>https://www.propertyguru.com.sg/listing/for-rent-the-bayshore-25544801</x:v>
      </x:c>
      <x:c r="Q443" s="12" t="str">
        <x:v>Hard requirements pass. SGD 950/month. Among the lowest reported rents after the district requirement is removed.</x:v>
      </x:c>
      <x:c r="R443" s="13"/>
    </x:row>
    <x:row r="444" ht="24" hidden="0" customHeight="1">
      <x:c r="A444" s="2" t="str">
        <x:v>S18|20160391</x:v>
      </x:c>
      <x:c r="B444" s="2" t="str">
        <x:v>S18</x:v>
      </x:c>
      <x:c r="C444" s="2" t="str">
        <x:v>20160391</x:v>
      </x:c>
      <x:c r="D444" s="2" t="n">
        <x:v>1</x:v>
      </x:c>
      <x:c r="E444" s="9"/>
      <x:c r="F444" s="2" t="n">
        <x:f>IF(E444="",D444,IF(E444="U","U",IF(AND(ISNUMBER(E444),E444&gt;=0,E444&lt;=3,INT(E444)=E444),E444,"Invalid")))</x:f>
        <x:v>1</x:v>
      </x:c>
      <x:c r="G444" s="2" t="n">
        <x:f>IF(ISNUMBER(F444),1,0)</x:f>
        <x:v>1</x:v>
      </x:c>
      <x:c r="H444" s="2" t="n">
        <x:f>IF(ISNUMBER(F444),IF(F444&gt;=2,1,0),0)</x:f>
        <x:v>0</x:v>
      </x:c>
      <x:c r="I444" s="11" t="n">
        <x:f>IF(ISNUMBER(F444),2^F444-1,0)</x:f>
        <x:v>1</x:v>
      </x:c>
      <x:c r="J444" s="2" t="str">
        <x:v>Retained original 577</x:v>
      </x:c>
      <x:c r="K444" s="10" t="n">
        <x:v>2800</x:v>
      </x:c>
      <x:c r="L444" s="10" t="n">
        <x:v>2</x:v>
      </x:c>
      <x:c r="M444" s="10" t="n">
        <x:v>731</x:v>
      </x:c>
      <x:c r="N444" s="2" t="str">
        <x:v>D20</x:v>
      </x:c>
      <x:c r="O444" s="2" t="str">
        <x:v>hdb flat</x:v>
      </x:c>
      <x:c r="P444" s="2" t="str">
        <x:v>https://www.propertyguru.com.sg/listing/hdb-for-rent-22-sin-ming-road-20160391</x:v>
      </x:c>
      <x:c r="Q444" s="12" t="str">
        <x:v>Hard requirements pass. SGD 2,800/month. Rent is near the cap and well above the lower-rent alternatives; D05 receives no retained preference.</x:v>
      </x:c>
      <x:c r="R444" s="13"/>
    </x:row>
    <x:row r="445" ht="24" hidden="0" customHeight="1">
      <x:c r="A445" s="2" t="str">
        <x:v>S18|24588512</x:v>
      </x:c>
      <x:c r="B445" s="2" t="str">
        <x:v>S18</x:v>
      </x:c>
      <x:c r="C445" s="2" t="str">
        <x:v>24588512</x:v>
      </x:c>
      <x:c r="D445" s="2" t="n">
        <x:v>1</x:v>
      </x:c>
      <x:c r="E445" s="9"/>
      <x:c r="F445" s="2" t="n">
        <x:f>IF(E445="",D445,IF(E445="U","U",IF(AND(ISNUMBER(E445),E445&gt;=0,E445&lt;=3,INT(E445)=E445),E445,"Invalid")))</x:f>
        <x:v>1</x:v>
      </x:c>
      <x:c r="G445" s="2" t="n">
        <x:f>IF(ISNUMBER(F445),1,0)</x:f>
        <x:v>1</x:v>
      </x:c>
      <x:c r="H445" s="2" t="n">
        <x:f>IF(ISNUMBER(F445),IF(F445&gt;=2,1,0),0)</x:f>
        <x:v>0</x:v>
      </x:c>
      <x:c r="I445" s="11" t="n">
        <x:f>IF(ISNUMBER(F445),2^F445-1,0)</x:f>
        <x:v>1</x:v>
      </x:c>
      <x:c r="J445" s="2" t="str">
        <x:v>Retained original 577</x:v>
      </x:c>
      <x:c r="K445" s="10" t="n">
        <x:v>3000</x:v>
      </x:c>
      <x:c r="L445" s="10" t="n">
        <x:v>2</x:v>
      </x:c>
      <x:c r="M445" s="10" t="n">
        <x:v>500</x:v>
      </x:c>
      <x:c r="N445" s="2" t="str">
        <x:v>D16</x:v>
      </x:c>
      <x:c r="O445" s="2" t="str">
        <x:v>condominium</x:v>
      </x:c>
      <x:c r="P445" s="2" t="str">
        <x:v>https://www.propertyguru.com.sg/listing/for-rent-bayshore-park-24588512</x:v>
      </x:c>
      <x:c r="Q445" s="12" t="str">
        <x:v>Hard requirements pass. SGD 3,000/month. Rent is near the cap and well above the lower-rent alternatives; D05 receives no retained preference.</x:v>
      </x:c>
      <x:c r="R445" s="13"/>
    </x:row>
    <x:row r="446" ht="24" hidden="0" customHeight="1">
      <x:c r="A446" s="2" t="str">
        <x:v>S18|60023928</x:v>
      </x:c>
      <x:c r="B446" s="2" t="str">
        <x:v>S18</x:v>
      </x:c>
      <x:c r="C446" s="2" t="str">
        <x:v>60023928</x:v>
      </x:c>
      <x:c r="D446" s="2" t="n">
        <x:v>3</x:v>
      </x:c>
      <x:c r="E446" s="9"/>
      <x:c r="F446" s="2" t="n">
        <x:f>IF(E446="",D446,IF(E446="U","U",IF(AND(ISNUMBER(E446),E446&gt;=0,E446&lt;=3,INT(E446)=E446),E446,"Invalid")))</x:f>
        <x:v>3</x:v>
      </x:c>
      <x:c r="G446" s="2" t="n">
        <x:f>IF(ISNUMBER(F446),1,0)</x:f>
        <x:v>1</x:v>
      </x:c>
      <x:c r="H446" s="2" t="n">
        <x:f>IF(ISNUMBER(F446),IF(F446&gt;=2,1,0),0)</x:f>
        <x:v>1</x:v>
      </x:c>
      <x:c r="I446" s="11" t="n">
        <x:f>IF(ISNUMBER(F446),2^F446-1,0)</x:f>
        <x:v>7</x:v>
      </x:c>
      <x:c r="J446" s="2" t="str">
        <x:v>Retained original 577</x:v>
      </x:c>
      <x:c r="K446" s="10" t="n">
        <x:v>800</x:v>
      </x:c>
      <x:c r="L446" s="10" t="n">
        <x:v>2</x:v>
      </x:c>
      <x:c r="M446" s="10" t="n">
        <x:v>120</x:v>
      </x:c>
      <x:c r="N446" s="2" t="str">
        <x:v>D27</x:v>
      </x:c>
      <x:c r="O446" s="2" t="str">
        <x:v>hdb flat</x:v>
      </x:c>
      <x:c r="P446" s="2" t="str">
        <x:v>https://www.propertyguru.com.sg/listing/hdb-for-rent-203-yishun-street-21-60023928</x:v>
      </x:c>
      <x:c r="Q446" s="12" t="str">
        <x:v>Hard requirements pass. SGD 800/month. Among the lowest reported rents after the district requirement is removed.</x:v>
      </x:c>
      <x:c r="R446" s="13"/>
    </x:row>
    <x:row r="447" ht="15" hidden="0" customHeight="1">
      <x:c r="A447" s="2" t="str">
        <x:v>S18|500065106</x:v>
      </x:c>
      <x:c r="B447" s="2" t="str">
        <x:v>S18</x:v>
      </x:c>
      <x:c r="C447" s="2" t="str">
        <x:v>500065106</x:v>
      </x:c>
      <x:c r="D447" s="2" t="str">
        <x:v>U</x:v>
      </x:c>
      <x:c r="E447" s="9"/>
      <x:c r="F447" s="2" t="str">
        <x:f>IF(E447="",D447,IF(E447="U","U",IF(AND(ISNUMBER(E447),E447&gt;=0,E447&lt;=3,INT(E447)=E447),E447,"Invalid")))</x:f>
        <x:v>U</x:v>
      </x:c>
      <x:c r="G447" s="2" t="n">
        <x:f>IF(ISNUMBER(F447),1,0)</x:f>
        <x:v>0</x:v>
      </x:c>
      <x:c r="H447" s="2" t="n">
        <x:f>IF(ISNUMBER(F447),IF(F447&gt;=2,1,0),0)</x:f>
        <x:v>0</x:v>
      </x:c>
      <x:c r="I447" s="11" t="n">
        <x:f>IF(ISNUMBER(F447),2^F447-1,0)</x:f>
        <x:v>0</x:v>
      </x:c>
      <x:c r="J447" s="2" t="str">
        <x:v>Retained original 577</x:v>
      </x:c>
      <x:c r="K447" s="10" t="n">
        <x:v>2400</x:v>
      </x:c>
      <x:c r="L447" s="10"/>
      <x:c r="M447" s="10" t="n">
        <x:v>200</x:v>
      </x:c>
      <x:c r="N447" s="2" t="str">
        <x:v>D07</x:v>
      </x:c>
      <x:c r="O447" s="2" t="str">
        <x:v>apartment</x:v>
      </x:c>
      <x:c r="P447" s="2" t="str">
        <x:v>https://www.propertyguru.com.sg/listing/for-rent-coliwoo-midtown-500065106</x:v>
      </x:c>
      <x:c r="Q447" s="12" t="str">
        <x:v>No known hard failure. Cannot verify: reported bedrooms.</x:v>
      </x:c>
      <x:c r="R447" s="13"/>
    </x:row>
    <x:row r="448" ht="24" hidden="0" customHeight="1">
      <x:c r="A448" s="2" t="str">
        <x:v>S18|500262978</x:v>
      </x:c>
      <x:c r="B448" s="2" t="str">
        <x:v>S18</x:v>
      </x:c>
      <x:c r="C448" s="2" t="str">
        <x:v>500262978</x:v>
      </x:c>
      <x:c r="D448" s="2" t="n">
        <x:v>1</x:v>
      </x:c>
      <x:c r="E448" s="9"/>
      <x:c r="F448" s="2" t="n">
        <x:f>IF(E448="",D448,IF(E448="U","U",IF(AND(ISNUMBER(E448),E448&gt;=0,E448&lt;=3,INT(E448)=E448),E448,"Invalid")))</x:f>
        <x:v>1</x:v>
      </x:c>
      <x:c r="G448" s="2" t="n">
        <x:f>IF(ISNUMBER(F448),1,0)</x:f>
        <x:v>1</x:v>
      </x:c>
      <x:c r="H448" s="2" t="n">
        <x:f>IF(ISNUMBER(F448),IF(F448&gt;=2,1,0),0)</x:f>
        <x:v>0</x:v>
      </x:c>
      <x:c r="I448" s="11" t="n">
        <x:f>IF(ISNUMBER(F448),2^F448-1,0)</x:f>
        <x:v>1</x:v>
      </x:c>
      <x:c r="J448" s="2" t="str">
        <x:v>Retained original 577</x:v>
      </x:c>
      <x:c r="K448" s="10" t="n">
        <x:v>3000</x:v>
      </x:c>
      <x:c r="L448" s="10" t="n">
        <x:v>2</x:v>
      </x:c>
      <x:c r="M448" s="10" t="n">
        <x:v>68</x:v>
      </x:c>
      <x:c r="N448" s="2" t="str">
        <x:v>D23</x:v>
      </x:c>
      <x:c r="O448" s="2" t="str">
        <x:v>hdb flat</x:v>
      </x:c>
      <x:c r="P448" s="2" t="str">
        <x:v>https://www.propertyguru.com.sg/listing/hdb-for-rent-459-segar-road-500262978</x:v>
      </x:c>
      <x:c r="Q448" s="12" t="str">
        <x:v>Hard requirements pass. SGD 3,000/month. Rent is near the cap and well above the lower-rent alternatives; D05 receives no retained preference.</x:v>
      </x:c>
      <x:c r="R448" s="13"/>
    </x:row>
    <x:row r="449" ht="15" hidden="0" customHeight="1">
      <x:c r="A449" s="2" t="str">
        <x:v>S18|500056552</x:v>
      </x:c>
      <x:c r="B449" s="2" t="str">
        <x:v>S18</x:v>
      </x:c>
      <x:c r="C449" s="2" t="str">
        <x:v>500056552</x:v>
      </x:c>
      <x:c r="D449" s="2" t="n">
        <x:v>0</x:v>
      </x:c>
      <x:c r="E449" s="9"/>
      <x:c r="F449" s="2" t="n">
        <x:f>IF(E449="",D449,IF(E449="U","U",IF(AND(ISNUMBER(E449),E449&gt;=0,E449&lt;=3,INT(E449)=E449),E449,"Invalid")))</x:f>
        <x:v>0</x:v>
      </x:c>
      <x:c r="G449" s="2" t="n">
        <x:f>IF(ISNUMBER(F449),1,0)</x:f>
        <x:v>1</x:v>
      </x:c>
      <x:c r="H449" s="2" t="n">
        <x:f>IF(ISNUMBER(F449),IF(F449&gt;=2,1,0),0)</x:f>
        <x:v>0</x:v>
      </x:c>
      <x:c r="I449" s="11" t="n">
        <x:f>IF(ISNUMBER(F449),2^F449-1,0)</x:f>
        <x:v>0</x:v>
      </x:c>
      <x:c r="J449" s="2" t="str">
        <x:v>Retained original 577</x:v>
      </x:c>
      <x:c r="K449" s="10" t="n">
        <x:v>2500</x:v>
      </x:c>
      <x:c r="L449" s="10" t="n">
        <x:v>1</x:v>
      </x:c>
      <x:c r="M449" s="10" t="n">
        <x:v>500</x:v>
      </x:c>
      <x:c r="N449" s="2" t="str">
        <x:v>D18</x:v>
      </x:c>
      <x:c r="O449" s="2" t="str">
        <x:v>hdb flat</x:v>
      </x:c>
      <x:c r="P449" s="2" t="str">
        <x:v>https://www.propertyguru.com.sg/listing/hdb-for-rent-480-tampines-street-44-500056552</x:v>
      </x:c>
      <x:c r="Q449" s="12" t="str">
        <x:v>Hard failure: Reported bedrooms 1; required &gt;= 2.</x:v>
      </x:c>
      <x:c r="R449" s="13"/>
    </x:row>
    <x:row r="450" ht="15" hidden="0" customHeight="1">
      <x:c r="A450" s="2" t="str">
        <x:v>S18|500245773</x:v>
      </x:c>
      <x:c r="B450" s="2" t="str">
        <x:v>S18</x:v>
      </x:c>
      <x:c r="C450" s="2" t="str">
        <x:v>500245773</x:v>
      </x:c>
      <x:c r="D450" s="2" t="n">
        <x:v>0</x:v>
      </x:c>
      <x:c r="E450" s="9"/>
      <x:c r="F450" s="2" t="n">
        <x:f>IF(E450="",D450,IF(E450="U","U",IF(AND(ISNUMBER(E450),E450&gt;=0,E450&lt;=3,INT(E450)=E450),E450,"Invalid")))</x:f>
        <x:v>0</x:v>
      </x:c>
      <x:c r="G450" s="2" t="n">
        <x:f>IF(ISNUMBER(F450),1,0)</x:f>
        <x:v>1</x:v>
      </x:c>
      <x:c r="H450" s="2" t="n">
        <x:f>IF(ISNUMBER(F450),IF(F450&gt;=2,1,0),0)</x:f>
        <x:v>0</x:v>
      </x:c>
      <x:c r="I450" s="11" t="n">
        <x:f>IF(ISNUMBER(F450),2^F450-1,0)</x:f>
        <x:v>0</x:v>
      </x:c>
      <x:c r="J450" s="2" t="str">
        <x:v>Retained original 577</x:v>
      </x:c>
      <x:c r="K450" s="10" t="n">
        <x:v>3100</x:v>
      </x:c>
      <x:c r="L450" s="10" t="n">
        <x:v>2</x:v>
      </x:c>
      <x:c r="M450" s="10" t="n">
        <x:v>634</x:v>
      </x:c>
      <x:c r="N450" s="2" t="str">
        <x:v>D10</x:v>
      </x:c>
      <x:c r="O450" s="2" t="str">
        <x:v>hdb flat</x:v>
      </x:c>
      <x:c r="P450" s="2" t="str">
        <x:v>https://www.propertyguru.com.sg/listing/hdb-for-rent-8-holland-avenue-500245773</x:v>
      </x:c>
      <x:c r="Q450" s="12" t="str">
        <x:v>Hard failure: Rent (SGD/month) 3,100; required &lt;= 3,000.</x:v>
      </x:c>
      <x:c r="R450" s="13"/>
    </x:row>
    <x:row r="451" ht="24" hidden="0" customHeight="1">
      <x:c r="A451" s="2" t="str">
        <x:v>S18|500281545</x:v>
      </x:c>
      <x:c r="B451" s="2" t="str">
        <x:v>S18</x:v>
      </x:c>
      <x:c r="C451" s="2" t="str">
        <x:v>500281545</x:v>
      </x:c>
      <x:c r="D451" s="2" t="n">
        <x:v>3</x:v>
      </x:c>
      <x:c r="E451" s="9"/>
      <x:c r="F451" s="2" t="n">
        <x:f>IF(E451="",D451,IF(E451="U","U",IF(AND(ISNUMBER(E451),E451&gt;=0,E451&lt;=3,INT(E451)=E451),E451,"Invalid")))</x:f>
        <x:v>3</x:v>
      </x:c>
      <x:c r="G451" s="2" t="n">
        <x:f>IF(ISNUMBER(F451),1,0)</x:f>
        <x:v>1</x:v>
      </x:c>
      <x:c r="H451" s="2" t="n">
        <x:f>IF(ISNUMBER(F451),IF(F451&gt;=2,1,0),0)</x:f>
        <x:v>1</x:v>
      </x:c>
      <x:c r="I451" s="11" t="n">
        <x:f>IF(ISNUMBER(F451),2^F451-1,0)</x:f>
        <x:v>7</x:v>
      </x:c>
      <x:c r="J451" s="2" t="str">
        <x:v>Retained original 577</x:v>
      </x:c>
      <x:c r="K451" s="10" t="n">
        <x:v>700</x:v>
      </x:c>
      <x:c r="L451" s="10" t="n">
        <x:v>3</x:v>
      </x:c>
      <x:c r="M451" s="10" t="n">
        <x:v>904</x:v>
      </x:c>
      <x:c r="N451" s="2" t="str">
        <x:v>D18</x:v>
      </x:c>
      <x:c r="O451" s="2" t="str">
        <x:v>hdb flat</x:v>
      </x:c>
      <x:c r="P451" s="2" t="str">
        <x:v>https://www.propertyguru.com.sg/listing/hdb-for-rent-832-tampines-street-82-500281545</x:v>
      </x:c>
      <x:c r="Q451" s="12" t="str">
        <x:v>Hard requirements pass. SGD 700/month. Among the lowest reported rents after the district requirement is removed.</x:v>
      </x:c>
      <x:c r="R451" s="13"/>
    </x:row>
    <x:row r="452" ht="24" hidden="0" customHeight="1">
      <x:c r="A452" s="2" t="str">
        <x:v>S18|25274593</x:v>
      </x:c>
      <x:c r="B452" s="2" t="str">
        <x:v>S18</x:v>
      </x:c>
      <x:c r="C452" s="2" t="str">
        <x:v>25274593</x:v>
      </x:c>
      <x:c r="D452" s="2" t="n">
        <x:v>1</x:v>
      </x:c>
      <x:c r="E452" s="9"/>
      <x:c r="F452" s="2" t="n">
        <x:f>IF(E452="",D452,IF(E452="U","U",IF(AND(ISNUMBER(E452),E452&gt;=0,E452&lt;=3,INT(E452)=E452),E452,"Invalid")))</x:f>
        <x:v>1</x:v>
      </x:c>
      <x:c r="G452" s="2" t="n">
        <x:f>IF(ISNUMBER(F452),1,0)</x:f>
        <x:v>1</x:v>
      </x:c>
      <x:c r="H452" s="2" t="n">
        <x:f>IF(ISNUMBER(F452),IF(F452&gt;=2,1,0),0)</x:f>
        <x:v>0</x:v>
      </x:c>
      <x:c r="I452" s="11" t="n">
        <x:f>IF(ISNUMBER(F452),2^F452-1,0)</x:f>
        <x:v>1</x:v>
      </x:c>
      <x:c r="J452" s="2" t="str">
        <x:v>Retained original 577</x:v>
      </x:c>
      <x:c r="K452" s="10" t="n">
        <x:v>2900</x:v>
      </x:c>
      <x:c r="L452" s="10" t="n">
        <x:v>2</x:v>
      </x:c>
      <x:c r="M452" s="10" t="n">
        <x:v>860</x:v>
      </x:c>
      <x:c r="N452" s="2" t="str">
        <x:v>D19</x:v>
      </x:c>
      <x:c r="O452" s="2" t="str">
        <x:v>hdb flat</x:v>
      </x:c>
      <x:c r="P452" s="2" t="str">
        <x:v>https://www.propertyguru.com.sg/listing/hdb-for-rent-178d-rivervale-crescent-25274593</x:v>
      </x:c>
      <x:c r="Q452" s="12" t="str">
        <x:v>Hard requirements pass. SGD 2,900/month. Rent is near the cap and well above the lower-rent alternatives; D05 receives no retained preference.</x:v>
      </x:c>
      <x:c r="R452" s="13"/>
    </x:row>
    <x:row r="453" ht="24" hidden="0" customHeight="1">
      <x:c r="A453" s="2" t="str">
        <x:v>S18|24434237</x:v>
      </x:c>
      <x:c r="B453" s="2" t="str">
        <x:v>S18</x:v>
      </x:c>
      <x:c r="C453" s="2" t="str">
        <x:v>24434237</x:v>
      </x:c>
      <x:c r="D453" s="2" t="n">
        <x:v>1</x:v>
      </x:c>
      <x:c r="E453" s="9"/>
      <x:c r="F453" s="2" t="n">
        <x:f>IF(E453="",D453,IF(E453="U","U",IF(AND(ISNUMBER(E453),E453&gt;=0,E453&lt;=3,INT(E453)=E453),E453,"Invalid")))</x:f>
        <x:v>1</x:v>
      </x:c>
      <x:c r="G453" s="2" t="n">
        <x:f>IF(ISNUMBER(F453),1,0)</x:f>
        <x:v>1</x:v>
      </x:c>
      <x:c r="H453" s="2" t="n">
        <x:f>IF(ISNUMBER(F453),IF(F453&gt;=2,1,0),0)</x:f>
        <x:v>0</x:v>
      </x:c>
      <x:c r="I453" s="11" t="n">
        <x:f>IF(ISNUMBER(F453),2^F453-1,0)</x:f>
        <x:v>1</x:v>
      </x:c>
      <x:c r="J453" s="2" t="str">
        <x:v>Retained original 577</x:v>
      </x:c>
      <x:c r="K453" s="10" t="n">
        <x:v>3000</x:v>
      </x:c>
      <x:c r="L453" s="10" t="n">
        <x:v>2</x:v>
      </x:c>
      <x:c r="M453" s="10" t="n">
        <x:v>797</x:v>
      </x:c>
      <x:c r="N453" s="2" t="str">
        <x:v>D22</x:v>
      </x:c>
      <x:c r="O453" s="2" t="str">
        <x:v>hdb flat</x:v>
      </x:c>
      <x:c r="P453" s="2" t="str">
        <x:v>https://www.propertyguru.com.sg/listing/hdb-for-rent-33-teban-gardens-road-24434237</x:v>
      </x:c>
      <x:c r="Q453" s="12" t="str">
        <x:v>Hard requirements pass. SGD 3,000/month. Rent is near the cap and well above the lower-rent alternatives; D05 receives no retained preference.</x:v>
      </x:c>
      <x:c r="R453" s="13"/>
    </x:row>
    <x:row r="454" ht="24" hidden="0" customHeight="1">
      <x:c r="A454" s="2" t="str">
        <x:v>S18|500280500</x:v>
      </x:c>
      <x:c r="B454" s="2" t="str">
        <x:v>S18</x:v>
      </x:c>
      <x:c r="C454" s="2" t="str">
        <x:v>500280500</x:v>
      </x:c>
      <x:c r="D454" s="2" t="n">
        <x:v>1</x:v>
      </x:c>
      <x:c r="E454" s="9"/>
      <x:c r="F454" s="2" t="n">
        <x:f>IF(E454="",D454,IF(E454="U","U",IF(AND(ISNUMBER(E454),E454&gt;=0,E454&lt;=3,INT(E454)=E454),E454,"Invalid")))</x:f>
        <x:v>1</x:v>
      </x:c>
      <x:c r="G454" s="2" t="n">
        <x:f>IF(ISNUMBER(F454),1,0)</x:f>
        <x:v>1</x:v>
      </x:c>
      <x:c r="H454" s="2" t="n">
        <x:f>IF(ISNUMBER(F454),IF(F454&gt;=2,1,0),0)</x:f>
        <x:v>0</x:v>
      </x:c>
      <x:c r="I454" s="11" t="n">
        <x:f>IF(ISNUMBER(F454),2^F454-1,0)</x:f>
        <x:v>1</x:v>
      </x:c>
      <x:c r="J454" s="2" t="str">
        <x:v>Retained original 577</x:v>
      </x:c>
      <x:c r="K454" s="10" t="n">
        <x:v>3000</x:v>
      </x:c>
      <x:c r="L454" s="10" t="n">
        <x:v>2</x:v>
      </x:c>
      <x:c r="M454" s="10" t="n">
        <x:v>710</x:v>
      </x:c>
      <x:c r="N454" s="2" t="str">
        <x:v>D14</x:v>
      </x:c>
      <x:c r="O454" s="2" t="str">
        <x:v>condominium</x:v>
      </x:c>
      <x:c r="P454" s="2" t="str">
        <x:v>https://www.propertyguru.com.sg/listing/for-rent-loft-33-geylang-500280500</x:v>
      </x:c>
      <x:c r="Q454" s="12" t="str">
        <x:v>Hard requirements pass. SGD 3,000/month. Rent is near the cap and well above the lower-rent alternatives; D05 receives no retained preference.</x:v>
      </x:c>
      <x:c r="R454" s="13"/>
    </x:row>
    <x:row r="455" ht="15" hidden="0" customHeight="1">
      <x:c r="A455" s="2" t="str">
        <x:v>S18|500256005</x:v>
      </x:c>
      <x:c r="B455" s="2" t="str">
        <x:v>S18</x:v>
      </x:c>
      <x:c r="C455" s="2" t="str">
        <x:v>500256005</x:v>
      </x:c>
      <x:c r="D455" s="2" t="n">
        <x:v>0</x:v>
      </x:c>
      <x:c r="E455" s="9"/>
      <x:c r="F455" s="2" t="n">
        <x:f>IF(E455="",D455,IF(E455="U","U",IF(AND(ISNUMBER(E455),E455&gt;=0,E455&lt;=3,INT(E455)=E455),E455,"Invalid")))</x:f>
        <x:v>0</x:v>
      </x:c>
      <x:c r="G455" s="2" t="n">
        <x:f>IF(ISNUMBER(F455),1,0)</x:f>
        <x:v>1</x:v>
      </x:c>
      <x:c r="H455" s="2" t="n">
        <x:f>IF(ISNUMBER(F455),IF(F455&gt;=2,1,0),0)</x:f>
        <x:v>0</x:v>
      </x:c>
      <x:c r="I455" s="11" t="n">
        <x:f>IF(ISNUMBER(F455),2^F455-1,0)</x:f>
        <x:v>0</x:v>
      </x:c>
      <x:c r="J455" s="2" t="str">
        <x:v>Retained original 577</x:v>
      </x:c>
      <x:c r="K455" s="10" t="n">
        <x:v>3100</x:v>
      </x:c>
      <x:c r="L455" s="10" t="n">
        <x:v>2</x:v>
      </x:c>
      <x:c r="M455" s="10" t="n">
        <x:v>67</x:v>
      </x:c>
      <x:c r="N455" s="2" t="str">
        <x:v>D05</x:v>
      </x:c>
      <x:c r="O455" s="2" t="str">
        <x:v>hdb flat</x:v>
      </x:c>
      <x:c r="P455" s="2" t="str">
        <x:v>https://www.propertyguru.com.sg/listing/hdb-for-rent-351-clementi-avenue-2-500256005</x:v>
      </x:c>
      <x:c r="Q455" s="12" t="str">
        <x:v>Hard failure: Rent (SGD/month) 3,100; required &lt;= 3,000.</x:v>
      </x:c>
      <x:c r="R455" s="13"/>
    </x:row>
    <x:row r="456" ht="15" hidden="0" customHeight="1">
      <x:c r="A456" s="2" t="str">
        <x:v>S19|500199914</x:v>
      </x:c>
      <x:c r="B456" s="2" t="str">
        <x:v>S19</x:v>
      </x:c>
      <x:c r="C456" s="2" t="str">
        <x:v>500199914</x:v>
      </x:c>
      <x:c r="D456" s="2" t="n">
        <x:v>0</x:v>
      </x:c>
      <x:c r="E456" s="9"/>
      <x:c r="F456" s="2" t="n">
        <x:f>IF(E456="",D456,IF(E456="U","U",IF(AND(ISNUMBER(E456),E456&gt;=0,E456&lt;=3,INT(E456)=E456),E456,"Invalid")))</x:f>
        <x:v>0</x:v>
      </x:c>
      <x:c r="G456" s="2" t="n">
        <x:f>IF(ISNUMBER(F456),1,0)</x:f>
        <x:v>1</x:v>
      </x:c>
      <x:c r="H456" s="2" t="n">
        <x:f>IF(ISNUMBER(F456),IF(F456&gt;=2,1,0),0)</x:f>
        <x:v>0</x:v>
      </x:c>
      <x:c r="I456" s="11" t="n">
        <x:f>IF(ISNUMBER(F456),2^F456-1,0)</x:f>
        <x:v>0</x:v>
      </x:c>
      <x:c r="J456" s="2" t="str">
        <x:v>Retained original 577</x:v>
      </x:c>
      <x:c r="K456" s="10" t="n">
        <x:v>3530</x:v>
      </x:c>
      <x:c r="L456" s="10" t="n">
        <x:v>2</x:v>
      </x:c>
      <x:c r="M456" s="10" t="n">
        <x:v>775</x:v>
      </x:c>
      <x:c r="N456" s="2" t="str">
        <x:v>D19</x:v>
      </x:c>
      <x:c r="O456" s="2" t="str">
        <x:v>condominium</x:v>
      </x:c>
      <x:c r="P456" s="2" t="str">
        <x:v>https://www.propertyguru.com.sg/listing/for-rent-a-treasure-trove-500199914</x:v>
      </x:c>
      <x:c r="Q456" s="12" t="str">
        <x:v>Hard failure: Rent (SGD/month) 3,530; required &lt;= 3,500.</x:v>
      </x:c>
      <x:c r="R456" s="13"/>
    </x:row>
    <x:row r="457" ht="15" hidden="0" customHeight="1">
      <x:c r="A457" s="2" t="str">
        <x:v>S19|24866516</x:v>
      </x:c>
      <x:c r="B457" s="2" t="str">
        <x:v>S19</x:v>
      </x:c>
      <x:c r="C457" s="2" t="str">
        <x:v>24866516</x:v>
      </x:c>
      <x:c r="D457" s="2" t="str">
        <x:v>U</x:v>
      </x:c>
      <x:c r="E457" s="9"/>
      <x:c r="F457" s="2" t="str">
        <x:f>IF(E457="",D457,IF(E457="U","U",IF(AND(ISNUMBER(E457),E457&gt;=0,E457&lt;=3,INT(E457)=E457),E457,"Invalid")))</x:f>
        <x:v>U</x:v>
      </x:c>
      <x:c r="G457" s="2" t="n">
        <x:f>IF(ISNUMBER(F457),1,0)</x:f>
        <x:v>0</x:v>
      </x:c>
      <x:c r="H457" s="2" t="n">
        <x:f>IF(ISNUMBER(F457),IF(F457&gt;=2,1,0),0)</x:f>
        <x:v>0</x:v>
      </x:c>
      <x:c r="I457" s="11" t="n">
        <x:f>IF(ISNUMBER(F457),2^F457-1,0)</x:f>
        <x:v>0</x:v>
      </x:c>
      <x:c r="J457" s="2" t="str">
        <x:v>Retained original 577</x:v>
      </x:c>
      <x:c r="K457" s="10" t="n">
        <x:v>3000</x:v>
      </x:c>
      <x:c r="L457" s="10" t="n">
        <x:v>2</x:v>
      </x:c>
      <x:c r="M457" s="10" t="n">
        <x:v>700</x:v>
      </x:c>
      <x:c r="N457" s="2" t="str">
        <x:v>D10</x:v>
      </x:c>
      <x:c r="O457" s="2" t="str">
        <x:v>hdb flat</x:v>
      </x:c>
      <x:c r="P457" s="2" t="str">
        <x:v>https://www.propertyguru.com.sg/listing/hdb-for-rent-6-ghim-moh-road-24866516</x:v>
      </x:c>
      <x:c r="Q457" s="12" t="str">
        <x:v>No known hard failure. Cannot verify: furnishing, lease duration (months).</x:v>
      </x:c>
      <x:c r="R457" s="13"/>
    </x:row>
    <x:row r="458" ht="15" hidden="0" customHeight="1">
      <x:c r="A458" s="2" t="str">
        <x:v>S19|500255660</x:v>
      </x:c>
      <x:c r="B458" s="2" t="str">
        <x:v>S19</x:v>
      </x:c>
      <x:c r="C458" s="2" t="str">
        <x:v>500255660</x:v>
      </x:c>
      <x:c r="D458" s="2" t="str">
        <x:v>U</x:v>
      </x:c>
      <x:c r="E458" s="9"/>
      <x:c r="F458" s="2" t="str">
        <x:f>IF(E458="",D458,IF(E458="U","U",IF(AND(ISNUMBER(E458),E458&gt;=0,E458&lt;=3,INT(E458)=E458),E458,"Invalid")))</x:f>
        <x:v>U</x:v>
      </x:c>
      <x:c r="G458" s="2" t="n">
        <x:f>IF(ISNUMBER(F458),1,0)</x:f>
        <x:v>0</x:v>
      </x:c>
      <x:c r="H458" s="2" t="n">
        <x:f>IF(ISNUMBER(F458),IF(F458&gt;=2,1,0),0)</x:f>
        <x:v>0</x:v>
      </x:c>
      <x:c r="I458" s="11" t="n">
        <x:f>IF(ISNUMBER(F458),2^F458-1,0)</x:f>
        <x:v>0</x:v>
      </x:c>
      <x:c r="J458" s="2" t="str">
        <x:v>Retained original 577</x:v>
      </x:c>
      <x:c r="K458" s="10" t="n">
        <x:v>3500</x:v>
      </x:c>
      <x:c r="L458" s="10" t="n">
        <x:v>2</x:v>
      </x:c>
      <x:c r="M458" s="10" t="n">
        <x:v>689</x:v>
      </x:c>
      <x:c r="N458" s="2" t="str">
        <x:v>D20</x:v>
      </x:c>
      <x:c r="O458" s="2" t="str">
        <x:v>hdb flat</x:v>
      </x:c>
      <x:c r="P458" s="2" t="str">
        <x:v>https://www.propertyguru.com.sg/listing/hdb-for-rent-407-sin-ming-avenue-500255660</x:v>
      </x:c>
      <x:c r="Q458" s="12" t="str">
        <x:v>No known hard failure. Cannot verify: furnishing, lease duration (months).</x:v>
      </x:c>
      <x:c r="R458" s="13"/>
    </x:row>
    <x:row r="459" ht="15" hidden="0" customHeight="1">
      <x:c r="A459" s="2" t="str">
        <x:v>S19|500274301</x:v>
      </x:c>
      <x:c r="B459" s="2" t="str">
        <x:v>S19</x:v>
      </x:c>
      <x:c r="C459" s="2" t="str">
        <x:v>500274301</x:v>
      </x:c>
      <x:c r="D459" s="2" t="str">
        <x:v>U</x:v>
      </x:c>
      <x:c r="E459" s="9"/>
      <x:c r="F459" s="2" t="str">
        <x:f>IF(E459="",D459,IF(E459="U","U",IF(AND(ISNUMBER(E459),E459&gt;=0,E459&lt;=3,INT(E459)=E459),E459,"Invalid")))</x:f>
        <x:v>U</x:v>
      </x:c>
      <x:c r="G459" s="2" t="n">
        <x:f>IF(ISNUMBER(F459),1,0)</x:f>
        <x:v>0</x:v>
      </x:c>
      <x:c r="H459" s="2" t="n">
        <x:f>IF(ISNUMBER(F459),IF(F459&gt;=2,1,0),0)</x:f>
        <x:v>0</x:v>
      </x:c>
      <x:c r="I459" s="11" t="n">
        <x:f>IF(ISNUMBER(F459),2^F459-1,0)</x:f>
        <x:v>0</x:v>
      </x:c>
      <x:c r="J459" s="2" t="str">
        <x:v>Retained original 577</x:v>
      </x:c>
      <x:c r="K459" s="10" t="n">
        <x:v>2200</x:v>
      </x:c>
      <x:c r="L459" s="10" t="n">
        <x:v>2</x:v>
      </x:c>
      <x:c r="M459" s="10" t="n">
        <x:v>700</x:v>
      </x:c>
      <x:c r="N459" s="2" t="str">
        <x:v>D27</x:v>
      </x:c>
      <x:c r="O459" s="2" t="str">
        <x:v>hdb flat</x:v>
      </x:c>
      <x:c r="P459" s="2" t="str">
        <x:v>https://www.propertyguru.com.sg/listing/hdb-for-rent-478a-yishun-street-44-500274301</x:v>
      </x:c>
      <x:c r="Q459" s="12" t="str">
        <x:v>No known hard failure. Cannot verify: furnishing, lease duration (months).</x:v>
      </x:c>
      <x:c r="R459" s="13"/>
    </x:row>
    <x:row r="460" ht="15" hidden="0" customHeight="1">
      <x:c r="A460" s="2" t="str">
        <x:v>S19|500274442</x:v>
      </x:c>
      <x:c r="B460" s="2" t="str">
        <x:v>S19</x:v>
      </x:c>
      <x:c r="C460" s="2" t="str">
        <x:v>500274442</x:v>
      </x:c>
      <x:c r="D460" s="2" t="n">
        <x:v>0</x:v>
      </x:c>
      <x:c r="E460" s="9"/>
      <x:c r="F460" s="2" t="n">
        <x:f>IF(E460="",D460,IF(E460="U","U",IF(AND(ISNUMBER(E460),E460&gt;=0,E460&lt;=3,INT(E460)=E460),E460,"Invalid")))</x:f>
        <x:v>0</x:v>
      </x:c>
      <x:c r="G460" s="2" t="n">
        <x:f>IF(ISNUMBER(F460),1,0)</x:f>
        <x:v>1</x:v>
      </x:c>
      <x:c r="H460" s="2" t="n">
        <x:f>IF(ISNUMBER(F460),IF(F460&gt;=2,1,0),0)</x:f>
        <x:v>0</x:v>
      </x:c>
      <x:c r="I460" s="11" t="n">
        <x:f>IF(ISNUMBER(F460),2^F460-1,0)</x:f>
        <x:v>0</x:v>
      </x:c>
      <x:c r="J460" s="2" t="str">
        <x:v>Retained original 577</x:v>
      </x:c>
      <x:c r="K460" s="10" t="n">
        <x:v>3531</x:v>
      </x:c>
      <x:c r="L460" s="10" t="n">
        <x:v>2</x:v>
      </x:c>
      <x:c r="M460" s="10" t="n">
        <x:v>711</x:v>
      </x:c>
      <x:c r="N460" s="2" t="str">
        <x:v>D27</x:v>
      </x:c>
      <x:c r="O460" s="2" t="str">
        <x:v>condominium</x:v>
      </x:c>
      <x:c r="P460" s="2" t="str">
        <x:v>https://www.propertyguru.com.sg/listing/for-rent-the-wisteria-500274442</x:v>
      </x:c>
      <x:c r="Q460" s="12" t="str">
        <x:v>Hard failure: Rent (SGD/month) 3,531; required &lt;= 3,500.</x:v>
      </x:c>
      <x:c r="R460" s="13"/>
    </x:row>
    <x:row r="461" ht="15" hidden="0" customHeight="1">
      <x:c r="A461" s="2" t="str">
        <x:v>S19|25325382</x:v>
      </x:c>
      <x:c r="B461" s="2" t="str">
        <x:v>S19</x:v>
      </x:c>
      <x:c r="C461" s="2" t="str">
        <x:v>25325382</x:v>
      </x:c>
      <x:c r="D461" s="2" t="str">
        <x:v>U</x:v>
      </x:c>
      <x:c r="E461" s="9"/>
      <x:c r="F461" s="2" t="str">
        <x:f>IF(E461="",D461,IF(E461="U","U",IF(AND(ISNUMBER(E461),E461&gt;=0,E461&lt;=3,INT(E461)=E461),E461,"Invalid")))</x:f>
        <x:v>U</x:v>
      </x:c>
      <x:c r="G461" s="2" t="n">
        <x:f>IF(ISNUMBER(F461),1,0)</x:f>
        <x:v>0</x:v>
      </x:c>
      <x:c r="H461" s="2" t="n">
        <x:f>IF(ISNUMBER(F461),IF(F461&gt;=2,1,0),0)</x:f>
        <x:v>0</x:v>
      </x:c>
      <x:c r="I461" s="11" t="n">
        <x:f>IF(ISNUMBER(F461),2^F461-1,0)</x:f>
        <x:v>0</x:v>
      </x:c>
      <x:c r="J461" s="2" t="str">
        <x:v>Retained original 577</x:v>
      </x:c>
      <x:c r="K461" s="10" t="n">
        <x:v>3500</x:v>
      </x:c>
      <x:c r="L461" s="10" t="n">
        <x:v>3</x:v>
      </x:c>
      <x:c r="M461" s="10" t="n">
        <x:v>1001</x:v>
      </x:c>
      <x:c r="N461" s="2" t="str">
        <x:v>D28</x:v>
      </x:c>
      <x:c r="O461" s="2" t="str">
        <x:v>hdb flat</x:v>
      </x:c>
      <x:c r="P461" s="2" t="str">
        <x:v>https://www.propertyguru.com.sg/listing/hdb-for-rent-467a-fernvale-link-25325382</x:v>
      </x:c>
      <x:c r="Q461" s="12" t="str">
        <x:v>No known hard failure. Cannot verify: furnishing, lease duration (months).</x:v>
      </x:c>
      <x:c r="R461" s="13"/>
    </x:row>
    <x:row r="462" ht="15" hidden="0" customHeight="1">
      <x:c r="A462" s="2" t="str">
        <x:v>S19|500260424</x:v>
      </x:c>
      <x:c r="B462" s="2" t="str">
        <x:v>S19</x:v>
      </x:c>
      <x:c r="C462" s="2" t="str">
        <x:v>500260424</x:v>
      </x:c>
      <x:c r="D462" s="2" t="str">
        <x:v>U</x:v>
      </x:c>
      <x:c r="E462" s="9"/>
      <x:c r="F462" s="2" t="str">
        <x:f>IF(E462="",D462,IF(E462="U","U",IF(AND(ISNUMBER(E462),E462&gt;=0,E462&lt;=3,INT(E462)=E462),E462,"Invalid")))</x:f>
        <x:v>U</x:v>
      </x:c>
      <x:c r="G462" s="2" t="n">
        <x:f>IF(ISNUMBER(F462),1,0)</x:f>
        <x:v>0</x:v>
      </x:c>
      <x:c r="H462" s="2" t="n">
        <x:f>IF(ISNUMBER(F462),IF(F462&gt;=2,1,0),0)</x:f>
        <x:v>0</x:v>
      </x:c>
      <x:c r="I462" s="11" t="n">
        <x:f>IF(ISNUMBER(F462),2^F462-1,0)</x:f>
        <x:v>0</x:v>
      </x:c>
      <x:c r="J462" s="2" t="str">
        <x:v>Retained original 577</x:v>
      </x:c>
      <x:c r="K462" s="10" t="n">
        <x:v>2950</x:v>
      </x:c>
      <x:c r="L462" s="10" t="n">
        <x:v>2</x:v>
      </x:c>
      <x:c r="M462" s="10" t="n">
        <x:v>797</x:v>
      </x:c>
      <x:c r="N462" s="2" t="str">
        <x:v>D27</x:v>
      </x:c>
      <x:c r="O462" s="2" t="str">
        <x:v>hdb flat</x:v>
      </x:c>
      <x:c r="P462" s="2" t="str">
        <x:v>https://www.propertyguru.com.sg/listing/hdb-for-rent-778-yishun-avenue-2-500260424</x:v>
      </x:c>
      <x:c r="Q462" s="12" t="str">
        <x:v>No known hard failure. Cannot verify: furnishing, lease duration (months).</x:v>
      </x:c>
      <x:c r="R462" s="13"/>
    </x:row>
    <x:row r="463" ht="15" hidden="0" customHeight="1">
      <x:c r="A463" s="2" t="str">
        <x:v>S19|500252525</x:v>
      </x:c>
      <x:c r="B463" s="2" t="str">
        <x:v>S19</x:v>
      </x:c>
      <x:c r="C463" s="2" t="str">
        <x:v>500252525</x:v>
      </x:c>
      <x:c r="D463" s="2" t="str">
        <x:v>U</x:v>
      </x:c>
      <x:c r="E463" s="9"/>
      <x:c r="F463" s="2" t="str">
        <x:f>IF(E463="",D463,IF(E463="U","U",IF(AND(ISNUMBER(E463),E463&gt;=0,E463&lt;=3,INT(E463)=E463),E463,"Invalid")))</x:f>
        <x:v>U</x:v>
      </x:c>
      <x:c r="G463" s="2" t="n">
        <x:f>IF(ISNUMBER(F463),1,0)</x:f>
        <x:v>0</x:v>
      </x:c>
      <x:c r="H463" s="2" t="n">
        <x:f>IF(ISNUMBER(F463),IF(F463&gt;=2,1,0),0)</x:f>
        <x:v>0</x:v>
      </x:c>
      <x:c r="I463" s="11" t="n">
        <x:f>IF(ISNUMBER(F463),2^F463-1,0)</x:f>
        <x:v>0</x:v>
      </x:c>
      <x:c r="J463" s="2" t="str">
        <x:v>Retained original 577</x:v>
      </x:c>
      <x:c r="K463" s="10" t="n">
        <x:v>3300</x:v>
      </x:c>
      <x:c r="L463" s="10" t="n">
        <x:v>2</x:v>
      </x:c>
      <x:c r="M463" s="10" t="n">
        <x:v>646</x:v>
      </x:c>
      <x:c r="N463" s="2" t="str">
        <x:v>D15</x:v>
      </x:c>
      <x:c r="O463" s="2" t="str">
        <x:v>hdb flat</x:v>
      </x:c>
      <x:c r="P463" s="2" t="str">
        <x:v>https://www.propertyguru.com.sg/listing/hdb-for-rent-6-jalan-batu-500252525</x:v>
      </x:c>
      <x:c r="Q463" s="12" t="str">
        <x:v>No known hard failure. Cannot verify: furnishing, lease duration (months).</x:v>
      </x:c>
      <x:c r="R463" s="13"/>
    </x:row>
    <x:row r="464" ht="15" hidden="0" customHeight="1">
      <x:c r="A464" s="2" t="str">
        <x:v>S19|500268006</x:v>
      </x:c>
      <x:c r="B464" s="2" t="str">
        <x:v>S19</x:v>
      </x:c>
      <x:c r="C464" s="2" t="str">
        <x:v>500268006</x:v>
      </x:c>
      <x:c r="D464" s="2" t="str">
        <x:v>U</x:v>
      </x:c>
      <x:c r="E464" s="9"/>
      <x:c r="F464" s="2" t="str">
        <x:f>IF(E464="",D464,IF(E464="U","U",IF(AND(ISNUMBER(E464),E464&gt;=0,E464&lt;=3,INT(E464)=E464),E464,"Invalid")))</x:f>
        <x:v>U</x:v>
      </x:c>
      <x:c r="G464" s="2" t="n">
        <x:f>IF(ISNUMBER(F464),1,0)</x:f>
        <x:v>0</x:v>
      </x:c>
      <x:c r="H464" s="2" t="n">
        <x:f>IF(ISNUMBER(F464),IF(F464&gt;=2,1,0),0)</x:f>
        <x:v>0</x:v>
      </x:c>
      <x:c r="I464" s="11" t="n">
        <x:f>IF(ISNUMBER(F464),2^F464-1,0)</x:f>
        <x:v>0</x:v>
      </x:c>
      <x:c r="J464" s="2" t="str">
        <x:v>Retained original 577</x:v>
      </x:c>
      <x:c r="K464" s="10" t="n">
        <x:v>3500</x:v>
      </x:c>
      <x:c r="L464" s="10" t="n">
        <x:v>2</x:v>
      </x:c>
      <x:c r="M464" s="10" t="n">
        <x:v>615</x:v>
      </x:c>
      <x:c r="N464" s="2" t="str">
        <x:v>D23</x:v>
      </x:c>
      <x:c r="O464" s="2" t="str">
        <x:v>condominium</x:v>
      </x:c>
      <x:c r="P464" s="2" t="str">
        <x:v>https://www.propertyguru.com.sg/listing/for-rent-the-hillier-500268006</x:v>
      </x:c>
      <x:c r="Q464" s="12" t="str">
        <x:v>No known hard failure. Cannot verify: furnishing, lease duration (months).</x:v>
      </x:c>
      <x:c r="R464" s="13"/>
    </x:row>
    <x:row r="465" ht="15" hidden="0" customHeight="1">
      <x:c r="A465" s="2" t="str">
        <x:v>S19|500249664</x:v>
      </x:c>
      <x:c r="B465" s="2" t="str">
        <x:v>S19</x:v>
      </x:c>
      <x:c r="C465" s="2" t="str">
        <x:v>500249664</x:v>
      </x:c>
      <x:c r="D465" s="2" t="str">
        <x:v>U</x:v>
      </x:c>
      <x:c r="E465" s="9"/>
      <x:c r="F465" s="2" t="str">
        <x:f>IF(E465="",D465,IF(E465="U","U",IF(AND(ISNUMBER(E465),E465&gt;=0,E465&lt;=3,INT(E465)=E465),E465,"Invalid")))</x:f>
        <x:v>U</x:v>
      </x:c>
      <x:c r="G465" s="2" t="n">
        <x:f>IF(ISNUMBER(F465),1,0)</x:f>
        <x:v>0</x:v>
      </x:c>
      <x:c r="H465" s="2" t="n">
        <x:f>IF(ISNUMBER(F465),IF(F465&gt;=2,1,0),0)</x:f>
        <x:v>0</x:v>
      </x:c>
      <x:c r="I465" s="11" t="n">
        <x:f>IF(ISNUMBER(F465),2^F465-1,0)</x:f>
        <x:v>0</x:v>
      </x:c>
      <x:c r="J465" s="2" t="str">
        <x:v>Retained original 577</x:v>
      </x:c>
      <x:c r="K465" s="10" t="n">
        <x:v>3200</x:v>
      </x:c>
      <x:c r="L465" s="10" t="n">
        <x:v>2</x:v>
      </x:c>
      <x:c r="M465" s="10" t="n">
        <x:v>650</x:v>
      </x:c>
      <x:c r="N465" s="2" t="str">
        <x:v>D12</x:v>
      </x:c>
      <x:c r="O465" s="2" t="str">
        <x:v>hdb flat</x:v>
      </x:c>
      <x:c r="P465" s="2" t="str">
        <x:v>https://www.propertyguru.com.sg/listing/hdb-for-rent-3-saint-george-s-road-500249664</x:v>
      </x:c>
      <x:c r="Q465" s="12" t="str">
        <x:v>No known hard failure. Cannot verify: furnishing, lease duration (months).</x:v>
      </x:c>
      <x:c r="R465" s="13"/>
    </x:row>
    <x:row r="466" ht="15" hidden="0" customHeight="1">
      <x:c r="A466" s="2" t="str">
        <x:v>S19|500035695</x:v>
      </x:c>
      <x:c r="B466" s="2" t="str">
        <x:v>S19</x:v>
      </x:c>
      <x:c r="C466" s="2" t="str">
        <x:v>500035695</x:v>
      </x:c>
      <x:c r="D466" s="2" t="str">
        <x:v>U</x:v>
      </x:c>
      <x:c r="E466" s="9"/>
      <x:c r="F466" s="2" t="str">
        <x:f>IF(E466="",D466,IF(E466="U","U",IF(AND(ISNUMBER(E466),E466&gt;=0,E466&lt;=3,INT(E466)=E466),E466,"Invalid")))</x:f>
        <x:v>U</x:v>
      </x:c>
      <x:c r="G466" s="2" t="n">
        <x:f>IF(ISNUMBER(F466),1,0)</x:f>
        <x:v>0</x:v>
      </x:c>
      <x:c r="H466" s="2" t="n">
        <x:f>IF(ISNUMBER(F466),IF(F466&gt;=2,1,0),0)</x:f>
        <x:v>0</x:v>
      </x:c>
      <x:c r="I466" s="11" t="n">
        <x:f>IF(ISNUMBER(F466),2^F466-1,0)</x:f>
        <x:v>0</x:v>
      </x:c>
      <x:c r="J466" s="2" t="str">
        <x:v>Retained original 577</x:v>
      </x:c>
      <x:c r="K466" s="10" t="n">
        <x:v>2850</x:v>
      </x:c>
      <x:c r="L466" s="10" t="n">
        <x:v>2</x:v>
      </x:c>
      <x:c r="M466" s="10" t="n">
        <x:v>732</x:v>
      </x:c>
      <x:c r="N466" s="2" t="str">
        <x:v>D20</x:v>
      </x:c>
      <x:c r="O466" s="2" t="str">
        <x:v>hdb flat</x:v>
      </x:c>
      <x:c r="P466" s="2" t="str">
        <x:v>https://www.propertyguru.com.sg/listing/hdb-for-rent-542-ang-mo-kio-avenue-10-500035695</x:v>
      </x:c>
      <x:c r="Q466" s="12" t="str">
        <x:v>No known hard failure. Cannot verify: furnishing, lease duration (months).</x:v>
      </x:c>
      <x:c r="R466" s="13"/>
    </x:row>
    <x:row r="467" ht="15" hidden="0" customHeight="1">
      <x:c r="A467" s="2" t="str">
        <x:v>S19|500287833</x:v>
      </x:c>
      <x:c r="B467" s="2" t="str">
        <x:v>S19</x:v>
      </x:c>
      <x:c r="C467" s="2" t="str">
        <x:v>500287833</x:v>
      </x:c>
      <x:c r="D467" s="2" t="str">
        <x:v>U</x:v>
      </x:c>
      <x:c r="E467" s="9"/>
      <x:c r="F467" s="2" t="str">
        <x:f>IF(E467="",D467,IF(E467="U","U",IF(AND(ISNUMBER(E467),E467&gt;=0,E467&lt;=3,INT(E467)=E467),E467,"Invalid")))</x:f>
        <x:v>U</x:v>
      </x:c>
      <x:c r="G467" s="2" t="n">
        <x:f>IF(ISNUMBER(F467),1,0)</x:f>
        <x:v>0</x:v>
      </x:c>
      <x:c r="H467" s="2" t="n">
        <x:f>IF(ISNUMBER(F467),IF(F467&gt;=2,1,0),0)</x:f>
        <x:v>0</x:v>
      </x:c>
      <x:c r="I467" s="11" t="n">
        <x:f>IF(ISNUMBER(F467),2^F467-1,0)</x:f>
        <x:v>0</x:v>
      </x:c>
      <x:c r="J467" s="2" t="str">
        <x:v>Retained original 577</x:v>
      </x:c>
      <x:c r="K467" s="10" t="n">
        <x:v>3200</x:v>
      </x:c>
      <x:c r="L467" s="10" t="n">
        <x:v>3</x:v>
      </x:c>
      <x:c r="M467" s="10" t="n">
        <x:v>1184</x:v>
      </x:c>
      <x:c r="N467" s="2" t="str">
        <x:v>D27</x:v>
      </x:c>
      <x:c r="O467" s="2" t="str">
        <x:v>hdb flat</x:v>
      </x:c>
      <x:c r="P467" s="2" t="str">
        <x:v>https://www.propertyguru.com.sg/listing/hdb-for-rent-404-admiralty-link-500287833</x:v>
      </x:c>
      <x:c r="Q467" s="12" t="str">
        <x:v>No known hard failure. Cannot verify: furnishing, lease duration (months).</x:v>
      </x:c>
      <x:c r="R467" s="13"/>
    </x:row>
    <x:row r="468" ht="15" hidden="0" customHeight="1">
      <x:c r="A468" s="2" t="str">
        <x:v>S19|25401795</x:v>
      </x:c>
      <x:c r="B468" s="2" t="str">
        <x:v>S19</x:v>
      </x:c>
      <x:c r="C468" s="2" t="str">
        <x:v>25401795</x:v>
      </x:c>
      <x:c r="D468" s="2" t="str">
        <x:v>U</x:v>
      </x:c>
      <x:c r="E468" s="9"/>
      <x:c r="F468" s="2" t="str">
        <x:f>IF(E468="",D468,IF(E468="U","U",IF(AND(ISNUMBER(E468),E468&gt;=0,E468&lt;=3,INT(E468)=E468),E468,"Invalid")))</x:f>
        <x:v>U</x:v>
      </x:c>
      <x:c r="G468" s="2" t="n">
        <x:f>IF(ISNUMBER(F468),1,0)</x:f>
        <x:v>0</x:v>
      </x:c>
      <x:c r="H468" s="2" t="n">
        <x:f>IF(ISNUMBER(F468),IF(F468&gt;=2,1,0),0)</x:f>
        <x:v>0</x:v>
      </x:c>
      <x:c r="I468" s="11" t="n">
        <x:f>IF(ISNUMBER(F468),2^F468-1,0)</x:f>
        <x:v>0</x:v>
      </x:c>
      <x:c r="J468" s="2" t="str">
        <x:v>Retained original 577</x:v>
      </x:c>
      <x:c r="K468" s="10" t="n">
        <x:v>3000</x:v>
      </x:c>
      <x:c r="L468" s="10" t="n">
        <x:v>2</x:v>
      </x:c>
      <x:c r="M468" s="10" t="n">
        <x:v>603</x:v>
      </x:c>
      <x:c r="N468" s="2" t="str">
        <x:v>D25</x:v>
      </x:c>
      <x:c r="O468" s="2" t="str">
        <x:v>condominium</x:v>
      </x:c>
      <x:c r="P468" s="2" t="str">
        <x:v>https://www.propertyguru.com.sg/listing/for-rent-parc-rosewood-25401795</x:v>
      </x:c>
      <x:c r="Q468" s="12" t="str">
        <x:v>No known hard failure. Cannot verify: furnishing, lease duration (months).</x:v>
      </x:c>
      <x:c r="R468" s="13"/>
    </x:row>
    <x:row r="469" ht="15" hidden="0" customHeight="1">
      <x:c r="A469" s="2" t="str">
        <x:v>S19|500260626</x:v>
      </x:c>
      <x:c r="B469" s="2" t="str">
        <x:v>S19</x:v>
      </x:c>
      <x:c r="C469" s="2" t="str">
        <x:v>500260626</x:v>
      </x:c>
      <x:c r="D469" s="2" t="str">
        <x:v>U</x:v>
      </x:c>
      <x:c r="E469" s="9"/>
      <x:c r="F469" s="2" t="str">
        <x:f>IF(E469="",D469,IF(E469="U","U",IF(AND(ISNUMBER(E469),E469&gt;=0,E469&lt;=3,INT(E469)=E469),E469,"Invalid")))</x:f>
        <x:v>U</x:v>
      </x:c>
      <x:c r="G469" s="2" t="n">
        <x:f>IF(ISNUMBER(F469),1,0)</x:f>
        <x:v>0</x:v>
      </x:c>
      <x:c r="H469" s="2" t="n">
        <x:f>IF(ISNUMBER(F469),IF(F469&gt;=2,1,0),0)</x:f>
        <x:v>0</x:v>
      </x:c>
      <x:c r="I469" s="11" t="n">
        <x:f>IF(ISNUMBER(F469),2^F469-1,0)</x:f>
        <x:v>0</x:v>
      </x:c>
      <x:c r="J469" s="2" t="str">
        <x:v>Retained original 577</x:v>
      </x:c>
      <x:c r="K469" s="10" t="n">
        <x:v>3380</x:v>
      </x:c>
      <x:c r="L469" s="10" t="n">
        <x:v>2</x:v>
      </x:c>
      <x:c r="M469" s="10" t="n">
        <x:v>721</x:v>
      </x:c>
      <x:c r="N469" s="2" t="str">
        <x:v>D19</x:v>
      </x:c>
      <x:c r="O469" s="2" t="str">
        <x:v>hdb flat</x:v>
      </x:c>
      <x:c r="P469" s="2" t="str">
        <x:v>https://www.propertyguru.com.sg/listing/hdb-for-rent-111-hougang-avenue-1-500260626</x:v>
      </x:c>
      <x:c r="Q469" s="12" t="str">
        <x:v>No known hard failure. Cannot verify: furnishing, lease duration (months).</x:v>
      </x:c>
      <x:c r="R469" s="13"/>
    </x:row>
    <x:row r="470" ht="15" hidden="0" customHeight="1">
      <x:c r="A470" s="2" t="str">
        <x:v>S19|500282319</x:v>
      </x:c>
      <x:c r="B470" s="2" t="str">
        <x:v>S19</x:v>
      </x:c>
      <x:c r="C470" s="2" t="str">
        <x:v>500282319</x:v>
      </x:c>
      <x:c r="D470" s="2" t="n">
        <x:v>0</x:v>
      </x:c>
      <x:c r="E470" s="9"/>
      <x:c r="F470" s="2" t="n">
        <x:f>IF(E470="",D470,IF(E470="U","U",IF(AND(ISNUMBER(E470),E470&gt;=0,E470&lt;=3,INT(E470)=E470),E470,"Invalid")))</x:f>
        <x:v>0</x:v>
      </x:c>
      <x:c r="G470" s="2" t="n">
        <x:f>IF(ISNUMBER(F470),1,0)</x:f>
        <x:v>1</x:v>
      </x:c>
      <x:c r="H470" s="2" t="n">
        <x:f>IF(ISNUMBER(F470),IF(F470&gt;=2,1,0),0)</x:f>
        <x:v>0</x:v>
      </x:c>
      <x:c r="I470" s="11" t="n">
        <x:f>IF(ISNUMBER(F470),2^F470-1,0)</x:f>
        <x:v>0</x:v>
      </x:c>
      <x:c r="J470" s="2" t="str">
        <x:v>Retained original 577</x:v>
      </x:c>
      <x:c r="K470" s="10" t="n">
        <x:v>700</x:v>
      </x:c>
      <x:c r="L470" s="10" t="n">
        <x:v>1</x:v>
      </x:c>
      <x:c r="M470" s="10"/>
      <x:c r="N470" s="2" t="str">
        <x:v>D25</x:v>
      </x:c>
      <x:c r="O470" s="2" t="str">
        <x:v>hdb flat</x:v>
      </x:c>
      <x:c r="P470" s="2" t="str">
        <x:v>https://www.propertyguru.com.sg/listing/hdb-for-rent-351-woodlands-avenue-1-500282319</x:v>
      </x:c>
      <x:c r="Q470" s="12" t="str">
        <x:v>Hard failure: Reported bedrooms 1; required &gt;= 2.</x:v>
      </x:c>
      <x:c r="R470" s="13"/>
    </x:row>
    <x:row r="471" ht="15" hidden="0" customHeight="1">
      <x:c r="A471" s="2" t="str">
        <x:v>S19|24103862</x:v>
      </x:c>
      <x:c r="B471" s="2" t="str">
        <x:v>S19</x:v>
      </x:c>
      <x:c r="C471" s="2" t="str">
        <x:v>24103862</x:v>
      </x:c>
      <x:c r="D471" s="2" t="str">
        <x:v>U</x:v>
      </x:c>
      <x:c r="E471" s="9"/>
      <x:c r="F471" s="2" t="str">
        <x:f>IF(E471="",D471,IF(E471="U","U",IF(AND(ISNUMBER(E471),E471&gt;=0,E471&lt;=3,INT(E471)=E471),E471,"Invalid")))</x:f>
        <x:v>U</x:v>
      </x:c>
      <x:c r="G471" s="2" t="n">
        <x:f>IF(ISNUMBER(F471),1,0)</x:f>
        <x:v>0</x:v>
      </x:c>
      <x:c r="H471" s="2" t="n">
        <x:f>IF(ISNUMBER(F471),IF(F471&gt;=2,1,0),0)</x:f>
        <x:v>0</x:v>
      </x:c>
      <x:c r="I471" s="11" t="n">
        <x:f>IF(ISNUMBER(F471),2^F471-1,0)</x:f>
        <x:v>0</x:v>
      </x:c>
      <x:c r="J471" s="2" t="str">
        <x:v>Retained original 577</x:v>
      </x:c>
      <x:c r="K471" s="10" t="n">
        <x:v>3500</x:v>
      </x:c>
      <x:c r="L471" s="10" t="n">
        <x:v>2</x:v>
      </x:c>
      <x:c r="M471" s="10" t="n">
        <x:v>635</x:v>
      </x:c>
      <x:c r="N471" s="2" t="str">
        <x:v>D19</x:v>
      </x:c>
      <x:c r="O471" s="2" t="str">
        <x:v>condominium</x:v>
      </x:c>
      <x:c r="P471" s="2" t="str">
        <x:v>https://www.propertyguru.com.sg/listing/for-rent-suites-paya-lebar-24103862</x:v>
      </x:c>
      <x:c r="Q471" s="12" t="str">
        <x:v>No known hard failure. Cannot verify: furnishing, lease duration (months).</x:v>
      </x:c>
      <x:c r="R471" s="13"/>
    </x:row>
    <x:row r="472" ht="15" hidden="0" customHeight="1">
      <x:c r="A472" s="2" t="str">
        <x:v>S19|500288139</x:v>
      </x:c>
      <x:c r="B472" s="2" t="str">
        <x:v>S19</x:v>
      </x:c>
      <x:c r="C472" s="2" t="str">
        <x:v>500288139</x:v>
      </x:c>
      <x:c r="D472" s="2" t="str">
        <x:v>U</x:v>
      </x:c>
      <x:c r="E472" s="9"/>
      <x:c r="F472" s="2" t="str">
        <x:f>IF(E472="",D472,IF(E472="U","U",IF(AND(ISNUMBER(E472),E472&gt;=0,E472&lt;=3,INT(E472)=E472),E472,"Invalid")))</x:f>
        <x:v>U</x:v>
      </x:c>
      <x:c r="G472" s="2" t="n">
        <x:f>IF(ISNUMBER(F472),1,0)</x:f>
        <x:v>0</x:v>
      </x:c>
      <x:c r="H472" s="2" t="n">
        <x:f>IF(ISNUMBER(F472),IF(F472&gt;=2,1,0),0)</x:f>
        <x:v>0</x:v>
      </x:c>
      <x:c r="I472" s="11" t="n">
        <x:f>IF(ISNUMBER(F472),2^F472-1,0)</x:f>
        <x:v>0</x:v>
      </x:c>
      <x:c r="J472" s="2" t="str">
        <x:v>Retained original 577</x:v>
      </x:c>
      <x:c r="K472" s="10" t="n">
        <x:v>3000</x:v>
      </x:c>
      <x:c r="L472" s="10" t="n">
        <x:v>2</x:v>
      </x:c>
      <x:c r="M472" s="10" t="n">
        <x:v>785</x:v>
      </x:c>
      <x:c r="N472" s="2" t="str">
        <x:v>D23</x:v>
      </x:c>
      <x:c r="O472" s="2" t="str">
        <x:v>hdb flat</x:v>
      </x:c>
      <x:c r="P472" s="2" t="str">
        <x:v>https://www.propertyguru.com.sg/listing/hdb-for-rent-228-bukit-batok-central-500288139</x:v>
      </x:c>
      <x:c r="Q472" s="12" t="str">
        <x:v>No known hard failure. Cannot verify: furnishing, lease duration (months).</x:v>
      </x:c>
      <x:c r="R472" s="13"/>
    </x:row>
    <x:row r="473" ht="15" hidden="0" customHeight="1">
      <x:c r="A473" s="2" t="str">
        <x:v>S19|25572227</x:v>
      </x:c>
      <x:c r="B473" s="2" t="str">
        <x:v>S19</x:v>
      </x:c>
      <x:c r="C473" s="2" t="str">
        <x:v>25572227</x:v>
      </x:c>
      <x:c r="D473" s="2" t="str">
        <x:v>U</x:v>
      </x:c>
      <x:c r="E473" s="9"/>
      <x:c r="F473" s="2" t="str">
        <x:f>IF(E473="",D473,IF(E473="U","U",IF(AND(ISNUMBER(E473),E473&gt;=0,E473&lt;=3,INT(E473)=E473),E473,"Invalid")))</x:f>
        <x:v>U</x:v>
      </x:c>
      <x:c r="G473" s="2" t="n">
        <x:f>IF(ISNUMBER(F473),1,0)</x:f>
        <x:v>0</x:v>
      </x:c>
      <x:c r="H473" s="2" t="n">
        <x:f>IF(ISNUMBER(F473),IF(F473&gt;=2,1,0),0)</x:f>
        <x:v>0</x:v>
      </x:c>
      <x:c r="I473" s="11" t="n">
        <x:f>IF(ISNUMBER(F473),2^F473-1,0)</x:f>
        <x:v>0</x:v>
      </x:c>
      <x:c r="J473" s="2" t="str">
        <x:v>Retained original 577</x:v>
      </x:c>
      <x:c r="K473" s="10" t="n">
        <x:v>3000</x:v>
      </x:c>
      <x:c r="L473" s="10" t="n">
        <x:v>2</x:v>
      </x:c>
      <x:c r="M473" s="10" t="n">
        <x:v>624</x:v>
      </x:c>
      <x:c r="N473" s="2" t="str">
        <x:v>D13</x:v>
      </x:c>
      <x:c r="O473" s="2" t="str">
        <x:v>hdb flat</x:v>
      </x:c>
      <x:c r="P473" s="2" t="str">
        <x:v>https://www.propertyguru.com.sg/listing/hdb-for-rent-93-paya-lebar-way-25572227</x:v>
      </x:c>
      <x:c r="Q473" s="12" t="str">
        <x:v>No known hard failure. Cannot verify: furnishing, lease duration (months).</x:v>
      </x:c>
      <x:c r="R473" s="13"/>
    </x:row>
    <x:row r="474" ht="15" hidden="0" customHeight="1">
      <x:c r="A474" s="2" t="str">
        <x:v>S19|25224243</x:v>
      </x:c>
      <x:c r="B474" s="2" t="str">
        <x:v>S19</x:v>
      </x:c>
      <x:c r="C474" s="2" t="str">
        <x:v>25224243</x:v>
      </x:c>
      <x:c r="D474" s="2" t="str">
        <x:v>U</x:v>
      </x:c>
      <x:c r="E474" s="9"/>
      <x:c r="F474" s="2" t="str">
        <x:f>IF(E474="",D474,IF(E474="U","U",IF(AND(ISNUMBER(E474),E474&gt;=0,E474&lt;=3,INT(E474)=E474),E474,"Invalid")))</x:f>
        <x:v>U</x:v>
      </x:c>
      <x:c r="G474" s="2" t="n">
        <x:f>IF(ISNUMBER(F474),1,0)</x:f>
        <x:v>0</x:v>
      </x:c>
      <x:c r="H474" s="2" t="n">
        <x:f>IF(ISNUMBER(F474),IF(F474&gt;=2,1,0),0)</x:f>
        <x:v>0</x:v>
      </x:c>
      <x:c r="I474" s="11" t="n">
        <x:f>IF(ISNUMBER(F474),2^F474-1,0)</x:f>
        <x:v>0</x:v>
      </x:c>
      <x:c r="J474" s="2" t="str">
        <x:v>Retained original 577</x:v>
      </x:c>
      <x:c r="K474" s="10" t="n">
        <x:v>3200</x:v>
      </x:c>
      <x:c r="L474" s="10" t="n">
        <x:v>2</x:v>
      </x:c>
      <x:c r="M474" s="10" t="n">
        <x:v>495</x:v>
      </x:c>
      <x:c r="N474" s="2" t="str">
        <x:v>D19</x:v>
      </x:c>
      <x:c r="O474" s="2" t="str">
        <x:v>condominium</x:v>
      </x:c>
      <x:c r="P474" s="2" t="str">
        <x:v>https://www.propertyguru.com.sg/listing/for-rent-casa-cambio-25224243</x:v>
      </x:c>
      <x:c r="Q474" s="12" t="str">
        <x:v>No known hard failure. Cannot verify: furnishing, lease duration (months).</x:v>
      </x:c>
      <x:c r="R474" s="13"/>
    </x:row>
    <x:row r="475" ht="15" hidden="0" customHeight="1">
      <x:c r="A475" s="2" t="str">
        <x:v>S19|500273209</x:v>
      </x:c>
      <x:c r="B475" s="2" t="str">
        <x:v>S19</x:v>
      </x:c>
      <x:c r="C475" s="2" t="str">
        <x:v>500273209</x:v>
      </x:c>
      <x:c r="D475" s="2" t="str">
        <x:v>U</x:v>
      </x:c>
      <x:c r="E475" s="9"/>
      <x:c r="F475" s="2" t="str">
        <x:f>IF(E475="",D475,IF(E475="U","U",IF(AND(ISNUMBER(E475),E475&gt;=0,E475&lt;=3,INT(E475)=E475),E475,"Invalid")))</x:f>
        <x:v>U</x:v>
      </x:c>
      <x:c r="G475" s="2" t="n">
        <x:f>IF(ISNUMBER(F475),1,0)</x:f>
        <x:v>0</x:v>
      </x:c>
      <x:c r="H475" s="2" t="n">
        <x:f>IF(ISNUMBER(F475),IF(F475&gt;=2,1,0),0)</x:f>
        <x:v>0</x:v>
      </x:c>
      <x:c r="I475" s="11" t="n">
        <x:f>IF(ISNUMBER(F475),2^F475-1,0)</x:f>
        <x:v>0</x:v>
      </x:c>
      <x:c r="J475" s="2" t="str">
        <x:v>Retained original 577</x:v>
      </x:c>
      <x:c r="K475" s="10" t="n">
        <x:v>3300</x:v>
      </x:c>
      <x:c r="L475" s="10" t="n">
        <x:v>2</x:v>
      </x:c>
      <x:c r="M475" s="10" t="n">
        <x:v>818</x:v>
      </x:c>
      <x:c r="N475" s="2" t="str">
        <x:v>D18</x:v>
      </x:c>
      <x:c r="O475" s="2" t="str">
        <x:v>condominium</x:v>
      </x:c>
      <x:c r="P475" s="2" t="str">
        <x:v>https://www.propertyguru.com.sg/listing/for-rent-sea-esta-500273209</x:v>
      </x:c>
      <x:c r="Q475" s="12" t="str">
        <x:v>No known hard failure. Cannot verify: furnishing, lease duration (months).</x:v>
      </x:c>
      <x:c r="R475" s="13"/>
    </x:row>
    <x:row r="476" ht="15" hidden="0" customHeight="1">
      <x:c r="A476" s="2" t="str">
        <x:v>S19|24359119</x:v>
      </x:c>
      <x:c r="B476" s="2" t="str">
        <x:v>S19</x:v>
      </x:c>
      <x:c r="C476" s="2" t="str">
        <x:v>24359119</x:v>
      </x:c>
      <x:c r="D476" s="2" t="n">
        <x:v>0</x:v>
      </x:c>
      <x:c r="E476" s="9"/>
      <x:c r="F476" s="2" t="n">
        <x:f>IF(E476="",D476,IF(E476="U","U",IF(AND(ISNUMBER(E476),E476&gt;=0,E476&lt;=3,INT(E476)=E476),E476,"Invalid")))</x:f>
        <x:v>0</x:v>
      </x:c>
      <x:c r="G476" s="2" t="n">
        <x:f>IF(ISNUMBER(F476),1,0)</x:f>
        <x:v>1</x:v>
      </x:c>
      <x:c r="H476" s="2" t="n">
        <x:f>IF(ISNUMBER(F476),IF(F476&gt;=2,1,0),0)</x:f>
        <x:v>0</x:v>
      </x:c>
      <x:c r="I476" s="11" t="n">
        <x:f>IF(ISNUMBER(F476),2^F476-1,0)</x:f>
        <x:v>0</x:v>
      </x:c>
      <x:c r="J476" s="2" t="str">
        <x:v>Retained original 577</x:v>
      </x:c>
      <x:c r="K476" s="10" t="n">
        <x:v>1800</x:v>
      </x:c>
      <x:c r="L476" s="10" t="n">
        <x:v>1</x:v>
      </x:c>
      <x:c r="M476" s="10" t="n">
        <x:v>650</x:v>
      </x:c>
      <x:c r="N476" s="2" t="str">
        <x:v>D28</x:v>
      </x:c>
      <x:c r="O476" s="2" t="str">
        <x:v>corner terrace</x:v>
      </x:c>
      <x:c r="P476" s="2" t="str">
        <x:v>https://www.propertyguru.com.sg/listing/for-rent-yio-chu-kang-24359119</x:v>
      </x:c>
      <x:c r="Q476" s="12" t="str">
        <x:v>Hard failure: Reported bedrooms 1; required &gt;= 2.</x:v>
      </x:c>
      <x:c r="R476" s="13"/>
    </x:row>
    <x:row r="477" ht="15" hidden="0" customHeight="1">
      <x:c r="A477" s="2" t="str">
        <x:v>S19|24576929</x:v>
      </x:c>
      <x:c r="B477" s="2" t="str">
        <x:v>S19</x:v>
      </x:c>
      <x:c r="C477" s="2" t="str">
        <x:v>24576929</x:v>
      </x:c>
      <x:c r="D477" s="2" t="str">
        <x:v>U</x:v>
      </x:c>
      <x:c r="E477" s="9"/>
      <x:c r="F477" s="2" t="str">
        <x:f>IF(E477="",D477,IF(E477="U","U",IF(AND(ISNUMBER(E477),E477&gt;=0,E477&lt;=3,INT(E477)=E477),E477,"Invalid")))</x:f>
        <x:v>U</x:v>
      </x:c>
      <x:c r="G477" s="2" t="n">
        <x:f>IF(ISNUMBER(F477),1,0)</x:f>
        <x:v>0</x:v>
      </x:c>
      <x:c r="H477" s="2" t="n">
        <x:f>IF(ISNUMBER(F477),IF(F477&gt;=2,1,0),0)</x:f>
        <x:v>0</x:v>
      </x:c>
      <x:c r="I477" s="11" t="n">
        <x:f>IF(ISNUMBER(F477),2^F477-1,0)</x:f>
        <x:v>0</x:v>
      </x:c>
      <x:c r="J477" s="2" t="str">
        <x:v>Retained original 577</x:v>
      </x:c>
      <x:c r="K477" s="10" t="n">
        <x:v>3400</x:v>
      </x:c>
      <x:c r="L477" s="10" t="n">
        <x:v>2</x:v>
      </x:c>
      <x:c r="M477" s="10" t="n">
        <x:v>700</x:v>
      </x:c>
      <x:c r="N477" s="2" t="str">
        <x:v>D15</x:v>
      </x:c>
      <x:c r="O477" s="2" t="str">
        <x:v>hdb flat</x:v>
      </x:c>
      <x:c r="P477" s="2" t="str">
        <x:v>https://www.propertyguru.com.sg/listing/hdb-for-rent-57-marine-terrace-24576929</x:v>
      </x:c>
      <x:c r="Q477" s="12" t="str">
        <x:v>No known hard failure. Cannot verify: furnishing, lease duration (months).</x:v>
      </x:c>
      <x:c r="R477" s="13"/>
    </x:row>
    <x:row r="478" ht="15" hidden="0" customHeight="1">
      <x:c r="A478" s="2" t="str">
        <x:v>S19|23667905</x:v>
      </x:c>
      <x:c r="B478" s="2" t="str">
        <x:v>S19</x:v>
      </x:c>
      <x:c r="C478" s="2" t="str">
        <x:v>23667905</x:v>
      </x:c>
      <x:c r="D478" s="2" t="str">
        <x:v>U</x:v>
      </x:c>
      <x:c r="E478" s="9"/>
      <x:c r="F478" s="2" t="str">
        <x:f>IF(E478="",D478,IF(E478="U","U",IF(AND(ISNUMBER(E478),E478&gt;=0,E478&lt;=3,INT(E478)=E478),E478,"Invalid")))</x:f>
        <x:v>U</x:v>
      </x:c>
      <x:c r="G478" s="2" t="n">
        <x:f>IF(ISNUMBER(F478),1,0)</x:f>
        <x:v>0</x:v>
      </x:c>
      <x:c r="H478" s="2" t="n">
        <x:f>IF(ISNUMBER(F478),IF(F478&gt;=2,1,0),0)</x:f>
        <x:v>0</x:v>
      </x:c>
      <x:c r="I478" s="11" t="n">
        <x:f>IF(ISNUMBER(F478),2^F478-1,0)</x:f>
        <x:v>0</x:v>
      </x:c>
      <x:c r="J478" s="2" t="str">
        <x:v>Retained original 577</x:v>
      </x:c>
      <x:c r="K478" s="10" t="n">
        <x:v>3500</x:v>
      </x:c>
      <x:c r="L478" s="10" t="n">
        <x:v>3</x:v>
      </x:c>
      <x:c r="M478" s="10" t="n">
        <x:v>1050</x:v>
      </x:c>
      <x:c r="N478" s="2" t="str">
        <x:v>D27</x:v>
      </x:c>
      <x:c r="O478" s="2" t="str">
        <x:v>hdb flat</x:v>
      </x:c>
      <x:c r="P478" s="2" t="str">
        <x:v>https://www.propertyguru.com.sg/listing/hdb-for-rent-339a-sembawang-close-23667905</x:v>
      </x:c>
      <x:c r="Q478" s="12" t="str">
        <x:v>No known hard failure. Cannot verify: furnishing, lease duration (months).</x:v>
      </x:c>
      <x:c r="R478" s="13"/>
    </x:row>
    <x:row r="479" ht="15" hidden="0" customHeight="1">
      <x:c r="A479" s="2" t="str">
        <x:v>S19|500263852</x:v>
      </x:c>
      <x:c r="B479" s="2" t="str">
        <x:v>S19</x:v>
      </x:c>
      <x:c r="C479" s="2" t="str">
        <x:v>500263852</x:v>
      </x:c>
      <x:c r="D479" s="2" t="n">
        <x:v>0</x:v>
      </x:c>
      <x:c r="E479" s="9"/>
      <x:c r="F479" s="2" t="n">
        <x:f>IF(E479="",D479,IF(E479="U","U",IF(AND(ISNUMBER(E479),E479&gt;=0,E479&lt;=3,INT(E479)=E479),E479,"Invalid")))</x:f>
        <x:v>0</x:v>
      </x:c>
      <x:c r="G479" s="2" t="n">
        <x:f>IF(ISNUMBER(F479),1,0)</x:f>
        <x:v>1</x:v>
      </x:c>
      <x:c r="H479" s="2" t="n">
        <x:f>IF(ISNUMBER(F479),IF(F479&gt;=2,1,0),0)</x:f>
        <x:v>0</x:v>
      </x:c>
      <x:c r="I479" s="11" t="n">
        <x:f>IF(ISNUMBER(F479),2^F479-1,0)</x:f>
        <x:v>0</x:v>
      </x:c>
      <x:c r="J479" s="2" t="str">
        <x:v>Retained original 577</x:v>
      </x:c>
      <x:c r="K479" s="10" t="n">
        <x:v>3513</x:v>
      </x:c>
      <x:c r="L479" s="10" t="n">
        <x:v>2</x:v>
      </x:c>
      <x:c r="M479" s="10" t="n">
        <x:v>711</x:v>
      </x:c>
      <x:c r="N479" s="2" t="str">
        <x:v>D27</x:v>
      </x:c>
      <x:c r="O479" s="2" t="str">
        <x:v>condominium</x:v>
      </x:c>
      <x:c r="P479" s="2" t="str">
        <x:v>https://www.propertyguru.com.sg/listing/for-rent-the-wisteria-500263852</x:v>
      </x:c>
      <x:c r="Q479" s="12" t="str">
        <x:v>Hard failure: Rent (SGD/month) 3,513; required &lt;= 3,500.</x:v>
      </x:c>
      <x:c r="R479" s="13"/>
    </x:row>
    <x:row r="480" ht="15" hidden="0" customHeight="1">
      <x:c r="A480" s="2" t="str">
        <x:v>S19|24146951</x:v>
      </x:c>
      <x:c r="B480" s="2" t="str">
        <x:v>S19</x:v>
      </x:c>
      <x:c r="C480" s="2" t="str">
        <x:v>24146951</x:v>
      </x:c>
      <x:c r="D480" s="2" t="str">
        <x:v>U</x:v>
      </x:c>
      <x:c r="E480" s="9"/>
      <x:c r="F480" s="2" t="str">
        <x:f>IF(E480="",D480,IF(E480="U","U",IF(AND(ISNUMBER(E480),E480&gt;=0,E480&lt;=3,INT(E480)=E480),E480,"Invalid")))</x:f>
        <x:v>U</x:v>
      </x:c>
      <x:c r="G480" s="2" t="n">
        <x:f>IF(ISNUMBER(F480),1,0)</x:f>
        <x:v>0</x:v>
      </x:c>
      <x:c r="H480" s="2" t="n">
        <x:f>IF(ISNUMBER(F480),IF(F480&gt;=2,1,0),0)</x:f>
        <x:v>0</x:v>
      </x:c>
      <x:c r="I480" s="11" t="n">
        <x:f>IF(ISNUMBER(F480),2^F480-1,0)</x:f>
        <x:v>0</x:v>
      </x:c>
      <x:c r="J480" s="2" t="str">
        <x:v>Retained original 577</x:v>
      </x:c>
      <x:c r="K480" s="10" t="n">
        <x:v>3100</x:v>
      </x:c>
      <x:c r="L480" s="10" t="n">
        <x:v>3</x:v>
      </x:c>
      <x:c r="M480" s="10" t="n">
        <x:v>710</x:v>
      </x:c>
      <x:c r="N480" s="2" t="str">
        <x:v>D12</x:v>
      </x:c>
      <x:c r="O480" s="2" t="str">
        <x:v>hdb flat</x:v>
      </x:c>
      <x:c r="P480" s="2" t="str">
        <x:v>https://www.propertyguru.com.sg/listing/hdb-for-rent-9-lorong-7-toa-payoh-24146951</x:v>
      </x:c>
      <x:c r="Q480" s="12" t="str">
        <x:v>No known hard failure. Cannot verify: furnishing, lease duration (months).</x:v>
      </x:c>
      <x:c r="R480" s="13"/>
    </x:row>
    <x:row r="481" ht="15" hidden="0" customHeight="1">
      <x:c r="A481" s="2" t="str">
        <x:v>S20|25398272</x:v>
      </x:c>
      <x:c r="B481" s="2" t="str">
        <x:v>S20</x:v>
      </x:c>
      <x:c r="C481" s="2" t="str">
        <x:v>25398272</x:v>
      </x:c>
      <x:c r="D481" s="2" t="n">
        <x:v>0</x:v>
      </x:c>
      <x:c r="E481" s="9"/>
      <x:c r="F481" s="2" t="n">
        <x:f>IF(E481="",D481,IF(E481="U","U",IF(AND(ISNUMBER(E481),E481&gt;=0,E481&lt;=3,INT(E481)=E481),E481,"Invalid")))</x:f>
        <x:v>0</x:v>
      </x:c>
      <x:c r="G481" s="2" t="n">
        <x:f>IF(ISNUMBER(F481),1,0)</x:f>
        <x:v>1</x:v>
      </x:c>
      <x:c r="H481" s="2" t="n">
        <x:f>IF(ISNUMBER(F481),IF(F481&gt;=2,1,0),0)</x:f>
        <x:v>0</x:v>
      </x:c>
      <x:c r="I481" s="11" t="n">
        <x:f>IF(ISNUMBER(F481),2^F481-1,0)</x:f>
        <x:v>0</x:v>
      </x:c>
      <x:c r="J481" s="2" t="str">
        <x:v>Retained original 577</x:v>
      </x:c>
      <x:c r="K481" s="10" t="n">
        <x:v>750</x:v>
      </x:c>
      <x:c r="L481" s="10" t="n">
        <x:v>0</x:v>
      </x:c>
      <x:c r="M481" s="10"/>
      <x:c r="N481" s="2" t="str">
        <x:v>D10</x:v>
      </x:c>
      <x:c r="O481" s="2" t="str">
        <x:v>hdb flat</x:v>
      </x:c>
      <x:c r="P481" s="2" t="str">
        <x:v>https://www.propertyguru.com.sg/listing/hdb-for-rent-11-holland-drive-25398272</x:v>
      </x:c>
      <x:c r="Q481" s="12" t="str">
        <x:v>Hard failure: Reported bedrooms 0; required &gt;= 4.</x:v>
      </x:c>
      <x:c r="R481" s="13"/>
    </x:row>
    <x:row r="482" ht="15" hidden="0" customHeight="1">
      <x:c r="A482" s="2" t="str">
        <x:v>S20|500267122</x:v>
      </x:c>
      <x:c r="B482" s="2" t="str">
        <x:v>S20</x:v>
      </x:c>
      <x:c r="C482" s="2" t="str">
        <x:v>500267122</x:v>
      </x:c>
      <x:c r="D482" s="2" t="n">
        <x:v>0</x:v>
      </x:c>
      <x:c r="E482" s="9"/>
      <x:c r="F482" s="2" t="n">
        <x:f>IF(E482="",D482,IF(E482="U","U",IF(AND(ISNUMBER(E482),E482&gt;=0,E482&lt;=3,INT(E482)=E482),E482,"Invalid")))</x:f>
        <x:v>0</x:v>
      </x:c>
      <x:c r="G482" s="2" t="n">
        <x:f>IF(ISNUMBER(F482),1,0)</x:f>
        <x:v>1</x:v>
      </x:c>
      <x:c r="H482" s="2" t="n">
        <x:f>IF(ISNUMBER(F482),IF(F482&gt;=2,1,0),0)</x:f>
        <x:v>0</x:v>
      </x:c>
      <x:c r="I482" s="11" t="n">
        <x:f>IF(ISNUMBER(F482),2^F482-1,0)</x:f>
        <x:v>0</x:v>
      </x:c>
      <x:c r="J482" s="2" t="str">
        <x:v>Retained original 577</x:v>
      </x:c>
      <x:c r="K482" s="10" t="n">
        <x:v>550</x:v>
      </x:c>
      <x:c r="L482" s="10" t="n">
        <x:v>1</x:v>
      </x:c>
      <x:c r="M482" s="10" t="n">
        <x:v>2152</x:v>
      </x:c>
      <x:c r="N482" s="2" t="str">
        <x:v>D27</x:v>
      </x:c>
      <x:c r="O482" s="2" t="str">
        <x:v>hdb flat</x:v>
      </x:c>
      <x:c r="P482" s="2" t="str">
        <x:v>https://www.propertyguru.com.sg/listing/hdb-for-rent-749-yishun-street-72-500267122</x:v>
      </x:c>
      <x:c r="Q482" s="12" t="str">
        <x:v>Hard failure: Reported bedrooms 1; required &gt;= 4. District D27; required = D10.</x:v>
      </x:c>
      <x:c r="R482" s="13"/>
    </x:row>
    <x:row r="483" ht="15" hidden="0" customHeight="1">
      <x:c r="A483" s="2" t="str">
        <x:v>S20|20558454</x:v>
      </x:c>
      <x:c r="B483" s="2" t="str">
        <x:v>S20</x:v>
      </x:c>
      <x:c r="C483" s="2" t="str">
        <x:v>20558454</x:v>
      </x:c>
      <x:c r="D483" s="2" t="n">
        <x:v>0</x:v>
      </x:c>
      <x:c r="E483" s="9"/>
      <x:c r="F483" s="2" t="n">
        <x:f>IF(E483="",D483,IF(E483="U","U",IF(AND(ISNUMBER(E483),E483&gt;=0,E483&lt;=3,INT(E483)=E483),E483,"Invalid")))</x:f>
        <x:v>0</x:v>
      </x:c>
      <x:c r="G483" s="2" t="n">
        <x:f>IF(ISNUMBER(F483),1,0)</x:f>
        <x:v>1</x:v>
      </x:c>
      <x:c r="H483" s="2" t="n">
        <x:f>IF(ISNUMBER(F483),IF(F483&gt;=2,1,0),0)</x:f>
        <x:v>0</x:v>
      </x:c>
      <x:c r="I483" s="11" t="n">
        <x:f>IF(ISNUMBER(F483),2^F483-1,0)</x:f>
        <x:v>0</x:v>
      </x:c>
      <x:c r="J483" s="2" t="str">
        <x:v>Retained original 577</x:v>
      </x:c>
      <x:c r="K483" s="10" t="n">
        <x:v>400</x:v>
      </x:c>
      <x:c r="L483" s="10" t="n">
        <x:v>0</x:v>
      </x:c>
      <x:c r="M483" s="10"/>
      <x:c r="N483" s="2" t="str">
        <x:v>D16</x:v>
      </x:c>
      <x:c r="O483" s="2" t="str">
        <x:v>hdb flat</x:v>
      </x:c>
      <x:c r="P483" s="2" t="str">
        <x:v>https://www.propertyguru.com.sg/listing/hdb-for-rent-128-bedok-north-street-2-20558454</x:v>
      </x:c>
      <x:c r="Q483" s="12" t="str">
        <x:v>Hard failure: Reported bedrooms 0; required &gt;= 4. District D16; required = D10.</x:v>
      </x:c>
      <x:c r="R483" s="13"/>
    </x:row>
    <x:row r="484" ht="15" hidden="0" customHeight="1">
      <x:c r="A484" s="2" t="str">
        <x:v>S20|500271520</x:v>
      </x:c>
      <x:c r="B484" s="2" t="str">
        <x:v>S20</x:v>
      </x:c>
      <x:c r="C484" s="2" t="str">
        <x:v>500271520</x:v>
      </x:c>
      <x:c r="D484" s="2" t="n">
        <x:v>0</x:v>
      </x:c>
      <x:c r="E484" s="9"/>
      <x:c r="F484" s="2" t="n">
        <x:f>IF(E484="",D484,IF(E484="U","U",IF(AND(ISNUMBER(E484),E484&gt;=0,E484&lt;=3,INT(E484)=E484),E484,"Invalid")))</x:f>
        <x:v>0</x:v>
      </x:c>
      <x:c r="G484" s="2" t="n">
        <x:f>IF(ISNUMBER(F484),1,0)</x:f>
        <x:v>1</x:v>
      </x:c>
      <x:c r="H484" s="2" t="n">
        <x:f>IF(ISNUMBER(F484),IF(F484&gt;=2,1,0),0)</x:f>
        <x:v>0</x:v>
      </x:c>
      <x:c r="I484" s="11" t="n">
        <x:f>IF(ISNUMBER(F484),2^F484-1,0)</x:f>
        <x:v>0</x:v>
      </x:c>
      <x:c r="J484" s="2" t="str">
        <x:v>Retained original 577</x:v>
      </x:c>
      <x:c r="K484" s="10" t="n">
        <x:v>750</x:v>
      </x:c>
      <x:c r="L484" s="10" t="n">
        <x:v>1</x:v>
      </x:c>
      <x:c r="M484" s="10"/>
      <x:c r="N484" s="2" t="str">
        <x:v>D22</x:v>
      </x:c>
      <x:c r="O484" s="2" t="str">
        <x:v>hdb flat</x:v>
      </x:c>
      <x:c r="P484" s="2" t="str">
        <x:v>https://www.propertyguru.com.sg/listing/hdb-for-rent-361-yung-an-road-500271520</x:v>
      </x:c>
      <x:c r="Q484" s="12" t="str">
        <x:v>Hard failure: Reported bedrooms 1; required &gt;= 4. District D22; required = D10.</x:v>
      </x:c>
      <x:c r="R484" s="13"/>
    </x:row>
    <x:row r="485" ht="15" hidden="0" customHeight="1">
      <x:c r="A485" s="2" t="str">
        <x:v>S20|25588850</x:v>
      </x:c>
      <x:c r="B485" s="2" t="str">
        <x:v>S20</x:v>
      </x:c>
      <x:c r="C485" s="2" t="str">
        <x:v>25588850</x:v>
      </x:c>
      <x:c r="D485" s="2" t="n">
        <x:v>0</x:v>
      </x:c>
      <x:c r="E485" s="9"/>
      <x:c r="F485" s="2" t="n">
        <x:f>IF(E485="",D485,IF(E485="U","U",IF(AND(ISNUMBER(E485),E485&gt;=0,E485&lt;=3,INT(E485)=E485),E485,"Invalid")))</x:f>
        <x:v>0</x:v>
      </x:c>
      <x:c r="G485" s="2" t="n">
        <x:f>IF(ISNUMBER(F485),1,0)</x:f>
        <x:v>1</x:v>
      </x:c>
      <x:c r="H485" s="2" t="n">
        <x:f>IF(ISNUMBER(F485),IF(F485&gt;=2,1,0),0)</x:f>
        <x:v>0</x:v>
      </x:c>
      <x:c r="I485" s="11" t="n">
        <x:f>IF(ISNUMBER(F485),2^F485-1,0)</x:f>
        <x:v>0</x:v>
      </x:c>
      <x:c r="J485" s="2" t="str">
        <x:v>Retained original 577</x:v>
      </x:c>
      <x:c r="K485" s="10" t="n">
        <x:v>800</x:v>
      </x:c>
      <x:c r="L485" s="10" t="n">
        <x:v>0</x:v>
      </x:c>
      <x:c r="M485" s="10"/>
      <x:c r="N485" s="2" t="str">
        <x:v>D19</x:v>
      </x:c>
      <x:c r="O485" s="2" t="str">
        <x:v>hdb flat</x:v>
      </x:c>
      <x:c r="P485" s="2" t="str">
        <x:v>https://www.propertyguru.com.sg/listing/hdb-for-rent-838-hougang-central-25588850</x:v>
      </x:c>
      <x:c r="Q485" s="12" t="str">
        <x:v>Hard failure: Reported bedrooms 0; required &gt;= 4. District D19; required = D10.</x:v>
      </x:c>
      <x:c r="R485" s="13"/>
    </x:row>
    <x:row r="486" ht="15" hidden="0" customHeight="1">
      <x:c r="A486" s="2" t="str">
        <x:v>S20|500186339</x:v>
      </x:c>
      <x:c r="B486" s="2" t="str">
        <x:v>S20</x:v>
      </x:c>
      <x:c r="C486" s="2" t="str">
        <x:v>500186339</x:v>
      </x:c>
      <x:c r="D486" s="2" t="n">
        <x:v>0</x:v>
      </x:c>
      <x:c r="E486" s="9"/>
      <x:c r="F486" s="2" t="n">
        <x:f>IF(E486="",D486,IF(E486="U","U",IF(AND(ISNUMBER(E486),E486&gt;=0,E486&lt;=3,INT(E486)=E486),E486,"Invalid")))</x:f>
        <x:v>0</x:v>
      </x:c>
      <x:c r="G486" s="2" t="n">
        <x:f>IF(ISNUMBER(F486),1,0)</x:f>
        <x:v>1</x:v>
      </x:c>
      <x:c r="H486" s="2" t="n">
        <x:f>IF(ISNUMBER(F486),IF(F486&gt;=2,1,0),0)</x:f>
        <x:v>0</x:v>
      </x:c>
      <x:c r="I486" s="11" t="n">
        <x:f>IF(ISNUMBER(F486),2^F486-1,0)</x:f>
        <x:v>0</x:v>
      </x:c>
      <x:c r="J486" s="2" t="str">
        <x:v>Retained original 577</x:v>
      </x:c>
      <x:c r="K486" s="10" t="n">
        <x:v>7600</x:v>
      </x:c>
      <x:c r="L486" s="10" t="n">
        <x:v>4</x:v>
      </x:c>
      <x:c r="M486" s="10" t="n">
        <x:v>1776</x:v>
      </x:c>
      <x:c r="N486" s="2" t="str">
        <x:v>D10</x:v>
      </x:c>
      <x:c r="O486" s="2" t="str">
        <x:v>apartment</x:v>
      </x:c>
      <x:c r="P486" s="2" t="str">
        <x:v>https://www.propertyguru.com.sg/listing/for-rent-orange-regency-500186339</x:v>
      </x:c>
      <x:c r="Q486" s="12" t="str">
        <x:v>Hard failure: Rent (SGD/month) 7,600; required &lt;= 800.</x:v>
      </x:c>
      <x:c r="R486" s="13"/>
    </x:row>
    <x:row r="487" ht="15" hidden="0" customHeight="1">
      <x:c r="A487" s="2" t="str">
        <x:v>S20|500211232</x:v>
      </x:c>
      <x:c r="B487" s="2" t="str">
        <x:v>S20</x:v>
      </x:c>
      <x:c r="C487" s="2" t="str">
        <x:v>500211232</x:v>
      </x:c>
      <x:c r="D487" s="2" t="n">
        <x:v>0</x:v>
      </x:c>
      <x:c r="E487" s="9"/>
      <x:c r="F487" s="2" t="n">
        <x:f>IF(E487="",D487,IF(E487="U","U",IF(AND(ISNUMBER(E487),E487&gt;=0,E487&lt;=3,INT(E487)=E487),E487,"Invalid")))</x:f>
        <x:v>0</x:v>
      </x:c>
      <x:c r="G487" s="2" t="n">
        <x:f>IF(ISNUMBER(F487),1,0)</x:f>
        <x:v>1</x:v>
      </x:c>
      <x:c r="H487" s="2" t="n">
        <x:f>IF(ISNUMBER(F487),IF(F487&gt;=2,1,0),0)</x:f>
        <x:v>0</x:v>
      </x:c>
      <x:c r="I487" s="11" t="n">
        <x:f>IF(ISNUMBER(F487),2^F487-1,0)</x:f>
        <x:v>0</x:v>
      </x:c>
      <x:c r="J487" s="2" t="str">
        <x:v>Retained original 577</x:v>
      </x:c>
      <x:c r="K487" s="10" t="n">
        <x:v>550</x:v>
      </x:c>
      <x:c r="L487" s="10" t="n">
        <x:v>1</x:v>
      </x:c>
      <x:c r="M487" s="10"/>
      <x:c r="N487" s="2" t="str">
        <x:v>D20</x:v>
      </x:c>
      <x:c r="O487" s="2" t="str">
        <x:v>hdb flat</x:v>
      </x:c>
      <x:c r="P487" s="2" t="str">
        <x:v>https://www.propertyguru.com.sg/listing/hdb-for-rent-629-ang-mo-kio-avenue-4-500211232</x:v>
      </x:c>
      <x:c r="Q487" s="12" t="str">
        <x:v>Hard failure: Reported bedrooms 1; required &gt;= 4. District D20; required = D10.</x:v>
      </x:c>
      <x:c r="R487" s="13"/>
    </x:row>
    <x:row r="488" ht="15" hidden="0" customHeight="1">
      <x:c r="A488" s="2" t="str">
        <x:v>S20|500250966</x:v>
      </x:c>
      <x:c r="B488" s="2" t="str">
        <x:v>S20</x:v>
      </x:c>
      <x:c r="C488" s="2" t="str">
        <x:v>500250966</x:v>
      </x:c>
      <x:c r="D488" s="2" t="n">
        <x:v>0</x:v>
      </x:c>
      <x:c r="E488" s="9"/>
      <x:c r="F488" s="2" t="n">
        <x:f>IF(E488="",D488,IF(E488="U","U",IF(AND(ISNUMBER(E488),E488&gt;=0,E488&lt;=3,INT(E488)=E488),E488,"Invalid")))</x:f>
        <x:v>0</x:v>
      </x:c>
      <x:c r="G488" s="2" t="n">
        <x:f>IF(ISNUMBER(F488),1,0)</x:f>
        <x:v>1</x:v>
      </x:c>
      <x:c r="H488" s="2" t="n">
        <x:f>IF(ISNUMBER(F488),IF(F488&gt;=2,1,0),0)</x:f>
        <x:v>0</x:v>
      </x:c>
      <x:c r="I488" s="11" t="n">
        <x:f>IF(ISNUMBER(F488),2^F488-1,0)</x:f>
        <x:v>0</x:v>
      </x:c>
      <x:c r="J488" s="2" t="str">
        <x:v>Retained original 577</x:v>
      </x:c>
      <x:c r="K488" s="10" t="n">
        <x:v>800</x:v>
      </x:c>
      <x:c r="L488" s="10" t="n">
        <x:v>1</x:v>
      </x:c>
      <x:c r="M488" s="10"/>
      <x:c r="N488" s="2" t="str">
        <x:v>D23</x:v>
      </x:c>
      <x:c r="O488" s="2" t="str">
        <x:v>hdb flat</x:v>
      </x:c>
      <x:c r="P488" s="2" t="str">
        <x:v>https://www.propertyguru.com.sg/listing/hdb-for-rent-625-senja-road-500250966</x:v>
      </x:c>
      <x:c r="Q488" s="12" t="str">
        <x:v>Hard failure: Reported bedrooms 1; required &gt;= 4. District D23; required = D10.</x:v>
      </x:c>
      <x:c r="R488" s="13"/>
    </x:row>
    <x:row r="489" ht="15" hidden="0" customHeight="1">
      <x:c r="A489" s="2" t="str">
        <x:v>S20|500007589</x:v>
      </x:c>
      <x:c r="B489" s="2" t="str">
        <x:v>S20</x:v>
      </x:c>
      <x:c r="C489" s="2" t="str">
        <x:v>500007589</x:v>
      </x:c>
      <x:c r="D489" s="2" t="n">
        <x:v>0</x:v>
      </x:c>
      <x:c r="E489" s="9"/>
      <x:c r="F489" s="2" t="n">
        <x:f>IF(E489="",D489,IF(E489="U","U",IF(AND(ISNUMBER(E489),E489&gt;=0,E489&lt;=3,INT(E489)=E489),E489,"Invalid")))</x:f>
        <x:v>0</x:v>
      </x:c>
      <x:c r="G489" s="2" t="n">
        <x:f>IF(ISNUMBER(F489),1,0)</x:f>
        <x:v>1</x:v>
      </x:c>
      <x:c r="H489" s="2" t="n">
        <x:f>IF(ISNUMBER(F489),IF(F489&gt;=2,1,0),0)</x:f>
        <x:v>0</x:v>
      </x:c>
      <x:c r="I489" s="11" t="n">
        <x:f>IF(ISNUMBER(F489),2^F489-1,0)</x:f>
        <x:v>0</x:v>
      </x:c>
      <x:c r="J489" s="2" t="str">
        <x:v>Retained original 577</x:v>
      </x:c>
      <x:c r="K489" s="10" t="n">
        <x:v>760</x:v>
      </x:c>
      <x:c r="L489" s="10" t="n">
        <x:v>0</x:v>
      </x:c>
      <x:c r="M489" s="10"/>
      <x:c r="N489" s="2" t="str">
        <x:v>D27</x:v>
      </x:c>
      <x:c r="O489" s="2" t="str">
        <x:v>hdb flat</x:v>
      </x:c>
      <x:c r="P489" s="2" t="str">
        <x:v>https://www.propertyguru.com.sg/listing/hdb-for-rent-638-yishun-street-61-500007589</x:v>
      </x:c>
      <x:c r="Q489" s="12" t="str">
        <x:v>Hard failure: Reported bedrooms 0; required &gt;= 4. District D27; required = D10.</x:v>
      </x:c>
      <x:c r="R489" s="13"/>
    </x:row>
    <x:row r="490" ht="15" hidden="0" customHeight="1">
      <x:c r="A490" s="2" t="str">
        <x:v>S20|500282319</x:v>
      </x:c>
      <x:c r="B490" s="2" t="str">
        <x:v>S20</x:v>
      </x:c>
      <x:c r="C490" s="2" t="str">
        <x:v>500282319</x:v>
      </x:c>
      <x:c r="D490" s="2" t="n">
        <x:v>0</x:v>
      </x:c>
      <x:c r="E490" s="9"/>
      <x:c r="F490" s="2" t="n">
        <x:f>IF(E490="",D490,IF(E490="U","U",IF(AND(ISNUMBER(E490),E490&gt;=0,E490&lt;=3,INT(E490)=E490),E490,"Invalid")))</x:f>
        <x:v>0</x:v>
      </x:c>
      <x:c r="G490" s="2" t="n">
        <x:f>IF(ISNUMBER(F490),1,0)</x:f>
        <x:v>1</x:v>
      </x:c>
      <x:c r="H490" s="2" t="n">
        <x:f>IF(ISNUMBER(F490),IF(F490&gt;=2,1,0),0)</x:f>
        <x:v>0</x:v>
      </x:c>
      <x:c r="I490" s="11" t="n">
        <x:f>IF(ISNUMBER(F490),2^F490-1,0)</x:f>
        <x:v>0</x:v>
      </x:c>
      <x:c r="J490" s="2" t="str">
        <x:v>Retained original 577</x:v>
      </x:c>
      <x:c r="K490" s="10" t="n">
        <x:v>700</x:v>
      </x:c>
      <x:c r="L490" s="10" t="n">
        <x:v>1</x:v>
      </x:c>
      <x:c r="M490" s="10"/>
      <x:c r="N490" s="2" t="str">
        <x:v>D25</x:v>
      </x:c>
      <x:c r="O490" s="2" t="str">
        <x:v>hdb flat</x:v>
      </x:c>
      <x:c r="P490" s="2" t="str">
        <x:v>https://www.propertyguru.com.sg/listing/hdb-for-rent-351-woodlands-avenue-1-500282319</x:v>
      </x:c>
      <x:c r="Q490" s="12" t="str">
        <x:v>Hard failure: Reported bedrooms 1; required &gt;= 4. District D25; required = D10.</x:v>
      </x:c>
      <x:c r="R490" s="13"/>
    </x:row>
    <x:row r="491" ht="15" hidden="0" customHeight="1">
      <x:c r="A491" s="2" t="str">
        <x:v>S20|500280655</x:v>
      </x:c>
      <x:c r="B491" s="2" t="str">
        <x:v>S20</x:v>
      </x:c>
      <x:c r="C491" s="2" t="str">
        <x:v>500280655</x:v>
      </x:c>
      <x:c r="D491" s="2" t="n">
        <x:v>0</x:v>
      </x:c>
      <x:c r="E491" s="9"/>
      <x:c r="F491" s="2" t="n">
        <x:f>IF(E491="",D491,IF(E491="U","U",IF(AND(ISNUMBER(E491),E491&gt;=0,E491&lt;=3,INT(E491)=E491),E491,"Invalid")))</x:f>
        <x:v>0</x:v>
      </x:c>
      <x:c r="G491" s="2" t="n">
        <x:f>IF(ISNUMBER(F491),1,0)</x:f>
        <x:v>1</x:v>
      </x:c>
      <x:c r="H491" s="2" t="n">
        <x:f>IF(ISNUMBER(F491),IF(F491&gt;=2,1,0),0)</x:f>
        <x:v>0</x:v>
      </x:c>
      <x:c r="I491" s="11" t="n">
        <x:f>IF(ISNUMBER(F491),2^F491-1,0)</x:f>
        <x:v>0</x:v>
      </x:c>
      <x:c r="J491" s="2" t="str">
        <x:v>Retained original 577</x:v>
      </x:c>
      <x:c r="K491" s="10" t="n">
        <x:v>700</x:v>
      </x:c>
      <x:c r="L491" s="10" t="n">
        <x:v>0</x:v>
      </x:c>
      <x:c r="M491" s="10"/>
      <x:c r="N491" s="2" t="str">
        <x:v>D10</x:v>
      </x:c>
      <x:c r="O491" s="2" t="str">
        <x:v>hdb flat</x:v>
      </x:c>
      <x:c r="P491" s="2" t="str">
        <x:v>https://www.propertyguru.com.sg/listing/hdb-for-rent-6-holland-close-500280655</x:v>
      </x:c>
      <x:c r="Q491" s="12" t="str">
        <x:v>Hard failure: Reported bedrooms 0; required &gt;= 4.</x:v>
      </x:c>
      <x:c r="R491" s="13"/>
    </x:row>
    <x:row r="492" ht="15" hidden="0" customHeight="1">
      <x:c r="A492" s="2" t="str">
        <x:v>S20|21227435</x:v>
      </x:c>
      <x:c r="B492" s="2" t="str">
        <x:v>S20</x:v>
      </x:c>
      <x:c r="C492" s="2" t="str">
        <x:v>21227435</x:v>
      </x:c>
      <x:c r="D492" s="2" t="n">
        <x:v>0</x:v>
      </x:c>
      <x:c r="E492" s="9"/>
      <x:c r="F492" s="2" t="n">
        <x:f>IF(E492="",D492,IF(E492="U","U",IF(AND(ISNUMBER(E492),E492&gt;=0,E492&lt;=3,INT(E492)=E492),E492,"Invalid")))</x:f>
        <x:v>0</x:v>
      </x:c>
      <x:c r="G492" s="2" t="n">
        <x:f>IF(ISNUMBER(F492),1,0)</x:f>
        <x:v>1</x:v>
      </x:c>
      <x:c r="H492" s="2" t="n">
        <x:f>IF(ISNUMBER(F492),IF(F492&gt;=2,1,0),0)</x:f>
        <x:v>0</x:v>
      </x:c>
      <x:c r="I492" s="11" t="n">
        <x:f>IF(ISNUMBER(F492),2^F492-1,0)</x:f>
        <x:v>0</x:v>
      </x:c>
      <x:c r="J492" s="2" t="str">
        <x:v>Retained original 577</x:v>
      </x:c>
      <x:c r="K492" s="10" t="n">
        <x:v>6500</x:v>
      </x:c>
      <x:c r="L492" s="10" t="n">
        <x:v>4</x:v>
      </x:c>
      <x:c r="M492" s="10" t="n">
        <x:v>1650</x:v>
      </x:c>
      <x:c r="N492" s="2" t="str">
        <x:v>D10</x:v>
      </x:c>
      <x:c r="O492" s="2" t="str">
        <x:v>condominium</x:v>
      </x:c>
      <x:c r="P492" s="2" t="str">
        <x:v>https://www.propertyguru.com.sg/listing/for-rent-ridgewood-condominium-21227435</x:v>
      </x:c>
      <x:c r="Q492" s="12" t="str">
        <x:v>Hard failure: Rent (SGD/month) 6,500; required &lt;= 800.</x:v>
      </x:c>
      <x:c r="R492" s="13"/>
    </x:row>
    <x:row r="493" ht="15" hidden="0" customHeight="1">
      <x:c r="A493" s="2" t="str">
        <x:v>S20|25263732</x:v>
      </x:c>
      <x:c r="B493" s="2" t="str">
        <x:v>S20</x:v>
      </x:c>
      <x:c r="C493" s="2" t="str">
        <x:v>25263732</x:v>
      </x:c>
      <x:c r="D493" s="2" t="n">
        <x:v>0</x:v>
      </x:c>
      <x:c r="E493" s="9"/>
      <x:c r="F493" s="2" t="n">
        <x:f>IF(E493="",D493,IF(E493="U","U",IF(AND(ISNUMBER(E493),E493&gt;=0,E493&lt;=3,INT(E493)=E493),E493,"Invalid")))</x:f>
        <x:v>0</x:v>
      </x:c>
      <x:c r="G493" s="2" t="n">
        <x:f>IF(ISNUMBER(F493),1,0)</x:f>
        <x:v>1</x:v>
      </x:c>
      <x:c r="H493" s="2" t="n">
        <x:f>IF(ISNUMBER(F493),IF(F493&gt;=2,1,0),0)</x:f>
        <x:v>0</x:v>
      </x:c>
      <x:c r="I493" s="11" t="n">
        <x:f>IF(ISNUMBER(F493),2^F493-1,0)</x:f>
        <x:v>0</x:v>
      </x:c>
      <x:c r="J493" s="2" t="str">
        <x:v>Retained original 577</x:v>
      </x:c>
      <x:c r="K493" s="10" t="n">
        <x:v>788</x:v>
      </x:c>
      <x:c r="L493" s="10"/>
      <x:c r="M493" s="10" t="n">
        <x:v>90</x:v>
      </x:c>
      <x:c r="N493" s="2" t="str">
        <x:v>D04</x:v>
      </x:c>
      <x:c r="O493" s="2" t="str">
        <x:v>hdb flat</x:v>
      </x:c>
      <x:c r="P493" s="2" t="str">
        <x:v>https://www.propertyguru.com.sg/listing/hdb-for-rent-18-telok-blangah-crescent-25263732</x:v>
      </x:c>
      <x:c r="Q493" s="12" t="str">
        <x:v>Hard failure: Floor area (sqft) 90; required &gt;= 1,500. District D04; required = D10.</x:v>
      </x:c>
      <x:c r="R493" s="13"/>
    </x:row>
    <x:row r="494" ht="15" hidden="0" customHeight="1">
      <x:c r="A494" s="2" t="str">
        <x:v>S20|500204172</x:v>
      </x:c>
      <x:c r="B494" s="2" t="str">
        <x:v>S20</x:v>
      </x:c>
      <x:c r="C494" s="2" t="str">
        <x:v>500204172</x:v>
      </x:c>
      <x:c r="D494" s="2" t="n">
        <x:v>0</x:v>
      </x:c>
      <x:c r="E494" s="9"/>
      <x:c r="F494" s="2" t="n">
        <x:f>IF(E494="",D494,IF(E494="U","U",IF(AND(ISNUMBER(E494),E494&gt;=0,E494&lt;=3,INT(E494)=E494),E494,"Invalid")))</x:f>
        <x:v>0</x:v>
      </x:c>
      <x:c r="G494" s="2" t="n">
        <x:f>IF(ISNUMBER(F494),1,0)</x:f>
        <x:v>1</x:v>
      </x:c>
      <x:c r="H494" s="2" t="n">
        <x:f>IF(ISNUMBER(F494),IF(F494&gt;=2,1,0),0)</x:f>
        <x:v>0</x:v>
      </x:c>
      <x:c r="I494" s="11" t="n">
        <x:f>IF(ISNUMBER(F494),2^F494-1,0)</x:f>
        <x:v>0</x:v>
      </x:c>
      <x:c r="J494" s="2" t="str">
        <x:v>Retained original 577</x:v>
      </x:c>
      <x:c r="K494" s="10" t="n">
        <x:v>7600</x:v>
      </x:c>
      <x:c r="L494" s="10" t="n">
        <x:v>4</x:v>
      </x:c>
      <x:c r="M494" s="10" t="n">
        <x:v>1776</x:v>
      </x:c>
      <x:c r="N494" s="2" t="str">
        <x:v>D10</x:v>
      </x:c>
      <x:c r="O494" s="2" t="str">
        <x:v>condominium</x:v>
      </x:c>
      <x:c r="P494" s="2" t="str">
        <x:v>https://www.propertyguru.com.sg/listing/for-rent-orange-regency-500204172</x:v>
      </x:c>
      <x:c r="Q494" s="12" t="str">
        <x:v>Hard failure: Rent (SGD/month) 7,600; required &lt;= 800.</x:v>
      </x:c>
      <x:c r="R494" s="13"/>
    </x:row>
    <x:row r="495" ht="15" hidden="0" customHeight="1">
      <x:c r="A495" s="2" t="str">
        <x:v>S20|500034612</x:v>
      </x:c>
      <x:c r="B495" s="2" t="str">
        <x:v>S20</x:v>
      </x:c>
      <x:c r="C495" s="2" t="str">
        <x:v>500034612</x:v>
      </x:c>
      <x:c r="D495" s="2" t="n">
        <x:v>0</x:v>
      </x:c>
      <x:c r="E495" s="9"/>
      <x:c r="F495" s="2" t="n">
        <x:f>IF(E495="",D495,IF(E495="U","U",IF(AND(ISNUMBER(E495),E495&gt;=0,E495&lt;=3,INT(E495)=E495),E495,"Invalid")))</x:f>
        <x:v>0</x:v>
      </x:c>
      <x:c r="G495" s="2" t="n">
        <x:f>IF(ISNUMBER(F495),1,0)</x:f>
        <x:v>1</x:v>
      </x:c>
      <x:c r="H495" s="2" t="n">
        <x:f>IF(ISNUMBER(F495),IF(F495&gt;=2,1,0),0)</x:f>
        <x:v>0</x:v>
      </x:c>
      <x:c r="I495" s="11" t="n">
        <x:f>IF(ISNUMBER(F495),2^F495-1,0)</x:f>
        <x:v>0</x:v>
      </x:c>
      <x:c r="J495" s="2" t="str">
        <x:v>Retained original 577</x:v>
      </x:c>
      <x:c r="K495" s="10" t="n">
        <x:v>7600</x:v>
      </x:c>
      <x:c r="L495" s="10" t="n">
        <x:v>4</x:v>
      </x:c>
      <x:c r="M495" s="10" t="n">
        <x:v>1776</x:v>
      </x:c>
      <x:c r="N495" s="2" t="str">
        <x:v>D10</x:v>
      </x:c>
      <x:c r="O495" s="2" t="str">
        <x:v>apartment</x:v>
      </x:c>
      <x:c r="P495" s="2" t="str">
        <x:v>https://www.propertyguru.com.sg/listing/for-rent-orange-regency-500034612</x:v>
      </x:c>
      <x:c r="Q495" s="12" t="str">
        <x:v>Hard failure: Rent (SGD/month) 7,600; required &lt;= 800.</x:v>
      </x:c>
      <x:c r="R495" s="13"/>
    </x:row>
    <x:row r="496" ht="15" hidden="0" customHeight="1">
      <x:c r="A496" s="2" t="str">
        <x:v>S20|500246525</x:v>
      </x:c>
      <x:c r="B496" s="2" t="str">
        <x:v>S20</x:v>
      </x:c>
      <x:c r="C496" s="2" t="str">
        <x:v>500246525</x:v>
      </x:c>
      <x:c r="D496" s="2" t="n">
        <x:v>0</x:v>
      </x:c>
      <x:c r="E496" s="9"/>
      <x:c r="F496" s="2" t="n">
        <x:f>IF(E496="",D496,IF(E496="U","U",IF(AND(ISNUMBER(E496),E496&gt;=0,E496&lt;=3,INT(E496)=E496),E496,"Invalid")))</x:f>
        <x:v>0</x:v>
      </x:c>
      <x:c r="G496" s="2" t="n">
        <x:f>IF(ISNUMBER(F496),1,0)</x:f>
        <x:v>1</x:v>
      </x:c>
      <x:c r="H496" s="2" t="n">
        <x:f>IF(ISNUMBER(F496),IF(F496&gt;=2,1,0),0)</x:f>
        <x:v>0</x:v>
      </x:c>
      <x:c r="I496" s="11" t="n">
        <x:f>IF(ISNUMBER(F496),2^F496-1,0)</x:f>
        <x:v>0</x:v>
      </x:c>
      <x:c r="J496" s="2" t="str">
        <x:v>Retained original 577</x:v>
      </x:c>
      <x:c r="K496" s="10" t="n">
        <x:v>7600</x:v>
      </x:c>
      <x:c r="L496" s="10" t="n">
        <x:v>4</x:v>
      </x:c>
      <x:c r="M496" s="10" t="n">
        <x:v>1776</x:v>
      </x:c>
      <x:c r="N496" s="2" t="str">
        <x:v>D10</x:v>
      </x:c>
      <x:c r="O496" s="2" t="str">
        <x:v>apartment</x:v>
      </x:c>
      <x:c r="P496" s="2" t="str">
        <x:v>https://www.propertyguru.com.sg/listing/for-rent-orange-regency-500246525</x:v>
      </x:c>
      <x:c r="Q496" s="12" t="str">
        <x:v>Hard failure: Rent (SGD/month) 7,600; required &lt;= 800.</x:v>
      </x:c>
      <x:c r="R496" s="13"/>
    </x:row>
    <x:row r="497" ht="15" hidden="0" customHeight="1">
      <x:c r="A497" s="2" t="str">
        <x:v>S20|25007680</x:v>
      </x:c>
      <x:c r="B497" s="2" t="str">
        <x:v>S20</x:v>
      </x:c>
      <x:c r="C497" s="2" t="str">
        <x:v>25007680</x:v>
      </x:c>
      <x:c r="D497" s="2" t="n">
        <x:v>0</x:v>
      </x:c>
      <x:c r="E497" s="9"/>
      <x:c r="F497" s="2" t="n">
        <x:f>IF(E497="",D497,IF(E497="U","U",IF(AND(ISNUMBER(E497),E497&gt;=0,E497&lt;=3,INT(E497)=E497),E497,"Invalid")))</x:f>
        <x:v>0</x:v>
      </x:c>
      <x:c r="G497" s="2" t="n">
        <x:f>IF(ISNUMBER(F497),1,0)</x:f>
        <x:v>1</x:v>
      </x:c>
      <x:c r="H497" s="2" t="n">
        <x:f>IF(ISNUMBER(F497),IF(F497&gt;=2,1,0),0)</x:f>
        <x:v>0</x:v>
      </x:c>
      <x:c r="I497" s="11" t="n">
        <x:f>IF(ISNUMBER(F497),2^F497-1,0)</x:f>
        <x:v>0</x:v>
      </x:c>
      <x:c r="J497" s="2" t="str">
        <x:v>Retained original 577</x:v>
      </x:c>
      <x:c r="K497" s="10" t="n">
        <x:v>7600</x:v>
      </x:c>
      <x:c r="L497" s="10" t="n">
        <x:v>4</x:v>
      </x:c>
      <x:c r="M497" s="10" t="n">
        <x:v>1776</x:v>
      </x:c>
      <x:c r="N497" s="2" t="str">
        <x:v>D10</x:v>
      </x:c>
      <x:c r="O497" s="2" t="str">
        <x:v>apartment</x:v>
      </x:c>
      <x:c r="P497" s="2" t="str">
        <x:v>https://www.propertyguru.com.sg/listing/for-rent-orange-regency-25007680</x:v>
      </x:c>
      <x:c r="Q497" s="12" t="str">
        <x:v>Hard failure: Rent (SGD/month) 7,600; required &lt;= 800.</x:v>
      </x:c>
      <x:c r="R497" s="13"/>
    </x:row>
    <x:row r="498" ht="15" hidden="0" customHeight="1">
      <x:c r="A498" s="2" t="str">
        <x:v>S20|19645748</x:v>
      </x:c>
      <x:c r="B498" s="2" t="str">
        <x:v>S20</x:v>
      </x:c>
      <x:c r="C498" s="2" t="str">
        <x:v>19645748</x:v>
      </x:c>
      <x:c r="D498" s="2" t="n">
        <x:v>0</x:v>
      </x:c>
      <x:c r="E498" s="9"/>
      <x:c r="F498" s="2" t="n">
        <x:f>IF(E498="",D498,IF(E498="U","U",IF(AND(ISNUMBER(E498),E498&gt;=0,E498&lt;=3,INT(E498)=E498),E498,"Invalid")))</x:f>
        <x:v>0</x:v>
      </x:c>
      <x:c r="G498" s="2" t="n">
        <x:f>IF(ISNUMBER(F498),1,0)</x:f>
        <x:v>1</x:v>
      </x:c>
      <x:c r="H498" s="2" t="n">
        <x:f>IF(ISNUMBER(F498),IF(F498&gt;=2,1,0),0)</x:f>
        <x:v>0</x:v>
      </x:c>
      <x:c r="I498" s="11" t="n">
        <x:f>IF(ISNUMBER(F498),2^F498-1,0)</x:f>
        <x:v>0</x:v>
      </x:c>
      <x:c r="J498" s="2" t="str">
        <x:v>Retained original 577</x:v>
      </x:c>
      <x:c r="K498" s="10" t="n">
        <x:v>7200</x:v>
      </x:c>
      <x:c r="L498" s="10" t="n">
        <x:v>4</x:v>
      </x:c>
      <x:c r="M498" s="10" t="n">
        <x:v>1625</x:v>
      </x:c>
      <x:c r="N498" s="2" t="str">
        <x:v>D10</x:v>
      </x:c>
      <x:c r="O498" s="2" t="str">
        <x:v>condominium</x:v>
      </x:c>
      <x:c r="P498" s="2" t="str">
        <x:v>https://www.propertyguru.com.sg/listing/for-rent-the-marbella-19645748</x:v>
      </x:c>
      <x:c r="Q498" s="12" t="str">
        <x:v>Hard failure: Rent (SGD/month) 7,200; required &lt;= 800.</x:v>
      </x:c>
      <x:c r="R498" s="13"/>
    </x:row>
    <x:row r="499" ht="15" hidden="0" customHeight="1">
      <x:c r="A499" s="2" t="str">
        <x:v>S20|500230450</x:v>
      </x:c>
      <x:c r="B499" s="2" t="str">
        <x:v>S20</x:v>
      </x:c>
      <x:c r="C499" s="2" t="str">
        <x:v>500230450</x:v>
      </x:c>
      <x:c r="D499" s="2" t="n">
        <x:v>0</x:v>
      </x:c>
      <x:c r="E499" s="9"/>
      <x:c r="F499" s="2" t="n">
        <x:f>IF(E499="",D499,IF(E499="U","U",IF(AND(ISNUMBER(E499),E499&gt;=0,E499&lt;=3,INT(E499)=E499),E499,"Invalid")))</x:f>
        <x:v>0</x:v>
      </x:c>
      <x:c r="G499" s="2" t="n">
        <x:f>IF(ISNUMBER(F499),1,0)</x:f>
        <x:v>1</x:v>
      </x:c>
      <x:c r="H499" s="2" t="n">
        <x:f>IF(ISNUMBER(F499),IF(F499&gt;=2,1,0),0)</x:f>
        <x:v>0</x:v>
      </x:c>
      <x:c r="I499" s="11" t="n">
        <x:f>IF(ISNUMBER(F499),2^F499-1,0)</x:f>
        <x:v>0</x:v>
      </x:c>
      <x:c r="J499" s="2" t="str">
        <x:v>Retained original 577</x:v>
      </x:c>
      <x:c r="K499" s="10" t="n">
        <x:v>7300</x:v>
      </x:c>
      <x:c r="L499" s="10" t="n">
        <x:v>5</x:v>
      </x:c>
      <x:c r="M499" s="10" t="n">
        <x:v>2476</x:v>
      </x:c>
      <x:c r="N499" s="2" t="str">
        <x:v>D10</x:v>
      </x:c>
      <x:c r="O499" s="2" t="str">
        <x:v>condominium</x:v>
      </x:c>
      <x:c r="P499" s="2" t="str">
        <x:v>https://www.propertyguru.com.sg/listing/for-rent-charming-garden-500230450</x:v>
      </x:c>
      <x:c r="Q499" s="12" t="str">
        <x:v>Hard failure: Rent (SGD/month) 7,300; required &lt;= 800.</x:v>
      </x:c>
      <x:c r="R499" s="13"/>
    </x:row>
    <x:row r="500" ht="15" hidden="0" customHeight="1">
      <x:c r="A500" s="2" t="str">
        <x:v>S20|21554989</x:v>
      </x:c>
      <x:c r="B500" s="2" t="str">
        <x:v>S20</x:v>
      </x:c>
      <x:c r="C500" s="2" t="str">
        <x:v>21554989</x:v>
      </x:c>
      <x:c r="D500" s="2" t="n">
        <x:v>0</x:v>
      </x:c>
      <x:c r="E500" s="9"/>
      <x:c r="F500" s="2" t="n">
        <x:f>IF(E500="",D500,IF(E500="U","U",IF(AND(ISNUMBER(E500),E500&gt;=0,E500&lt;=3,INT(E500)=E500),E500,"Invalid")))</x:f>
        <x:v>0</x:v>
      </x:c>
      <x:c r="G500" s="2" t="n">
        <x:f>IF(ISNUMBER(F500),1,0)</x:f>
        <x:v>1</x:v>
      </x:c>
      <x:c r="H500" s="2" t="n">
        <x:f>IF(ISNUMBER(F500),IF(F500&gt;=2,1,0),0)</x:f>
        <x:v>0</x:v>
      </x:c>
      <x:c r="I500" s="11" t="n">
        <x:f>IF(ISNUMBER(F500),2^F500-1,0)</x:f>
        <x:v>0</x:v>
      </x:c>
      <x:c r="J500" s="2" t="str">
        <x:v>Retained original 577</x:v>
      </x:c>
      <x:c r="K500" s="10" t="n">
        <x:v>7600</x:v>
      </x:c>
      <x:c r="L500" s="10" t="n">
        <x:v>4</x:v>
      </x:c>
      <x:c r="M500" s="10" t="n">
        <x:v>1775</x:v>
      </x:c>
      <x:c r="N500" s="2" t="str">
        <x:v>D10</x:v>
      </x:c>
      <x:c r="O500" s="2" t="str">
        <x:v>apartment</x:v>
      </x:c>
      <x:c r="P500" s="2" t="str">
        <x:v>https://www.propertyguru.com.sg/listing/for-rent-orange-regency-21554989</x:v>
      </x:c>
      <x:c r="Q500" s="12" t="str">
        <x:v>Hard failure: Rent (SGD/month) 7,600; required &lt;= 800.</x:v>
      </x:c>
      <x:c r="R500" s="13"/>
    </x:row>
    <x:row r="501" ht="15" hidden="0" customHeight="1">
      <x:c r="A501" s="2" t="str">
        <x:v>S20|500084590</x:v>
      </x:c>
      <x:c r="B501" s="2" t="str">
        <x:v>S20</x:v>
      </x:c>
      <x:c r="C501" s="2" t="str">
        <x:v>500084590</x:v>
      </x:c>
      <x:c r="D501" s="2" t="n">
        <x:v>0</x:v>
      </x:c>
      <x:c r="E501" s="9"/>
      <x:c r="F501" s="2" t="n">
        <x:f>IF(E501="",D501,IF(E501="U","U",IF(AND(ISNUMBER(E501),E501&gt;=0,E501&lt;=3,INT(E501)=E501),E501,"Invalid")))</x:f>
        <x:v>0</x:v>
      </x:c>
      <x:c r="G501" s="2" t="n">
        <x:f>IF(ISNUMBER(F501),1,0)</x:f>
        <x:v>1</x:v>
      </x:c>
      <x:c r="H501" s="2" t="n">
        <x:f>IF(ISNUMBER(F501),IF(F501&gt;=2,1,0),0)</x:f>
        <x:v>0</x:v>
      </x:c>
      <x:c r="I501" s="11" t="n">
        <x:f>IF(ISNUMBER(F501),2^F501-1,0)</x:f>
        <x:v>0</x:v>
      </x:c>
      <x:c r="J501" s="2" t="str">
        <x:v>Retained original 577</x:v>
      </x:c>
      <x:c r="K501" s="10" t="n">
        <x:v>7600</x:v>
      </x:c>
      <x:c r="L501" s="10" t="n">
        <x:v>4</x:v>
      </x:c>
      <x:c r="M501" s="10" t="n">
        <x:v>1775</x:v>
      </x:c>
      <x:c r="N501" s="2" t="str">
        <x:v>D10</x:v>
      </x:c>
      <x:c r="O501" s="2" t="str">
        <x:v>apartment</x:v>
      </x:c>
      <x:c r="P501" s="2" t="str">
        <x:v>https://www.propertyguru.com.sg/listing/for-rent-orange-regency-500084590</x:v>
      </x:c>
      <x:c r="Q501" s="12" t="str">
        <x:v>Hard failure: Rent (SGD/month) 7,600; required &lt;= 800.</x:v>
      </x:c>
      <x:c r="R501" s="13"/>
    </x:row>
    <x:row r="502" ht="15" hidden="0" customHeight="1">
      <x:c r="A502" s="2" t="str">
        <x:v>S20|500262552</x:v>
      </x:c>
      <x:c r="B502" s="2" t="str">
        <x:v>S20</x:v>
      </x:c>
      <x:c r="C502" s="2" t="str">
        <x:v>500262552</x:v>
      </x:c>
      <x:c r="D502" s="2" t="n">
        <x:v>0</x:v>
      </x:c>
      <x:c r="E502" s="9"/>
      <x:c r="F502" s="2" t="n">
        <x:f>IF(E502="",D502,IF(E502="U","U",IF(AND(ISNUMBER(E502),E502&gt;=0,E502&lt;=3,INT(E502)=E502),E502,"Invalid")))</x:f>
        <x:v>0</x:v>
      </x:c>
      <x:c r="G502" s="2" t="n">
        <x:f>IF(ISNUMBER(F502),1,0)</x:f>
        <x:v>1</x:v>
      </x:c>
      <x:c r="H502" s="2" t="n">
        <x:f>IF(ISNUMBER(F502),IF(F502&gt;=2,1,0),0)</x:f>
        <x:v>0</x:v>
      </x:c>
      <x:c r="I502" s="11" t="n">
        <x:f>IF(ISNUMBER(F502),2^F502-1,0)</x:f>
        <x:v>0</x:v>
      </x:c>
      <x:c r="J502" s="2" t="str">
        <x:v>Retained original 577</x:v>
      </x:c>
      <x:c r="K502" s="10" t="n">
        <x:v>7500</x:v>
      </x:c>
      <x:c r="L502" s="10" t="n">
        <x:v>4</x:v>
      </x:c>
      <x:c r="M502" s="10" t="n">
        <x:v>2650</x:v>
      </x:c>
      <x:c r="N502" s="2" t="str">
        <x:v>D10</x:v>
      </x:c>
      <x:c r="O502" s="2" t="str">
        <x:v>semi-detached house</x:v>
      </x:c>
      <x:c r="P502" s="2" t="str">
        <x:v>https://www.propertyguru.com.sg/listing/for-rent-shamrock-park-500262552</x:v>
      </x:c>
      <x:c r="Q502" s="12" t="str">
        <x:v>Hard failure: Rent (SGD/month) 7,500; required &lt;= 800.</x:v>
      </x:c>
      <x:c r="R502" s="13"/>
    </x:row>
    <x:row r="503" ht="15" hidden="0" customHeight="1">
      <x:c r="A503" s="2" t="str">
        <x:v>S20|15517400</x:v>
      </x:c>
      <x:c r="B503" s="2" t="str">
        <x:v>S20</x:v>
      </x:c>
      <x:c r="C503" s="2" t="str">
        <x:v>15517400</x:v>
      </x:c>
      <x:c r="D503" s="2" t="n">
        <x:v>0</x:v>
      </x:c>
      <x:c r="E503" s="9"/>
      <x:c r="F503" s="2" t="n">
        <x:f>IF(E503="",D503,IF(E503="U","U",IF(AND(ISNUMBER(E503),E503&gt;=0,E503&lt;=3,INT(E503)=E503),E503,"Invalid")))</x:f>
        <x:v>0</x:v>
      </x:c>
      <x:c r="G503" s="2" t="n">
        <x:f>IF(ISNUMBER(F503),1,0)</x:f>
        <x:v>1</x:v>
      </x:c>
      <x:c r="H503" s="2" t="n">
        <x:f>IF(ISNUMBER(F503),IF(F503&gt;=2,1,0),0)</x:f>
        <x:v>0</x:v>
      </x:c>
      <x:c r="I503" s="11" t="n">
        <x:f>IF(ISNUMBER(F503),2^F503-1,0)</x:f>
        <x:v>0</x:v>
      </x:c>
      <x:c r="J503" s="2" t="str">
        <x:v>Retained original 577</x:v>
      </x:c>
      <x:c r="K503" s="10" t="n">
        <x:v>800</x:v>
      </x:c>
      <x:c r="L503" s="10" t="n">
        <x:v>0</x:v>
      </x:c>
      <x:c r="M503" s="10"/>
      <x:c r="N503" s="2" t="str">
        <x:v>D23</x:v>
      </x:c>
      <x:c r="O503" s="2" t="str">
        <x:v>hdb flat</x:v>
      </x:c>
      <x:c r="P503" s="2" t="str">
        <x:v>https://www.propertyguru.com.sg/listing/hdb-for-rent-613-choa-chu-kang-street-62-15517400</x:v>
      </x:c>
      <x:c r="Q503" s="12" t="str">
        <x:v>Hard failure: Reported bedrooms 0; required &gt;= 4. District D23; required = D10.</x:v>
      </x:c>
      <x:c r="R503" s="13"/>
    </x:row>
    <x:row r="504" ht="15" hidden="0" customHeight="1">
      <x:c r="A504" s="2" t="str">
        <x:v>S20|500151464</x:v>
      </x:c>
      <x:c r="B504" s="2" t="str">
        <x:v>S20</x:v>
      </x:c>
      <x:c r="C504" s="2" t="str">
        <x:v>500151464</x:v>
      </x:c>
      <x:c r="D504" s="2" t="n">
        <x:v>0</x:v>
      </x:c>
      <x:c r="E504" s="9"/>
      <x:c r="F504" s="2" t="n">
        <x:f>IF(E504="",D504,IF(E504="U","U",IF(AND(ISNUMBER(E504),E504&gt;=0,E504&lt;=3,INT(E504)=E504),E504,"Invalid")))</x:f>
        <x:v>0</x:v>
      </x:c>
      <x:c r="G504" s="2" t="n">
        <x:f>IF(ISNUMBER(F504),1,0)</x:f>
        <x:v>1</x:v>
      </x:c>
      <x:c r="H504" s="2" t="n">
        <x:f>IF(ISNUMBER(F504),IF(F504&gt;=2,1,0),0)</x:f>
        <x:v>0</x:v>
      </x:c>
      <x:c r="I504" s="11" t="n">
        <x:f>IF(ISNUMBER(F504),2^F504-1,0)</x:f>
        <x:v>0</x:v>
      </x:c>
      <x:c r="J504" s="2" t="str">
        <x:v>Retained original 577</x:v>
      </x:c>
      <x:c r="K504" s="10" t="n">
        <x:v>600</x:v>
      </x:c>
      <x:c r="L504" s="10" t="n">
        <x:v>1</x:v>
      </x:c>
      <x:c r="M504" s="10"/>
      <x:c r="N504" s="2" t="str">
        <x:v>D12</x:v>
      </x:c>
      <x:c r="O504" s="2" t="str">
        <x:v>hdb flat</x:v>
      </x:c>
      <x:c r="P504" s="2" t="str">
        <x:v>https://www.propertyguru.com.sg/listing/hdb-for-rent-98-whampoa-drive-500151464</x:v>
      </x:c>
      <x:c r="Q504" s="12" t="str">
        <x:v>Hard failure: Reported bedrooms 1; required &gt;= 4. District D12; required = D10.</x:v>
      </x:c>
      <x:c r="R504" s="13"/>
    </x:row>
    <x:row r="505" ht="15" hidden="0" customHeight="1">
      <x:c r="A505" s="2" t="str">
        <x:v>S20|500234363</x:v>
      </x:c>
      <x:c r="B505" s="2" t="str">
        <x:v>S20</x:v>
      </x:c>
      <x:c r="C505" s="2" t="str">
        <x:v>500234363</x:v>
      </x:c>
      <x:c r="D505" s="2" t="n">
        <x:v>0</x:v>
      </x:c>
      <x:c r="E505" s="9"/>
      <x:c r="F505" s="2" t="n">
        <x:f>IF(E505="",D505,IF(E505="U","U",IF(AND(ISNUMBER(E505),E505&gt;=0,E505&lt;=3,INT(E505)=E505),E505,"Invalid")))</x:f>
        <x:v>0</x:v>
      </x:c>
      <x:c r="G505" s="2" t="n">
        <x:f>IF(ISNUMBER(F505),1,0)</x:f>
        <x:v>1</x:v>
      </x:c>
      <x:c r="H505" s="2" t="n">
        <x:f>IF(ISNUMBER(F505),IF(F505&gt;=2,1,0),0)</x:f>
        <x:v>0</x:v>
      </x:c>
      <x:c r="I505" s="11" t="n">
        <x:f>IF(ISNUMBER(F505),2^F505-1,0)</x:f>
        <x:v>0</x:v>
      </x:c>
      <x:c r="J505" s="2" t="str">
        <x:v>Retained original 577</x:v>
      </x:c>
      <x:c r="K505" s="10" t="n">
        <x:v>7600</x:v>
      </x:c>
      <x:c r="L505" s="10" t="n">
        <x:v>4</x:v>
      </x:c>
      <x:c r="M505" s="10" t="n">
        <x:v>1776</x:v>
      </x:c>
      <x:c r="N505" s="2" t="str">
        <x:v>D10</x:v>
      </x:c>
      <x:c r="O505" s="2" t="str">
        <x:v>apartment</x:v>
      </x:c>
      <x:c r="P505" s="2" t="str">
        <x:v>https://www.propertyguru.com.sg/listing/for-rent-orange-regency-500234363</x:v>
      </x:c>
      <x:c r="Q505" s="12" t="str">
        <x:v>Hard failure: Rent (SGD/month) 7,600; required &lt;= 800.</x:v>
      </x:c>
      <x:c r="R505" s="13"/>
    </x:row>
    <x:row r="506" ht="48" hidden="0" customHeight="1">
      <x:c r="A506" s="2" t="str">
        <x:v>S01|500284155</x:v>
      </x:c>
      <x:c r="B506" s="2" t="str">
        <x:v>S01</x:v>
      </x:c>
      <x:c r="C506" s="2" t="str">
        <x:v>500284155</x:v>
      </x:c>
      <x:c r="D506" s="2" t="n">
        <x:v>3</x:v>
      </x:c>
      <x:c r="E506" s="9"/>
      <x:c r="F506" s="2" t="n">
        <x:f>IF(E506="",D506,IF(E506="U","U",IF(AND(ISNUMBER(E506),E506&gt;=0,E506&lt;=3,INT(E506)=E506),E506,"Invalid")))</x:f>
        <x:v>3</x:v>
      </x:c>
      <x:c r="G506" s="2" t="n">
        <x:f>IF(ISNUMBER(F506),1,0)</x:f>
        <x:v>1</x:v>
      </x:c>
      <x:c r="H506" s="2" t="n">
        <x:f>IF(ISNUMBER(F506),IF(F506&gt;=2,1,0),0)</x:f>
        <x:v>1</x:v>
      </x:c>
      <x:c r="I506" s="11" t="n">
        <x:f>IF(ISNUMBER(F506),2^F506-1,0)</x:f>
        <x:v>7</x:v>
      </x:c>
      <x:c r="J506" s="2" t="str">
        <x:v>Retained original 577</x:v>
      </x:c>
      <x:c r="K506" s="10" t="n">
        <x:v>950</x:v>
      </x:c>
      <x:c r="L506" s="10" t="n">
        <x:v>1</x:v>
      </x:c>
      <x:c r="M506" s="10" t="n">
        <x:v>1076</x:v>
      </x:c>
      <x:c r="N506" s="2" t="str">
        <x:v>D23</x:v>
      </x:c>
      <x:c r="O506" s="2" t="str">
        <x:v>hdb flat</x:v>
      </x:c>
      <x:c r="P506" s="2" t="str">
        <x:v>https://www.propertyguru.com.sg/listing/hdb-for-rent-449a-bukit-batok-west-avenue-9-500284155</x:v>
      </x:c>
      <x:c r="Q506" s="12" t="str">
        <x:v>All declared hard requirements pass. Reported rent SGD 950/month; bedrooms 1; area 1076.0 sqft; D23; HDB Flat. Low rent of SGD 900-1,000 and at least 500 sqft are consistent with the original strong-fit anchors, including the SGD 950, 1,087-sqft listing.</x:v>
      </x:c>
      <x:c r="R506" s="13"/>
    </x:row>
    <x:row r="507" ht="48" hidden="0" customHeight="1">
      <x:c r="A507" s="2" t="str">
        <x:v>S01|500249186</x:v>
      </x:c>
      <x:c r="B507" s="2" t="str">
        <x:v>S01</x:v>
      </x:c>
      <x:c r="C507" s="2" t="str">
        <x:v>500249186</x:v>
      </x:c>
      <x:c r="D507" s="2" t="n">
        <x:v>3</x:v>
      </x:c>
      <x:c r="E507" s="9"/>
      <x:c r="F507" s="2" t="n">
        <x:f>IF(E507="",D507,IF(E507="U","U",IF(AND(ISNUMBER(E507),E507&gt;=0,E507&lt;=3,INT(E507)=E507),E507,"Invalid")))</x:f>
        <x:v>3</x:v>
      </x:c>
      <x:c r="G507" s="2" t="n">
        <x:f>IF(ISNUMBER(F507),1,0)</x:f>
        <x:v>1</x:v>
      </x:c>
      <x:c r="H507" s="2" t="n">
        <x:f>IF(ISNUMBER(F507),IF(F507&gt;=2,1,0),0)</x:f>
        <x:v>1</x:v>
      </x:c>
      <x:c r="I507" s="11" t="n">
        <x:f>IF(ISNUMBER(F507),2^F507-1,0)</x:f>
        <x:v>7</x:v>
      </x:c>
      <x:c r="J507" s="2" t="str">
        <x:v>Retained original 577</x:v>
      </x:c>
      <x:c r="K507" s="10" t="n">
        <x:v>1000</x:v>
      </x:c>
      <x:c r="L507" s="10" t="n">
        <x:v>1</x:v>
      </x:c>
      <x:c r="M507" s="10" t="n">
        <x:v>968</x:v>
      </x:c>
      <x:c r="N507" s="2" t="str">
        <x:v>D16</x:v>
      </x:c>
      <x:c r="O507" s="2" t="str">
        <x:v>hdb flat</x:v>
      </x:c>
      <x:c r="P507" s="2" t="str">
        <x:v>https://www.propertyguru.com.sg/listing/hdb-for-rent-51-new-upper-changi-road-500249186</x:v>
      </x:c>
      <x:c r="Q507" s="12" t="str">
        <x:v>All declared hard requirements pass. Reported rent SGD 1000/month; bedrooms 1; area 968.0 sqft; D16; HDB Flat. Low rent of SGD 900-1,000 and at least 500 sqft are consistent with the original strong-fit anchors, including the SGD 950, 1,087-sqft listing.</x:v>
      </x:c>
      <x:c r="R507" s="13"/>
    </x:row>
    <x:row r="508" ht="48" hidden="0" customHeight="1">
      <x:c r="A508" s="2" t="str">
        <x:v>S01|500252673</x:v>
      </x:c>
      <x:c r="B508" s="2" t="str">
        <x:v>S01</x:v>
      </x:c>
      <x:c r="C508" s="2" t="str">
        <x:v>500252673</x:v>
      </x:c>
      <x:c r="D508" s="2" t="n">
        <x:v>3</x:v>
      </x:c>
      <x:c r="E508" s="9"/>
      <x:c r="F508" s="2" t="n">
        <x:f>IF(E508="",D508,IF(E508="U","U",IF(AND(ISNUMBER(E508),E508&gt;=0,E508&lt;=3,INT(E508)=E508),E508,"Invalid")))</x:f>
        <x:v>3</x:v>
      </x:c>
      <x:c r="G508" s="2" t="n">
        <x:f>IF(ISNUMBER(F508),1,0)</x:f>
        <x:v>1</x:v>
      </x:c>
      <x:c r="H508" s="2" t="n">
        <x:f>IF(ISNUMBER(F508),IF(F508&gt;=2,1,0),0)</x:f>
        <x:v>1</x:v>
      </x:c>
      <x:c r="I508" s="11" t="n">
        <x:f>IF(ISNUMBER(F508),2^F508-1,0)</x:f>
        <x:v>7</x:v>
      </x:c>
      <x:c r="J508" s="2" t="str">
        <x:v>Retained original 577</x:v>
      </x:c>
      <x:c r="K508" s="10" t="n">
        <x:v>900</x:v>
      </x:c>
      <x:c r="L508" s="10" t="n">
        <x:v>1</x:v>
      </x:c>
      <x:c r="M508" s="10" t="n">
        <x:v>721</x:v>
      </x:c>
      <x:c r="N508" s="2" t="str">
        <x:v>D22</x:v>
      </x:c>
      <x:c r="O508" s="2" t="str">
        <x:v>hdb flat</x:v>
      </x:c>
      <x:c r="P508" s="2" t="str">
        <x:v>https://www.propertyguru.com.sg/listing/hdb-for-rent-863-jurong-west-street-81-500252673</x:v>
      </x:c>
      <x:c r="Q508" s="12" t="str">
        <x:v>All declared hard requirements pass. Reported rent SGD 900/month; bedrooms 1; area 721.0 sqft; D22; HDB Flat. Low rent of SGD 900-1,000 and at least 500 sqft are consistent with the original strong-fit anchors, including the SGD 950, 1,087-sqft listing.</x:v>
      </x:c>
      <x:c r="R508" s="13"/>
    </x:row>
    <x:row r="509" ht="48" hidden="0" customHeight="1">
      <x:c r="A509" s="2" t="str">
        <x:v>S01|500268760</x:v>
      </x:c>
      <x:c r="B509" s="2" t="str">
        <x:v>S01</x:v>
      </x:c>
      <x:c r="C509" s="2" t="str">
        <x:v>500268760</x:v>
      </x:c>
      <x:c r="D509" s="2" t="n">
        <x:v>3</x:v>
      </x:c>
      <x:c r="E509" s="9"/>
      <x:c r="F509" s="2" t="n">
        <x:f>IF(E509="",D509,IF(E509="U","U",IF(AND(ISNUMBER(E509),E509&gt;=0,E509&lt;=3,INT(E509)=E509),E509,"Invalid")))</x:f>
        <x:v>3</x:v>
      </x:c>
      <x:c r="G509" s="2" t="n">
        <x:f>IF(ISNUMBER(F509),1,0)</x:f>
        <x:v>1</x:v>
      </x:c>
      <x:c r="H509" s="2" t="n">
        <x:f>IF(ISNUMBER(F509),IF(F509&gt;=2,1,0),0)</x:f>
        <x:v>1</x:v>
      </x:c>
      <x:c r="I509" s="11" t="n">
        <x:f>IF(ISNUMBER(F509),2^F509-1,0)</x:f>
        <x:v>7</x:v>
      </x:c>
      <x:c r="J509" s="2" t="str">
        <x:v>Retained original 577</x:v>
      </x:c>
      <x:c r="K509" s="10" t="n">
        <x:v>999</x:v>
      </x:c>
      <x:c r="L509" s="10" t="n">
        <x:v>1</x:v>
      </x:c>
      <x:c r="M509" s="10" t="n">
        <x:v>1582</x:v>
      </x:c>
      <x:c r="N509" s="2" t="str">
        <x:v>D20</x:v>
      </x:c>
      <x:c r="O509" s="2" t="str">
        <x:v>hdb flat</x:v>
      </x:c>
      <x:c r="P509" s="2" t="str">
        <x:v>https://www.propertyguru.com.sg/listing/hdb-for-rent-261-bishan-street-22-500268760</x:v>
      </x:c>
      <x:c r="Q509" s="12" t="str">
        <x:v>All declared hard requirements pass. Reported rent SGD 999/month; bedrooms 1; area 1582.0 sqft; D20; HDB Flat. Low rent of SGD 900-1,000 and at least 500 sqft are consistent with the original strong-fit anchors, including the SGD 950, 1,087-sqft listing.</x:v>
      </x:c>
      <x:c r="R509" s="13"/>
    </x:row>
    <x:row r="510" ht="48" hidden="0" customHeight="1">
      <x:c r="A510" s="2" t="str">
        <x:v>S03|500259048</x:v>
      </x:c>
      <x:c r="B510" s="2" t="str">
        <x:v>S03</x:v>
      </x:c>
      <x:c r="C510" s="2" t="str">
        <x:v>500259048</x:v>
      </x:c>
      <x:c r="D510" s="2" t="n">
        <x:v>1</x:v>
      </x:c>
      <x:c r="E510" s="9"/>
      <x:c r="F510" s="2" t="n">
        <x:f>IF(E510="",D510,IF(E510="U","U",IF(AND(ISNUMBER(E510),E510&gt;=0,E510&lt;=3,INT(E510)=E510),E510,"Invalid")))</x:f>
        <x:v>1</x:v>
      </x:c>
      <x:c r="G510" s="2" t="n">
        <x:f>IF(ISNUMBER(F510),1,0)</x:f>
        <x:v>1</x:v>
      </x:c>
      <x:c r="H510" s="2" t="n">
        <x:f>IF(ISNUMBER(F510),IF(F510&gt;=2,1,0),0)</x:f>
        <x:v>0</x:v>
      </x:c>
      <x:c r="I510" s="11" t="n">
        <x:f>IF(ISNUMBER(F510),2^F510-1,0)</x:f>
        <x:v>1</x:v>
      </x:c>
      <x:c r="J510" s="2" t="str">
        <x:v>Retained original 577</x:v>
      </x:c>
      <x:c r="K510" s="10" t="n">
        <x:v>1300</x:v>
      </x:c>
      <x:c r="L510" s="10" t="n">
        <x:v>3</x:v>
      </x:c>
      <x:c r="M510" s="10" t="n">
        <x:v>732</x:v>
      </x:c>
      <x:c r="N510" s="2" t="str">
        <x:v>D12</x:v>
      </x:c>
      <x:c r="O510" s="2" t="str">
        <x:v>hdb flat</x:v>
      </x:c>
      <x:c r="P510" s="2" t="str">
        <x:v>https://www.propertyguru.com.sg/listing/hdb-for-rent-63-kallang-bahru-500259048</x:v>
      </x:c>
      <x:c r="Q510" s="12" t="str">
        <x:v>All declared hard requirements pass. Reported rent SGD 1300/month; bedrooms 3; area 732.0 sqft; D12; HDB Flat. The primary D05 preference is unmet. Affordable rent satisfies the hard cap but does not establish a strong location fit, consistent with the existing non-D05 grades.</x:v>
      </x:c>
      <x:c r="R510" s="13"/>
    </x:row>
    <x:row r="511" ht="48" hidden="0" customHeight="1">
      <x:c r="A511" s="2" t="str">
        <x:v>S03|25209933</x:v>
      </x:c>
      <x:c r="B511" s="2" t="str">
        <x:v>S03</x:v>
      </x:c>
      <x:c r="C511" s="2" t="str">
        <x:v>25209933</x:v>
      </x:c>
      <x:c r="D511" s="2" t="n">
        <x:v>1</x:v>
      </x:c>
      <x:c r="E511" s="9"/>
      <x:c r="F511" s="2" t="n">
        <x:f>IF(E511="",D511,IF(E511="U","U",IF(AND(ISNUMBER(E511),E511&gt;=0,E511&lt;=3,INT(E511)=E511),E511,"Invalid")))</x:f>
        <x:v>1</x:v>
      </x:c>
      <x:c r="G511" s="2" t="n">
        <x:f>IF(ISNUMBER(F511),1,0)</x:f>
        <x:v>1</x:v>
      </x:c>
      <x:c r="H511" s="2" t="n">
        <x:f>IF(ISNUMBER(F511),IF(F511&gt;=2,1,0),0)</x:f>
        <x:v>0</x:v>
      </x:c>
      <x:c r="I511" s="11" t="n">
        <x:f>IF(ISNUMBER(F511),2^F511-1,0)</x:f>
        <x:v>1</x:v>
      </x:c>
      <x:c r="J511" s="2" t="str">
        <x:v>Retained original 577</x:v>
      </x:c>
      <x:c r="K511" s="10" t="n">
        <x:v>1150</x:v>
      </x:c>
      <x:c r="L511" s="10" t="n">
        <x:v>3</x:v>
      </x:c>
      <x:c r="M511" s="10" t="n">
        <x:v>190</x:v>
      </x:c>
      <x:c r="N511" s="2" t="str">
        <x:v>D23</x:v>
      </x:c>
      <x:c r="O511" s="2" t="str">
        <x:v>hdb flat</x:v>
      </x:c>
      <x:c r="P511" s="2" t="str">
        <x:v>https://www.propertyguru.com.sg/listing/hdb-for-rent-288g-bukit-batok-street-25-25209933</x:v>
      </x:c>
      <x:c r="Q511" s="12" t="str">
        <x:v>All declared hard requirements pass. Reported rent SGD 1150/month; bedrooms 3; area 190.0 sqft; D23; HDB Flat. The primary D05 preference is unmet. Affordable rent satisfies the hard cap but does not establish a strong location fit, consistent with the existing non-D05 grades.</x:v>
      </x:c>
      <x:c r="R511" s="13"/>
    </x:row>
    <x:row r="512" ht="48" hidden="0" customHeight="1">
      <x:c r="A512" s="2" t="str">
        <x:v>S04|500251234</x:v>
      </x:c>
      <x:c r="B512" s="2" t="str">
        <x:v>S04</x:v>
      </x:c>
      <x:c r="C512" s="2" t="str">
        <x:v>500251234</x:v>
      </x:c>
      <x:c r="D512" s="2" t="n">
        <x:v>2</x:v>
      </x:c>
      <x:c r="E512" s="9"/>
      <x:c r="F512" s="2" t="n">
        <x:f>IF(E512="",D512,IF(E512="U","U",IF(AND(ISNUMBER(E512),E512&gt;=0,E512&lt;=3,INT(E512)=E512),E512,"Invalid")))</x:f>
        <x:v>2</x:v>
      </x:c>
      <x:c r="G512" s="2" t="n">
        <x:f>IF(ISNUMBER(F512),1,0)</x:f>
        <x:v>1</x:v>
      </x:c>
      <x:c r="H512" s="2" t="n">
        <x:f>IF(ISNUMBER(F512),IF(F512&gt;=2,1,0),0)</x:f>
        <x:v>1</x:v>
      </x:c>
      <x:c r="I512" s="11" t="n">
        <x:f>IF(ISNUMBER(F512),2^F512-1,0)</x:f>
        <x:v>3</x:v>
      </x:c>
      <x:c r="J512" s="2" t="str">
        <x:v>Retained original 577</x:v>
      </x:c>
      <x:c r="K512" s="10" t="n">
        <x:v>3900</x:v>
      </x:c>
      <x:c r="L512" s="10" t="n">
        <x:v>3</x:v>
      </x:c>
      <x:c r="M512" s="10" t="n">
        <x:v>1000</x:v>
      </x:c>
      <x:c r="N512" s="2" t="str">
        <x:v>D05</x:v>
      </x:c>
      <x:c r="O512" s="2" t="str">
        <x:v>hdb flat</x:v>
      </x:c>
      <x:c r="P512" s="2" t="str">
        <x:v>https://www.propertyguru.com.sg/listing/hdb-for-rent-506-west-coast-drive-500251234</x:v>
      </x:c>
      <x:c r="Q512" s="12" t="str">
        <x:v>All declared hard requirements pass. Reported rent SGD 3900/month; bedrooms 3; area 1000.0 sqft; D05; HDB Flat. D05 and the hard limits pass. About 980-1,000 sqft at SGD 3,800-4,000 is a workable trade-off, below the space or price advantage of the original strong-fit anchors.</x:v>
      </x:c>
      <x:c r="R512" s="13"/>
    </x:row>
    <x:row r="513" ht="48" hidden="0" customHeight="1">
      <x:c r="A513" s="2" t="str">
        <x:v>S04|20832273</x:v>
      </x:c>
      <x:c r="B513" s="2" t="str">
        <x:v>S04</x:v>
      </x:c>
      <x:c r="C513" s="2" t="str">
        <x:v>20832273</x:v>
      </x:c>
      <x:c r="D513" s="2" t="n">
        <x:v>2</x:v>
      </x:c>
      <x:c r="E513" s="9"/>
      <x:c r="F513" s="2" t="n">
        <x:f>IF(E513="",D513,IF(E513="U","U",IF(AND(ISNUMBER(E513),E513&gt;=0,E513&lt;=3,INT(E513)=E513),E513,"Invalid")))</x:f>
        <x:v>2</x:v>
      </x:c>
      <x:c r="G513" s="2" t="n">
        <x:f>IF(ISNUMBER(F513),1,0)</x:f>
        <x:v>1</x:v>
      </x:c>
      <x:c r="H513" s="2" t="n">
        <x:f>IF(ISNUMBER(F513),IF(F513&gt;=2,1,0),0)</x:f>
        <x:v>1</x:v>
      </x:c>
      <x:c r="I513" s="11" t="n">
        <x:f>IF(ISNUMBER(F513),2^F513-1,0)</x:f>
        <x:v>3</x:v>
      </x:c>
      <x:c r="J513" s="2" t="str">
        <x:v>Retained original 577</x:v>
      </x:c>
      <x:c r="K513" s="10" t="n">
        <x:v>4000</x:v>
      </x:c>
      <x:c r="L513" s="10" t="n">
        <x:v>3</x:v>
      </x:c>
      <x:c r="M513" s="10" t="n">
        <x:v>990</x:v>
      </x:c>
      <x:c r="N513" s="2" t="str">
        <x:v>D05</x:v>
      </x:c>
      <x:c r="O513" s="2" t="str">
        <x:v>hdb flat</x:v>
      </x:c>
      <x:c r="P513" s="2" t="str">
        <x:v>https://www.propertyguru.com.sg/listing/hdb-for-rent-309-clementi-avenue-4-20832273</x:v>
      </x:c>
      <x:c r="Q513" s="12" t="str">
        <x:v>All declared hard requirements pass. Reported rent SGD 4000/month; bedrooms 3; area 990.0 sqft; D05; HDB Flat. D05 and the hard limits pass. About 980-1,000 sqft at SGD 3,800-4,000 is a workable trade-off, below the space or price advantage of the original strong-fit anchors.</x:v>
      </x:c>
      <x:c r="R513" s="13"/>
    </x:row>
    <x:row r="514" ht="48" hidden="0" customHeight="1">
      <x:c r="A514" s="2" t="str">
        <x:v>S04|12885293</x:v>
      </x:c>
      <x:c r="B514" s="2" t="str">
        <x:v>S04</x:v>
      </x:c>
      <x:c r="C514" s="2" t="str">
        <x:v>12885293</x:v>
      </x:c>
      <x:c r="D514" s="2" t="n">
        <x:v>2</x:v>
      </x:c>
      <x:c r="E514" s="9"/>
      <x:c r="F514" s="2" t="n">
        <x:f>IF(E514="",D514,IF(E514="U","U",IF(AND(ISNUMBER(E514),E514&gt;=0,E514&lt;=3,INT(E514)=E514),E514,"Invalid")))</x:f>
        <x:v>2</x:v>
      </x:c>
      <x:c r="G514" s="2" t="n">
        <x:f>IF(ISNUMBER(F514),1,0)</x:f>
        <x:v>1</x:v>
      </x:c>
      <x:c r="H514" s="2" t="n">
        <x:f>IF(ISNUMBER(F514),IF(F514&gt;=2,1,0),0)</x:f>
        <x:v>1</x:v>
      </x:c>
      <x:c r="I514" s="11" t="n">
        <x:f>IF(ISNUMBER(F514),2^F514-1,0)</x:f>
        <x:v>3</x:v>
      </x:c>
      <x:c r="J514" s="2" t="str">
        <x:v>Retained original 577</x:v>
      </x:c>
      <x:c r="K514" s="10" t="n">
        <x:v>4000</x:v>
      </x:c>
      <x:c r="L514" s="10" t="n">
        <x:v>2</x:v>
      </x:c>
      <x:c r="M514" s="10" t="n">
        <x:v>1000</x:v>
      </x:c>
      <x:c r="N514" s="2" t="str">
        <x:v>D05</x:v>
      </x:c>
      <x:c r="O514" s="2" t="str">
        <x:v>hdb flat</x:v>
      </x:c>
      <x:c r="P514" s="2" t="str">
        <x:v>https://www.propertyguru.com.sg/listing/hdb-for-rent-17-dover-crescent-12885293</x:v>
      </x:c>
      <x:c r="Q514" s="12" t="str">
        <x:v>All declared hard requirements pass. Reported rent SGD 4000/month; bedrooms 2; area 1000.0 sqft; D05; HDB Flat. D05 and the hard limits pass. About 980-1,000 sqft at SGD 3,800-4,000 is a workable trade-off, below the space or price advantage of the original strong-fit anchors.</x:v>
      </x:c>
      <x:c r="R514" s="13"/>
    </x:row>
    <x:row r="515" ht="48" hidden="0" customHeight="1">
      <x:c r="A515" s="2" t="str">
        <x:v>S04|500267822</x:v>
      </x:c>
      <x:c r="B515" s="2" t="str">
        <x:v>S04</x:v>
      </x:c>
      <x:c r="C515" s="2" t="str">
        <x:v>500267822</x:v>
      </x:c>
      <x:c r="D515" s="2" t="n">
        <x:v>2</x:v>
      </x:c>
      <x:c r="E515" s="9"/>
      <x:c r="F515" s="2" t="n">
        <x:f>IF(E515="",D515,IF(E515="U","U",IF(AND(ISNUMBER(E515),E515&gt;=0,E515&lt;=3,INT(E515)=E515),E515,"Invalid")))</x:f>
        <x:v>2</x:v>
      </x:c>
      <x:c r="G515" s="2" t="n">
        <x:f>IF(ISNUMBER(F515),1,0)</x:f>
        <x:v>1</x:v>
      </x:c>
      <x:c r="H515" s="2" t="n">
        <x:f>IF(ISNUMBER(F515),IF(F515&gt;=2,1,0),0)</x:f>
        <x:v>1</x:v>
      </x:c>
      <x:c r="I515" s="11" t="n">
        <x:f>IF(ISNUMBER(F515),2^F515-1,0)</x:f>
        <x:v>3</x:v>
      </x:c>
      <x:c r="J515" s="2" t="str">
        <x:v>Retained original 577</x:v>
      </x:c>
      <x:c r="K515" s="10" t="n">
        <x:v>3880</x:v>
      </x:c>
      <x:c r="L515" s="10" t="n">
        <x:v>3</x:v>
      </x:c>
      <x:c r="M515" s="10" t="n">
        <x:v>980</x:v>
      </x:c>
      <x:c r="N515" s="2" t="str">
        <x:v>D05</x:v>
      </x:c>
      <x:c r="O515" s="2" t="str">
        <x:v>hdb flat</x:v>
      </x:c>
      <x:c r="P515" s="2" t="str">
        <x:v>https://www.propertyguru.com.sg/listing/hdb-for-rent-373-clementi-avenue-4-500267822</x:v>
      </x:c>
      <x:c r="Q515" s="12" t="str">
        <x:v>All declared hard requirements pass. Reported rent SGD 3880/month; bedrooms 3; area 980.0 sqft; D05; HDB Flat. D05 and the hard limits pass. About 980-1,000 sqft at SGD 3,800-4,000 is a workable trade-off, below the space or price advantage of the original strong-fit anchors.</x:v>
      </x:c>
      <x:c r="R515" s="13"/>
    </x:row>
    <x:row r="516" ht="48" hidden="0" customHeight="1">
      <x:c r="A516" s="2" t="str">
        <x:v>S04|500275187</x:v>
      </x:c>
      <x:c r="B516" s="2" t="str">
        <x:v>S04</x:v>
      </x:c>
      <x:c r="C516" s="2" t="str">
        <x:v>500275187</x:v>
      </x:c>
      <x:c r="D516" s="2" t="n">
        <x:v>2</x:v>
      </x:c>
      <x:c r="E516" s="9"/>
      <x:c r="F516" s="2" t="n">
        <x:f>IF(E516="",D516,IF(E516="U","U",IF(AND(ISNUMBER(E516),E516&gt;=0,E516&lt;=3,INT(E516)=E516),E516,"Invalid")))</x:f>
        <x:v>2</x:v>
      </x:c>
      <x:c r="G516" s="2" t="n">
        <x:f>IF(ISNUMBER(F516),1,0)</x:f>
        <x:v>1</x:v>
      </x:c>
      <x:c r="H516" s="2" t="n">
        <x:f>IF(ISNUMBER(F516),IF(F516&gt;=2,1,0),0)</x:f>
        <x:v>1</x:v>
      </x:c>
      <x:c r="I516" s="11" t="n">
        <x:f>IF(ISNUMBER(F516),2^F516-1,0)</x:f>
        <x:v>3</x:v>
      </x:c>
      <x:c r="J516" s="2" t="str">
        <x:v>Retained original 577</x:v>
      </x:c>
      <x:c r="K516" s="10" t="n">
        <x:v>3800</x:v>
      </x:c>
      <x:c r="L516" s="10" t="n">
        <x:v>3</x:v>
      </x:c>
      <x:c r="M516" s="10" t="n">
        <x:v>980</x:v>
      </x:c>
      <x:c r="N516" s="2" t="str">
        <x:v>D05</x:v>
      </x:c>
      <x:c r="O516" s="2" t="str">
        <x:v>hdb flat</x:v>
      </x:c>
      <x:c r="P516" s="2" t="str">
        <x:v>https://www.propertyguru.com.sg/listing/hdb-for-rent-315-clementi-avenue-4-500275187</x:v>
      </x:c>
      <x:c r="Q516" s="12" t="str">
        <x:v>All declared hard requirements pass. Reported rent SGD 3800/month; bedrooms 3; area 980.0 sqft; D05; HDB Flat. D05 and the hard limits pass. About 980-1,000 sqft at SGD 3,800-4,000 is a workable trade-off, below the space or price advantage of the original strong-fit anchors.</x:v>
      </x:c>
      <x:c r="R516" s="13"/>
    </x:row>
    <x:row r="517" ht="48" hidden="0" customHeight="1">
      <x:c r="A517" s="2" t="str">
        <x:v>S05|21227435</x:v>
      </x:c>
      <x:c r="B517" s="2" t="str">
        <x:v>S05</x:v>
      </x:c>
      <x:c r="C517" s="2" t="str">
        <x:v>21227435</x:v>
      </x:c>
      <x:c r="D517" s="2" t="n">
        <x:v>2</x:v>
      </x:c>
      <x:c r="E517" s="9"/>
      <x:c r="F517" s="2" t="n">
        <x:f>IF(E517="",D517,IF(E517="U","U",IF(AND(ISNUMBER(E517),E517&gt;=0,E517&lt;=3,INT(E517)=E517),E517,"Invalid")))</x:f>
        <x:v>2</x:v>
      </x:c>
      <x:c r="G517" s="2" t="n">
        <x:f>IF(ISNUMBER(F517),1,0)</x:f>
        <x:v>1</x:v>
      </x:c>
      <x:c r="H517" s="2" t="n">
        <x:f>IF(ISNUMBER(F517),IF(F517&gt;=2,1,0),0)</x:f>
        <x:v>1</x:v>
      </x:c>
      <x:c r="I517" s="11" t="n">
        <x:f>IF(ISNUMBER(F517),2^F517-1,0)</x:f>
        <x:v>3</x:v>
      </x:c>
      <x:c r="J517" s="2" t="str">
        <x:v>Retained original 577</x:v>
      </x:c>
      <x:c r="K517" s="10" t="n">
        <x:v>6500</x:v>
      </x:c>
      <x:c r="L517" s="10" t="n">
        <x:v>4</x:v>
      </x:c>
      <x:c r="M517" s="10" t="n">
        <x:v>1650</x:v>
      </x:c>
      <x:c r="N517" s="2" t="str">
        <x:v>D10</x:v>
      </x:c>
      <x:c r="O517" s="2" t="str">
        <x:v>condominium</x:v>
      </x:c>
      <x:c r="P517" s="2" t="str">
        <x:v>https://www.propertyguru.com.sg/listing/for-rent-ridgewood-condominium-21227435</x:v>
      </x:c>
      <x:c r="Q517" s="12" t="str">
        <x:v>All declared hard requirements pass. Reported rent SGD 6500/month; bedrooms 4; area 1650.0 sqft; D10; Condominium. The 1,500-sqft preference is met, but rent reaches the SGD 6,500 cap. This matches the original grade-2 size-matching listings at that price.</x:v>
      </x:c>
      <x:c r="R517" s="13"/>
    </x:row>
    <x:row r="518" ht="48" hidden="0" customHeight="1">
      <x:c r="A518" s="2" t="str">
        <x:v>S06|24508403</x:v>
      </x:c>
      <x:c r="B518" s="2" t="str">
        <x:v>S06</x:v>
      </x:c>
      <x:c r="C518" s="2" t="str">
        <x:v>24508403</x:v>
      </x:c>
      <x:c r="D518" s="2" t="n">
        <x:v>2</x:v>
      </x:c>
      <x:c r="E518" s="9"/>
      <x:c r="F518" s="2" t="n">
        <x:f>IF(E518="",D518,IF(E518="U","U",IF(AND(ISNUMBER(E518),E518&gt;=0,E518&lt;=3,INT(E518)=E518),E518,"Invalid")))</x:f>
        <x:v>2</x:v>
      </x:c>
      <x:c r="G518" s="2" t="n">
        <x:f>IF(ISNUMBER(F518),1,0)</x:f>
        <x:v>1</x:v>
      </x:c>
      <x:c r="H518" s="2" t="n">
        <x:f>IF(ISNUMBER(F518),IF(F518&gt;=2,1,0),0)</x:f>
        <x:v>1</x:v>
      </x:c>
      <x:c r="I518" s="11" t="n">
        <x:f>IF(ISNUMBER(F518),2^F518-1,0)</x:f>
        <x:v>3</x:v>
      </x:c>
      <x:c r="J518" s="2" t="str">
        <x:v>Retained original 577</x:v>
      </x:c>
      <x:c r="K518" s="10" t="n">
        <x:v>5000</x:v>
      </x:c>
      <x:c r="L518" s="10" t="n">
        <x:v>2</x:v>
      </x:c>
      <x:c r="M518" s="10" t="n">
        <x:v>904</x:v>
      </x:c>
      <x:c r="N518" s="2" t="str">
        <x:v>D09</x:v>
      </x:c>
      <x:c r="O518" s="2" t="str">
        <x:v>condominium</x:v>
      </x:c>
      <x:c r="P518" s="2" t="str">
        <x:v>https://www.propertyguru.com.sg/listing/for-rent-the-peak-cairnhill-ii-24508403</x:v>
      </x:c>
      <x:c r="Q518" s="12" t="str">
        <x:v>All declared hard requirements pass. Reported rent SGD 5000/month; bedrooms 2; area 904.0 sqft; D09; Condominium. The preferred condominium type is met, but 904 sqft offers less space than the approximately 1,000-sqft and larger strong-fit options.</x:v>
      </x:c>
      <x:c r="R518" s="13"/>
    </x:row>
    <x:row r="519" ht="48" hidden="0" customHeight="1">
      <x:c r="A519" s="2" t="str">
        <x:v>S06|19914824</x:v>
      </x:c>
      <x:c r="B519" s="2" t="str">
        <x:v>S06</x:v>
      </x:c>
      <x:c r="C519" s="2" t="str">
        <x:v>19914824</x:v>
      </x:c>
      <x:c r="D519" s="2" t="n">
        <x:v>3</x:v>
      </x:c>
      <x:c r="E519" s="9"/>
      <x:c r="F519" s="2" t="n">
        <x:f>IF(E519="",D519,IF(E519="U","U",IF(AND(ISNUMBER(E519),E519&gt;=0,E519&lt;=3,INT(E519)=E519),E519,"Invalid")))</x:f>
        <x:v>3</x:v>
      </x:c>
      <x:c r="G519" s="2" t="n">
        <x:f>IF(ISNUMBER(F519),1,0)</x:f>
        <x:v>1</x:v>
      </x:c>
      <x:c r="H519" s="2" t="n">
        <x:f>IF(ISNUMBER(F519),IF(F519&gt;=2,1,0),0)</x:f>
        <x:v>1</x:v>
      </x:c>
      <x:c r="I519" s="11" t="n">
        <x:f>IF(ISNUMBER(F519),2^F519-1,0)</x:f>
        <x:v>7</x:v>
      </x:c>
      <x:c r="J519" s="2" t="str">
        <x:v>Retained original 577</x:v>
      </x:c>
      <x:c r="K519" s="10" t="n">
        <x:v>5000</x:v>
      </x:c>
      <x:c r="L519" s="10" t="n">
        <x:v>2</x:v>
      </x:c>
      <x:c r="M519" s="10" t="n">
        <x:v>1001</x:v>
      </x:c>
      <x:c r="N519" s="2" t="str">
        <x:v>D10</x:v>
      </x:c>
      <x:c r="O519" s="2" t="str">
        <x:v>condominium</x:v>
      </x:c>
      <x:c r="P519" s="2" t="str">
        <x:v>https://www.propertyguru.com.sg/listing/for-rent-the-levelz-19914824</x:v>
      </x:c>
      <x:c r="Q519" s="12" t="str">
        <x:v>All declared hard requirements pass. Reported rent SGD 5000/month; bedrooms 2; area 1001.0 sqft; D10; Condominium. The preferred condominium type is met with roughly 979-1,003 sqft, close to the original 1,023-sqft strong-fit anchor. Rent passes the cap and is not an additional stated soft priority.</x:v>
      </x:c>
      <x:c r="R519" s="13"/>
    </x:row>
    <x:row r="520" ht="48" hidden="0" customHeight="1">
      <x:c r="A520" s="2" t="str">
        <x:v>S06|23335252</x:v>
      </x:c>
      <x:c r="B520" s="2" t="str">
        <x:v>S06</x:v>
      </x:c>
      <x:c r="C520" s="2" t="str">
        <x:v>23335252</x:v>
      </x:c>
      <x:c r="D520" s="2" t="n">
        <x:v>3</x:v>
      </x:c>
      <x:c r="E520" s="9"/>
      <x:c r="F520" s="2" t="n">
        <x:f>IF(E520="",D520,IF(E520="U","U",IF(AND(ISNUMBER(E520),E520&gt;=0,E520&lt;=3,INT(E520)=E520),E520,"Invalid")))</x:f>
        <x:v>3</x:v>
      </x:c>
      <x:c r="G520" s="2" t="n">
        <x:f>IF(ISNUMBER(F520),1,0)</x:f>
        <x:v>1</x:v>
      </x:c>
      <x:c r="H520" s="2" t="n">
        <x:f>IF(ISNUMBER(F520),IF(F520&gt;=2,1,0),0)</x:f>
        <x:v>1</x:v>
      </x:c>
      <x:c r="I520" s="11" t="n">
        <x:f>IF(ISNUMBER(F520),2^F520-1,0)</x:f>
        <x:v>7</x:v>
      </x:c>
      <x:c r="J520" s="2" t="str">
        <x:v>Retained original 577</x:v>
      </x:c>
      <x:c r="K520" s="10" t="n">
        <x:v>4500</x:v>
      </x:c>
      <x:c r="L520" s="10" t="n">
        <x:v>2</x:v>
      </x:c>
      <x:c r="M520" s="10" t="n">
        <x:v>979</x:v>
      </x:c>
      <x:c r="N520" s="2" t="str">
        <x:v>D10</x:v>
      </x:c>
      <x:c r="O520" s="2" t="str">
        <x:v>condominium</x:v>
      </x:c>
      <x:c r="P520" s="2" t="str">
        <x:v>https://www.propertyguru.com.sg/listing/for-rent-the-chatelet-23335252</x:v>
      </x:c>
      <x:c r="Q520" s="12" t="str">
        <x:v>All declared hard requirements pass. Reported rent SGD 4500/month; bedrooms 2; area 979.0 sqft; D10; Condominium. The preferred condominium type is met with roughly 979-1,003 sqft, close to the original 1,023-sqft strong-fit anchor. Rent passes the cap and is not an additional stated soft priority.</x:v>
      </x:c>
      <x:c r="R520" s="13"/>
    </x:row>
    <x:row r="521" ht="48" hidden="0" customHeight="1">
      <x:c r="A521" s="2" t="str">
        <x:v>S06|25624435</x:v>
      </x:c>
      <x:c r="B521" s="2" t="str">
        <x:v>S06</x:v>
      </x:c>
      <x:c r="C521" s="2" t="str">
        <x:v>25624435</x:v>
      </x:c>
      <x:c r="D521" s="2" t="n">
        <x:v>2</x:v>
      </x:c>
      <x:c r="E521" s="9"/>
      <x:c r="F521" s="2" t="n">
        <x:f>IF(E521="",D521,IF(E521="U","U",IF(AND(ISNUMBER(E521),E521&gt;=0,E521&lt;=3,INT(E521)=E521),E521,"Invalid")))</x:f>
        <x:v>2</x:v>
      </x:c>
      <x:c r="G521" s="2" t="n">
        <x:f>IF(ISNUMBER(F521),1,0)</x:f>
        <x:v>1</x:v>
      </x:c>
      <x:c r="H521" s="2" t="n">
        <x:f>IF(ISNUMBER(F521),IF(F521&gt;=2,1,0),0)</x:f>
        <x:v>1</x:v>
      </x:c>
      <x:c r="I521" s="11" t="n">
        <x:f>IF(ISNUMBER(F521),2^F521-1,0)</x:f>
        <x:v>3</x:v>
      </x:c>
      <x:c r="J521" s="2" t="str">
        <x:v>Retained original 577</x:v>
      </x:c>
      <x:c r="K521" s="10" t="n">
        <x:v>4900</x:v>
      </x:c>
      <x:c r="L521" s="10" t="n">
        <x:v>2</x:v>
      </x:c>
      <x:c r="M521" s="10" t="n">
        <x:v>904</x:v>
      </x:c>
      <x:c r="N521" s="2" t="str">
        <x:v>D09</x:v>
      </x:c>
      <x:c r="O521" s="2" t="str">
        <x:v>condominium</x:v>
      </x:c>
      <x:c r="P521" s="2" t="str">
        <x:v>https://www.propertyguru.com.sg/listing/for-rent-the-peak-cairnhill-ii-25624435</x:v>
      </x:c>
      <x:c r="Q521" s="12" t="str">
        <x:v>All declared hard requirements pass. Reported rent SGD 4900/month; bedrooms 2; area 904.0 sqft; D09; Condominium. The preferred condominium type is met, but 904 sqft offers less space than the approximately 1,000-sqft and larger strong-fit options.</x:v>
      </x:c>
      <x:c r="R521" s="13"/>
    </x:row>
    <x:row r="522" ht="48" hidden="0" customHeight="1">
      <x:c r="A522" s="2" t="str">
        <x:v>S06|19642827</x:v>
      </x:c>
      <x:c r="B522" s="2" t="str">
        <x:v>S06</x:v>
      </x:c>
      <x:c r="C522" s="2" t="str">
        <x:v>19642827</x:v>
      </x:c>
      <x:c r="D522" s="2" t="n">
        <x:v>3</x:v>
      </x:c>
      <x:c r="E522" s="9"/>
      <x:c r="F522" s="2" t="n">
        <x:f>IF(E522="",D522,IF(E522="U","U",IF(AND(ISNUMBER(E522),E522&gt;=0,E522&lt;=3,INT(E522)=E522),E522,"Invalid")))</x:f>
        <x:v>3</x:v>
      </x:c>
      <x:c r="G522" s="2" t="n">
        <x:f>IF(ISNUMBER(F522),1,0)</x:f>
        <x:v>1</x:v>
      </x:c>
      <x:c r="H522" s="2" t="n">
        <x:f>IF(ISNUMBER(F522),IF(F522&gt;=2,1,0),0)</x:f>
        <x:v>1</x:v>
      </x:c>
      <x:c r="I522" s="11" t="n">
        <x:f>IF(ISNUMBER(F522),2^F522-1,0)</x:f>
        <x:v>7</x:v>
      </x:c>
      <x:c r="J522" s="2" t="str">
        <x:v>Retained original 577</x:v>
      </x:c>
      <x:c r="K522" s="10" t="n">
        <x:v>5000</x:v>
      </x:c>
      <x:c r="L522" s="10" t="n">
        <x:v>2</x:v>
      </x:c>
      <x:c r="M522" s="10" t="n">
        <x:v>990</x:v>
      </x:c>
      <x:c r="N522" s="2" t="str">
        <x:v>D10</x:v>
      </x:c>
      <x:c r="O522" s="2" t="str">
        <x:v>condominium</x:v>
      </x:c>
      <x:c r="P522" s="2" t="str">
        <x:v>https://www.propertyguru.com.sg/listing/for-rent-the-levelz-19642827</x:v>
      </x:c>
      <x:c r="Q522" s="12" t="str">
        <x:v>All declared hard requirements pass. Reported rent SGD 5000/month; bedrooms 2; area 990.0 sqft; D10; Condominium. The preferred condominium type is met with roughly 979-1,003 sqft, close to the original 1,023-sqft strong-fit anchor. Rent passes the cap and is not an additional stated soft priority.</x:v>
      </x:c>
      <x:c r="R522" s="13"/>
    </x:row>
    <x:row r="523" ht="48" hidden="0" customHeight="1">
      <x:c r="A523" s="2" t="str">
        <x:v>S06|23079504</x:v>
      </x:c>
      <x:c r="B523" s="2" t="str">
        <x:v>S06</x:v>
      </x:c>
      <x:c r="C523" s="2" t="str">
        <x:v>23079504</x:v>
      </x:c>
      <x:c r="D523" s="2" t="n">
        <x:v>3</x:v>
      </x:c>
      <x:c r="E523" s="9"/>
      <x:c r="F523" s="2" t="n">
        <x:f>IF(E523="",D523,IF(E523="U","U",IF(AND(ISNUMBER(E523),E523&gt;=0,E523&lt;=3,INT(E523)=E523),E523,"Invalid")))</x:f>
        <x:v>3</x:v>
      </x:c>
      <x:c r="G523" s="2" t="n">
        <x:f>IF(ISNUMBER(F523),1,0)</x:f>
        <x:v>1</x:v>
      </x:c>
      <x:c r="H523" s="2" t="n">
        <x:f>IF(ISNUMBER(F523),IF(F523&gt;=2,1,0),0)</x:f>
        <x:v>1</x:v>
      </x:c>
      <x:c r="I523" s="11" t="n">
        <x:f>IF(ISNUMBER(F523),2^F523-1,0)</x:f>
        <x:v>7</x:v>
      </x:c>
      <x:c r="J523" s="2" t="str">
        <x:v>Retained original 577</x:v>
      </x:c>
      <x:c r="K523" s="10" t="n">
        <x:v>4200</x:v>
      </x:c>
      <x:c r="L523" s="10" t="n">
        <x:v>2</x:v>
      </x:c>
      <x:c r="M523" s="10" t="n">
        <x:v>1003</x:v>
      </x:c>
      <x:c r="N523" s="2" t="str">
        <x:v>D10</x:v>
      </x:c>
      <x:c r="O523" s="2" t="str">
        <x:v>condominium</x:v>
      </x:c>
      <x:c r="P523" s="2" t="str">
        <x:v>https://www.propertyguru.com.sg/listing/for-rent-allsworth-park-23079504</x:v>
      </x:c>
      <x:c r="Q523" s="12" t="str">
        <x:v>All declared hard requirements pass. Reported rent SGD 4200/month; bedrooms 2; area 1003.0 sqft; D10; Condominium. The preferred condominium type is met with roughly 979-1,003 sqft, close to the original 1,023-sqft strong-fit anchor. Rent passes the cap and is not an additional stated soft priority.</x:v>
      </x:c>
      <x:c r="R523" s="13"/>
    </x:row>
    <x:row r="524" ht="48" hidden="0" customHeight="1">
      <x:c r="A524" s="2" t="str">
        <x:v>S07|25187783</x:v>
      </x:c>
      <x:c r="B524" s="2" t="str">
        <x:v>S07</x:v>
      </x:c>
      <x:c r="C524" s="2" t="str">
        <x:v>25187783</x:v>
      </x:c>
      <x:c r="D524" s="2" t="n">
        <x:v>2</x:v>
      </x:c>
      <x:c r="E524" s="9"/>
      <x:c r="F524" s="2" t="n">
        <x:f>IF(E524="",D524,IF(E524="U","U",IF(AND(ISNUMBER(E524),E524&gt;=0,E524&lt;=3,INT(E524)=E524),E524,"Invalid")))</x:f>
        <x:v>2</x:v>
      </x:c>
      <x:c r="G524" s="2" t="n">
        <x:f>IF(ISNUMBER(F524),1,0)</x:f>
        <x:v>1</x:v>
      </x:c>
      <x:c r="H524" s="2" t="n">
        <x:f>IF(ISNUMBER(F524),IF(F524&gt;=2,1,0),0)</x:f>
        <x:v>1</x:v>
      </x:c>
      <x:c r="I524" s="11" t="n">
        <x:f>IF(ISNUMBER(F524),2^F524-1,0)</x:f>
        <x:v>3</x:v>
      </x:c>
      <x:c r="J524" s="2" t="str">
        <x:v>Retained original 577</x:v>
      </x:c>
      <x:c r="K524" s="10" t="n">
        <x:v>3000</x:v>
      </x:c>
      <x:c r="L524" s="10" t="n">
        <x:v>2</x:v>
      </x:c>
      <x:c r="M524" s="10" t="n">
        <x:v>797</x:v>
      </x:c>
      <x:c r="N524" s="2" t="str">
        <x:v>D18</x:v>
      </x:c>
      <x:c r="O524" s="2" t="str">
        <x:v>hdb flat</x:v>
      </x:c>
      <x:c r="P524" s="2" t="str">
        <x:v>https://www.propertyguru.com.sg/listing/hdb-for-rent-854-tampines-street-82-25187783</x:v>
      </x:c>
      <x:c r="Q524" s="12" t="str">
        <x:v>All declared hard requirements pass. Reported rent SGD 3000/month; bedrooms 2; area 797.0 sqft; D18; HDB Flat. D18 is met. Rent of SGD 2,950-3,000 is above the original strong-fit D18 anchors at SGD 700-2,900, giving a useful location match with a price trade-off.</x:v>
      </x:c>
      <x:c r="R524" s="13"/>
    </x:row>
    <x:row r="525" ht="48" hidden="0" customHeight="1">
      <x:c r="A525" s="2" t="str">
        <x:v>S07|24362276</x:v>
      </x:c>
      <x:c r="B525" s="2" t="str">
        <x:v>S07</x:v>
      </x:c>
      <x:c r="C525" s="2" t="str">
        <x:v>24362276</x:v>
      </x:c>
      <x:c r="D525" s="2" t="n">
        <x:v>2</x:v>
      </x:c>
      <x:c r="E525" s="9"/>
      <x:c r="F525" s="2" t="n">
        <x:f>IF(E525="",D525,IF(E525="U","U",IF(AND(ISNUMBER(E525),E525&gt;=0,E525&lt;=3,INT(E525)=E525),E525,"Invalid")))</x:f>
        <x:v>2</x:v>
      </x:c>
      <x:c r="G525" s="2" t="n">
        <x:f>IF(ISNUMBER(F525),1,0)</x:f>
        <x:v>1</x:v>
      </x:c>
      <x:c r="H525" s="2" t="n">
        <x:f>IF(ISNUMBER(F525),IF(F525&gt;=2,1,0),0)</x:f>
        <x:v>1</x:v>
      </x:c>
      <x:c r="I525" s="11" t="n">
        <x:f>IF(ISNUMBER(F525),2^F525-1,0)</x:f>
        <x:v>3</x:v>
      </x:c>
      <x:c r="J525" s="2" t="str">
        <x:v>Retained original 577</x:v>
      </x:c>
      <x:c r="K525" s="10" t="n">
        <x:v>3000</x:v>
      </x:c>
      <x:c r="L525" s="10" t="n">
        <x:v>2</x:v>
      </x:c>
      <x:c r="M525" s="10" t="n">
        <x:v>732</x:v>
      </x:c>
      <x:c r="N525" s="2" t="str">
        <x:v>D18</x:v>
      </x:c>
      <x:c r="O525" s="2" t="str">
        <x:v>hdb flat</x:v>
      </x:c>
      <x:c r="P525" s="2" t="str">
        <x:v>https://www.propertyguru.com.sg/listing/hdb-for-rent-258-tampines-street-21-24362276</x:v>
      </x:c>
      <x:c r="Q525" s="12" t="str">
        <x:v>All declared hard requirements pass. Reported rent SGD 3000/month; bedrooms 2; area 732.0 sqft; D18; HDB Flat. D18 is met. Rent of SGD 2,950-3,000 is above the original strong-fit D18 anchors at SGD 700-2,900, giving a useful location match with a price trade-off.</x:v>
      </x:c>
      <x:c r="R525" s="13"/>
    </x:row>
    <x:row r="526" ht="48" hidden="0" customHeight="1">
      <x:c r="A526" s="2" t="str">
        <x:v>S07|24640962</x:v>
      </x:c>
      <x:c r="B526" s="2" t="str">
        <x:v>S07</x:v>
      </x:c>
      <x:c r="C526" s="2" t="str">
        <x:v>24640962</x:v>
      </x:c>
      <x:c r="D526" s="2" t="n">
        <x:v>2</x:v>
      </x:c>
      <x:c r="E526" s="9"/>
      <x:c r="F526" s="2" t="n">
        <x:f>IF(E526="",D526,IF(E526="U","U",IF(AND(ISNUMBER(E526),E526&gt;=0,E526&lt;=3,INT(E526)=E526),E526,"Invalid")))</x:f>
        <x:v>2</x:v>
      </x:c>
      <x:c r="G526" s="2" t="n">
        <x:f>IF(ISNUMBER(F526),1,0)</x:f>
        <x:v>1</x:v>
      </x:c>
      <x:c r="H526" s="2" t="n">
        <x:f>IF(ISNUMBER(F526),IF(F526&gt;=2,1,0),0)</x:f>
        <x:v>1</x:v>
      </x:c>
      <x:c r="I526" s="11" t="n">
        <x:f>IF(ISNUMBER(F526),2^F526-1,0)</x:f>
        <x:v>3</x:v>
      </x:c>
      <x:c r="J526" s="2" t="str">
        <x:v>Retained original 577</x:v>
      </x:c>
      <x:c r="K526" s="10" t="n">
        <x:v>3000</x:v>
      </x:c>
      <x:c r="L526" s="10" t="n">
        <x:v>2</x:v>
      </x:c>
      <x:c r="M526" s="10" t="n">
        <x:v>785</x:v>
      </x:c>
      <x:c r="N526" s="2" t="str">
        <x:v>D18</x:v>
      </x:c>
      <x:c r="O526" s="2" t="str">
        <x:v>hdb flat</x:v>
      </x:c>
      <x:c r="P526" s="2" t="str">
        <x:v>https://www.propertyguru.com.sg/listing/hdb-for-rent-144-tampines-street-12-24640962</x:v>
      </x:c>
      <x:c r="Q526" s="12" t="str">
        <x:v>All declared hard requirements pass. Reported rent SGD 3000/month; bedrooms 2; area 785.0 sqft; D18; HDB Flat. D18 is met. Rent of SGD 2,950-3,000 is above the original strong-fit D18 anchors at SGD 700-2,900, giving a useful location match with a price trade-off.</x:v>
      </x:c>
      <x:c r="R526" s="13"/>
    </x:row>
    <x:row r="527" ht="48" hidden="0" customHeight="1">
      <x:c r="A527" s="2" t="str">
        <x:v>S07|9594504</x:v>
      </x:c>
      <x:c r="B527" s="2" t="str">
        <x:v>S07</x:v>
      </x:c>
      <x:c r="C527" s="2" t="str">
        <x:v>9594504</x:v>
      </x:c>
      <x:c r="D527" s="2" t="n">
        <x:v>2</x:v>
      </x:c>
      <x:c r="E527" s="9"/>
      <x:c r="F527" s="2" t="n">
        <x:f>IF(E527="",D527,IF(E527="U","U",IF(AND(ISNUMBER(E527),E527&gt;=0,E527&lt;=3,INT(E527)=E527),E527,"Invalid")))</x:f>
        <x:v>2</x:v>
      </x:c>
      <x:c r="G527" s="2" t="n">
        <x:f>IF(ISNUMBER(F527),1,0)</x:f>
        <x:v>1</x:v>
      </x:c>
      <x:c r="H527" s="2" t="n">
        <x:f>IF(ISNUMBER(F527),IF(F527&gt;=2,1,0),0)</x:f>
        <x:v>1</x:v>
      </x:c>
      <x:c r="I527" s="11" t="n">
        <x:f>IF(ISNUMBER(F527),2^F527-1,0)</x:f>
        <x:v>3</x:v>
      </x:c>
      <x:c r="J527" s="2" t="str">
        <x:v>Retained original 577</x:v>
      </x:c>
      <x:c r="K527" s="10" t="n">
        <x:v>2950</x:v>
      </x:c>
      <x:c r="L527" s="10" t="n">
        <x:v>2</x:v>
      </x:c>
      <x:c r="M527" s="10" t="n">
        <x:v>1500</x:v>
      </x:c>
      <x:c r="N527" s="2" t="str">
        <x:v>D18</x:v>
      </x:c>
      <x:c r="O527" s="2" t="str">
        <x:v>hdb flat</x:v>
      </x:c>
      <x:c r="P527" s="2" t="str">
        <x:v>https://www.propertyguru.com.sg/listing/hdb-for-rent-601-elias-road-9594504</x:v>
      </x:c>
      <x:c r="Q527" s="12" t="str">
        <x:v>All declared hard requirements pass. Reported rent SGD 2950/month; bedrooms 2; area 1500.0 sqft; D18; HDB Flat. D18 is met. Rent of SGD 2,950-3,000 is above the original strong-fit D18 anchors at SGD 700-2,900, giving a useful location match with a price trade-off.</x:v>
      </x:c>
      <x:c r="R527" s="13"/>
    </x:row>
    <x:row r="528" ht="48" hidden="0" customHeight="1">
      <x:c r="A528" s="2" t="str">
        <x:v>S07|25096808</x:v>
      </x:c>
      <x:c r="B528" s="2" t="str">
        <x:v>S07</x:v>
      </x:c>
      <x:c r="C528" s="2" t="str">
        <x:v>25096808</x:v>
      </x:c>
      <x:c r="D528" s="2" t="n">
        <x:v>2</x:v>
      </x:c>
      <x:c r="E528" s="9"/>
      <x:c r="F528" s="2" t="n">
        <x:f>IF(E528="",D528,IF(E528="U","U",IF(AND(ISNUMBER(E528),E528&gt;=0,E528&lt;=3,INT(E528)=E528),E528,"Invalid")))</x:f>
        <x:v>2</x:v>
      </x:c>
      <x:c r="G528" s="2" t="n">
        <x:f>IF(ISNUMBER(F528),1,0)</x:f>
        <x:v>1</x:v>
      </x:c>
      <x:c r="H528" s="2" t="n">
        <x:f>IF(ISNUMBER(F528),IF(F528&gt;=2,1,0),0)</x:f>
        <x:v>1</x:v>
      </x:c>
      <x:c r="I528" s="11" t="n">
        <x:f>IF(ISNUMBER(F528),2^F528-1,0)</x:f>
        <x:v>3</x:v>
      </x:c>
      <x:c r="J528" s="2" t="str">
        <x:v>Retained original 577</x:v>
      </x:c>
      <x:c r="K528" s="10" t="n">
        <x:v>3000</x:v>
      </x:c>
      <x:c r="L528" s="10" t="n">
        <x:v>2</x:v>
      </x:c>
      <x:c r="M528" s="10" t="n">
        <x:v>796</x:v>
      </x:c>
      <x:c r="N528" s="2" t="str">
        <x:v>D18</x:v>
      </x:c>
      <x:c r="O528" s="2" t="str">
        <x:v>hdb flat</x:v>
      </x:c>
      <x:c r="P528" s="2" t="str">
        <x:v>https://www.propertyguru.com.sg/listing/hdb-for-rent-287-tampines-street-22-25096808</x:v>
      </x:c>
      <x:c r="Q528" s="12" t="str">
        <x:v>All declared hard requirements pass. Reported rent SGD 3000/month; bedrooms 2; area 796.0 sqft; D18; HDB Flat. D18 is met. Rent of SGD 2,950-3,000 is above the original strong-fit D18 anchors at SGD 700-2,900, giving a useful location match with a price trade-off.</x:v>
      </x:c>
      <x:c r="R528" s="13"/>
    </x:row>
    <x:row r="529" ht="48" hidden="0" customHeight="1">
      <x:c r="A529" s="2" t="str">
        <x:v>S07|500272797</x:v>
      </x:c>
      <x:c r="B529" s="2" t="str">
        <x:v>S07</x:v>
      </x:c>
      <x:c r="C529" s="2" t="str">
        <x:v>500272797</x:v>
      </x:c>
      <x:c r="D529" s="2" t="n">
        <x:v>2</x:v>
      </x:c>
      <x:c r="E529" s="9"/>
      <x:c r="F529" s="2" t="n">
        <x:f>IF(E529="",D529,IF(E529="U","U",IF(AND(ISNUMBER(E529),E529&gt;=0,E529&lt;=3,INT(E529)=E529),E529,"Invalid")))</x:f>
        <x:v>2</x:v>
      </x:c>
      <x:c r="G529" s="2" t="n">
        <x:f>IF(ISNUMBER(F529),1,0)</x:f>
        <x:v>1</x:v>
      </x:c>
      <x:c r="H529" s="2" t="n">
        <x:f>IF(ISNUMBER(F529),IF(F529&gt;=2,1,0),0)</x:f>
        <x:v>1</x:v>
      </x:c>
      <x:c r="I529" s="11" t="n">
        <x:f>IF(ISNUMBER(F529),2^F529-1,0)</x:f>
        <x:v>3</x:v>
      </x:c>
      <x:c r="J529" s="2" t="str">
        <x:v>Retained original 577</x:v>
      </x:c>
      <x:c r="K529" s="10" t="n">
        <x:v>2999</x:v>
      </x:c>
      <x:c r="L529" s="10" t="n">
        <x:v>3</x:v>
      </x:c>
      <x:c r="M529" s="10" t="n">
        <x:v>1119</x:v>
      </x:c>
      <x:c r="N529" s="2" t="str">
        <x:v>D18</x:v>
      </x:c>
      <x:c r="O529" s="2" t="str">
        <x:v>hdb flat</x:v>
      </x:c>
      <x:c r="P529" s="2" t="str">
        <x:v>https://www.propertyguru.com.sg/listing/hdb-for-rent-637-pasir-ris-drive-1-500272797</x:v>
      </x:c>
      <x:c r="Q529" s="12" t="str">
        <x:v>All declared hard requirements pass. Reported rent SGD 2999/month; bedrooms 3; area 1119.0 sqft; D18; HDB Flat. D18 is met. Rent of SGD 2,950-3,000 is above the original strong-fit D18 anchors at SGD 700-2,900, giving a useful location match with a price trade-off.</x:v>
      </x:c>
      <x:c r="R529" s="13"/>
    </x:row>
    <x:row r="530" ht="48" hidden="0" customHeight="1">
      <x:c r="A530" s="2" t="str">
        <x:v>S08|500017035</x:v>
      </x:c>
      <x:c r="B530" s="2" t="str">
        <x:v>S08</x:v>
      </x:c>
      <x:c r="C530" s="2" t="str">
        <x:v>500017035</x:v>
      </x:c>
      <x:c r="D530" s="2" t="n">
        <x:v>2</x:v>
      </x:c>
      <x:c r="E530" s="9"/>
      <x:c r="F530" s="2" t="n">
        <x:f>IF(E530="",D530,IF(E530="U","U",IF(AND(ISNUMBER(E530),E530&gt;=0,E530&lt;=3,INT(E530)=E530),E530,"Invalid")))</x:f>
        <x:v>2</x:v>
      </x:c>
      <x:c r="G530" s="2" t="n">
        <x:f>IF(ISNUMBER(F530),1,0)</x:f>
        <x:v>1</x:v>
      </x:c>
      <x:c r="H530" s="2" t="n">
        <x:f>IF(ISNUMBER(F530),IF(F530&gt;=2,1,0),0)</x:f>
        <x:v>1</x:v>
      </x:c>
      <x:c r="I530" s="11" t="n">
        <x:f>IF(ISNUMBER(F530),2^F530-1,0)</x:f>
        <x:v>3</x:v>
      </x:c>
      <x:c r="J530" s="2" t="str">
        <x:v>Retained original 577</x:v>
      </x:c>
      <x:c r="K530" s="10" t="n">
        <x:v>2985</x:v>
      </x:c>
      <x:c r="L530" s="10" t="n">
        <x:v>1</x:v>
      </x:c>
      <x:c r="M530" s="10" t="n">
        <x:v>400</x:v>
      </x:c>
      <x:c r="N530" s="2" t="str">
        <x:v>D03</x:v>
      </x:c>
      <x:c r="O530" s="2" t="str">
        <x:v>condominium</x:v>
      </x:c>
      <x:c r="P530" s="2" t="str">
        <x:v>https://www.propertyguru.com.sg/listing/for-rent-principal-garden-500017035</x:v>
      </x:c>
      <x:c r="Q530" s="12" t="str">
        <x:v>All declared hard requirements pass. Reported rent SGD 2985/month; bedrooms 1; area 400.0 sqft; D03; Condominium. The primary district preference is met but the reported area misses 500 sqft, consistent with the original grade-2 preferred-district listings. Whole-unit scope is not established.</x:v>
      </x:c>
      <x:c r="R530" s="13"/>
    </x:row>
    <x:row r="531" ht="48" hidden="0" customHeight="1">
      <x:c r="A531" s="2" t="str">
        <x:v>S08|25283210</x:v>
      </x:c>
      <x:c r="B531" s="2" t="str">
        <x:v>S08</x:v>
      </x:c>
      <x:c r="C531" s="2" t="str">
        <x:v>25283210</x:v>
      </x:c>
      <x:c r="D531" s="2" t="n">
        <x:v>2</x:v>
      </x:c>
      <x:c r="E531" s="9"/>
      <x:c r="F531" s="2" t="n">
        <x:f>IF(E531="",D531,IF(E531="U","U",IF(AND(ISNUMBER(E531),E531&gt;=0,E531&lt;=3,INT(E531)=E531),E531,"Invalid")))</x:f>
        <x:v>2</x:v>
      </x:c>
      <x:c r="G531" s="2" t="n">
        <x:f>IF(ISNUMBER(F531),1,0)</x:f>
        <x:v>1</x:v>
      </x:c>
      <x:c r="H531" s="2" t="n">
        <x:f>IF(ISNUMBER(F531),IF(F531&gt;=2,1,0),0)</x:f>
        <x:v>1</x:v>
      </x:c>
      <x:c r="I531" s="11" t="n">
        <x:f>IF(ISNUMBER(F531),2^F531-1,0)</x:f>
        <x:v>3</x:v>
      </x:c>
      <x:c r="J531" s="2" t="str">
        <x:v>Retained original 577</x:v>
      </x:c>
      <x:c r="K531" s="10" t="n">
        <x:v>1200</x:v>
      </x:c>
      <x:c r="L531" s="10" t="n">
        <x:v>1</x:v>
      </x:c>
      <x:c r="M531" s="10" t="n">
        <x:v>200</x:v>
      </x:c>
      <x:c r="N531" s="2" t="str">
        <x:v>D05</x:v>
      </x:c>
      <x:c r="O531" s="2" t="str">
        <x:v>condominium</x:v>
      </x:c>
      <x:c r="P531" s="2" t="str">
        <x:v>https://www.propertyguru.com.sg/listing/for-rent-heritage-view-25283210</x:v>
      </x:c>
      <x:c r="Q531" s="12" t="str">
        <x:v>All declared hard requirements pass. Reported rent SGD 1200/month; bedrooms 1; area 200.0 sqft; D05; Condominium. The primary district preference is met but the reported area misses 500 sqft, consistent with the original grade-2 preferred-district listings. Whole-unit scope is not established.</x:v>
      </x:c>
      <x:c r="R531" s="13"/>
    </x:row>
    <x:row r="532" ht="48" hidden="0" customHeight="1">
      <x:c r="A532" s="2" t="str">
        <x:v>S08|500233584</x:v>
      </x:c>
      <x:c r="B532" s="2" t="str">
        <x:v>S08</x:v>
      </x:c>
      <x:c r="C532" s="2" t="str">
        <x:v>500233584</x:v>
      </x:c>
      <x:c r="D532" s="2" t="n">
        <x:v>2</x:v>
      </x:c>
      <x:c r="E532" s="9"/>
      <x:c r="F532" s="2" t="n">
        <x:f>IF(E532="",D532,IF(E532="U","U",IF(AND(ISNUMBER(E532),E532&gt;=0,E532&lt;=3,INT(E532)=E532),E532,"Invalid")))</x:f>
        <x:v>2</x:v>
      </x:c>
      <x:c r="G532" s="2" t="n">
        <x:f>IF(ISNUMBER(F532),1,0)</x:f>
        <x:v>1</x:v>
      </x:c>
      <x:c r="H532" s="2" t="n">
        <x:f>IF(ISNUMBER(F532),IF(F532&gt;=2,1,0),0)</x:f>
        <x:v>1</x:v>
      </x:c>
      <x:c r="I532" s="11" t="n">
        <x:f>IF(ISNUMBER(F532),2^F532-1,0)</x:f>
        <x:v>3</x:v>
      </x:c>
      <x:c r="J532" s="2" t="str">
        <x:v>Retained original 577</x:v>
      </x:c>
      <x:c r="K532" s="10" t="n">
        <x:v>1450</x:v>
      </x:c>
      <x:c r="L532" s="10" t="n">
        <x:v>1</x:v>
      </x:c>
      <x:c r="M532" s="10" t="n">
        <x:v>100</x:v>
      </x:c>
      <x:c r="N532" s="2" t="str">
        <x:v>D03</x:v>
      </x:c>
      <x:c r="O532" s="2" t="str">
        <x:v>condominium</x:v>
      </x:c>
      <x:c r="P532" s="2" t="str">
        <x:v>https://www.propertyguru.com.sg/listing/for-rent-meraprime-500233584</x:v>
      </x:c>
      <x:c r="Q532" s="12" t="str">
        <x:v>All declared hard requirements pass. Reported rent SGD 1450/month; bedrooms 1; area 100.0 sqft; D03; Condominium. The primary district preference is met but the reported area misses 500 sqft, consistent with the original grade-2 preferred-district listings. Whole-unit scope is not established.</x:v>
      </x:c>
      <x:c r="R532" s="13"/>
    </x:row>
    <x:row r="533" ht="48" hidden="0" customHeight="1">
      <x:c r="A533" s="2" t="str">
        <x:v>S08|24863047</x:v>
      </x:c>
      <x:c r="B533" s="2" t="str">
        <x:v>S08</x:v>
      </x:c>
      <x:c r="C533" s="2" t="str">
        <x:v>24863047</x:v>
      </x:c>
      <x:c r="D533" s="2" t="n">
        <x:v>2</x:v>
      </x:c>
      <x:c r="E533" s="9"/>
      <x:c r="F533" s="2" t="n">
        <x:f>IF(E533="",D533,IF(E533="U","U",IF(AND(ISNUMBER(E533),E533&gt;=0,E533&lt;=3,INT(E533)=E533),E533,"Invalid")))</x:f>
        <x:v>2</x:v>
      </x:c>
      <x:c r="G533" s="2" t="n">
        <x:f>IF(ISNUMBER(F533),1,0)</x:f>
        <x:v>1</x:v>
      </x:c>
      <x:c r="H533" s="2" t="n">
        <x:f>IF(ISNUMBER(F533),IF(F533&gt;=2,1,0),0)</x:f>
        <x:v>1</x:v>
      </x:c>
      <x:c r="I533" s="11" t="n">
        <x:f>IF(ISNUMBER(F533),2^F533-1,0)</x:f>
        <x:v>3</x:v>
      </x:c>
      <x:c r="J533" s="2" t="str">
        <x:v>Retained original 577</x:v>
      </x:c>
      <x:c r="K533" s="10" t="n">
        <x:v>3000</x:v>
      </x:c>
      <x:c r="L533" s="10" t="n">
        <x:v>1</x:v>
      </x:c>
      <x:c r="M533" s="10" t="n">
        <x:v>180</x:v>
      </x:c>
      <x:c r="N533" s="2" t="str">
        <x:v>D05</x:v>
      </x:c>
      <x:c r="O533" s="2" t="str">
        <x:v>apartment</x:v>
      </x:c>
      <x:c r="P533" s="2" t="str">
        <x:v>https://www.propertyguru.com.sg/listing/for-rent-coliwoo-pasir-panjang-walking-distance-to-nus-24863047</x:v>
      </x:c>
      <x:c r="Q533" s="12" t="str">
        <x:v>All declared hard requirements pass. Reported rent SGD 3000/month; bedrooms 1; area 180.0 sqft; D05; Apartment. The primary district preference is met but the reported area misses 500 sqft, consistent with the original grade-2 preferred-district listings. Whole-unit scope is not established.</x:v>
      </x:c>
      <x:c r="R533" s="13"/>
    </x:row>
    <x:row r="534" ht="48" hidden="0" customHeight="1">
      <x:c r="A534" s="2" t="str">
        <x:v>S08|500265596</x:v>
      </x:c>
      <x:c r="B534" s="2" t="str">
        <x:v>S08</x:v>
      </x:c>
      <x:c r="C534" s="2" t="str">
        <x:v>500265596</x:v>
      </x:c>
      <x:c r="D534" s="2" t="n">
        <x:v>2</x:v>
      </x:c>
      <x:c r="E534" s="9"/>
      <x:c r="F534" s="2" t="n">
        <x:f>IF(E534="",D534,IF(E534="U","U",IF(AND(ISNUMBER(E534),E534&gt;=0,E534&lt;=3,INT(E534)=E534),E534,"Invalid")))</x:f>
        <x:v>2</x:v>
      </x:c>
      <x:c r="G534" s="2" t="n">
        <x:f>IF(ISNUMBER(F534),1,0)</x:f>
        <x:v>1</x:v>
      </x:c>
      <x:c r="H534" s="2" t="n">
        <x:f>IF(ISNUMBER(F534),IF(F534&gt;=2,1,0),0)</x:f>
        <x:v>1</x:v>
      </x:c>
      <x:c r="I534" s="11" t="n">
        <x:f>IF(ISNUMBER(F534),2^F534-1,0)</x:f>
        <x:v>3</x:v>
      </x:c>
      <x:c r="J534" s="2" t="str">
        <x:v>Retained original 577</x:v>
      </x:c>
      <x:c r="K534" s="10" t="n">
        <x:v>950</x:v>
      </x:c>
      <x:c r="L534" s="10" t="n">
        <x:v>1</x:v>
      </x:c>
      <x:c r="M534" s="10" t="n">
        <x:v>50</x:v>
      </x:c>
      <x:c r="N534" s="2" t="str">
        <x:v>D03</x:v>
      </x:c>
      <x:c r="O534" s="2" t="str">
        <x:v>condominium</x:v>
      </x:c>
      <x:c r="P534" s="2" t="str">
        <x:v>https://www.propertyguru.com.sg/listing/for-rent-emerald-park-500265596</x:v>
      </x:c>
      <x:c r="Q534" s="12" t="str">
        <x:v>All declared hard requirements pass. Reported rent SGD 950/month; bedrooms 1; area 50.0 sqft; D03; Condominium. The primary district preference is met but the reported area misses 500 sqft, consistent with the original grade-2 preferred-district listings. Whole-unit scope is not established.</x:v>
      </x:c>
      <x:c r="R534" s="13"/>
    </x:row>
    <x:row r="535" ht="48" hidden="0" customHeight="1">
      <x:c r="A535" s="2" t="str">
        <x:v>S09|500271006</x:v>
      </x:c>
      <x:c r="B535" s="2" t="str">
        <x:v>S09</x:v>
      </x:c>
      <x:c r="C535" s="2" t="str">
        <x:v>500271006</x:v>
      </x:c>
      <x:c r="D535" s="2" t="n">
        <x:v>3</x:v>
      </x:c>
      <x:c r="E535" s="9"/>
      <x:c r="F535" s="2" t="n">
        <x:f>IF(E535="",D535,IF(E535="U","U",IF(AND(ISNUMBER(E535),E535&gt;=0,E535&lt;=3,INT(E535)=E535),E535,"Invalid")))</x:f>
        <x:v>3</x:v>
      </x:c>
      <x:c r="G535" s="2" t="n">
        <x:f>IF(ISNUMBER(F535),1,0)</x:f>
        <x:v>1</x:v>
      </x:c>
      <x:c r="H535" s="2" t="n">
        <x:f>IF(ISNUMBER(F535),IF(F535&gt;=2,1,0),0)</x:f>
        <x:v>1</x:v>
      </x:c>
      <x:c r="I535" s="11" t="n">
        <x:f>IF(ISNUMBER(F535),2^F535-1,0)</x:f>
        <x:v>7</x:v>
      </x:c>
      <x:c r="J535" s="2" t="str">
        <x:v>Retained original 577</x:v>
      </x:c>
      <x:c r="K535" s="10" t="n">
        <x:v>3500</x:v>
      </x:c>
      <x:c r="L535" s="10" t="n">
        <x:v>3</x:v>
      </x:c>
      <x:c r="M535" s="10" t="n">
        <x:v>1356</x:v>
      </x:c>
      <x:c r="N535" s="2" t="str">
        <x:v>D18</x:v>
      </x:c>
      <x:c r="O535" s="2" t="str">
        <x:v>hdb flat</x:v>
      </x:c>
      <x:c r="P535" s="2" t="str">
        <x:v>https://www.propertyguru.com.sg/listing/hdb-for-rent-189-pasir-ris-street-12-500271006</x:v>
      </x:c>
      <x:c r="Q535" s="12" t="str">
        <x:v>All declared hard requirements pass. Reported rent SGD 3500/month; bedrooms 3; area 1356.0 sqft; D18; HDB Flat. Mandatory area and bedrooms pass, D18 is met, and SGD 3,500 equals the original strong-fit D18 anchor rather than the SGD 3,900-4,300 grade-2 alternatives.</x:v>
      </x:c>
      <x:c r="R535" s="13"/>
    </x:row>
    <x:row r="536" ht="48" hidden="0" customHeight="1">
      <x:c r="A536" s="2" t="str">
        <x:v>S09|19578583</x:v>
      </x:c>
      <x:c r="B536" s="2" t="str">
        <x:v>S09</x:v>
      </x:c>
      <x:c r="C536" s="2" t="str">
        <x:v>19578583</x:v>
      </x:c>
      <x:c r="D536" s="2" t="n">
        <x:v>3</x:v>
      </x:c>
      <x:c r="E536" s="9"/>
      <x:c r="F536" s="2" t="n">
        <x:f>IF(E536="",D536,IF(E536="U","U",IF(AND(ISNUMBER(E536),E536&gt;=0,E536&lt;=3,INT(E536)=E536),E536,"Invalid")))</x:f>
        <x:v>3</x:v>
      </x:c>
      <x:c r="G536" s="2" t="n">
        <x:f>IF(ISNUMBER(F536),1,0)</x:f>
        <x:v>1</x:v>
      </x:c>
      <x:c r="H536" s="2" t="n">
        <x:f>IF(ISNUMBER(F536),IF(F536&gt;=2,1,0),0)</x:f>
        <x:v>1</x:v>
      </x:c>
      <x:c r="I536" s="11" t="n">
        <x:f>IF(ISNUMBER(F536),2^F536-1,0)</x:f>
        <x:v>7</x:v>
      </x:c>
      <x:c r="J536" s="2" t="str">
        <x:v>Retained original 577</x:v>
      </x:c>
      <x:c r="K536" s="10" t="n">
        <x:v>3500</x:v>
      </x:c>
      <x:c r="L536" s="10" t="n">
        <x:v>3</x:v>
      </x:c>
      <x:c r="M536" s="10" t="n">
        <x:v>1119</x:v>
      </x:c>
      <x:c r="N536" s="2" t="str">
        <x:v>D18</x:v>
      </x:c>
      <x:c r="O536" s="2" t="str">
        <x:v>hdb flat</x:v>
      </x:c>
      <x:c r="P536" s="2" t="str">
        <x:v>https://www.propertyguru.com.sg/listing/hdb-for-rent-634-pasir-ris-drive-1-19578583</x:v>
      </x:c>
      <x:c r="Q536" s="12" t="str">
        <x:v>All declared hard requirements pass. Reported rent SGD 3500/month; bedrooms 3; area 1119.0 sqft; D18; HDB Flat. Mandatory area and bedrooms pass, D18 is met, and SGD 3,500 equals the original strong-fit D18 anchor rather than the SGD 3,900-4,300 grade-2 alternatives.</x:v>
      </x:c>
      <x:c r="R536" s="13"/>
    </x:row>
    <x:row r="537" ht="48" hidden="0" customHeight="1">
      <x:c r="A537" s="2" t="str">
        <x:v>S09|500280279</x:v>
      </x:c>
      <x:c r="B537" s="2" t="str">
        <x:v>S09</x:v>
      </x:c>
      <x:c r="C537" s="2" t="str">
        <x:v>500280279</x:v>
      </x:c>
      <x:c r="D537" s="2" t="n">
        <x:v>3</x:v>
      </x:c>
      <x:c r="E537" s="9"/>
      <x:c r="F537" s="2" t="n">
        <x:f>IF(E537="",D537,IF(E537="U","U",IF(AND(ISNUMBER(E537),E537&gt;=0,E537&lt;=3,INT(E537)=E537),E537,"Invalid")))</x:f>
        <x:v>3</x:v>
      </x:c>
      <x:c r="G537" s="2" t="n">
        <x:f>IF(ISNUMBER(F537),1,0)</x:f>
        <x:v>1</x:v>
      </x:c>
      <x:c r="H537" s="2" t="n">
        <x:f>IF(ISNUMBER(F537),IF(F537&gt;=2,1,0),0)</x:f>
        <x:v>1</x:v>
      </x:c>
      <x:c r="I537" s="11" t="n">
        <x:f>IF(ISNUMBER(F537),2^F537-1,0)</x:f>
        <x:v>7</x:v>
      </x:c>
      <x:c r="J537" s="2" t="str">
        <x:v>Retained original 577</x:v>
      </x:c>
      <x:c r="K537" s="10" t="n">
        <x:v>3500</x:v>
      </x:c>
      <x:c r="L537" s="10" t="n">
        <x:v>3</x:v>
      </x:c>
      <x:c r="M537" s="10" t="n">
        <x:v>1087</x:v>
      </x:c>
      <x:c r="N537" s="2" t="str">
        <x:v>D18</x:v>
      </x:c>
      <x:c r="O537" s="2" t="str">
        <x:v>hdb flat</x:v>
      </x:c>
      <x:c r="P537" s="2" t="str">
        <x:v>https://www.propertyguru.com.sg/listing/hdb-for-rent-891-tampines-avenue-8-500280279</x:v>
      </x:c>
      <x:c r="Q537" s="12" t="str">
        <x:v>All declared hard requirements pass. Reported rent SGD 3500/month; bedrooms 3; area 1087.0 sqft; D18; HDB Flat. Mandatory area and bedrooms pass, D18 is met, and SGD 3,500 equals the original strong-fit D18 anchor rather than the SGD 3,900-4,300 grade-2 alternatives.</x:v>
      </x:c>
      <x:c r="R537" s="13"/>
    </x:row>
    <x:row r="538" ht="48" hidden="0" customHeight="1">
      <x:c r="A538" s="2" t="str">
        <x:v>S09|500191517</x:v>
      </x:c>
      <x:c r="B538" s="2" t="str">
        <x:v>S09</x:v>
      </x:c>
      <x:c r="C538" s="2" t="str">
        <x:v>500191517</x:v>
      </x:c>
      <x:c r="D538" s="2" t="n">
        <x:v>3</x:v>
      </x:c>
      <x:c r="E538" s="9"/>
      <x:c r="F538" s="2" t="n">
        <x:f>IF(E538="",D538,IF(E538="U","U",IF(AND(ISNUMBER(E538),E538&gt;=0,E538&lt;=3,INT(E538)=E538),E538,"Invalid")))</x:f>
        <x:v>3</x:v>
      </x:c>
      <x:c r="G538" s="2" t="n">
        <x:f>IF(ISNUMBER(F538),1,0)</x:f>
        <x:v>1</x:v>
      </x:c>
      <x:c r="H538" s="2" t="n">
        <x:f>IF(ISNUMBER(F538),IF(F538&gt;=2,1,0),0)</x:f>
        <x:v>1</x:v>
      </x:c>
      <x:c r="I538" s="11" t="n">
        <x:f>IF(ISNUMBER(F538),2^F538-1,0)</x:f>
        <x:v>7</x:v>
      </x:c>
      <x:c r="J538" s="2" t="str">
        <x:v>Retained original 577</x:v>
      </x:c>
      <x:c r="K538" s="10" t="n">
        <x:v>3500</x:v>
      </x:c>
      <x:c r="L538" s="10" t="n">
        <x:v>3</x:v>
      </x:c>
      <x:c r="M538" s="10" t="n">
        <x:v>1400</x:v>
      </x:c>
      <x:c r="N538" s="2" t="str">
        <x:v>D18</x:v>
      </x:c>
      <x:c r="O538" s="2" t="str">
        <x:v>hdb flat</x:v>
      </x:c>
      <x:c r="P538" s="2" t="str">
        <x:v>https://www.propertyguru.com.sg/listing/hdb-for-rent-256-pasir-ris-street-21-500191517</x:v>
      </x:c>
      <x:c r="Q538" s="12" t="str">
        <x:v>All declared hard requirements pass. Reported rent SGD 3500/month; bedrooms 3; area 1400.0 sqft; D18; HDB Flat. Mandatory area and bedrooms pass, D18 is met, and SGD 3,500 equals the original strong-fit D18 anchor rather than the SGD 3,900-4,300 grade-2 alternatives.</x:v>
      </x:c>
      <x:c r="R538" s="13"/>
    </x:row>
    <x:row r="539" ht="48" hidden="0" customHeight="1">
      <x:c r="A539" s="2" t="str">
        <x:v>S09|500216950</x:v>
      </x:c>
      <x:c r="B539" s="2" t="str">
        <x:v>S09</x:v>
      </x:c>
      <x:c r="C539" s="2" t="str">
        <x:v>500216950</x:v>
      </x:c>
      <x:c r="D539" s="2" t="n">
        <x:v>3</x:v>
      </x:c>
      <x:c r="E539" s="9"/>
      <x:c r="F539" s="2" t="n">
        <x:f>IF(E539="",D539,IF(E539="U","U",IF(AND(ISNUMBER(E539),E539&gt;=0,E539&lt;=3,INT(E539)=E539),E539,"Invalid")))</x:f>
        <x:v>3</x:v>
      </x:c>
      <x:c r="G539" s="2" t="n">
        <x:f>IF(ISNUMBER(F539),1,0)</x:f>
        <x:v>1</x:v>
      </x:c>
      <x:c r="H539" s="2" t="n">
        <x:f>IF(ISNUMBER(F539),IF(F539&gt;=2,1,0),0)</x:f>
        <x:v>1</x:v>
      </x:c>
      <x:c r="I539" s="11" t="n">
        <x:f>IF(ISNUMBER(F539),2^F539-1,0)</x:f>
        <x:v>7</x:v>
      </x:c>
      <x:c r="J539" s="2" t="str">
        <x:v>Retained original 577</x:v>
      </x:c>
      <x:c r="K539" s="10" t="n">
        <x:v>3500</x:v>
      </x:c>
      <x:c r="L539" s="10" t="n">
        <x:v>3</x:v>
      </x:c>
      <x:c r="M539" s="10" t="n">
        <x:v>1119</x:v>
      </x:c>
      <x:c r="N539" s="2" t="str">
        <x:v>D18</x:v>
      </x:c>
      <x:c r="O539" s="2" t="str">
        <x:v>hdb flat</x:v>
      </x:c>
      <x:c r="P539" s="2" t="str">
        <x:v>https://www.propertyguru.com.sg/listing/hdb-for-rent-438-tampines-street-43-500216950</x:v>
      </x:c>
      <x:c r="Q539" s="12" t="str">
        <x:v>All declared hard requirements pass. Reported rent SGD 3500/month; bedrooms 3; area 1119.0 sqft; D18; HDB Flat. Mandatory area and bedrooms pass, D18 is met, and SGD 3,500 equals the original strong-fit D18 anchor rather than the SGD 3,900-4,300 grade-2 alternatives.</x:v>
      </x:c>
      <x:c r="R539" s="13"/>
    </x:row>
    <x:row r="540" ht="48" hidden="0" customHeight="1">
      <x:c r="A540" s="2" t="str">
        <x:v>S09|20506999</x:v>
      </x:c>
      <x:c r="B540" s="2" t="str">
        <x:v>S09</x:v>
      </x:c>
      <x:c r="C540" s="2" t="str">
        <x:v>20506999</x:v>
      </x:c>
      <x:c r="D540" s="2" t="n">
        <x:v>3</x:v>
      </x:c>
      <x:c r="E540" s="9"/>
      <x:c r="F540" s="2" t="n">
        <x:f>IF(E540="",D540,IF(E540="U","U",IF(AND(ISNUMBER(E540),E540&gt;=0,E540&lt;=3,INT(E540)=E540),E540,"Invalid")))</x:f>
        <x:v>3</x:v>
      </x:c>
      <x:c r="G540" s="2" t="n">
        <x:f>IF(ISNUMBER(F540),1,0)</x:f>
        <x:v>1</x:v>
      </x:c>
      <x:c r="H540" s="2" t="n">
        <x:f>IF(ISNUMBER(F540),IF(F540&gt;=2,1,0),0)</x:f>
        <x:v>1</x:v>
      </x:c>
      <x:c r="I540" s="11" t="n">
        <x:f>IF(ISNUMBER(F540),2^F540-1,0)</x:f>
        <x:v>7</x:v>
      </x:c>
      <x:c r="J540" s="2" t="str">
        <x:v>Retained original 577</x:v>
      </x:c>
      <x:c r="K540" s="10" t="n">
        <x:v>3500</x:v>
      </x:c>
      <x:c r="L540" s="10" t="n">
        <x:v>3</x:v>
      </x:c>
      <x:c r="M540" s="10" t="n">
        <x:v>1194</x:v>
      </x:c>
      <x:c r="N540" s="2" t="str">
        <x:v>D18</x:v>
      </x:c>
      <x:c r="O540" s="2" t="str">
        <x:v>hdb flat</x:v>
      </x:c>
      <x:c r="P540" s="2" t="str">
        <x:v>https://www.propertyguru.com.sg/listing/hdb-for-rent-718-pasir-ris-street-72-20506999</x:v>
      </x:c>
      <x:c r="Q540" s="12" t="str">
        <x:v>All declared hard requirements pass. Reported rent SGD 3500/month; bedrooms 3; area 1194.0 sqft; D18; HDB Flat. Mandatory area and bedrooms pass, D18 is met, and SGD 3,500 equals the original strong-fit D18 anchor rather than the SGD 3,900-4,300 grade-2 alternatives.</x:v>
      </x:c>
      <x:c r="R540" s="13"/>
    </x:row>
    <x:row r="541" ht="48" hidden="0" customHeight="1">
      <x:c r="A541" s="2" t="str">
        <x:v>S10|500228638</x:v>
      </x:c>
      <x:c r="B541" s="2" t="str">
        <x:v>S10</x:v>
      </x:c>
      <x:c r="C541" s="2" t="str">
        <x:v>500228638</x:v>
      </x:c>
      <x:c r="D541" s="2" t="n">
        <x:v>3</x:v>
      </x:c>
      <x:c r="E541" s="9"/>
      <x:c r="F541" s="2" t="n">
        <x:f>IF(E541="",D541,IF(E541="U","U",IF(AND(ISNUMBER(E541),E541&gt;=0,E541&lt;=3,INT(E541)=E541),E541,"Invalid")))</x:f>
        <x:v>3</x:v>
      </x:c>
      <x:c r="G541" s="2" t="n">
        <x:f>IF(ISNUMBER(F541),1,0)</x:f>
        <x:v>1</x:v>
      </x:c>
      <x:c r="H541" s="2" t="n">
        <x:f>IF(ISNUMBER(F541),IF(F541&gt;=2,1,0),0)</x:f>
        <x:v>1</x:v>
      </x:c>
      <x:c r="I541" s="11" t="n">
        <x:f>IF(ISNUMBER(F541),2^F541-1,0)</x:f>
        <x:v>7</x:v>
      </x:c>
      <x:c r="J541" s="2" t="str">
        <x:v>Retained original 577</x:v>
      </x:c>
      <x:c r="K541" s="10" t="n">
        <x:v>7000</x:v>
      </x:c>
      <x:c r="L541" s="10" t="n">
        <x:v>5</x:v>
      </x:c>
      <x:c r="M541" s="10" t="n">
        <x:v>4000</x:v>
      </x:c>
      <x:c r="N541" s="2" t="str">
        <x:v>D21</x:v>
      </x:c>
      <x:c r="O541" s="2" t="str">
        <x:v>terraced house</x:v>
      </x:c>
      <x:c r="P541" s="2" t="str">
        <x:v>https://www.propertyguru.com.sg/listing/for-rent-toh-tuck-road-500228638</x:v>
      </x:c>
      <x:c r="Q541" s="12" t="str">
        <x:v>All declared hard requirements pass. Reported rent SGD 7000/month; bedrooms 5; area 4000.0 sqft; D21; Terraced House. Reported area of 4,000 sqft matches the original strong-fit 4,000-sqft anchor. Rent of SGD 6,900-7,000 is the accepted trade-off under the space-first preference.</x:v>
      </x:c>
      <x:c r="R541" s="13"/>
    </x:row>
    <x:row r="542" ht="48" hidden="0" customHeight="1">
      <x:c r="A542" s="2" t="str">
        <x:v>S10|500210327</x:v>
      </x:c>
      <x:c r="B542" s="2" t="str">
        <x:v>S10</x:v>
      </x:c>
      <x:c r="C542" s="2" t="str">
        <x:v>500210327</x:v>
      </x:c>
      <x:c r="D542" s="2" t="n">
        <x:v>3</x:v>
      </x:c>
      <x:c r="E542" s="9"/>
      <x:c r="F542" s="2" t="n">
        <x:f>IF(E542="",D542,IF(E542="U","U",IF(AND(ISNUMBER(E542),E542&gt;=0,E542&lt;=3,INT(E542)=E542),E542,"Invalid")))</x:f>
        <x:v>3</x:v>
      </x:c>
      <x:c r="G542" s="2" t="n">
        <x:f>IF(ISNUMBER(F542),1,0)</x:f>
        <x:v>1</x:v>
      </x:c>
      <x:c r="H542" s="2" t="n">
        <x:f>IF(ISNUMBER(F542),IF(F542&gt;=2,1,0),0)</x:f>
        <x:v>1</x:v>
      </x:c>
      <x:c r="I542" s="11" t="n">
        <x:f>IF(ISNUMBER(F542),2^F542-1,0)</x:f>
        <x:v>7</x:v>
      </x:c>
      <x:c r="J542" s="2" t="str">
        <x:v>Retained original 577</x:v>
      </x:c>
      <x:c r="K542" s="10" t="n">
        <x:v>7000</x:v>
      </x:c>
      <x:c r="L542" s="10" t="n">
        <x:v>5</x:v>
      </x:c>
      <x:c r="M542" s="10" t="n">
        <x:v>4000</x:v>
      </x:c>
      <x:c r="N542" s="2" t="str">
        <x:v>D23</x:v>
      </x:c>
      <x:c r="O542" s="2" t="str">
        <x:v>terraced house</x:v>
      </x:c>
      <x:c r="P542" s="2" t="str">
        <x:v>https://www.propertyguru.com.sg/listing/for-rent-pavilion-park-500210327</x:v>
      </x:c>
      <x:c r="Q542" s="12" t="str">
        <x:v>All declared hard requirements pass. Reported rent SGD 7000/month; bedrooms 5; area 4000.0 sqft; D23; Terraced House. Reported area of 4,000 sqft matches the original strong-fit 4,000-sqft anchor. Rent of SGD 6,900-7,000 is the accepted trade-off under the space-first preference.</x:v>
      </x:c>
      <x:c r="R542" s="13"/>
    </x:row>
    <x:row r="543" ht="48" hidden="0" customHeight="1">
      <x:c r="A543" s="2" t="str">
        <x:v>S10|18758626</x:v>
      </x:c>
      <x:c r="B543" s="2" t="str">
        <x:v>S10</x:v>
      </x:c>
      <x:c r="C543" s="2" t="str">
        <x:v>18758626</x:v>
      </x:c>
      <x:c r="D543" s="2" t="n">
        <x:v>3</x:v>
      </x:c>
      <x:c r="E543" s="9"/>
      <x:c r="F543" s="2" t="n">
        <x:f>IF(E543="",D543,IF(E543="U","U",IF(AND(ISNUMBER(E543),E543&gt;=0,E543&lt;=3,INT(E543)=E543),E543,"Invalid")))</x:f>
        <x:v>3</x:v>
      </x:c>
      <x:c r="G543" s="2" t="n">
        <x:f>IF(ISNUMBER(F543),1,0)</x:f>
        <x:v>1</x:v>
      </x:c>
      <x:c r="H543" s="2" t="n">
        <x:f>IF(ISNUMBER(F543),IF(F543&gt;=2,1,0),0)</x:f>
        <x:v>1</x:v>
      </x:c>
      <x:c r="I543" s="11" t="n">
        <x:f>IF(ISNUMBER(F543),2^F543-1,0)</x:f>
        <x:v>7</x:v>
      </x:c>
      <x:c r="J543" s="2" t="str">
        <x:v>Retained original 577</x:v>
      </x:c>
      <x:c r="K543" s="10" t="n">
        <x:v>7000</x:v>
      </x:c>
      <x:c r="L543" s="10" t="n">
        <x:v>5</x:v>
      </x:c>
      <x:c r="M543" s="10" t="n">
        <x:v>4000</x:v>
      </x:c>
      <x:c r="N543" s="2" t="str">
        <x:v>D28</x:v>
      </x:c>
      <x:c r="O543" s="2" t="str">
        <x:v>semi-detached house</x:v>
      </x:c>
      <x:c r="P543" s="2" t="str">
        <x:v>https://www.propertyguru.com.sg/listing/for-rent-begonia-drive-18758626</x:v>
      </x:c>
      <x:c r="Q543" s="12" t="str">
        <x:v>All declared hard requirements pass. Reported rent SGD 7000/month; bedrooms 5; area 4000.0 sqft; D28; Semi-Detached House. Reported area of 4,000 sqft matches the original strong-fit 4,000-sqft anchor. Rent of SGD 6,900-7,000 is the accepted trade-off under the space-first preference.</x:v>
      </x:c>
      <x:c r="R543" s="13"/>
    </x:row>
    <x:row r="544" ht="48" hidden="0" customHeight="1">
      <x:c r="A544" s="2" t="str">
        <x:v>S10|500267883</x:v>
      </x:c>
      <x:c r="B544" s="2" t="str">
        <x:v>S10</x:v>
      </x:c>
      <x:c r="C544" s="2" t="str">
        <x:v>500267883</x:v>
      </x:c>
      <x:c r="D544" s="2" t="n">
        <x:v>3</x:v>
      </x:c>
      <x:c r="E544" s="9"/>
      <x:c r="F544" s="2" t="n">
        <x:f>IF(E544="",D544,IF(E544="U","U",IF(AND(ISNUMBER(E544),E544&gt;=0,E544&lt;=3,INT(E544)=E544),E544,"Invalid")))</x:f>
        <x:v>3</x:v>
      </x:c>
      <x:c r="G544" s="2" t="n">
        <x:f>IF(ISNUMBER(F544),1,0)</x:f>
        <x:v>1</x:v>
      </x:c>
      <x:c r="H544" s="2" t="n">
        <x:f>IF(ISNUMBER(F544),IF(F544&gt;=2,1,0),0)</x:f>
        <x:v>1</x:v>
      </x:c>
      <x:c r="I544" s="11" t="n">
        <x:f>IF(ISNUMBER(F544),2^F544-1,0)</x:f>
        <x:v>7</x:v>
      </x:c>
      <x:c r="J544" s="2" t="str">
        <x:v>Retained original 577</x:v>
      </x:c>
      <x:c r="K544" s="10" t="n">
        <x:v>6900</x:v>
      </x:c>
      <x:c r="L544" s="10" t="n">
        <x:v>4</x:v>
      </x:c>
      <x:c r="M544" s="10" t="n">
        <x:v>4000</x:v>
      </x:c>
      <x:c r="N544" s="2" t="str">
        <x:v>D17</x:v>
      </x:c>
      <x:c r="O544" s="2" t="str">
        <x:v>semi-detached house</x:v>
      </x:c>
      <x:c r="P544" s="2" t="str">
        <x:v>https://www.propertyguru.com.sg/listing/for-rent-loyang-terrace-500267883</x:v>
      </x:c>
      <x:c r="Q544" s="12" t="str">
        <x:v>All declared hard requirements pass. Reported rent SGD 6900/month; bedrooms 4; area 4000.0 sqft; D17; Semi-Detached House. Reported area of 4,000 sqft matches the original strong-fit 4,000-sqft anchor. Rent of SGD 6,900-7,000 is the accepted trade-off under the space-first preference.</x:v>
      </x:c>
      <x:c r="R544" s="13"/>
    </x:row>
    <x:row r="545" ht="48" hidden="0" customHeight="1">
      <x:c r="A545" s="2" t="str">
        <x:v>S11|25224990</x:v>
      </x:c>
      <x:c r="B545" s="2" t="str">
        <x:v>S11</x:v>
      </x:c>
      <x:c r="C545" s="2" t="str">
        <x:v>25224990</x:v>
      </x:c>
      <x:c r="D545" s="2" t="n">
        <x:v>3</x:v>
      </x:c>
      <x:c r="E545" s="9"/>
      <x:c r="F545" s="2" t="n">
        <x:f>IF(E545="",D545,IF(E545="U","U",IF(AND(ISNUMBER(E545),E545&gt;=0,E545&lt;=3,INT(E545)=E545),E545,"Invalid")))</x:f>
        <x:v>3</x:v>
      </x:c>
      <x:c r="G545" s="2" t="n">
        <x:f>IF(ISNUMBER(F545),1,0)</x:f>
        <x:v>1</x:v>
      </x:c>
      <x:c r="H545" s="2" t="n">
        <x:f>IF(ISNUMBER(F545),IF(F545&gt;=2,1,0),0)</x:f>
        <x:v>1</x:v>
      </x:c>
      <x:c r="I545" s="11" t="n">
        <x:f>IF(ISNUMBER(F545),2^F545-1,0)</x:f>
        <x:v>7</x:v>
      </x:c>
      <x:c r="J545" s="2" t="str">
        <x:v>Retained original 577</x:v>
      </x:c>
      <x:c r="K545" s="10" t="n">
        <x:v>3500</x:v>
      </x:c>
      <x:c r="L545" s="10" t="n">
        <x:v>2</x:v>
      </x:c>
      <x:c r="M545" s="10" t="n">
        <x:v>721</x:v>
      </x:c>
      <x:c r="N545" s="2" t="str">
        <x:v>D05</x:v>
      </x:c>
      <x:c r="O545" s="2" t="str">
        <x:v>hdb flat</x:v>
      </x:c>
      <x:c r="P545" s="2" t="str">
        <x:v>https://www.propertyguru.com.sg/listing/hdb-for-rent-608-clementi-west-street-1-25224990</x:v>
      </x:c>
      <x:c r="Q545" s="12" t="str">
        <x:v>All declared hard requirements pass. Reported rent SGD 3500/month; bedrooms 2; area 721.0 sqft; D05; HDB Flat. NUS straight-line distance 1508.79 m. About 1,509 m from NUS is close to the original 1,386-1,430 m strong-fit anchors. The rent at the cap is the secondary-price trade-off.</x:v>
      </x:c>
      <x:c r="R545" s="13"/>
    </x:row>
    <x:row r="546" ht="60" hidden="0" customHeight="1">
      <x:c r="A546" s="2" t="str">
        <x:v>S11|23839651</x:v>
      </x:c>
      <x:c r="B546" s="2" t="str">
        <x:v>S11</x:v>
      </x:c>
      <x:c r="C546" s="2" t="str">
        <x:v>23839651</x:v>
      </x:c>
      <x:c r="D546" s="2" t="n">
        <x:v>2</x:v>
      </x:c>
      <x:c r="E546" s="9"/>
      <x:c r="F546" s="2" t="n">
        <x:f>IF(E546="",D546,IF(E546="U","U",IF(AND(ISNUMBER(E546),E546&gt;=0,E546&lt;=3,INT(E546)=E546),E546,"Invalid")))</x:f>
        <x:v>2</x:v>
      </x:c>
      <x:c r="G546" s="2" t="n">
        <x:f>IF(ISNUMBER(F546),1,0)</x:f>
        <x:v>1</x:v>
      </x:c>
      <x:c r="H546" s="2" t="n">
        <x:f>IF(ISNUMBER(F546),IF(F546&gt;=2,1,0),0)</x:f>
        <x:v>1</x:v>
      </x:c>
      <x:c r="I546" s="11" t="n">
        <x:f>IF(ISNUMBER(F546),2^F546-1,0)</x:f>
        <x:v>3</x:v>
      </x:c>
      <x:c r="J546" s="2" t="str">
        <x:v>Retained original 577</x:v>
      </x:c>
      <x:c r="K546" s="10" t="n">
        <x:v>1450</x:v>
      </x:c>
      <x:c r="L546" s="10" t="n">
        <x:v>1</x:v>
      </x:c>
      <x:c r="M546" s="10" t="n">
        <x:v>721</x:v>
      </x:c>
      <x:c r="N546" s="2" t="str">
        <x:v>D05</x:v>
      </x:c>
      <x:c r="O546" s="2" t="str">
        <x:v>hdb flat</x:v>
      </x:c>
      <x:c r="P546" s="2" t="str">
        <x:v>https://www.propertyguru.com.sg/listing/hdb-for-rent-701-west-coast-road-23839651</x:v>
      </x:c>
      <x:c r="Q546" s="12" t="str">
        <x:v>All declared hard requirements pass. Reported rent SGD 1450/month; bedrooms 1; area 721.0 sqft; D05; HDB Flat. NUS straight-line distance 2206.21 m. About 2,206-2,212 m is farther than the closest strong-fit options. SGD 1,100-1,450 provides a substantial saving, consistent with the original distance-versus-price grade-2 trade-off.</x:v>
      </x:c>
      <x:c r="R546" s="13"/>
    </x:row>
    <x:row r="547" ht="48" hidden="0" customHeight="1">
      <x:c r="A547" s="2" t="str">
        <x:v>S11|500264398</x:v>
      </x:c>
      <x:c r="B547" s="2" t="str">
        <x:v>S11</x:v>
      </x:c>
      <x:c r="C547" s="2" t="str">
        <x:v>500264398</x:v>
      </x:c>
      <x:c r="D547" s="2" t="n">
        <x:v>2</x:v>
      </x:c>
      <x:c r="E547" s="9"/>
      <x:c r="F547" s="2" t="n">
        <x:f>IF(E547="",D547,IF(E547="U","U",IF(AND(ISNUMBER(E547),E547&gt;=0,E547&lt;=3,INT(E547)=E547),E547,"Invalid")))</x:f>
        <x:v>2</x:v>
      </x:c>
      <x:c r="G547" s="2" t="n">
        <x:f>IF(ISNUMBER(F547),1,0)</x:f>
        <x:v>1</x:v>
      </x:c>
      <x:c r="H547" s="2" t="n">
        <x:f>IF(ISNUMBER(F547),IF(F547&gt;=2,1,0),0)</x:f>
        <x:v>1</x:v>
      </x:c>
      <x:c r="I547" s="11" t="n">
        <x:f>IF(ISNUMBER(F547),2^F547-1,0)</x:f>
        <x:v>3</x:v>
      </x:c>
      <x:c r="J547" s="2" t="str">
        <x:v>Retained original 577</x:v>
      </x:c>
      <x:c r="K547" s="10" t="n">
        <x:v>3280</x:v>
      </x:c>
      <x:c r="L547" s="10" t="n">
        <x:v>1</x:v>
      </x:c>
      <x:c r="M547" s="10" t="n">
        <x:v>721</x:v>
      </x:c>
      <x:c r="N547" s="2" t="str">
        <x:v>D05</x:v>
      </x:c>
      <x:c r="O547" s="2" t="str">
        <x:v>hdb flat</x:v>
      </x:c>
      <x:c r="P547" s="2" t="str">
        <x:v>https://www.propertyguru.com.sg/listing/hdb-for-rent-728-clementi-west-street-2-500264398</x:v>
      </x:c>
      <x:c r="Q547" s="12" t="str">
        <x:v>All declared hard requirements pass. Reported rent SGD 3280/month; bedrooms 1; area 721.0 sqft; D05; HDB Flat. NUS straight-line distance 1832.25 m. About 1,832-1,846 m at SGD 3,280-3,300 is consistent with the original grade-2 1,834-m, SGD 3,300 anchor.</x:v>
      </x:c>
      <x:c r="R547" s="13"/>
    </x:row>
    <x:row r="548" ht="48" hidden="0" customHeight="1">
      <x:c r="A548" s="2" t="str">
        <x:v>S11|500280325</x:v>
      </x:c>
      <x:c r="B548" s="2" t="str">
        <x:v>S11</x:v>
      </x:c>
      <x:c r="C548" s="2" t="str">
        <x:v>500280325</x:v>
      </x:c>
      <x:c r="D548" s="2" t="n">
        <x:v>2</x:v>
      </x:c>
      <x:c r="E548" s="9"/>
      <x:c r="F548" s="2" t="n">
        <x:f>IF(E548="",D548,IF(E548="U","U",IF(AND(ISNUMBER(E548),E548&gt;=0,E548&lt;=3,INT(E548)=E548),E548,"Invalid")))</x:f>
        <x:v>2</x:v>
      </x:c>
      <x:c r="G548" s="2" t="n">
        <x:f>IF(ISNUMBER(F548),1,0)</x:f>
        <x:v>1</x:v>
      </x:c>
      <x:c r="H548" s="2" t="n">
        <x:f>IF(ISNUMBER(F548),IF(F548&gt;=2,1,0),0)</x:f>
        <x:v>1</x:v>
      </x:c>
      <x:c r="I548" s="11" t="n">
        <x:f>IF(ISNUMBER(F548),2^F548-1,0)</x:f>
        <x:v>3</x:v>
      </x:c>
      <x:c r="J548" s="2" t="str">
        <x:v>Retained original 577</x:v>
      </x:c>
      <x:c r="K548" s="10" t="n">
        <x:v>3300</x:v>
      </x:c>
      <x:c r="L548" s="10" t="n">
        <x:v>2</x:v>
      </x:c>
      <x:c r="M548" s="10" t="n">
        <x:v>732</x:v>
      </x:c>
      <x:c r="N548" s="2" t="str">
        <x:v>D05</x:v>
      </x:c>
      <x:c r="O548" s="2" t="str">
        <x:v>hdb flat</x:v>
      </x:c>
      <x:c r="P548" s="2" t="str">
        <x:v>https://www.propertyguru.com.sg/listing/hdb-for-rent-715-clementi-west-street-2-500280325</x:v>
      </x:c>
      <x:c r="Q548" s="12" t="str">
        <x:v>All declared hard requirements pass. Reported rent SGD 3300/month; bedrooms 2; area 732.0 sqft; D05; HDB Flat. NUS straight-line distance 1845.76 m. About 1,832-1,846 m at SGD 3,280-3,300 is consistent with the original grade-2 1,834-m, SGD 3,300 anchor.</x:v>
      </x:c>
      <x:c r="R548" s="13"/>
    </x:row>
    <x:row r="549" ht="60" hidden="0" customHeight="1">
      <x:c r="A549" s="2" t="str">
        <x:v>S11|500226876</x:v>
      </x:c>
      <x:c r="B549" s="2" t="str">
        <x:v>S11</x:v>
      </x:c>
      <x:c r="C549" s="2" t="str">
        <x:v>500226876</x:v>
      </x:c>
      <x:c r="D549" s="2" t="n">
        <x:v>2</x:v>
      </x:c>
      <x:c r="E549" s="9"/>
      <x:c r="F549" s="2" t="n">
        <x:f>IF(E549="",D549,IF(E549="U","U",IF(AND(ISNUMBER(E549),E549&gt;=0,E549&lt;=3,INT(E549)=E549),E549,"Invalid")))</x:f>
        <x:v>2</x:v>
      </x:c>
      <x:c r="G549" s="2" t="n">
        <x:f>IF(ISNUMBER(F549),1,0)</x:f>
        <x:v>1</x:v>
      </x:c>
      <x:c r="H549" s="2" t="n">
        <x:f>IF(ISNUMBER(F549),IF(F549&gt;=2,1,0),0)</x:f>
        <x:v>1</x:v>
      </x:c>
      <x:c r="I549" s="11" t="n">
        <x:f>IF(ISNUMBER(F549),2^F549-1,0)</x:f>
        <x:v>3</x:v>
      </x:c>
      <x:c r="J549" s="2" t="str">
        <x:v>Retained original 577</x:v>
      </x:c>
      <x:c r="K549" s="10" t="n">
        <x:v>1100</x:v>
      </x:c>
      <x:c r="L549" s="10" t="n">
        <x:v>1</x:v>
      </x:c>
      <x:c r="M549" s="10" t="n">
        <x:v>118</x:v>
      </x:c>
      <x:c r="N549" s="2" t="str">
        <x:v>D10</x:v>
      </x:c>
      <x:c r="O549" s="2" t="str">
        <x:v>hdb flat</x:v>
      </x:c>
      <x:c r="P549" s="2" t="str">
        <x:v>https://www.propertyguru.com.sg/listing/hdb-for-rent-8-holland-avenue-500226876</x:v>
      </x:c>
      <x:c r="Q549" s="12" t="str">
        <x:v>All declared hard requirements pass. Reported rent SGD 1100/month; bedrooms 1; area 118.0 sqft; D10; HDB Flat. NUS straight-line distance 2212.17 m. About 2,206-2,212 m is farther than the closest strong-fit options. SGD 1,100-1,450 provides a substantial saving, consistent with the original distance-versus-price grade-2 trade-off.</x:v>
      </x:c>
      <x:c r="R549" s="13"/>
    </x:row>
    <x:row r="550" ht="60" hidden="0" customHeight="1">
      <x:c r="A550" s="2" t="str">
        <x:v>S12|500267822</x:v>
      </x:c>
      <x:c r="B550" s="2" t="str">
        <x:v>S12</x:v>
      </x:c>
      <x:c r="C550" s="2" t="str">
        <x:v>500267822</x:v>
      </x:c>
      <x:c r="D550" s="2" t="n">
        <x:v>3</x:v>
      </x:c>
      <x:c r="E550" s="9"/>
      <x:c r="F550" s="2" t="n">
        <x:f>IF(E550="",D550,IF(E550="U","U",IF(AND(ISNUMBER(E550),E550&gt;=0,E550&lt;=3,INT(E550)=E550),E550,"Invalid")))</x:f>
        <x:v>3</x:v>
      </x:c>
      <x:c r="G550" s="2" t="n">
        <x:f>IF(ISNUMBER(F550),1,0)</x:f>
        <x:v>1</x:v>
      </x:c>
      <x:c r="H550" s="2" t="n">
        <x:f>IF(ISNUMBER(F550),IF(F550&gt;=2,1,0),0)</x:f>
        <x:v>1</x:v>
      </x:c>
      <x:c r="I550" s="11" t="n">
        <x:f>IF(ISNUMBER(F550),2^F550-1,0)</x:f>
        <x:v>7</x:v>
      </x:c>
      <x:c r="J550" s="2" t="str">
        <x:v>Retained original 577</x:v>
      </x:c>
      <x:c r="K550" s="10" t="n">
        <x:v>3880</x:v>
      </x:c>
      <x:c r="L550" s="10" t="n">
        <x:v>3</x:v>
      </x:c>
      <x:c r="M550" s="10" t="n">
        <x:v>980</x:v>
      </x:c>
      <x:c r="N550" s="2" t="str">
        <x:v>D05</x:v>
      </x:c>
      <x:c r="O550" s="2" t="str">
        <x:v>hdb flat</x:v>
      </x:c>
      <x:c r="P550" s="2" t="str">
        <x:v>https://www.propertyguru.com.sg/listing/hdb-for-rent-373-clementi-avenue-4-500267822</x:v>
      </x:c>
      <x:c r="Q550" s="12" t="str">
        <x:v>All declared hard requirements pass. Reported rent SGD 3880/month; bedrooms 3; area 980.0 sqft; D05; HDB Flat. NUS straight-line distance 2815.89 m. The 900-sqft preference and hard NUS radius are met at SGD 3,800-3,980, close to the original strong-fit SGD 3,800 anchors and below the SGD 4,400 grade-2 size-matching option.</x:v>
      </x:c>
      <x:c r="R550" s="13"/>
    </x:row>
    <x:row r="551" ht="60" hidden="0" customHeight="1">
      <x:c r="A551" s="2" t="str">
        <x:v>S12|18885948</x:v>
      </x:c>
      <x:c r="B551" s="2" t="str">
        <x:v>S12</x:v>
      </x:c>
      <x:c r="C551" s="2" t="str">
        <x:v>18885948</x:v>
      </x:c>
      <x:c r="D551" s="2" t="n">
        <x:v>3</x:v>
      </x:c>
      <x:c r="E551" s="9"/>
      <x:c r="F551" s="2" t="n">
        <x:f>IF(E551="",D551,IF(E551="U","U",IF(AND(ISNUMBER(E551),E551&gt;=0,E551&lt;=3,INT(E551)=E551),E551,"Invalid")))</x:f>
        <x:v>3</x:v>
      </x:c>
      <x:c r="G551" s="2" t="n">
        <x:f>IF(ISNUMBER(F551),1,0)</x:f>
        <x:v>1</x:v>
      </x:c>
      <x:c r="H551" s="2" t="n">
        <x:f>IF(ISNUMBER(F551),IF(F551&gt;=2,1,0),0)</x:f>
        <x:v>1</x:v>
      </x:c>
      <x:c r="I551" s="11" t="n">
        <x:f>IF(ISNUMBER(F551),2^F551-1,0)</x:f>
        <x:v>7</x:v>
      </x:c>
      <x:c r="J551" s="2" t="str">
        <x:v>Retained original 577</x:v>
      </x:c>
      <x:c r="K551" s="10" t="n">
        <x:v>3980</x:v>
      </x:c>
      <x:c r="L551" s="10" t="n">
        <x:v>3</x:v>
      </x:c>
      <x:c r="M551" s="10" t="n">
        <x:v>979</x:v>
      </x:c>
      <x:c r="N551" s="2" t="str">
        <x:v>D05</x:v>
      </x:c>
      <x:c r="O551" s="2" t="str">
        <x:v>hdb flat</x:v>
      </x:c>
      <x:c r="P551" s="2" t="str">
        <x:v>https://www.propertyguru.com.sg/listing/hdb-for-rent-511-west-coast-drive-18885948</x:v>
      </x:c>
      <x:c r="Q551" s="12" t="str">
        <x:v>All declared hard requirements pass. Reported rent SGD 3980/month; bedrooms 3; area 979.0 sqft; D05; HDB Flat. NUS straight-line distance 2459.00 m. The 900-sqft preference and hard NUS radius are met at SGD 3,800-3,980, close to the original strong-fit SGD 3,800 anchors and below the SGD 4,400 grade-2 size-matching option.</x:v>
      </x:c>
      <x:c r="R551" s="13"/>
    </x:row>
    <x:row r="552" ht="60" hidden="0" customHeight="1">
      <x:c r="A552" s="2" t="str">
        <x:v>S12|23818798</x:v>
      </x:c>
      <x:c r="B552" s="2" t="str">
        <x:v>S12</x:v>
      </x:c>
      <x:c r="C552" s="2" t="str">
        <x:v>23818798</x:v>
      </x:c>
      <x:c r="D552" s="2" t="n">
        <x:v>3</x:v>
      </x:c>
      <x:c r="E552" s="9"/>
      <x:c r="F552" s="2" t="n">
        <x:f>IF(E552="",D552,IF(E552="U","U",IF(AND(ISNUMBER(E552),E552&gt;=0,E552&lt;=3,INT(E552)=E552),E552,"Invalid")))</x:f>
        <x:v>3</x:v>
      </x:c>
      <x:c r="G552" s="2" t="n">
        <x:f>IF(ISNUMBER(F552),1,0)</x:f>
        <x:v>1</x:v>
      </x:c>
      <x:c r="H552" s="2" t="n">
        <x:f>IF(ISNUMBER(F552),IF(F552&gt;=2,1,0),0)</x:f>
        <x:v>1</x:v>
      </x:c>
      <x:c r="I552" s="11" t="n">
        <x:f>IF(ISNUMBER(F552),2^F552-1,0)</x:f>
        <x:v>7</x:v>
      </x:c>
      <x:c r="J552" s="2" t="str">
        <x:v>Retained original 577</x:v>
      </x:c>
      <x:c r="K552" s="10" t="n">
        <x:v>3900</x:v>
      </x:c>
      <x:c r="L552" s="10" t="n">
        <x:v>3</x:v>
      </x:c>
      <x:c r="M552" s="10" t="n">
        <x:v>968</x:v>
      </x:c>
      <x:c r="N552" s="2" t="str">
        <x:v>D03</x:v>
      </x:c>
      <x:c r="O552" s="2" t="str">
        <x:v>hdb flat</x:v>
      </x:c>
      <x:c r="P552" s="2" t="str">
        <x:v>https://www.propertyguru.com.sg/listing/hdb-for-rent-168a-queensway-23818798</x:v>
      </x:c>
      <x:c r="Q552" s="12" t="str">
        <x:v>All declared hard requirements pass. Reported rent SGD 3900/month; bedrooms 3; area 968.0 sqft; D03; HDB Flat. NUS straight-line distance 3020.60 m. The 900-sqft preference and hard NUS radius are met at SGD 3,800-3,980, close to the original strong-fit SGD 3,800 anchors and below the SGD 4,400 grade-2 size-matching option.</x:v>
      </x:c>
      <x:c r="R552" s="13"/>
    </x:row>
    <x:row r="553" ht="60" hidden="0" customHeight="1">
      <x:c r="A553" s="2" t="str">
        <x:v>S12|500251234</x:v>
      </x:c>
      <x:c r="B553" s="2" t="str">
        <x:v>S12</x:v>
      </x:c>
      <x:c r="C553" s="2" t="str">
        <x:v>500251234</x:v>
      </x:c>
      <x:c r="D553" s="2" t="n">
        <x:v>3</x:v>
      </x:c>
      <x:c r="E553" s="9"/>
      <x:c r="F553" s="2" t="n">
        <x:f>IF(E553="",D553,IF(E553="U","U",IF(AND(ISNUMBER(E553),E553&gt;=0,E553&lt;=3,INT(E553)=E553),E553,"Invalid")))</x:f>
        <x:v>3</x:v>
      </x:c>
      <x:c r="G553" s="2" t="n">
        <x:f>IF(ISNUMBER(F553),1,0)</x:f>
        <x:v>1</x:v>
      </x:c>
      <x:c r="H553" s="2" t="n">
        <x:f>IF(ISNUMBER(F553),IF(F553&gt;=2,1,0),0)</x:f>
        <x:v>1</x:v>
      </x:c>
      <x:c r="I553" s="11" t="n">
        <x:f>IF(ISNUMBER(F553),2^F553-1,0)</x:f>
        <x:v>7</x:v>
      </x:c>
      <x:c r="J553" s="2" t="str">
        <x:v>Retained original 577</x:v>
      </x:c>
      <x:c r="K553" s="10" t="n">
        <x:v>3900</x:v>
      </x:c>
      <x:c r="L553" s="10" t="n">
        <x:v>3</x:v>
      </x:c>
      <x:c r="M553" s="10" t="n">
        <x:v>1000</x:v>
      </x:c>
      <x:c r="N553" s="2" t="str">
        <x:v>D05</x:v>
      </x:c>
      <x:c r="O553" s="2" t="str">
        <x:v>hdb flat</x:v>
      </x:c>
      <x:c r="P553" s="2" t="str">
        <x:v>https://www.propertyguru.com.sg/listing/hdb-for-rent-506-west-coast-drive-500251234</x:v>
      </x:c>
      <x:c r="Q553" s="12" t="str">
        <x:v>All declared hard requirements pass. Reported rent SGD 3900/month; bedrooms 3; area 1000.0 sqft; D05; HDB Flat. NUS straight-line distance 2594.91 m. The 900-sqft preference and hard NUS radius are met at SGD 3,800-3,980, close to the original strong-fit SGD 3,800 anchors and below the SGD 4,400 grade-2 size-matching option.</x:v>
      </x:c>
      <x:c r="R553" s="13"/>
    </x:row>
    <x:row r="554" ht="60" hidden="0" customHeight="1">
      <x:c r="A554" s="2" t="str">
        <x:v>S12|500265860</x:v>
      </x:c>
      <x:c r="B554" s="2" t="str">
        <x:v>S12</x:v>
      </x:c>
      <x:c r="C554" s="2" t="str">
        <x:v>500265860</x:v>
      </x:c>
      <x:c r="D554" s="2" t="n">
        <x:v>3</x:v>
      </x:c>
      <x:c r="E554" s="9"/>
      <x:c r="F554" s="2" t="n">
        <x:f>IF(E554="",D554,IF(E554="U","U",IF(AND(ISNUMBER(E554),E554&gt;=0,E554&lt;=3,INT(E554)=E554),E554,"Invalid")))</x:f>
        <x:v>3</x:v>
      </x:c>
      <x:c r="G554" s="2" t="n">
        <x:f>IF(ISNUMBER(F554),1,0)</x:f>
        <x:v>1</x:v>
      </x:c>
      <x:c r="H554" s="2" t="n">
        <x:f>IF(ISNUMBER(F554),IF(F554&gt;=2,1,0),0)</x:f>
        <x:v>1</x:v>
      </x:c>
      <x:c r="I554" s="11" t="n">
        <x:f>IF(ISNUMBER(F554),2^F554-1,0)</x:f>
        <x:v>7</x:v>
      </x:c>
      <x:c r="J554" s="2" t="str">
        <x:v>Retained original 577</x:v>
      </x:c>
      <x:c r="K554" s="10" t="n">
        <x:v>3800</x:v>
      </x:c>
      <x:c r="L554" s="10" t="n">
        <x:v>3</x:v>
      </x:c>
      <x:c r="M554" s="10" t="n">
        <x:v>1313</x:v>
      </x:c>
      <x:c r="N554" s="2" t="str">
        <x:v>D21</x:v>
      </x:c>
      <x:c r="O554" s="2" t="str">
        <x:v>hdb flat</x:v>
      </x:c>
      <x:c r="P554" s="2" t="str">
        <x:v>https://www.propertyguru.com.sg/listing/hdb-for-rent-5-toh-yi-drive-500265860</x:v>
      </x:c>
      <x:c r="Q554" s="12" t="str">
        <x:v>All declared hard requirements pass. Reported rent SGD 3800/month; bedrooms 3; area 1313.0 sqft; D21; HDB Flat. NUS straight-line distance 4671.19 m. The 900-sqft preference and hard NUS radius are met at SGD 3,800-3,980, close to the original strong-fit SGD 3,800 anchors and below the SGD 4,400 grade-2 size-matching option.</x:v>
      </x:c>
      <x:c r="R554" s="13"/>
    </x:row>
    <x:row r="555" ht="48" hidden="0" customHeight="1">
      <x:c r="A555" s="2" t="str">
        <x:v>S13|500240708</x:v>
      </x:c>
      <x:c r="B555" s="2" t="str">
        <x:v>S13</x:v>
      </x:c>
      <x:c r="C555" s="2" t="str">
        <x:v>500240708</x:v>
      </x:c>
      <x:c r="D555" s="2" t="n">
        <x:v>2</x:v>
      </x:c>
      <x:c r="E555" s="9"/>
      <x:c r="F555" s="2" t="n">
        <x:f>IF(E555="",D555,IF(E555="U","U",IF(AND(ISNUMBER(E555),E555&gt;=0,E555&lt;=3,INT(E555)=E555),E555,"Invalid")))</x:f>
        <x:v>2</x:v>
      </x:c>
      <x:c r="G555" s="2" t="n">
        <x:f>IF(ISNUMBER(F555),1,0)</x:f>
        <x:v>1</x:v>
      </x:c>
      <x:c r="H555" s="2" t="n">
        <x:f>IF(ISNUMBER(F555),IF(F555&gt;=2,1,0),0)</x:f>
        <x:v>1</x:v>
      </x:c>
      <x:c r="I555" s="11" t="n">
        <x:f>IF(ISNUMBER(F555),2^F555-1,0)</x:f>
        <x:v>3</x:v>
      </x:c>
      <x:c r="J555" s="2" t="str">
        <x:v>Retained original 577</x:v>
      </x:c>
      <x:c r="K555" s="10" t="n">
        <x:v>700</x:v>
      </x:c>
      <x:c r="L555" s="10" t="n">
        <x:v>1</x:v>
      </x:c>
      <x:c r="M555" s="10" t="n">
        <x:v>150</x:v>
      </x:c>
      <x:c r="N555" s="2" t="str">
        <x:v>D22</x:v>
      </x:c>
      <x:c r="O555" s="2" t="str">
        <x:v>hdb flat</x:v>
      </x:c>
      <x:c r="P555" s="2" t="str">
        <x:v>https://www.propertyguru.com.sg/listing/hdb-for-rent-412-pandan-gardens-500240708</x:v>
      </x:c>
      <x:c r="Q555" s="12" t="str">
        <x:v>All declared hard requirements pass. Reported rent SGD 700/month; bedrooms 1; area 150.0 sqft; D22; HDB Flat. NUS straight-line distance 4210.40 m. About 3.8-4.3 km is a meaningful proximity shortfall against the approximately 1-2.5 km strong-fit anchors. Rent of SGD 700-1,300 offers a useful compensating saving.</x:v>
      </x:c>
      <x:c r="R555" s="13"/>
    </x:row>
    <x:row r="556" ht="48" hidden="0" customHeight="1">
      <x:c r="A556" s="2" t="str">
        <x:v>S13|500285985</x:v>
      </x:c>
      <x:c r="B556" s="2" t="str">
        <x:v>S13</x:v>
      </x:c>
      <x:c r="C556" s="2" t="str">
        <x:v>500285985</x:v>
      </x:c>
      <x:c r="D556" s="2" t="n">
        <x:v>3</x:v>
      </x:c>
      <x:c r="E556" s="9"/>
      <x:c r="F556" s="2" t="n">
        <x:f>IF(E556="",D556,IF(E556="U","U",IF(AND(ISNUMBER(E556),E556&gt;=0,E556&lt;=3,INT(E556)=E556),E556,"Invalid")))</x:f>
        <x:v>3</x:v>
      </x:c>
      <x:c r="G556" s="2" t="n">
        <x:f>IF(ISNUMBER(F556),1,0)</x:f>
        <x:v>1</x:v>
      </x:c>
      <x:c r="H556" s="2" t="n">
        <x:f>IF(ISNUMBER(F556),IF(F556&gt;=2,1,0),0)</x:f>
        <x:v>1</x:v>
      </x:c>
      <x:c r="I556" s="11" t="n">
        <x:f>IF(ISNUMBER(F556),2^F556-1,0)</x:f>
        <x:v>7</x:v>
      </x:c>
      <x:c r="J556" s="2" t="str">
        <x:v>Retained original 577</x:v>
      </x:c>
      <x:c r="K556" s="10" t="n">
        <x:v>1400</x:v>
      </x:c>
      <x:c r="L556" s="10" t="n">
        <x:v>1</x:v>
      </x:c>
      <x:c r="M556" s="10" t="n">
        <x:v>1001</x:v>
      </x:c>
      <x:c r="N556" s="2" t="str">
        <x:v>D05</x:v>
      </x:c>
      <x:c r="O556" s="2" t="str">
        <x:v>hdb flat</x:v>
      </x:c>
      <x:c r="P556" s="2" t="str">
        <x:v>https://www.propertyguru.com.sg/listing/hdb-for-rent-441b-clementi-avenue-3-500285985</x:v>
      </x:c>
      <x:c r="Q556" s="12" t="str">
        <x:v>All declared hard requirements pass. Reported rent SGD 1400/month; bedrooms 1; area 1001.0 sqft; D05; HDB Flat. NUS straight-line distance 2517.25 m. About 2,517 m with SGD 1,400 rent remains a relatively close, affordable choice compared with the original approximately 2,200-m strong-fit anchors.</x:v>
      </x:c>
      <x:c r="R556" s="13"/>
    </x:row>
    <x:row r="557" ht="48" hidden="0" customHeight="1">
      <x:c r="A557" s="2" t="str">
        <x:v>S13|500266147</x:v>
      </x:c>
      <x:c r="B557" s="2" t="str">
        <x:v>S13</x:v>
      </x:c>
      <x:c r="C557" s="2" t="str">
        <x:v>500266147</x:v>
      </x:c>
      <x:c r="D557" s="2" t="n">
        <x:v>2</x:v>
      </x:c>
      <x:c r="E557" s="9"/>
      <x:c r="F557" s="2" t="n">
        <x:f>IF(E557="",D557,IF(E557="U","U",IF(AND(ISNUMBER(E557),E557&gt;=0,E557&lt;=3,INT(E557)=E557),E557,"Invalid")))</x:f>
        <x:v>2</x:v>
      </x:c>
      <x:c r="G557" s="2" t="n">
        <x:f>IF(ISNUMBER(F557),1,0)</x:f>
        <x:v>1</x:v>
      </x:c>
      <x:c r="H557" s="2" t="n">
        <x:f>IF(ISNUMBER(F557),IF(F557&gt;=2,1,0),0)</x:f>
        <x:v>1</x:v>
      </x:c>
      <x:c r="I557" s="11" t="n">
        <x:f>IF(ISNUMBER(F557),2^F557-1,0)</x:f>
        <x:v>3</x:v>
      </x:c>
      <x:c r="J557" s="2" t="str">
        <x:v>Retained original 577</x:v>
      </x:c>
      <x:c r="K557" s="10" t="n">
        <x:v>2998</x:v>
      </x:c>
      <x:c r="L557" s="10" t="n">
        <x:v>1</x:v>
      </x:c>
      <x:c r="M557" s="10" t="n">
        <x:v>495</x:v>
      </x:c>
      <x:c r="N557" s="2" t="str">
        <x:v>D03</x:v>
      </x:c>
      <x:c r="O557" s="2" t="str">
        <x:v>hdb flat</x:v>
      </x:c>
      <x:c r="P557" s="2" t="str">
        <x:v>https://www.propertyguru.com.sg/listing/hdb-for-rent-81-commonwealth-close-500266147</x:v>
      </x:c>
      <x:c r="Q557" s="12" t="str">
        <x:v>All declared hard requirements pass. Reported rent SGD 2998/month; bedrooms 1; area 495.0 sqft; D03; HDB Flat. NUS straight-line distance 2702.75 m. About 2,703 m at almost the SGD 3,000 cap is comparable with the original grade-2 2,659-m, SGD 3,000 anchor.</x:v>
      </x:c>
      <x:c r="R557" s="13"/>
    </x:row>
    <x:row r="558" ht="48" hidden="0" customHeight="1">
      <x:c r="A558" s="2" t="str">
        <x:v>S13|500283878</x:v>
      </x:c>
      <x:c r="B558" s="2" t="str">
        <x:v>S13</x:v>
      </x:c>
      <x:c r="C558" s="2" t="str">
        <x:v>500283878</x:v>
      </x:c>
      <x:c r="D558" s="2" t="n">
        <x:v>2</x:v>
      </x:c>
      <x:c r="E558" s="9"/>
      <x:c r="F558" s="2" t="n">
        <x:f>IF(E558="",D558,IF(E558="U","U",IF(AND(ISNUMBER(E558),E558&gt;=0,E558&lt;=3,INT(E558)=E558),E558,"Invalid")))</x:f>
        <x:v>2</x:v>
      </x:c>
      <x:c r="G558" s="2" t="n">
        <x:f>IF(ISNUMBER(F558),1,0)</x:f>
        <x:v>1</x:v>
      </x:c>
      <x:c r="H558" s="2" t="n">
        <x:f>IF(ISNUMBER(F558),IF(F558&gt;=2,1,0),0)</x:f>
        <x:v>1</x:v>
      </x:c>
      <x:c r="I558" s="11" t="n">
        <x:f>IF(ISNUMBER(F558),2^F558-1,0)</x:f>
        <x:v>3</x:v>
      </x:c>
      <x:c r="J558" s="2" t="str">
        <x:v>Retained original 577</x:v>
      </x:c>
      <x:c r="K558" s="10" t="n">
        <x:v>1000</x:v>
      </x:c>
      <x:c r="L558" s="10" t="n">
        <x:v>1</x:v>
      </x:c>
      <x:c r="M558" s="10" t="n">
        <x:v>861</x:v>
      </x:c>
      <x:c r="N558" s="2" t="str">
        <x:v>D03</x:v>
      </x:c>
      <x:c r="O558" s="2" t="str">
        <x:v>hdb flat</x:v>
      </x:c>
      <x:c r="P558" s="2" t="str">
        <x:v>https://www.propertyguru.com.sg/listing/hdb-for-rent-63a-lengkok-bahru-500283878</x:v>
      </x:c>
      <x:c r="Q558" s="12" t="str">
        <x:v>All declared hard requirements pass. Reported rent SGD 1000/month; bedrooms 1; area 861.0 sqft; D03; HDB Flat. NUS straight-line distance 4328.13 m. About 3.8-4.3 km is a meaningful proximity shortfall against the approximately 1-2.5 km strong-fit anchors. Rent of SGD 700-1,300 offers a useful compensating saving.</x:v>
      </x:c>
      <x:c r="R558" s="13"/>
    </x:row>
    <x:row r="559" ht="48" hidden="0" customHeight="1">
      <x:c r="A559" s="2" t="str">
        <x:v>S13|24636744</x:v>
      </x:c>
      <x:c r="B559" s="2" t="str">
        <x:v>S13</x:v>
      </x:c>
      <x:c r="C559" s="2" t="str">
        <x:v>24636744</x:v>
      </x:c>
      <x:c r="D559" s="2" t="n">
        <x:v>2</x:v>
      </x:c>
      <x:c r="E559" s="9"/>
      <x:c r="F559" s="2" t="n">
        <x:f>IF(E559="",D559,IF(E559="U","U",IF(AND(ISNUMBER(E559),E559&gt;=0,E559&lt;=3,INT(E559)=E559),E559,"Invalid")))</x:f>
        <x:v>2</x:v>
      </x:c>
      <x:c r="G559" s="2" t="n">
        <x:f>IF(ISNUMBER(F559),1,0)</x:f>
        <x:v>1</x:v>
      </x:c>
      <x:c r="H559" s="2" t="n">
        <x:f>IF(ISNUMBER(F559),IF(F559&gt;=2,1,0),0)</x:f>
        <x:v>1</x:v>
      </x:c>
      <x:c r="I559" s="11" t="n">
        <x:f>IF(ISNUMBER(F559),2^F559-1,0)</x:f>
        <x:v>3</x:v>
      </x:c>
      <x:c r="J559" s="2" t="str">
        <x:v>Retained original 577</x:v>
      </x:c>
      <x:c r="K559" s="10" t="n">
        <x:v>1300</x:v>
      </x:c>
      <x:c r="L559" s="10" t="n">
        <x:v>1</x:v>
      </x:c>
      <x:c r="M559" s="10" t="n">
        <x:v>100</x:v>
      </x:c>
      <x:c r="N559" s="2" t="str">
        <x:v>D03</x:v>
      </x:c>
      <x:c r="O559" s="2" t="str">
        <x:v>hdb flat</x:v>
      </x:c>
      <x:c r="P559" s="2" t="str">
        <x:v>https://www.propertyguru.com.sg/listing/hdb-for-rent-93-dawson-road-24636744</x:v>
      </x:c>
      <x:c r="Q559" s="12" t="str">
        <x:v>All declared hard requirements pass. Reported rent SGD 1300/month; bedrooms 1; area 100.0 sqft; D03; HDB Flat. NUS straight-line distance 3811.15 m. About 3.8-4.3 km is a meaningful proximity shortfall against the approximately 1-2.5 km strong-fit anchors. Rent of SGD 700-1,300 offers a useful compensating saving.</x:v>
      </x:c>
      <x:c r="R559" s="13"/>
    </x:row>
    <x:row r="560" ht="48" hidden="0" customHeight="1">
      <x:c r="A560" s="2" t="str">
        <x:v>S13|12620560</x:v>
      </x:c>
      <x:c r="B560" s="2" t="str">
        <x:v>S13</x:v>
      </x:c>
      <x:c r="C560" s="2" t="str">
        <x:v>12620560</x:v>
      </x:c>
      <x:c r="D560" s="2" t="n">
        <x:v>2</x:v>
      </x:c>
      <x:c r="E560" s="9"/>
      <x:c r="F560" s="2" t="n">
        <x:f>IF(E560="",D560,IF(E560="U","U",IF(AND(ISNUMBER(E560),E560&gt;=0,E560&lt;=3,INT(E560)=E560),E560,"Invalid")))</x:f>
        <x:v>2</x:v>
      </x:c>
      <x:c r="G560" s="2" t="n">
        <x:f>IF(ISNUMBER(F560),1,0)</x:f>
        <x:v>1</x:v>
      </x:c>
      <x:c r="H560" s="2" t="n">
        <x:f>IF(ISNUMBER(F560),IF(F560&gt;=2,1,0),0)</x:f>
        <x:v>1</x:v>
      </x:c>
      <x:c r="I560" s="11" t="n">
        <x:f>IF(ISNUMBER(F560),2^F560-1,0)</x:f>
        <x:v>3</x:v>
      </x:c>
      <x:c r="J560" s="2" t="str">
        <x:v>Retained original 577</x:v>
      </x:c>
      <x:c r="K560" s="10" t="n">
        <x:v>850</x:v>
      </x:c>
      <x:c r="L560" s="10" t="n">
        <x:v>1</x:v>
      </x:c>
      <x:c r="M560" s="10" t="n">
        <x:v>1291</x:v>
      </x:c>
      <x:c r="N560" s="2" t="str">
        <x:v>D10</x:v>
      </x:c>
      <x:c r="O560" s="2" t="str">
        <x:v>hdb flat</x:v>
      </x:c>
      <x:c r="P560" s="2" t="str">
        <x:v>https://www.propertyguru.com.sg/listing/hdb-for-rent-1-queen-s-road-12620560</x:v>
      </x:c>
      <x:c r="Q560" s="12" t="str">
        <x:v>All declared hard requirements pass. Reported rent SGD 850/month; bedrooms 1; area 1291.0 sqft; D10; HDB Flat. NUS straight-line distance 4025.37 m. About 3.8-4.3 km is a meaningful proximity shortfall against the approximately 1-2.5 km strong-fit anchors. Rent of SGD 700-1,300 offers a useful compensating saving.</x:v>
      </x:c>
      <x:c r="R560" s="13"/>
    </x:row>
    <x:row r="561" ht="60" hidden="0" customHeight="1">
      <x:c r="A561" s="2" t="str">
        <x:v>S14|500285985</x:v>
      </x:c>
      <x:c r="B561" s="2" t="str">
        <x:v>S14</x:v>
      </x:c>
      <x:c r="C561" s="2" t="str">
        <x:v>500285985</x:v>
      </x:c>
      <x:c r="D561" s="2" t="n">
        <x:v>3</x:v>
      </x:c>
      <x:c r="E561" s="9"/>
      <x:c r="F561" s="2" t="n">
        <x:f>IF(E561="",D561,IF(E561="U","U",IF(AND(ISNUMBER(E561),E561&gt;=0,E561&lt;=3,INT(E561)=E561),E561,"Invalid")))</x:f>
        <x:v>3</x:v>
      </x:c>
      <x:c r="G561" s="2" t="n">
        <x:f>IF(ISNUMBER(F561),1,0)</x:f>
        <x:v>1</x:v>
      </x:c>
      <x:c r="H561" s="2" t="n">
        <x:f>IF(ISNUMBER(F561),IF(F561&gt;=2,1,0),0)</x:f>
        <x:v>1</x:v>
      </x:c>
      <x:c r="I561" s="11" t="n">
        <x:f>IF(ISNUMBER(F561),2^F561-1,0)</x:f>
        <x:v>7</x:v>
      </x:c>
      <x:c r="J561" s="2" t="str">
        <x:v>Retained original 577</x:v>
      </x:c>
      <x:c r="K561" s="10" t="n">
        <x:v>1400</x:v>
      </x:c>
      <x:c r="L561" s="10" t="n">
        <x:v>1</x:v>
      </x:c>
      <x:c r="M561" s="10" t="n">
        <x:v>1001</x:v>
      </x:c>
      <x:c r="N561" s="2" t="str">
        <x:v>D05</x:v>
      </x:c>
      <x:c r="O561" s="2" t="str">
        <x:v>hdb flat</x:v>
      </x:c>
      <x:c r="P561" s="2" t="str">
        <x:v>https://www.propertyguru.com.sg/listing/hdb-for-rent-441b-clementi-avenue-3-500285985</x:v>
      </x:c>
      <x:c r="Q561" s="12" t="str">
        <x:v>All declared hard requirements pass. Reported rent SGD 1400/month; bedrooms 1; area 1001.0 sqft; D05; HDB Flat. NUS straight-line distance 2517.25 m. Rent of SGD 700-1,400 strongly supports the primary price preference, with a verified NUS distance of about 2.5-4.3 km. This is a stronger combined fit than the original cheap but approximately 9-17 km grade-2 options.</x:v>
      </x:c>
      <x:c r="R561" s="13"/>
    </x:row>
    <x:row r="562" ht="60" hidden="0" customHeight="1">
      <x:c r="A562" s="2" t="str">
        <x:v>S14|500240708</x:v>
      </x:c>
      <x:c r="B562" s="2" t="str">
        <x:v>S14</x:v>
      </x:c>
      <x:c r="C562" s="2" t="str">
        <x:v>500240708</x:v>
      </x:c>
      <x:c r="D562" s="2" t="n">
        <x:v>3</x:v>
      </x:c>
      <x:c r="E562" s="9"/>
      <x:c r="F562" s="2" t="n">
        <x:f>IF(E562="",D562,IF(E562="U","U",IF(AND(ISNUMBER(E562),E562&gt;=0,E562&lt;=3,INT(E562)=E562),E562,"Invalid")))</x:f>
        <x:v>3</x:v>
      </x:c>
      <x:c r="G562" s="2" t="n">
        <x:f>IF(ISNUMBER(F562),1,0)</x:f>
        <x:v>1</x:v>
      </x:c>
      <x:c r="H562" s="2" t="n">
        <x:f>IF(ISNUMBER(F562),IF(F562&gt;=2,1,0),0)</x:f>
        <x:v>1</x:v>
      </x:c>
      <x:c r="I562" s="11" t="n">
        <x:f>IF(ISNUMBER(F562),2^F562-1,0)</x:f>
        <x:v>7</x:v>
      </x:c>
      <x:c r="J562" s="2" t="str">
        <x:v>Retained original 577</x:v>
      </x:c>
      <x:c r="K562" s="10" t="n">
        <x:v>700</x:v>
      </x:c>
      <x:c r="L562" s="10" t="n">
        <x:v>1</x:v>
      </x:c>
      <x:c r="M562" s="10" t="n">
        <x:v>150</x:v>
      </x:c>
      <x:c r="N562" s="2" t="str">
        <x:v>D22</x:v>
      </x:c>
      <x:c r="O562" s="2" t="str">
        <x:v>hdb flat</x:v>
      </x:c>
      <x:c r="P562" s="2" t="str">
        <x:v>https://www.propertyguru.com.sg/listing/hdb-for-rent-412-pandan-gardens-500240708</x:v>
      </x:c>
      <x:c r="Q562" s="12" t="str">
        <x:v>All declared hard requirements pass. Reported rent SGD 700/month; bedrooms 1; area 150.0 sqft; D22; HDB Flat. NUS straight-line distance 4210.40 m. Rent of SGD 700-1,400 strongly supports the primary price preference, with a verified NUS distance of about 2.5-4.3 km. This is a stronger combined fit than the original cheap but approximately 9-17 km grade-2 options.</x:v>
      </x:c>
      <x:c r="R562" s="13"/>
    </x:row>
    <x:row r="563" ht="60" hidden="0" customHeight="1">
      <x:c r="A563" s="2" t="str">
        <x:v>S14|500283878</x:v>
      </x:c>
      <x:c r="B563" s="2" t="str">
        <x:v>S14</x:v>
      </x:c>
      <x:c r="C563" s="2" t="str">
        <x:v>500283878</x:v>
      </x:c>
      <x:c r="D563" s="2" t="n">
        <x:v>3</x:v>
      </x:c>
      <x:c r="E563" s="9"/>
      <x:c r="F563" s="2" t="n">
        <x:f>IF(E563="",D563,IF(E563="U","U",IF(AND(ISNUMBER(E563),E563&gt;=0,E563&lt;=3,INT(E563)=E563),E563,"Invalid")))</x:f>
        <x:v>3</x:v>
      </x:c>
      <x:c r="G563" s="2" t="n">
        <x:f>IF(ISNUMBER(F563),1,0)</x:f>
        <x:v>1</x:v>
      </x:c>
      <x:c r="H563" s="2" t="n">
        <x:f>IF(ISNUMBER(F563),IF(F563&gt;=2,1,0),0)</x:f>
        <x:v>1</x:v>
      </x:c>
      <x:c r="I563" s="11" t="n">
        <x:f>IF(ISNUMBER(F563),2^F563-1,0)</x:f>
        <x:v>7</x:v>
      </x:c>
      <x:c r="J563" s="2" t="str">
        <x:v>Retained original 577</x:v>
      </x:c>
      <x:c r="K563" s="10" t="n">
        <x:v>1000</x:v>
      </x:c>
      <x:c r="L563" s="10" t="n">
        <x:v>1</x:v>
      </x:c>
      <x:c r="M563" s="10" t="n">
        <x:v>861</x:v>
      </x:c>
      <x:c r="N563" s="2" t="str">
        <x:v>D03</x:v>
      </x:c>
      <x:c r="O563" s="2" t="str">
        <x:v>hdb flat</x:v>
      </x:c>
      <x:c r="P563" s="2" t="str">
        <x:v>https://www.propertyguru.com.sg/listing/hdb-for-rent-63a-lengkok-bahru-500283878</x:v>
      </x:c>
      <x:c r="Q563" s="12" t="str">
        <x:v>All declared hard requirements pass. Reported rent SGD 1000/month; bedrooms 1; area 861.0 sqft; D03; HDB Flat. NUS straight-line distance 4328.13 m. Rent of SGD 700-1,400 strongly supports the primary price preference, with a verified NUS distance of about 2.5-4.3 km. This is a stronger combined fit than the original cheap but approximately 9-17 km grade-2 options.</x:v>
      </x:c>
      <x:c r="R563" s="13"/>
    </x:row>
    <x:row r="564" ht="60" hidden="0" customHeight="1">
      <x:c r="A564" s="2" t="str">
        <x:v>S14|12620560</x:v>
      </x:c>
      <x:c r="B564" s="2" t="str">
        <x:v>S14</x:v>
      </x:c>
      <x:c r="C564" s="2" t="str">
        <x:v>12620560</x:v>
      </x:c>
      <x:c r="D564" s="2" t="n">
        <x:v>3</x:v>
      </x:c>
      <x:c r="E564" s="9"/>
      <x:c r="F564" s="2" t="n">
        <x:f>IF(E564="",D564,IF(E564="U","U",IF(AND(ISNUMBER(E564),E564&gt;=0,E564&lt;=3,INT(E564)=E564),E564,"Invalid")))</x:f>
        <x:v>3</x:v>
      </x:c>
      <x:c r="G564" s="2" t="n">
        <x:f>IF(ISNUMBER(F564),1,0)</x:f>
        <x:v>1</x:v>
      </x:c>
      <x:c r="H564" s="2" t="n">
        <x:f>IF(ISNUMBER(F564),IF(F564&gt;=2,1,0),0)</x:f>
        <x:v>1</x:v>
      </x:c>
      <x:c r="I564" s="11" t="n">
        <x:f>IF(ISNUMBER(F564),2^F564-1,0)</x:f>
        <x:v>7</x:v>
      </x:c>
      <x:c r="J564" s="2" t="str">
        <x:v>Retained original 577</x:v>
      </x:c>
      <x:c r="K564" s="10" t="n">
        <x:v>850</x:v>
      </x:c>
      <x:c r="L564" s="10" t="n">
        <x:v>1</x:v>
      </x:c>
      <x:c r="M564" s="10" t="n">
        <x:v>1291</x:v>
      </x:c>
      <x:c r="N564" s="2" t="str">
        <x:v>D10</x:v>
      </x:c>
      <x:c r="O564" s="2" t="str">
        <x:v>hdb flat</x:v>
      </x:c>
      <x:c r="P564" s="2" t="str">
        <x:v>https://www.propertyguru.com.sg/listing/hdb-for-rent-1-queen-s-road-12620560</x:v>
      </x:c>
      <x:c r="Q564" s="12" t="str">
        <x:v>All declared hard requirements pass. Reported rent SGD 850/month; bedrooms 1; area 1291.0 sqft; D10; HDB Flat. NUS straight-line distance 4025.37 m. Rent of SGD 700-1,400 strongly supports the primary price preference, with a verified NUS distance of about 2.5-4.3 km. This is a stronger combined fit than the original cheap but approximately 9-17 km grade-2 options.</x:v>
      </x:c>
      <x:c r="R564" s="13"/>
    </x:row>
    <x:row r="565" ht="60" hidden="0" customHeight="1">
      <x:c r="A565" s="2" t="str">
        <x:v>S14|500266147</x:v>
      </x:c>
      <x:c r="B565" s="2" t="str">
        <x:v>S14</x:v>
      </x:c>
      <x:c r="C565" s="2" t="str">
        <x:v>500266147</x:v>
      </x:c>
      <x:c r="D565" s="2" t="n">
        <x:v>1</x:v>
      </x:c>
      <x:c r="E565" s="9"/>
      <x:c r="F565" s="2" t="n">
        <x:f>IF(E565="",D565,IF(E565="U","U",IF(AND(ISNUMBER(E565),E565&gt;=0,E565&lt;=3,INT(E565)=E565),E565,"Invalid")))</x:f>
        <x:v>1</x:v>
      </x:c>
      <x:c r="G565" s="2" t="n">
        <x:f>IF(ISNUMBER(F565),1,0)</x:f>
        <x:v>1</x:v>
      </x:c>
      <x:c r="H565" s="2" t="n">
        <x:f>IF(ISNUMBER(F565),IF(F565&gt;=2,1,0),0)</x:f>
        <x:v>0</x:v>
      </x:c>
      <x:c r="I565" s="11" t="n">
        <x:f>IF(ISNUMBER(F565),2^F565-1,0)</x:f>
        <x:v>1</x:v>
      </x:c>
      <x:c r="J565" s="2" t="str">
        <x:v>Retained original 577</x:v>
      </x:c>
      <x:c r="K565" s="10" t="n">
        <x:v>2998</x:v>
      </x:c>
      <x:c r="L565" s="10" t="n">
        <x:v>1</x:v>
      </x:c>
      <x:c r="M565" s="10" t="n">
        <x:v>495</x:v>
      </x:c>
      <x:c r="N565" s="2" t="str">
        <x:v>D03</x:v>
      </x:c>
      <x:c r="O565" s="2" t="str">
        <x:v>hdb flat</x:v>
      </x:c>
      <x:c r="P565" s="2" t="str">
        <x:v>https://www.propertyguru.com.sg/listing/hdb-for-rent-81-commonwealth-close-500266147</x:v>
      </x:c>
      <x:c r="Q565" s="12" t="str">
        <x:v>All declared hard requirements pass. Reported rent SGD 2998/month; bedrooms 1; area 495.0 sqft; D03; HDB Flat. NUS straight-line distance 2702.75 m. Rent of SGD 2,998 is near the cap. Proximity of about 2,703 m does not replace the primary saving preference, consistent with the original expensive near-campus grade-1 anchors.</x:v>
      </x:c>
      <x:c r="R565" s="13"/>
    </x:row>
    <x:row r="566" ht="60" hidden="0" customHeight="1">
      <x:c r="A566" s="2" t="str">
        <x:v>S14|24636744</x:v>
      </x:c>
      <x:c r="B566" s="2" t="str">
        <x:v>S14</x:v>
      </x:c>
      <x:c r="C566" s="2" t="str">
        <x:v>24636744</x:v>
      </x:c>
      <x:c r="D566" s="2" t="n">
        <x:v>3</x:v>
      </x:c>
      <x:c r="E566" s="9"/>
      <x:c r="F566" s="2" t="n">
        <x:f>IF(E566="",D566,IF(E566="U","U",IF(AND(ISNUMBER(E566),E566&gt;=0,E566&lt;=3,INT(E566)=E566),E566,"Invalid")))</x:f>
        <x:v>3</x:v>
      </x:c>
      <x:c r="G566" s="2" t="n">
        <x:f>IF(ISNUMBER(F566),1,0)</x:f>
        <x:v>1</x:v>
      </x:c>
      <x:c r="H566" s="2" t="n">
        <x:f>IF(ISNUMBER(F566),IF(F566&gt;=2,1,0),0)</x:f>
        <x:v>1</x:v>
      </x:c>
      <x:c r="I566" s="11" t="n">
        <x:f>IF(ISNUMBER(F566),2^F566-1,0)</x:f>
        <x:v>7</x:v>
      </x:c>
      <x:c r="J566" s="2" t="str">
        <x:v>Retained original 577</x:v>
      </x:c>
      <x:c r="K566" s="10" t="n">
        <x:v>1300</x:v>
      </x:c>
      <x:c r="L566" s="10" t="n">
        <x:v>1</x:v>
      </x:c>
      <x:c r="M566" s="10" t="n">
        <x:v>100</x:v>
      </x:c>
      <x:c r="N566" s="2" t="str">
        <x:v>D03</x:v>
      </x:c>
      <x:c r="O566" s="2" t="str">
        <x:v>hdb flat</x:v>
      </x:c>
      <x:c r="P566" s="2" t="str">
        <x:v>https://www.propertyguru.com.sg/listing/hdb-for-rent-93-dawson-road-24636744</x:v>
      </x:c>
      <x:c r="Q566" s="12" t="str">
        <x:v>All declared hard requirements pass. Reported rent SGD 1300/month; bedrooms 1; area 100.0 sqft; D03; HDB Flat. NUS straight-line distance 3811.15 m. Rent of SGD 700-1,400 strongly supports the primary price preference, with a verified NUS distance of about 2.5-4.3 km. This is a stronger combined fit than the original cheap but approximately 9-17 km grade-2 options.</x:v>
      </x:c>
      <x:c r="R566" s="13"/>
    </x:row>
    <x:row r="567" ht="48" hidden="0" customHeight="1">
      <x:c r="A567" s="2" t="str">
        <x:v>S15|23500375</x:v>
      </x:c>
      <x:c r="B567" s="2" t="str">
        <x:v>S15</x:v>
      </x:c>
      <x:c r="C567" s="2" t="str">
        <x:v>23500375</x:v>
      </x:c>
      <x:c r="D567" s="2" t="n">
        <x:v>3</x:v>
      </x:c>
      <x:c r="E567" s="9"/>
      <x:c r="F567" s="2" t="n">
        <x:f>IF(E567="",D567,IF(E567="U","U",IF(AND(ISNUMBER(E567),E567&gt;=0,E567&lt;=3,INT(E567)=E567),E567,"Invalid")))</x:f>
        <x:v>3</x:v>
      </x:c>
      <x:c r="G567" s="2" t="n">
        <x:f>IF(ISNUMBER(F567),1,0)</x:f>
        <x:v>1</x:v>
      </x:c>
      <x:c r="H567" s="2" t="n">
        <x:f>IF(ISNUMBER(F567),IF(F567&gt;=2,1,0),0)</x:f>
        <x:v>1</x:v>
      </x:c>
      <x:c r="I567" s="11" t="n">
        <x:f>IF(ISNUMBER(F567),2^F567-1,0)</x:f>
        <x:v>7</x:v>
      </x:c>
      <x:c r="J567" s="2" t="str">
        <x:v>Retained original 577</x:v>
      </x:c>
      <x:c r="K567" s="10" t="n">
        <x:v>4600</x:v>
      </x:c>
      <x:c r="L567" s="10" t="n">
        <x:v>2</x:v>
      </x:c>
      <x:c r="M567" s="10" t="n">
        <x:v>1098</x:v>
      </x:c>
      <x:c r="N567" s="2" t="str">
        <x:v>D05</x:v>
      </x:c>
      <x:c r="O567" s="2" t="str">
        <x:v>condominium</x:v>
      </x:c>
      <x:c r="P567" s="2" t="str">
        <x:v>https://www.propertyguru.com.sg/listing/for-rent-westcove-condo-23500375</x:v>
      </x:c>
      <x:c r="Q567" s="12" t="str">
        <x:v>All declared hard requirements pass. Reported rent SGD 4600/month; bedrooms 2; area 1098.0 sqft; D05; Condominium. Both D05 and at least 1,000 sqft are met. Rent and bedrooms pass their mandatory limits; no additional price preference was stated.</x:v>
      </x:c>
      <x:c r="R567" s="13"/>
    </x:row>
    <x:row r="568" ht="48" hidden="0" customHeight="1">
      <x:c r="A568" s="2" t="str">
        <x:v>S15|20599188</x:v>
      </x:c>
      <x:c r="B568" s="2" t="str">
        <x:v>S15</x:v>
      </x:c>
      <x:c r="C568" s="2" t="str">
        <x:v>20599188</x:v>
      </x:c>
      <x:c r="D568" s="2" t="n">
        <x:v>3</x:v>
      </x:c>
      <x:c r="E568" s="9"/>
      <x:c r="F568" s="2" t="n">
        <x:f>IF(E568="",D568,IF(E568="U","U",IF(AND(ISNUMBER(E568),E568&gt;=0,E568&lt;=3,INT(E568)=E568),E568,"Invalid")))</x:f>
        <x:v>3</x:v>
      </x:c>
      <x:c r="G568" s="2" t="n">
        <x:f>IF(ISNUMBER(F568),1,0)</x:f>
        <x:v>1</x:v>
      </x:c>
      <x:c r="H568" s="2" t="n">
        <x:f>IF(ISNUMBER(F568),IF(F568&gt;=2,1,0),0)</x:f>
        <x:v>1</x:v>
      </x:c>
      <x:c r="I568" s="11" t="n">
        <x:f>IF(ISNUMBER(F568),2^F568-1,0)</x:f>
        <x:v>7</x:v>
      </x:c>
      <x:c r="J568" s="2" t="str">
        <x:v>Retained original 577</x:v>
      </x:c>
      <x:c r="K568" s="10" t="n">
        <x:v>4500</x:v>
      </x:c>
      <x:c r="L568" s="10" t="n">
        <x:v>3</x:v>
      </x:c>
      <x:c r="M568" s="10" t="n">
        <x:v>1335</x:v>
      </x:c>
      <x:c r="N568" s="2" t="str">
        <x:v>D05</x:v>
      </x:c>
      <x:c r="O568" s="2" t="str">
        <x:v>hdb flat</x:v>
      </x:c>
      <x:c r="P568" s="2" t="str">
        <x:v>https://www.propertyguru.com.sg/listing/hdb-for-rent-28d-dover-crescent-20599188</x:v>
      </x:c>
      <x:c r="Q568" s="12" t="str">
        <x:v>All declared hard requirements pass. Reported rent SGD 4500/month; bedrooms 3; area 1335.0 sqft; D05; HDB Flat. Both D05 and at least 1,000 sqft are met. Rent and bedrooms pass their mandatory limits; no additional price preference was stated.</x:v>
      </x:c>
      <x:c r="R568" s="13"/>
    </x:row>
    <x:row r="569" ht="48" hidden="0" customHeight="1">
      <x:c r="A569" s="2" t="str">
        <x:v>S15|24178763</x:v>
      </x:c>
      <x:c r="B569" s="2" t="str">
        <x:v>S15</x:v>
      </x:c>
      <x:c r="C569" s="2" t="str">
        <x:v>24178763</x:v>
      </x:c>
      <x:c r="D569" s="2" t="n">
        <x:v>3</x:v>
      </x:c>
      <x:c r="E569" s="9"/>
      <x:c r="F569" s="2" t="n">
        <x:f>IF(E569="",D569,IF(E569="U","U",IF(AND(ISNUMBER(E569),E569&gt;=0,E569&lt;=3,INT(E569)=E569),E569,"Invalid")))</x:f>
        <x:v>3</x:v>
      </x:c>
      <x:c r="G569" s="2" t="n">
        <x:f>IF(ISNUMBER(F569),1,0)</x:f>
        <x:v>1</x:v>
      </x:c>
      <x:c r="H569" s="2" t="n">
        <x:f>IF(ISNUMBER(F569),IF(F569&gt;=2,1,0),0)</x:f>
        <x:v>1</x:v>
      </x:c>
      <x:c r="I569" s="11" t="n">
        <x:f>IF(ISNUMBER(F569),2^F569-1,0)</x:f>
        <x:v>7</x:v>
      </x:c>
      <x:c r="J569" s="2" t="str">
        <x:v>Retained original 577</x:v>
      </x:c>
      <x:c r="K569" s="10" t="n">
        <x:v>4500</x:v>
      </x:c>
      <x:c r="L569" s="10" t="n">
        <x:v>3</x:v>
      </x:c>
      <x:c r="M569" s="10" t="n">
        <x:v>1184</x:v>
      </x:c>
      <x:c r="N569" s="2" t="str">
        <x:v>D05</x:v>
      </x:c>
      <x:c r="O569" s="2" t="str">
        <x:v>hdb flat</x:v>
      </x:c>
      <x:c r="P569" s="2" t="str">
        <x:v>https://www.propertyguru.com.sg/listing/hdb-for-rent-459-clementi-avenue-3-24178763</x:v>
      </x:c>
      <x:c r="Q569" s="12" t="str">
        <x:v>All declared hard requirements pass. Reported rent SGD 4500/month; bedrooms 3; area 1184.0 sqft; D05; HDB Flat. Both D05 and at least 1,000 sqft are met. Rent and bedrooms pass their mandatory limits; no additional price preference was stated.</x:v>
      </x:c>
      <x:c r="R569" s="13"/>
    </x:row>
    <x:row r="570" ht="48" hidden="0" customHeight="1">
      <x:c r="A570" s="2" t="str">
        <x:v>S15|23509141</x:v>
      </x:c>
      <x:c r="B570" s="2" t="str">
        <x:v>S15</x:v>
      </x:c>
      <x:c r="C570" s="2" t="str">
        <x:v>23509141</x:v>
      </x:c>
      <x:c r="D570" s="2" t="n">
        <x:v>3</x:v>
      </x:c>
      <x:c r="E570" s="9"/>
      <x:c r="F570" s="2" t="n">
        <x:f>IF(E570="",D570,IF(E570="U","U",IF(AND(ISNUMBER(E570),E570&gt;=0,E570&lt;=3,INT(E570)=E570),E570,"Invalid")))</x:f>
        <x:v>3</x:v>
      </x:c>
      <x:c r="G570" s="2" t="n">
        <x:f>IF(ISNUMBER(F570),1,0)</x:f>
        <x:v>1</x:v>
      </x:c>
      <x:c r="H570" s="2" t="n">
        <x:f>IF(ISNUMBER(F570),IF(F570&gt;=2,1,0),0)</x:f>
        <x:v>1</x:v>
      </x:c>
      <x:c r="I570" s="11" t="n">
        <x:f>IF(ISNUMBER(F570),2^F570-1,0)</x:f>
        <x:v>7</x:v>
      </x:c>
      <x:c r="J570" s="2" t="str">
        <x:v>Retained original 577</x:v>
      </x:c>
      <x:c r="K570" s="10" t="n">
        <x:v>3988</x:v>
      </x:c>
      <x:c r="L570" s="10" t="n">
        <x:v>3</x:v>
      </x:c>
      <x:c r="M570" s="10" t="n">
        <x:v>1270</x:v>
      </x:c>
      <x:c r="N570" s="2" t="str">
        <x:v>D05</x:v>
      </x:c>
      <x:c r="O570" s="2" t="str">
        <x:v>hdb flat</x:v>
      </x:c>
      <x:c r="P570" s="2" t="str">
        <x:v>https://www.propertyguru.com.sg/listing/hdb-for-rent-717-clementi-west-street-2-23509141</x:v>
      </x:c>
      <x:c r="Q570" s="12" t="str">
        <x:v>All declared hard requirements pass. Reported rent SGD 3988/month; bedrooms 3; area 1270.0 sqft; D05; HDB Flat. Both D05 and at least 1,000 sqft are met. Rent and bedrooms pass their mandatory limits; no additional price preference was stated.</x:v>
      </x:c>
      <x:c r="R570" s="13"/>
    </x:row>
    <x:row r="571" ht="48" hidden="0" customHeight="1">
      <x:c r="A571" s="2" t="str">
        <x:v>S15|24981163</x:v>
      </x:c>
      <x:c r="B571" s="2" t="str">
        <x:v>S15</x:v>
      </x:c>
      <x:c r="C571" s="2" t="str">
        <x:v>24981163</x:v>
      </x:c>
      <x:c r="D571" s="2" t="n">
        <x:v>3</x:v>
      </x:c>
      <x:c r="E571" s="9"/>
      <x:c r="F571" s="2" t="n">
        <x:f>IF(E571="",D571,IF(E571="U","U",IF(AND(ISNUMBER(E571),E571&gt;=0,E571&lt;=3,INT(E571)=E571),E571,"Invalid")))</x:f>
        <x:v>3</x:v>
      </x:c>
      <x:c r="G571" s="2" t="n">
        <x:f>IF(ISNUMBER(F571),1,0)</x:f>
        <x:v>1</x:v>
      </x:c>
      <x:c r="H571" s="2" t="n">
        <x:f>IF(ISNUMBER(F571),IF(F571&gt;=2,1,0),0)</x:f>
        <x:v>1</x:v>
      </x:c>
      <x:c r="I571" s="11" t="n">
        <x:f>IF(ISNUMBER(F571),2^F571-1,0)</x:f>
        <x:v>7</x:v>
      </x:c>
      <x:c r="J571" s="2" t="str">
        <x:v>Retained original 577</x:v>
      </x:c>
      <x:c r="K571" s="10" t="n">
        <x:v>3800</x:v>
      </x:c>
      <x:c r="L571" s="10" t="n">
        <x:v>3</x:v>
      </x:c>
      <x:c r="M571" s="10" t="n">
        <x:v>1012</x:v>
      </x:c>
      <x:c r="N571" s="2" t="str">
        <x:v>D05</x:v>
      </x:c>
      <x:c r="O571" s="2" t="str">
        <x:v>hdb flat</x:v>
      </x:c>
      <x:c r="P571" s="2" t="str">
        <x:v>https://www.propertyguru.com.sg/listing/hdb-for-rent-381-clementi-avenue-5-24981163</x:v>
      </x:c>
      <x:c r="Q571" s="12" t="str">
        <x:v>All declared hard requirements pass. Reported rent SGD 3800/month; bedrooms 3; area 1012.0 sqft; D05; HDB Flat. Both D05 and at least 1,000 sqft are met. Rent and bedrooms pass their mandatory limits; no additional price preference was stated.</x:v>
      </x:c>
      <x:c r="R571" s="13"/>
    </x:row>
    <x:row r="572" ht="48" hidden="0" customHeight="1">
      <x:c r="A572" s="2" t="str">
        <x:v>S16|23500375</x:v>
      </x:c>
      <x:c r="B572" s="2" t="str">
        <x:v>S16</x:v>
      </x:c>
      <x:c r="C572" s="2" t="str">
        <x:v>23500375</x:v>
      </x:c>
      <x:c r="D572" s="2" t="n">
        <x:v>3</x:v>
      </x:c>
      <x:c r="E572" s="9"/>
      <x:c r="F572" s="2" t="n">
        <x:f>IF(E572="",D572,IF(E572="U","U",IF(AND(ISNUMBER(E572),E572&gt;=0,E572&lt;=3,INT(E572)=E572),E572,"Invalid")))</x:f>
        <x:v>3</x:v>
      </x:c>
      <x:c r="G572" s="2" t="n">
        <x:f>IF(ISNUMBER(F572),1,0)</x:f>
        <x:v>1</x:v>
      </x:c>
      <x:c r="H572" s="2" t="n">
        <x:f>IF(ISNUMBER(F572),IF(F572&gt;=2,1,0),0)</x:f>
        <x:v>1</x:v>
      </x:c>
      <x:c r="I572" s="11" t="n">
        <x:f>IF(ISNUMBER(F572),2^F572-1,0)</x:f>
        <x:v>7</x:v>
      </x:c>
      <x:c r="J572" s="2" t="str">
        <x:v>Retained original 577</x:v>
      </x:c>
      <x:c r="K572" s="10" t="n">
        <x:v>4600</x:v>
      </x:c>
      <x:c r="L572" s="10" t="n">
        <x:v>2</x:v>
      </x:c>
      <x:c r="M572" s="10" t="n">
        <x:v>1098</x:v>
      </x:c>
      <x:c r="N572" s="2" t="str">
        <x:v>D05</x:v>
      </x:c>
      <x:c r="O572" s="2" t="str">
        <x:v>condominium</x:v>
      </x:c>
      <x:c r="P572" s="2" t="str">
        <x:v>https://www.propertyguru.com.sg/listing/for-rent-westcove-condo-23500375</x:v>
      </x:c>
      <x:c r="Q572" s="12" t="str">
        <x:v>All declared hard requirements pass. Reported rent SGD 4600/month; bedrooms 2; area 1098.0 sqft; D05; Condominium. Both the primary 1,000-sqft preference and secondary D05 preference are met. Rent and bedrooms pass their mandatory limits.</x:v>
      </x:c>
      <x:c r="R572" s="13"/>
    </x:row>
    <x:row r="573" ht="48" hidden="0" customHeight="1">
      <x:c r="A573" s="2" t="str">
        <x:v>S16|24981163</x:v>
      </x:c>
      <x:c r="B573" s="2" t="str">
        <x:v>S16</x:v>
      </x:c>
      <x:c r="C573" s="2" t="str">
        <x:v>24981163</x:v>
      </x:c>
      <x:c r="D573" s="2" t="n">
        <x:v>3</x:v>
      </x:c>
      <x:c r="E573" s="9"/>
      <x:c r="F573" s="2" t="n">
        <x:f>IF(E573="",D573,IF(E573="U","U",IF(AND(ISNUMBER(E573),E573&gt;=0,E573&lt;=3,INT(E573)=E573),E573,"Invalid")))</x:f>
        <x:v>3</x:v>
      </x:c>
      <x:c r="G573" s="2" t="n">
        <x:f>IF(ISNUMBER(F573),1,0)</x:f>
        <x:v>1</x:v>
      </x:c>
      <x:c r="H573" s="2" t="n">
        <x:f>IF(ISNUMBER(F573),IF(F573&gt;=2,1,0),0)</x:f>
        <x:v>1</x:v>
      </x:c>
      <x:c r="I573" s="11" t="n">
        <x:f>IF(ISNUMBER(F573),2^F573-1,0)</x:f>
        <x:v>7</x:v>
      </x:c>
      <x:c r="J573" s="2" t="str">
        <x:v>Retained original 577</x:v>
      </x:c>
      <x:c r="K573" s="10" t="n">
        <x:v>3800</x:v>
      </x:c>
      <x:c r="L573" s="10" t="n">
        <x:v>3</x:v>
      </x:c>
      <x:c r="M573" s="10" t="n">
        <x:v>1012</x:v>
      </x:c>
      <x:c r="N573" s="2" t="str">
        <x:v>D05</x:v>
      </x:c>
      <x:c r="O573" s="2" t="str">
        <x:v>hdb flat</x:v>
      </x:c>
      <x:c r="P573" s="2" t="str">
        <x:v>https://www.propertyguru.com.sg/listing/hdb-for-rent-381-clementi-avenue-5-24981163</x:v>
      </x:c>
      <x:c r="Q573" s="12" t="str">
        <x:v>All declared hard requirements pass. Reported rent SGD 3800/month; bedrooms 3; area 1012.0 sqft; D05; HDB Flat. Both the primary 1,000-sqft preference and secondary D05 preference are met. Rent and bedrooms pass their mandatory limits.</x:v>
      </x:c>
      <x:c r="R573" s="13"/>
    </x:row>
    <x:row r="574" ht="48" hidden="0" customHeight="1">
      <x:c r="A574" s="2" t="str">
        <x:v>S16|20599188</x:v>
      </x:c>
      <x:c r="B574" s="2" t="str">
        <x:v>S16</x:v>
      </x:c>
      <x:c r="C574" s="2" t="str">
        <x:v>20599188</x:v>
      </x:c>
      <x:c r="D574" s="2" t="n">
        <x:v>3</x:v>
      </x:c>
      <x:c r="E574" s="9"/>
      <x:c r="F574" s="2" t="n">
        <x:f>IF(E574="",D574,IF(E574="U","U",IF(AND(ISNUMBER(E574),E574&gt;=0,E574&lt;=3,INT(E574)=E574),E574,"Invalid")))</x:f>
        <x:v>3</x:v>
      </x:c>
      <x:c r="G574" s="2" t="n">
        <x:f>IF(ISNUMBER(F574),1,0)</x:f>
        <x:v>1</x:v>
      </x:c>
      <x:c r="H574" s="2" t="n">
        <x:f>IF(ISNUMBER(F574),IF(F574&gt;=2,1,0),0)</x:f>
        <x:v>1</x:v>
      </x:c>
      <x:c r="I574" s="11" t="n">
        <x:f>IF(ISNUMBER(F574),2^F574-1,0)</x:f>
        <x:v>7</x:v>
      </x:c>
      <x:c r="J574" s="2" t="str">
        <x:v>Retained original 577</x:v>
      </x:c>
      <x:c r="K574" s="10" t="n">
        <x:v>4500</x:v>
      </x:c>
      <x:c r="L574" s="10" t="n">
        <x:v>3</x:v>
      </x:c>
      <x:c r="M574" s="10" t="n">
        <x:v>1335</x:v>
      </x:c>
      <x:c r="N574" s="2" t="str">
        <x:v>D05</x:v>
      </x:c>
      <x:c r="O574" s="2" t="str">
        <x:v>hdb flat</x:v>
      </x:c>
      <x:c r="P574" s="2" t="str">
        <x:v>https://www.propertyguru.com.sg/listing/hdb-for-rent-28d-dover-crescent-20599188</x:v>
      </x:c>
      <x:c r="Q574" s="12" t="str">
        <x:v>All declared hard requirements pass. Reported rent SGD 4500/month; bedrooms 3; area 1335.0 sqft; D05; HDB Flat. Both the primary 1,000-sqft preference and secondary D05 preference are met. Rent and bedrooms pass their mandatory limits.</x:v>
      </x:c>
      <x:c r="R574" s="13"/>
    </x:row>
    <x:row r="575" ht="48" hidden="0" customHeight="1">
      <x:c r="A575" s="2" t="str">
        <x:v>S16|23509141</x:v>
      </x:c>
      <x:c r="B575" s="2" t="str">
        <x:v>S16</x:v>
      </x:c>
      <x:c r="C575" s="2" t="str">
        <x:v>23509141</x:v>
      </x:c>
      <x:c r="D575" s="2" t="n">
        <x:v>3</x:v>
      </x:c>
      <x:c r="E575" s="9"/>
      <x:c r="F575" s="2" t="n">
        <x:f>IF(E575="",D575,IF(E575="U","U",IF(AND(ISNUMBER(E575),E575&gt;=0,E575&lt;=3,INT(E575)=E575),E575,"Invalid")))</x:f>
        <x:v>3</x:v>
      </x:c>
      <x:c r="G575" s="2" t="n">
        <x:f>IF(ISNUMBER(F575),1,0)</x:f>
        <x:v>1</x:v>
      </x:c>
      <x:c r="H575" s="2" t="n">
        <x:f>IF(ISNUMBER(F575),IF(F575&gt;=2,1,0),0)</x:f>
        <x:v>1</x:v>
      </x:c>
      <x:c r="I575" s="11" t="n">
        <x:f>IF(ISNUMBER(F575),2^F575-1,0)</x:f>
        <x:v>7</x:v>
      </x:c>
      <x:c r="J575" s="2" t="str">
        <x:v>Retained original 577</x:v>
      </x:c>
      <x:c r="K575" s="10" t="n">
        <x:v>3988</x:v>
      </x:c>
      <x:c r="L575" s="10" t="n">
        <x:v>3</x:v>
      </x:c>
      <x:c r="M575" s="10" t="n">
        <x:v>1270</x:v>
      </x:c>
      <x:c r="N575" s="2" t="str">
        <x:v>D05</x:v>
      </x:c>
      <x:c r="O575" s="2" t="str">
        <x:v>hdb flat</x:v>
      </x:c>
      <x:c r="P575" s="2" t="str">
        <x:v>https://www.propertyguru.com.sg/listing/hdb-for-rent-717-clementi-west-street-2-23509141</x:v>
      </x:c>
      <x:c r="Q575" s="12" t="str">
        <x:v>All declared hard requirements pass. Reported rent SGD 3988/month; bedrooms 3; area 1270.0 sqft; D05; HDB Flat. Both the primary 1,000-sqft preference and secondary D05 preference are met. Rent and bedrooms pass their mandatory limits.</x:v>
      </x:c>
      <x:c r="R575" s="13"/>
    </x:row>
    <x:row r="576" ht="48" hidden="0" customHeight="1">
      <x:c r="A576" s="2" t="str">
        <x:v>S16|24178763</x:v>
      </x:c>
      <x:c r="B576" s="2" t="str">
        <x:v>S16</x:v>
      </x:c>
      <x:c r="C576" s="2" t="str">
        <x:v>24178763</x:v>
      </x:c>
      <x:c r="D576" s="2" t="n">
        <x:v>3</x:v>
      </x:c>
      <x:c r="E576" s="9"/>
      <x:c r="F576" s="2" t="n">
        <x:f>IF(E576="",D576,IF(E576="U","U",IF(AND(ISNUMBER(E576),E576&gt;=0,E576&lt;=3,INT(E576)=E576),E576,"Invalid")))</x:f>
        <x:v>3</x:v>
      </x:c>
      <x:c r="G576" s="2" t="n">
        <x:f>IF(ISNUMBER(F576),1,0)</x:f>
        <x:v>1</x:v>
      </x:c>
      <x:c r="H576" s="2" t="n">
        <x:f>IF(ISNUMBER(F576),IF(F576&gt;=2,1,0),0)</x:f>
        <x:v>1</x:v>
      </x:c>
      <x:c r="I576" s="11" t="n">
        <x:f>IF(ISNUMBER(F576),2^F576-1,0)</x:f>
        <x:v>7</x:v>
      </x:c>
      <x:c r="J576" s="2" t="str">
        <x:v>Retained original 577</x:v>
      </x:c>
      <x:c r="K576" s="10" t="n">
        <x:v>4500</x:v>
      </x:c>
      <x:c r="L576" s="10" t="n">
        <x:v>3</x:v>
      </x:c>
      <x:c r="M576" s="10" t="n">
        <x:v>1184</x:v>
      </x:c>
      <x:c r="N576" s="2" t="str">
        <x:v>D05</x:v>
      </x:c>
      <x:c r="O576" s="2" t="str">
        <x:v>hdb flat</x:v>
      </x:c>
      <x:c r="P576" s="2" t="str">
        <x:v>https://www.propertyguru.com.sg/listing/hdb-for-rent-459-clementi-avenue-3-24178763</x:v>
      </x:c>
      <x:c r="Q576" s="12" t="str">
        <x:v>All declared hard requirements pass. Reported rent SGD 4500/month; bedrooms 3; area 1184.0 sqft; D05; HDB Flat. Both the primary 1,000-sqft preference and secondary D05 preference are met. Rent and bedrooms pass their mandatory limits.</x:v>
      </x:c>
      <x:c r="R576" s="13"/>
    </x:row>
    <x:row r="577" ht="48" hidden="0" customHeight="1">
      <x:c r="A577" s="2" t="str">
        <x:v>S18|500259048</x:v>
      </x:c>
      <x:c r="B577" s="2" t="str">
        <x:v>S18</x:v>
      </x:c>
      <x:c r="C577" s="2" t="str">
        <x:v>500259048</x:v>
      </x:c>
      <x:c r="D577" s="2" t="n">
        <x:v>2</x:v>
      </x:c>
      <x:c r="E577" s="9"/>
      <x:c r="F577" s="2" t="n">
        <x:f>IF(E577="",D577,IF(E577="U","U",IF(AND(ISNUMBER(E577),E577&gt;=0,E577&lt;=3,INT(E577)=E577),E577,"Invalid")))</x:f>
        <x:v>2</x:v>
      </x:c>
      <x:c r="G577" s="2" t="n">
        <x:f>IF(ISNUMBER(F577),1,0)</x:f>
        <x:v>1</x:v>
      </x:c>
      <x:c r="H577" s="2" t="n">
        <x:f>IF(ISNUMBER(F577),IF(F577&gt;=2,1,0),0)</x:f>
        <x:v>1</x:v>
      </x:c>
      <x:c r="I577" s="11" t="n">
        <x:f>IF(ISNUMBER(F577),2^F577-1,0)</x:f>
        <x:v>3</x:v>
      </x:c>
      <x:c r="J577" s="2" t="str">
        <x:v>Retained original 577</x:v>
      </x:c>
      <x:c r="K577" s="10" t="n">
        <x:v>1300</x:v>
      </x:c>
      <x:c r="L577" s="10" t="n">
        <x:v>3</x:v>
      </x:c>
      <x:c r="M577" s="10" t="n">
        <x:v>732</x:v>
      </x:c>
      <x:c r="N577" s="2" t="str">
        <x:v>D12</x:v>
      </x:c>
      <x:c r="O577" s="2" t="str">
        <x:v>hdb flat</x:v>
      </x:c>
      <x:c r="P577" s="2" t="str">
        <x:v>https://www.propertyguru.com.sg/listing/hdb-for-rent-63-kallang-bahru-500259048</x:v>
      </x:c>
      <x:c r="Q577" s="12" t="str">
        <x:v>All declared hard requirements pass. Reported rent SGD 1300/month; bedrooms 3; area 732.0 sqft; D12; HDB Flat. Rent of SGD 1,100-1,450 gives substantial savings against the SGD 3,000 cap but is above the original SGD 450-950 strong-fit anchors. No removed district preference is retained.</x:v>
      </x:c>
      <x:c r="R577" s="13"/>
    </x:row>
    <x:row r="578" ht="48" hidden="0" customHeight="1">
      <x:c r="A578" s="2" t="str">
        <x:v>S18|25209933</x:v>
      </x:c>
      <x:c r="B578" s="2" t="str">
        <x:v>S18</x:v>
      </x:c>
      <x:c r="C578" s="2" t="str">
        <x:v>25209933</x:v>
      </x:c>
      <x:c r="D578" s="2" t="n">
        <x:v>2</x:v>
      </x:c>
      <x:c r="E578" s="9"/>
      <x:c r="F578" s="2" t="n">
        <x:f>IF(E578="",D578,IF(E578="U","U",IF(AND(ISNUMBER(E578),E578&gt;=0,E578&lt;=3,INT(E578)=E578),E578,"Invalid")))</x:f>
        <x:v>2</x:v>
      </x:c>
      <x:c r="G578" s="2" t="n">
        <x:f>IF(ISNUMBER(F578),1,0)</x:f>
        <x:v>1</x:v>
      </x:c>
      <x:c r="H578" s="2" t="n">
        <x:f>IF(ISNUMBER(F578),IF(F578&gt;=2,1,0),0)</x:f>
        <x:v>1</x:v>
      </x:c>
      <x:c r="I578" s="11" t="n">
        <x:f>IF(ISNUMBER(F578),2^F578-1,0)</x:f>
        <x:v>3</x:v>
      </x:c>
      <x:c r="J578" s="2" t="str">
        <x:v>Retained original 577</x:v>
      </x:c>
      <x:c r="K578" s="10" t="n">
        <x:v>1150</x:v>
      </x:c>
      <x:c r="L578" s="10" t="n">
        <x:v>3</x:v>
      </x:c>
      <x:c r="M578" s="10" t="n">
        <x:v>190</x:v>
      </x:c>
      <x:c r="N578" s="2" t="str">
        <x:v>D23</x:v>
      </x:c>
      <x:c r="O578" s="2" t="str">
        <x:v>hdb flat</x:v>
      </x:c>
      <x:c r="P578" s="2" t="str">
        <x:v>https://www.propertyguru.com.sg/listing/hdb-for-rent-288g-bukit-batok-street-25-25209933</x:v>
      </x:c>
      <x:c r="Q578" s="12" t="str">
        <x:v>All declared hard requirements pass. Reported rent SGD 1150/month; bedrooms 3; area 190.0 sqft; D23; HDB Flat. Rent of SGD 1,100-1,450 gives substantial savings against the SGD 3,000 cap but is above the original SGD 450-950 strong-fit anchors. No removed district preference is retained.</x:v>
      </x:c>
      <x:c r="R578" s="13"/>
    </x:row>
    <x:row r="579" ht="48" hidden="0" customHeight="1">
      <x:c r="A579" s="2" t="str">
        <x:v>S18|500269618</x:v>
      </x:c>
      <x:c r="B579" s="2" t="str">
        <x:v>S18</x:v>
      </x:c>
      <x:c r="C579" s="2" t="str">
        <x:v>500269618</x:v>
      </x:c>
      <x:c r="D579" s="2" t="n">
        <x:v>2</x:v>
      </x:c>
      <x:c r="E579" s="9"/>
      <x:c r="F579" s="2" t="n">
        <x:f>IF(E579="",D579,IF(E579="U","U",IF(AND(ISNUMBER(E579),E579&gt;=0,E579&lt;=3,INT(E579)=E579),E579,"Invalid")))</x:f>
        <x:v>2</x:v>
      </x:c>
      <x:c r="G579" s="2" t="n">
        <x:f>IF(ISNUMBER(F579),1,0)</x:f>
        <x:v>1</x:v>
      </x:c>
      <x:c r="H579" s="2" t="n">
        <x:f>IF(ISNUMBER(F579),IF(F579&gt;=2,1,0),0)</x:f>
        <x:v>1</x:v>
      </x:c>
      <x:c r="I579" s="11" t="n">
        <x:f>IF(ISNUMBER(F579),2^F579-1,0)</x:f>
        <x:v>3</x:v>
      </x:c>
      <x:c r="J579" s="2" t="str">
        <x:v>Retained original 577</x:v>
      </x:c>
      <x:c r="K579" s="10" t="n">
        <x:v>1100</x:v>
      </x:c>
      <x:c r="L579" s="10" t="n">
        <x:v>3</x:v>
      </x:c>
      <x:c r="M579" s="10" t="n">
        <x:v>947</x:v>
      </x:c>
      <x:c r="N579" s="2" t="str">
        <x:v>D20</x:v>
      </x:c>
      <x:c r="O579" s="2" t="str">
        <x:v>hdb flat</x:v>
      </x:c>
      <x:c r="P579" s="2" t="str">
        <x:v>https://www.propertyguru.com.sg/listing/hdb-for-rent-25-sin-ming-road-500269618</x:v>
      </x:c>
      <x:c r="Q579" s="12" t="str">
        <x:v>All declared hard requirements pass. Reported rent SGD 1100/month; bedrooms 3; area 947.0 sqft; D20; HDB Flat. Rent of SGD 1,100-1,450 gives substantial savings against the SGD 3,000 cap but is above the original SGD 450-950 strong-fit anchors. No removed district preference is retained.</x:v>
      </x:c>
      <x:c r="R579" s="13"/>
    </x:row>
    <x:row r="580" ht="48" hidden="0" customHeight="1">
      <x:c r="A580" s="2" t="str">
        <x:v>S18|25280571</x:v>
      </x:c>
      <x:c r="B580" s="2" t="str">
        <x:v>S18</x:v>
      </x:c>
      <x:c r="C580" s="2" t="str">
        <x:v>25280571</x:v>
      </x:c>
      <x:c r="D580" s="2" t="n">
        <x:v>2</x:v>
      </x:c>
      <x:c r="E580" s="9"/>
      <x:c r="F580" s="2" t="n">
        <x:f>IF(E580="",D580,IF(E580="U","U",IF(AND(ISNUMBER(E580),E580&gt;=0,E580&lt;=3,INT(E580)=E580),E580,"Invalid")))</x:f>
        <x:v>2</x:v>
      </x:c>
      <x:c r="G580" s="2" t="n">
        <x:f>IF(ISNUMBER(F580),1,0)</x:f>
        <x:v>1</x:v>
      </x:c>
      <x:c r="H580" s="2" t="n">
        <x:f>IF(ISNUMBER(F580),IF(F580&gt;=2,1,0),0)</x:f>
        <x:v>1</x:v>
      </x:c>
      <x:c r="I580" s="11" t="n">
        <x:f>IF(ISNUMBER(F580),2^F580-1,0)</x:f>
        <x:v>3</x:v>
      </x:c>
      <x:c r="J580" s="2" t="str">
        <x:v>Retained original 577</x:v>
      </x:c>
      <x:c r="K580" s="10" t="n">
        <x:v>1200</x:v>
      </x:c>
      <x:c r="L580" s="10" t="n">
        <x:v>2</x:v>
      </x:c>
      <x:c r="M580" s="10" t="n">
        <x:v>300</x:v>
      </x:c>
      <x:c r="N580" s="2" t="str">
        <x:v>D08</x:v>
      </x:c>
      <x:c r="O580" s="2" t="str">
        <x:v>hdb flat</x:v>
      </x:c>
      <x:c r="P580" s="2" t="str">
        <x:v>https://www.propertyguru.com.sg/listing/hdb-for-rent-661-buffalo-road-25280571</x:v>
      </x:c>
      <x:c r="Q580" s="12" t="str">
        <x:v>All declared hard requirements pass. Reported rent SGD 1200/month; bedrooms 2; area 300.0 sqft; D08; HDB Flat. Rent of SGD 1,100-1,450 gives substantial savings against the SGD 3,000 cap but is above the original SGD 450-950 strong-fit anchors. No removed district preference is retained.</x:v>
      </x:c>
      <x:c r="R580" s="13"/>
    </x:row>
    <x:row r="581" ht="48" hidden="0" customHeight="1">
      <x:c r="A581" s="2" t="str">
        <x:v>S18|25549139</x:v>
      </x:c>
      <x:c r="B581" s="2" t="str">
        <x:v>S18</x:v>
      </x:c>
      <x:c r="C581" s="2" t="str">
        <x:v>25549139</x:v>
      </x:c>
      <x:c r="D581" s="2" t="n">
        <x:v>2</x:v>
      </x:c>
      <x:c r="E581" s="9"/>
      <x:c r="F581" s="2" t="n">
        <x:f>IF(E581="",D581,IF(E581="U","U",IF(AND(ISNUMBER(E581),E581&gt;=0,E581&lt;=3,INT(E581)=E581),E581,"Invalid")))</x:f>
        <x:v>2</x:v>
      </x:c>
      <x:c r="G581" s="2" t="n">
        <x:f>IF(ISNUMBER(F581),1,0)</x:f>
        <x:v>1</x:v>
      </x:c>
      <x:c r="H581" s="2" t="n">
        <x:f>IF(ISNUMBER(F581),IF(F581&gt;=2,1,0),0)</x:f>
        <x:v>1</x:v>
      </x:c>
      <x:c r="I581" s="11" t="n">
        <x:f>IF(ISNUMBER(F581),2^F581-1,0)</x:f>
        <x:v>3</x:v>
      </x:c>
      <x:c r="J581" s="2" t="str">
        <x:v>Retained original 577</x:v>
      </x:c>
      <x:c r="K581" s="10" t="n">
        <x:v>1150</x:v>
      </x:c>
      <x:c r="L581" s="10" t="n">
        <x:v>6</x:v>
      </x:c>
      <x:c r="M581" s="10" t="n">
        <x:v>120</x:v>
      </x:c>
      <x:c r="N581" s="2" t="str">
        <x:v>D22</x:v>
      </x:c>
      <x:c r="O581" s="2" t="str">
        <x:v>condominium</x:v>
      </x:c>
      <x:c r="P581" s="2" t="str">
        <x:v>https://www.propertyguru.com.sg/listing/for-rent-parc-oasis-25549139</x:v>
      </x:c>
      <x:c r="Q581" s="12" t="str">
        <x:v>All declared hard requirements pass. Reported rent SGD 1150/month; bedrooms 6; area 120.0 sqft; D22; Condominium. Rent of SGD 1,100-1,450 gives substantial savings against the SGD 3,000 cap but is above the original SGD 450-950 strong-fit anchors. No removed district preference is retained.</x:v>
      </x:c>
      <x:c r="R581" s="13"/>
    </x:row>
    <x:row r="582" ht="48" hidden="0" customHeight="1">
      <x:c r="A582" s="2" t="str">
        <x:v>S18|500127611</x:v>
      </x:c>
      <x:c r="B582" s="2" t="str">
        <x:v>S18</x:v>
      </x:c>
      <x:c r="C582" s="2" t="str">
        <x:v>500127611</x:v>
      </x:c>
      <x:c r="D582" s="2" t="n">
        <x:v>2</x:v>
      </x:c>
      <x:c r="E582" s="9"/>
      <x:c r="F582" s="2" t="n">
        <x:f>IF(E582="",D582,IF(E582="U","U",IF(AND(ISNUMBER(E582),E582&gt;=0,E582&lt;=3,INT(E582)=E582),E582,"Invalid")))</x:f>
        <x:v>2</x:v>
      </x:c>
      <x:c r="G582" s="2" t="n">
        <x:f>IF(ISNUMBER(F582),1,0)</x:f>
        <x:v>1</x:v>
      </x:c>
      <x:c r="H582" s="2" t="n">
        <x:f>IF(ISNUMBER(F582),IF(F582&gt;=2,1,0),0)</x:f>
        <x:v>1</x:v>
      </x:c>
      <x:c r="I582" s="11" t="n">
        <x:f>IF(ISNUMBER(F582),2^F582-1,0)</x:f>
        <x:v>3</x:v>
      </x:c>
      <x:c r="J582" s="2" t="str">
        <x:v>Retained original 577</x:v>
      </x:c>
      <x:c r="K582" s="10" t="n">
        <x:v>1450</x:v>
      </x:c>
      <x:c r="L582" s="10" t="n">
        <x:v>2</x:v>
      </x:c>
      <x:c r="M582" s="10" t="n">
        <x:v>100</x:v>
      </x:c>
      <x:c r="N582" s="2" t="str">
        <x:v>D10</x:v>
      </x:c>
      <x:c r="O582" s="2" t="str">
        <x:v>walk-up apartment</x:v>
      </x:c>
      <x:c r="P582" s="2" t="str">
        <x:v>https://www.propertyguru.com.sg/listing/for-rent-sixth-avenue-walk-up-apartment-500127611</x:v>
      </x:c>
      <x:c r="Q582" s="12" t="str">
        <x:v>All declared hard requirements pass. Reported rent SGD 1450/month; bedrooms 2; area 100.0 sqft; D10; Walk-up Apartment. Rent of SGD 1,100-1,450 gives substantial savings against the SGD 3,000 cap but is above the original SGD 450-950 strong-fit anchors. No removed district preference is retained.</x:v>
      </x:c>
      <x:c r="R582" s="13"/>
    </x:row>
    <x:row r="583" ht="36" hidden="0" customHeight="1">
      <x:c r="A583" s="2" t="str">
        <x:v>S04|23927224</x:v>
      </x:c>
      <x:c r="B583" s="2" t="str">
        <x:v>S04</x:v>
      </x:c>
      <x:c r="C583" s="2" t="str">
        <x:v>23927224</x:v>
      </x:c>
      <x:c r="D583" s="2" t="n">
        <x:v>2</x:v>
      </x:c>
      <x:c r="E583" s="9"/>
      <x:c r="F583" s="2" t="n">
        <x:f>IF(E583="",D583,IF(E583="U","U",IF(AND(ISNUMBER(E583),E583&gt;=0,E583&lt;=3,INT(E583)=E583),E583,"Invalid")))</x:f>
        <x:v>2</x:v>
      </x:c>
      <x:c r="G583" s="2" t="n">
        <x:f>IF(ISNUMBER(F583),1,0)</x:f>
        <x:v>1</x:v>
      </x:c>
      <x:c r="H583" s="2" t="n">
        <x:f>IF(ISNUMBER(F583),IF(F583&gt;=2,1,0),0)</x:f>
        <x:v>1</x:v>
      </x:c>
      <x:c r="I583" s="11" t="n">
        <x:f>IF(ISNUMBER(F583),2^F583-1,0)</x:f>
        <x:v>3</x:v>
      </x:c>
      <x:c r="J583" s="2" t="str">
        <x:v>Retained supplemental 42</x:v>
      </x:c>
      <x:c r="K583" s="10" t="n">
        <x:v>3300</x:v>
      </x:c>
      <x:c r="L583" s="10" t="n">
        <x:v>2</x:v>
      </x:c>
      <x:c r="M583" s="10" t="n">
        <x:v>797</x:v>
      </x:c>
      <x:c r="N583" s="2" t="str">
        <x:v>D05</x:v>
      </x:c>
      <x:c r="O583" s="2" t="str">
        <x:v>hdb flat</x:v>
      </x:c>
      <x:c r="P583" s="2" t="str">
        <x:v>https://www.propertyguru.com.sg/listing/hdb-for-rent-610-clementi-west-street-1-23927224</x:v>
      </x:c>
      <x:c r="Q583" s="12" t="str">
        <x:v>D05 and all mandatory limits pass. The 721-797 sqft area with SGD 3,100-3,300 rent is a workable space-price trade-off, consistent with original 721 sqft / SGD 3,000 and 861 sqft / SGD 3,600 grade-2 anchors.</x:v>
      </x:c>
      <x:c r="R583" s="13"/>
    </x:row>
    <x:row r="584" ht="36" hidden="0" customHeight="1">
      <x:c r="A584" s="2" t="str">
        <x:v>S04|60126094</x:v>
      </x:c>
      <x:c r="B584" s="2" t="str">
        <x:v>S04</x:v>
      </x:c>
      <x:c r="C584" s="2" t="str">
        <x:v>60126094</x:v>
      </x:c>
      <x:c r="D584" s="2" t="n">
        <x:v>2</x:v>
      </x:c>
      <x:c r="E584" s="9"/>
      <x:c r="F584" s="2" t="n">
        <x:f>IF(E584="",D584,IF(E584="U","U",IF(AND(ISNUMBER(E584),E584&gt;=0,E584&lt;=3,INT(E584)=E584),E584,"Invalid")))</x:f>
        <x:v>2</x:v>
      </x:c>
      <x:c r="G584" s="2" t="n">
        <x:f>IF(ISNUMBER(F584),1,0)</x:f>
        <x:v>1</x:v>
      </x:c>
      <x:c r="H584" s="2" t="n">
        <x:f>IF(ISNUMBER(F584),IF(F584&gt;=2,1,0),0)</x:f>
        <x:v>1</x:v>
      </x:c>
      <x:c r="I584" s="11" t="n">
        <x:f>IF(ISNUMBER(F584),2^F584-1,0)</x:f>
        <x:v>3</x:v>
      </x:c>
      <x:c r="J584" s="2" t="str">
        <x:v>Retained supplemental 42</x:v>
      </x:c>
      <x:c r="K584" s="10" t="n">
        <x:v>3100</x:v>
      </x:c>
      <x:c r="L584" s="10" t="n">
        <x:v>2</x:v>
      </x:c>
      <x:c r="M584" s="10" t="n">
        <x:v>721</x:v>
      </x:c>
      <x:c r="N584" s="2" t="str">
        <x:v>D05</x:v>
      </x:c>
      <x:c r="O584" s="2" t="str">
        <x:v>hdb flat</x:v>
      </x:c>
      <x:c r="P584" s="2" t="str">
        <x:v>https://www.propertyguru.com.sg/listing/hdb-for-rent-339-clementi-avenue-5-60126094</x:v>
      </x:c>
      <x:c r="Q584" s="12" t="str">
        <x:v>D05 and all mandatory limits pass. The 721-797 sqft area with SGD 3,100-3,300 rent is a workable space-price trade-off, consistent with original 721 sqft / SGD 3,000 and 861 sqft / SGD 3,600 grade-2 anchors.</x:v>
      </x:c>
      <x:c r="R584" s="13"/>
    </x:row>
    <x:row r="585" ht="36" hidden="0" customHeight="1">
      <x:c r="A585" s="2" t="str">
        <x:v>S06|25287178</x:v>
      </x:c>
      <x:c r="B585" s="2" t="str">
        <x:v>S06</x:v>
      </x:c>
      <x:c r="C585" s="2" t="str">
        <x:v>25287178</x:v>
      </x:c>
      <x:c r="D585" s="2" t="n">
        <x:v>2</x:v>
      </x:c>
      <x:c r="E585" s="9"/>
      <x:c r="F585" s="2" t="n">
        <x:f>IF(E585="",D585,IF(E585="U","U",IF(AND(ISNUMBER(E585),E585&gt;=0,E585&lt;=3,INT(E585)=E585),E585,"Invalid")))</x:f>
        <x:v>2</x:v>
      </x:c>
      <x:c r="G585" s="2" t="n">
        <x:f>IF(ISNUMBER(F585),1,0)</x:f>
        <x:v>1</x:v>
      </x:c>
      <x:c r="H585" s="2" t="n">
        <x:f>IF(ISNUMBER(F585),IF(F585&gt;=2,1,0),0)</x:f>
        <x:v>1</x:v>
      </x:c>
      <x:c r="I585" s="11" t="n">
        <x:f>IF(ISNUMBER(F585),2^F585-1,0)</x:f>
        <x:v>3</x:v>
      </x:c>
      <x:c r="J585" s="2" t="str">
        <x:v>Retained supplemental 42</x:v>
      </x:c>
      <x:c r="K585" s="10" t="n">
        <x:v>5000</x:v>
      </x:c>
      <x:c r="L585" s="10" t="n">
        <x:v>2</x:v>
      </x:c>
      <x:c r="M585" s="10" t="n">
        <x:v>872</x:v>
      </x:c>
      <x:c r="N585" s="2" t="str">
        <x:v>D09</x:v>
      </x:c>
      <x:c r="O585" s="2" t="str">
        <x:v>condominium</x:v>
      </x:c>
      <x:c r="P585" s="2" t="str">
        <x:v>https://www.propertyguru.com.sg/listing/for-rent-the-bayron-25287178</x:v>
      </x:c>
      <x:c r="Q585" s="12" t="str">
        <x:v>The preferred condominium type is met. Reported area of 872-883 sqft is below the approximately 1,000 sqft strong-fit anchors and near existing 829-904 sqft grade-2 condominiums.</x:v>
      </x:c>
      <x:c r="R585" s="13"/>
    </x:row>
    <x:row r="586" ht="36" hidden="0" customHeight="1">
      <x:c r="A586" s="2" t="str">
        <x:v>S06|500264612</x:v>
      </x:c>
      <x:c r="B586" s="2" t="str">
        <x:v>S06</x:v>
      </x:c>
      <x:c r="C586" s="2" t="str">
        <x:v>500264612</x:v>
      </x:c>
      <x:c r="D586" s="2" t="n">
        <x:v>2</x:v>
      </x:c>
      <x:c r="E586" s="9"/>
      <x:c r="F586" s="2" t="n">
        <x:f>IF(E586="",D586,IF(E586="U","U",IF(AND(ISNUMBER(E586),E586&gt;=0,E586&lt;=3,INT(E586)=E586),E586,"Invalid")))</x:f>
        <x:v>2</x:v>
      </x:c>
      <x:c r="G586" s="2" t="n">
        <x:f>IF(ISNUMBER(F586),1,0)</x:f>
        <x:v>1</x:v>
      </x:c>
      <x:c r="H586" s="2" t="n">
        <x:f>IF(ISNUMBER(F586),IF(F586&gt;=2,1,0),0)</x:f>
        <x:v>1</x:v>
      </x:c>
      <x:c r="I586" s="11" t="n">
        <x:f>IF(ISNUMBER(F586),2^F586-1,0)</x:f>
        <x:v>3</x:v>
      </x:c>
      <x:c r="J586" s="2" t="str">
        <x:v>Retained supplemental 42</x:v>
      </x:c>
      <x:c r="K586" s="10" t="n">
        <x:v>4400</x:v>
      </x:c>
      <x:c r="L586" s="10" t="n">
        <x:v>2</x:v>
      </x:c>
      <x:c r="M586" s="10" t="n">
        <x:v>883</x:v>
      </x:c>
      <x:c r="N586" s="2" t="str">
        <x:v>D10</x:v>
      </x:c>
      <x:c r="O586" s="2" t="str">
        <x:v>condominium</x:v>
      </x:c>
      <x:c r="P586" s="2" t="str">
        <x:v>https://www.propertyguru.com.sg/listing/for-rent-tanglin-regency-500264612</x:v>
      </x:c>
      <x:c r="Q586" s="12" t="str">
        <x:v>The preferred condominium type is met. Reported area of 872-883 sqft is below the approximately 1,000 sqft strong-fit anchors and near existing 829-904 sqft grade-2 condominiums.</x:v>
      </x:c>
      <x:c r="R586" s="13"/>
    </x:row>
    <x:row r="587" ht="36" hidden="0" customHeight="1">
      <x:c r="A587" s="2" t="str">
        <x:v>S07|500023775</x:v>
      </x:c>
      <x:c r="B587" s="2" t="str">
        <x:v>S07</x:v>
      </x:c>
      <x:c r="C587" s="2" t="str">
        <x:v>500023775</x:v>
      </x:c>
      <x:c r="D587" s="2" t="n">
        <x:v>2</x:v>
      </x:c>
      <x:c r="E587" s="9"/>
      <x:c r="F587" s="2" t="n">
        <x:f>IF(E587="",D587,IF(E587="U","U",IF(AND(ISNUMBER(E587),E587&gt;=0,E587&lt;=3,INT(E587)=E587),E587,"Invalid")))</x:f>
        <x:v>2</x:v>
      </x:c>
      <x:c r="G587" s="2" t="n">
        <x:f>IF(ISNUMBER(F587),1,0)</x:f>
        <x:v>1</x:v>
      </x:c>
      <x:c r="H587" s="2" t="n">
        <x:f>IF(ISNUMBER(F587),IF(F587&gt;=2,1,0),0)</x:f>
        <x:v>1</x:v>
      </x:c>
      <x:c r="I587" s="11" t="n">
        <x:f>IF(ISNUMBER(F587),2^F587-1,0)</x:f>
        <x:v>3</x:v>
      </x:c>
      <x:c r="J587" s="2" t="str">
        <x:v>Retained supplemental 42</x:v>
      </x:c>
      <x:c r="K587" s="10" t="n">
        <x:v>3200</x:v>
      </x:c>
      <x:c r="L587" s="10" t="n">
        <x:v>2</x:v>
      </x:c>
      <x:c r="M587" s="10" t="n">
        <x:v>811</x:v>
      </x:c>
      <x:c r="N587" s="2" t="str">
        <x:v>D18</x:v>
      </x:c>
      <x:c r="O587" s="2" t="str">
        <x:v>hdb flat</x:v>
      </x:c>
      <x:c r="P587" s="2" t="str">
        <x:v>https://www.propertyguru.com.sg/listing/hdb-for-rent-819-tampines-street-81-500023775</x:v>
      </x:c>
      <x:c r="Q587" s="12" t="str">
        <x:v>Mandatory HDB and hard limits pass, and D18 is met. SGD 3,000-3,200 rent is a trade-off against original D18 strong-fit anchors at SGD 2,700-2,900, consistent with existing D18 grade-2 rents.</x:v>
      </x:c>
      <x:c r="R587" s="13"/>
    </x:row>
    <x:row r="588" ht="36" hidden="0" customHeight="1">
      <x:c r="A588" s="2" t="str">
        <x:v>S07|500264690</x:v>
      </x:c>
      <x:c r="B588" s="2" t="str">
        <x:v>S07</x:v>
      </x:c>
      <x:c r="C588" s="2" t="str">
        <x:v>500264690</x:v>
      </x:c>
      <x:c r="D588" s="2" t="n">
        <x:v>2</x:v>
      </x:c>
      <x:c r="E588" s="9"/>
      <x:c r="F588" s="2" t="n">
        <x:f>IF(E588="",D588,IF(E588="U","U",IF(AND(ISNUMBER(E588),E588&gt;=0,E588&lt;=3,INT(E588)=E588),E588,"Invalid")))</x:f>
        <x:v>2</x:v>
      </x:c>
      <x:c r="G588" s="2" t="n">
        <x:f>IF(ISNUMBER(F588),1,0)</x:f>
        <x:v>1</x:v>
      </x:c>
      <x:c r="H588" s="2" t="n">
        <x:f>IF(ISNUMBER(F588),IF(F588&gt;=2,1,0),0)</x:f>
        <x:v>1</x:v>
      </x:c>
      <x:c r="I588" s="11" t="n">
        <x:f>IF(ISNUMBER(F588),2^F588-1,0)</x:f>
        <x:v>3</x:v>
      </x:c>
      <x:c r="J588" s="2" t="str">
        <x:v>Retained supplemental 42</x:v>
      </x:c>
      <x:c r="K588" s="10" t="n">
        <x:v>3000</x:v>
      </x:c>
      <x:c r="L588" s="10" t="n">
        <x:v>2</x:v>
      </x:c>
      <x:c r="M588" s="10" t="n">
        <x:v>700</x:v>
      </x:c>
      <x:c r="N588" s="2" t="str">
        <x:v>D18</x:v>
      </x:c>
      <x:c r="O588" s="2" t="str">
        <x:v>hdb flat</x:v>
      </x:c>
      <x:c r="P588" s="2" t="str">
        <x:v>https://www.propertyguru.com.sg/listing/hdb-for-rent-914-tampines-street-91-500264690</x:v>
      </x:c>
      <x:c r="Q588" s="12" t="str">
        <x:v>Mandatory HDB and hard limits pass, and D18 is met. SGD 3,000-3,200 rent is a trade-off against original D18 strong-fit anchors at SGD 2,700-2,900, consistent with existing D18 grade-2 rents.</x:v>
      </x:c>
      <x:c r="R588" s="13"/>
    </x:row>
    <x:row r="589" ht="36" hidden="0" customHeight="1">
      <x:c r="A589" s="2" t="str">
        <x:v>S08|19003513</x:v>
      </x:c>
      <x:c r="B589" s="2" t="str">
        <x:v>S08</x:v>
      </x:c>
      <x:c r="C589" s="2" t="str">
        <x:v>19003513</x:v>
      </x:c>
      <x:c r="D589" s="2" t="n">
        <x:v>1</x:v>
      </x:c>
      <x:c r="E589" s="9"/>
      <x:c r="F589" s="2" t="n">
        <x:f>IF(E589="",D589,IF(E589="U","U",IF(AND(ISNUMBER(E589),E589&gt;=0,E589&lt;=3,INT(E589)=E589),E589,"Invalid")))</x:f>
        <x:v>1</x:v>
      </x:c>
      <x:c r="G589" s="2" t="n">
        <x:f>IF(ISNUMBER(F589),1,0)</x:f>
        <x:v>1</x:v>
      </x:c>
      <x:c r="H589" s="2" t="n">
        <x:f>IF(ISNUMBER(F589),IF(F589&gt;=2,1,0),0)</x:f>
        <x:v>0</x:v>
      </x:c>
      <x:c r="I589" s="11" t="n">
        <x:f>IF(ISNUMBER(F589),2^F589-1,0)</x:f>
        <x:v>1</x:v>
      </x:c>
      <x:c r="J589" s="2" t="str">
        <x:v>Retained supplemental 42</x:v>
      </x:c>
      <x:c r="K589" s="10" t="n">
        <x:v>2800</x:v>
      </x:c>
      <x:c r="L589" s="10" t="n">
        <x:v>1</x:v>
      </x:c>
      <x:c r="M589" s="10" t="n">
        <x:v>657</x:v>
      </x:c>
      <x:c r="N589" s="2" t="str">
        <x:v>D17</x:v>
      </x:c>
      <x:c r="O589" s="2" t="str">
        <x:v>condominium</x:v>
      </x:c>
      <x:c r="P589" s="2" t="str">
        <x:v>https://www.propertyguru.com.sg/listing/for-rent-estella-gardens-19003513</x:v>
      </x:c>
      <x:c r="Q589" s="12" t="str">
        <x:v>The hard rent, exact reported-bedroom and permitted-type conditions pass. The primary D03/D05 preference is unmet; meeting 500 sqft does not replace it. This follows original outside-preferred-district grade-1 anchors.</x:v>
      </x:c>
      <x:c r="R589" s="13"/>
    </x:row>
    <x:row r="590" ht="36" hidden="0" customHeight="1">
      <x:c r="A590" s="2" t="str">
        <x:v>S08|19176837</x:v>
      </x:c>
      <x:c r="B590" s="2" t="str">
        <x:v>S08</x:v>
      </x:c>
      <x:c r="C590" s="2" t="str">
        <x:v>19176837</x:v>
      </x:c>
      <x:c r="D590" s="2" t="n">
        <x:v>1</x:v>
      </x:c>
      <x:c r="E590" s="9"/>
      <x:c r="F590" s="2" t="n">
        <x:f>IF(E590="",D590,IF(E590="U","U",IF(AND(ISNUMBER(E590),E590&gt;=0,E590&lt;=3,INT(E590)=E590),E590,"Invalid")))</x:f>
        <x:v>1</x:v>
      </x:c>
      <x:c r="G590" s="2" t="n">
        <x:f>IF(ISNUMBER(F590),1,0)</x:f>
        <x:v>1</x:v>
      </x:c>
      <x:c r="H590" s="2" t="n">
        <x:f>IF(ISNUMBER(F590),IF(F590&gt;=2,1,0),0)</x:f>
        <x:v>0</x:v>
      </x:c>
      <x:c r="I590" s="11" t="n">
        <x:f>IF(ISNUMBER(F590),2^F590-1,0)</x:f>
        <x:v>1</x:v>
      </x:c>
      <x:c r="J590" s="2" t="str">
        <x:v>Retained supplemental 42</x:v>
      </x:c>
      <x:c r="K590" s="10" t="n">
        <x:v>2700</x:v>
      </x:c>
      <x:c r="L590" s="10" t="n">
        <x:v>1</x:v>
      </x:c>
      <x:c r="M590" s="10" t="n">
        <x:v>592</x:v>
      </x:c>
      <x:c r="N590" s="2" t="str">
        <x:v>D25</x:v>
      </x:c>
      <x:c r="O590" s="2" t="str">
        <x:v>condominium</x:v>
      </x:c>
      <x:c r="P590" s="2" t="str">
        <x:v>https://www.propertyguru.com.sg/listing/for-rent-woodhaven-19176837</x:v>
      </x:c>
      <x:c r="Q590" s="12" t="str">
        <x:v>The hard rent, exact reported-bedroom and permitted-type conditions pass. The primary D03/D05 preference is unmet; meeting 500 sqft does not replace it. This follows original outside-preferred-district grade-1 anchors.</x:v>
      </x:c>
      <x:c r="R590" s="13"/>
    </x:row>
    <x:row r="591" ht="36" hidden="0" customHeight="1">
      <x:c r="A591" s="2" t="str">
        <x:v>S08|20359216</x:v>
      </x:c>
      <x:c r="B591" s="2" t="str">
        <x:v>S08</x:v>
      </x:c>
      <x:c r="C591" s="2" t="str">
        <x:v>20359216</x:v>
      </x:c>
      <x:c r="D591" s="2" t="n">
        <x:v>1</x:v>
      </x:c>
      <x:c r="E591" s="9"/>
      <x:c r="F591" s="2" t="n">
        <x:f>IF(E591="",D591,IF(E591="U","U",IF(AND(ISNUMBER(E591),E591&gt;=0,E591&lt;=3,INT(E591)=E591),E591,"Invalid")))</x:f>
        <x:v>1</x:v>
      </x:c>
      <x:c r="G591" s="2" t="n">
        <x:f>IF(ISNUMBER(F591),1,0)</x:f>
        <x:v>1</x:v>
      </x:c>
      <x:c r="H591" s="2" t="n">
        <x:f>IF(ISNUMBER(F591),IF(F591&gt;=2,1,0),0)</x:f>
        <x:v>0</x:v>
      </x:c>
      <x:c r="I591" s="11" t="n">
        <x:f>IF(ISNUMBER(F591),2^F591-1,0)</x:f>
        <x:v>1</x:v>
      </x:c>
      <x:c r="J591" s="2" t="str">
        <x:v>Retained supplemental 42</x:v>
      </x:c>
      <x:c r="K591" s="10" t="n">
        <x:v>3000</x:v>
      </x:c>
      <x:c r="L591" s="10" t="n">
        <x:v>1</x:v>
      </x:c>
      <x:c r="M591" s="10" t="n">
        <x:v>540</x:v>
      </x:c>
      <x:c r="N591" s="2" t="str">
        <x:v>D16</x:v>
      </x:c>
      <x:c r="O591" s="2" t="str">
        <x:v>condominium</x:v>
      </x:c>
      <x:c r="P591" s="2" t="str">
        <x:v>https://www.propertyguru.com.sg/listing/for-rent-urban-vista-20359216</x:v>
      </x:c>
      <x:c r="Q591" s="12" t="str">
        <x:v>The hard rent, exact reported-bedroom and permitted-type conditions pass. The primary D03/D05 preference is unmet; meeting 500 sqft does not replace it. This follows original outside-preferred-district grade-1 anchors.</x:v>
      </x:c>
      <x:c r="R591" s="13"/>
    </x:row>
    <x:row r="592" ht="36" hidden="0" customHeight="1">
      <x:c r="A592" s="2" t="str">
        <x:v>S08|20657197</x:v>
      </x:c>
      <x:c r="B592" s="2" t="str">
        <x:v>S08</x:v>
      </x:c>
      <x:c r="C592" s="2" t="str">
        <x:v>20657197</x:v>
      </x:c>
      <x:c r="D592" s="2" t="n">
        <x:v>1</x:v>
      </x:c>
      <x:c r="E592" s="9"/>
      <x:c r="F592" s="2" t="n">
        <x:f>IF(E592="",D592,IF(E592="U","U",IF(AND(ISNUMBER(E592),E592&gt;=0,E592&lt;=3,INT(E592)=E592),E592,"Invalid")))</x:f>
        <x:v>1</x:v>
      </x:c>
      <x:c r="G592" s="2" t="n">
        <x:f>IF(ISNUMBER(F592),1,0)</x:f>
        <x:v>1</x:v>
      </x:c>
      <x:c r="H592" s="2" t="n">
        <x:f>IF(ISNUMBER(F592),IF(F592&gt;=2,1,0),0)</x:f>
        <x:v>0</x:v>
      </x:c>
      <x:c r="I592" s="11" t="n">
        <x:f>IF(ISNUMBER(F592),2^F592-1,0)</x:f>
        <x:v>1</x:v>
      </x:c>
      <x:c r="J592" s="2" t="str">
        <x:v>Retained supplemental 42</x:v>
      </x:c>
      <x:c r="K592" s="10" t="n">
        <x:v>3000</x:v>
      </x:c>
      <x:c r="L592" s="10" t="n">
        <x:v>1</x:v>
      </x:c>
      <x:c r="M592" s="10" t="n">
        <x:v>516</x:v>
      </x:c>
      <x:c r="N592" s="2" t="str">
        <x:v>D12</x:v>
      </x:c>
      <x:c r="O592" s="2" t="str">
        <x:v>condominium</x:v>
      </x:c>
      <x:c r="P592" s="2" t="str">
        <x:v>https://www.propertyguru.com.sg/listing/for-rent-riverbay-20657197</x:v>
      </x:c>
      <x:c r="Q592" s="12" t="str">
        <x:v>The hard rent, exact reported-bedroom and permitted-type conditions pass. The primary D03/D05 preference is unmet; meeting 500 sqft does not replace it. This follows original outside-preferred-district grade-1 anchors.</x:v>
      </x:c>
      <x:c r="R592" s="13"/>
    </x:row>
    <x:row r="593" ht="36" hidden="0" customHeight="1">
      <x:c r="A593" s="2" t="str">
        <x:v>S08|21757421</x:v>
      </x:c>
      <x:c r="B593" s="2" t="str">
        <x:v>S08</x:v>
      </x:c>
      <x:c r="C593" s="2" t="str">
        <x:v>21757421</x:v>
      </x:c>
      <x:c r="D593" s="2" t="n">
        <x:v>1</x:v>
      </x:c>
      <x:c r="E593" s="9"/>
      <x:c r="F593" s="2" t="n">
        <x:f>IF(E593="",D593,IF(E593="U","U",IF(AND(ISNUMBER(E593),E593&gt;=0,E593&lt;=3,INT(E593)=E593),E593,"Invalid")))</x:f>
        <x:v>1</x:v>
      </x:c>
      <x:c r="G593" s="2" t="n">
        <x:f>IF(ISNUMBER(F593),1,0)</x:f>
        <x:v>1</x:v>
      </x:c>
      <x:c r="H593" s="2" t="n">
        <x:f>IF(ISNUMBER(F593),IF(F593&gt;=2,1,0),0)</x:f>
        <x:v>0</x:v>
      </x:c>
      <x:c r="I593" s="11" t="n">
        <x:f>IF(ISNUMBER(F593),2^F593-1,0)</x:f>
        <x:v>1</x:v>
      </x:c>
      <x:c r="J593" s="2" t="str">
        <x:v>Retained supplemental 42</x:v>
      </x:c>
      <x:c r="K593" s="10" t="n">
        <x:v>2900</x:v>
      </x:c>
      <x:c r="L593" s="10" t="n">
        <x:v>1</x:v>
      </x:c>
      <x:c r="M593" s="10" t="n">
        <x:v>646</x:v>
      </x:c>
      <x:c r="N593" s="2" t="str">
        <x:v>D17</x:v>
      </x:c>
      <x:c r="O593" s="2" t="str">
        <x:v>condominium</x:v>
      </x:c>
      <x:c r="P593" s="2" t="str">
        <x:v>https://www.propertyguru.com.sg/listing/for-rent-carissa-park-condo-21757421</x:v>
      </x:c>
      <x:c r="Q593" s="12" t="str">
        <x:v>The hard rent, exact reported-bedroom and permitted-type conditions pass. The primary D03/D05 preference is unmet; meeting 500 sqft does not replace it. This follows original outside-preferred-district grade-1 anchors.</x:v>
      </x:c>
      <x:c r="R593" s="13"/>
    </x:row>
    <x:row r="594" ht="36" hidden="0" customHeight="1">
      <x:c r="A594" s="2" t="str">
        <x:v>S08|500281649</x:v>
      </x:c>
      <x:c r="B594" s="2" t="str">
        <x:v>S08</x:v>
      </x:c>
      <x:c r="C594" s="2" t="str">
        <x:v>500281649</x:v>
      </x:c>
      <x:c r="D594" s="2" t="n">
        <x:v>2</x:v>
      </x:c>
      <x:c r="E594" s="9"/>
      <x:c r="F594" s="2" t="n">
        <x:f>IF(E594="",D594,IF(E594="U","U",IF(AND(ISNUMBER(E594),E594&gt;=0,E594&lt;=3,INT(E594)=E594),E594,"Invalid")))</x:f>
        <x:v>2</x:v>
      </x:c>
      <x:c r="G594" s="2" t="n">
        <x:f>IF(ISNUMBER(F594),1,0)</x:f>
        <x:v>1</x:v>
      </x:c>
      <x:c r="H594" s="2" t="n">
        <x:f>IF(ISNUMBER(F594),IF(F594&gt;=2,1,0),0)</x:f>
        <x:v>1</x:v>
      </x:c>
      <x:c r="I594" s="11" t="n">
        <x:f>IF(ISNUMBER(F594),2^F594-1,0)</x:f>
        <x:v>3</x:v>
      </x:c>
      <x:c r="J594" s="2" t="str">
        <x:v>Retained supplemental 42</x:v>
      </x:c>
      <x:c r="K594" s="10" t="n">
        <x:v>1500</x:v>
      </x:c>
      <x:c r="L594" s="10" t="n">
        <x:v>1</x:v>
      </x:c>
      <x:c r="M594" s="10" t="n">
        <x:v>150</x:v>
      </x:c>
      <x:c r="N594" s="2" t="str">
        <x:v>D05</x:v>
      </x:c>
      <x:c r="O594" s="2" t="str">
        <x:v>condominium</x:v>
      </x:c>
      <x:c r="P594" s="2" t="str">
        <x:v>https://www.propertyguru.com.sg/listing/for-rent-pandan-valley-500281649</x:v>
      </x:c>
      <x:c r="Q594" s="12" t="str">
        <x:v>The primary D03/D05 preference is met, but 150 sqft misses the 500 sqft secondary preference. This matches the original preferred-district 150 sqft grade-2 anchor. Whole-unit scope is not established.</x:v>
      </x:c>
      <x:c r="R594" s="13"/>
    </x:row>
    <x:row r="595" ht="36" hidden="0" customHeight="1">
      <x:c r="A595" s="2" t="str">
        <x:v>S09|20148207</x:v>
      </x:c>
      <x:c r="B595" s="2" t="str">
        <x:v>S09</x:v>
      </x:c>
      <x:c r="C595" s="2" t="str">
        <x:v>20148207</x:v>
      </x:c>
      <x:c r="D595" s="2" t="n">
        <x:v>2</x:v>
      </x:c>
      <x:c r="E595" s="9"/>
      <x:c r="F595" s="2" t="n">
        <x:f>IF(E595="",D595,IF(E595="U","U",IF(AND(ISNUMBER(E595),E595&gt;=0,E595&lt;=3,INT(E595)=E595),E595,"Invalid")))</x:f>
        <x:v>2</x:v>
      </x:c>
      <x:c r="G595" s="2" t="n">
        <x:f>IF(ISNUMBER(F595),1,0)</x:f>
        <x:v>1</x:v>
      </x:c>
      <x:c r="H595" s="2" t="n">
        <x:f>IF(ISNUMBER(F595),IF(F595&gt;=2,1,0),0)</x:f>
        <x:v>1</x:v>
      </x:c>
      <x:c r="I595" s="11" t="n">
        <x:f>IF(ISNUMBER(F595),2^F595-1,0)</x:f>
        <x:v>3</x:v>
      </x:c>
      <x:c r="J595" s="2" t="str">
        <x:v>Retained supplemental 42</x:v>
      </x:c>
      <x:c r="K595" s="10" t="n">
        <x:v>3600</x:v>
      </x:c>
      <x:c r="L595" s="10" t="n">
        <x:v>3</x:v>
      </x:c>
      <x:c r="M595" s="10" t="n">
        <x:v>1345</x:v>
      </x:c>
      <x:c r="N595" s="2" t="str">
        <x:v>D18</x:v>
      </x:c>
      <x:c r="O595" s="2" t="str">
        <x:v>hdb flat</x:v>
      </x:c>
      <x:c r="P595" s="2" t="str">
        <x:v>https://www.propertyguru.com.sg/listing/hdb-for-rent-731-tampines-street-71-20148207</x:v>
      </x:c>
      <x:c r="Q595" s="12" t="str">
        <x:v>Mandatory area, bedrooms and rent pass, and D18 is met. SGD 3,600 is above the original grade-3 savings anchors at SGD 3,500 or below, so a conservative grade 2 preserves the location-price trade-off.</x:v>
      </x:c>
      <x:c r="R595" s="13"/>
    </x:row>
    <x:row r="596" ht="36" hidden="0" customHeight="1">
      <x:c r="A596" s="2" t="str">
        <x:v>S09|23414684</x:v>
      </x:c>
      <x:c r="B596" s="2" t="str">
        <x:v>S09</x:v>
      </x:c>
      <x:c r="C596" s="2" t="str">
        <x:v>23414684</x:v>
      </x:c>
      <x:c r="D596" s="2" t="n">
        <x:v>2</x:v>
      </x:c>
      <x:c r="E596" s="9"/>
      <x:c r="F596" s="2" t="n">
        <x:f>IF(E596="",D596,IF(E596="U","U",IF(AND(ISNUMBER(E596),E596&gt;=0,E596&lt;=3,INT(E596)=E596),E596,"Invalid")))</x:f>
        <x:v>2</x:v>
      </x:c>
      <x:c r="G596" s="2" t="n">
        <x:f>IF(ISNUMBER(F596),1,0)</x:f>
        <x:v>1</x:v>
      </x:c>
      <x:c r="H596" s="2" t="n">
        <x:f>IF(ISNUMBER(F596),IF(F596&gt;=2,1,0),0)</x:f>
        <x:v>1</x:v>
      </x:c>
      <x:c r="I596" s="11" t="n">
        <x:f>IF(ISNUMBER(F596),2^F596-1,0)</x:f>
        <x:v>3</x:v>
      </x:c>
      <x:c r="J596" s="2" t="str">
        <x:v>Retained supplemental 42</x:v>
      </x:c>
      <x:c r="K596" s="10" t="n">
        <x:v>3600</x:v>
      </x:c>
      <x:c r="L596" s="10" t="n">
        <x:v>3</x:v>
      </x:c>
      <x:c r="M596" s="10" t="n">
        <x:v>1011</x:v>
      </x:c>
      <x:c r="N596" s="2" t="str">
        <x:v>D18</x:v>
      </x:c>
      <x:c r="O596" s="2" t="str">
        <x:v>hdb flat</x:v>
      </x:c>
      <x:c r="P596" s="2" t="str">
        <x:v>https://www.propertyguru.com.sg/listing/hdb-for-rent-871b-tampines-street-86-23414684</x:v>
      </x:c>
      <x:c r="Q596" s="12" t="str">
        <x:v>Mandatory area, bedrooms and rent pass, and D18 is met. SGD 3,600 is above the original grade-3 savings anchors at SGD 3,500 or below, so a conservative grade 2 preserves the location-price trade-off.</x:v>
      </x:c>
      <x:c r="R596" s="13"/>
    </x:row>
    <x:row r="597" ht="36" hidden="0" customHeight="1">
      <x:c r="A597" s="2" t="str">
        <x:v>S09|500269799</x:v>
      </x:c>
      <x:c r="B597" s="2" t="str">
        <x:v>S09</x:v>
      </x:c>
      <x:c r="C597" s="2" t="str">
        <x:v>500269799</x:v>
      </x:c>
      <x:c r="D597" s="2" t="n">
        <x:v>2</x:v>
      </x:c>
      <x:c r="E597" s="9"/>
      <x:c r="F597" s="2" t="n">
        <x:f>IF(E597="",D597,IF(E597="U","U",IF(AND(ISNUMBER(E597),E597&gt;=0,E597&lt;=3,INT(E597)=E597),E597,"Invalid")))</x:f>
        <x:v>2</x:v>
      </x:c>
      <x:c r="G597" s="2" t="n">
        <x:f>IF(ISNUMBER(F597),1,0)</x:f>
        <x:v>1</x:v>
      </x:c>
      <x:c r="H597" s="2" t="n">
        <x:f>IF(ISNUMBER(F597),IF(F597&gt;=2,1,0),0)</x:f>
        <x:v>1</x:v>
      </x:c>
      <x:c r="I597" s="11" t="n">
        <x:f>IF(ISNUMBER(F597),2^F597-1,0)</x:f>
        <x:v>3</x:v>
      </x:c>
      <x:c r="J597" s="2" t="str">
        <x:v>Retained supplemental 42</x:v>
      </x:c>
      <x:c r="K597" s="10" t="n">
        <x:v>3600</x:v>
      </x:c>
      <x:c r="L597" s="10" t="n">
        <x:v>3</x:v>
      </x:c>
      <x:c r="M597" s="10" t="n">
        <x:v>1119</x:v>
      </x:c>
      <x:c r="N597" s="2" t="str">
        <x:v>D18</x:v>
      </x:c>
      <x:c r="O597" s="2" t="str">
        <x:v>hdb flat</x:v>
      </x:c>
      <x:c r="P597" s="2" t="str">
        <x:v>https://www.propertyguru.com.sg/listing/hdb-for-rent-160-simei-road-500269799</x:v>
      </x:c>
      <x:c r="Q597" s="12" t="str">
        <x:v>Mandatory area, bedrooms and rent pass, and D18 is met. SGD 3,600 is above the original grade-3 savings anchors at SGD 3,500 or below, so a conservative grade 2 preserves the location-price trade-off.</x:v>
      </x:c>
      <x:c r="R597" s="13"/>
    </x:row>
    <x:row r="598" ht="24" hidden="0" customHeight="1">
      <x:c r="A598" s="2" t="str">
        <x:v>S09|500283656</x:v>
      </x:c>
      <x:c r="B598" s="2" t="str">
        <x:v>S09</x:v>
      </x:c>
      <x:c r="C598" s="2" t="str">
        <x:v>500283656</x:v>
      </x:c>
      <x:c r="D598" s="2" t="n">
        <x:v>3</x:v>
      </x:c>
      <x:c r="E598" s="9"/>
      <x:c r="F598" s="2" t="n">
        <x:f>IF(E598="",D598,IF(E598="U","U",IF(AND(ISNUMBER(E598),E598&gt;=0,E598&lt;=3,INT(E598)=E598),E598,"Invalid")))</x:f>
        <x:v>3</x:v>
      </x:c>
      <x:c r="G598" s="2" t="n">
        <x:f>IF(ISNUMBER(F598),1,0)</x:f>
        <x:v>1</x:v>
      </x:c>
      <x:c r="H598" s="2" t="n">
        <x:f>IF(ISNUMBER(F598),IF(F598&gt;=2,1,0),0)</x:f>
        <x:v>1</x:v>
      </x:c>
      <x:c r="I598" s="11" t="n">
        <x:f>IF(ISNUMBER(F598),2^F598-1,0)</x:f>
        <x:v>7</x:v>
      </x:c>
      <x:c r="J598" s="2" t="str">
        <x:v>Retained supplemental 42</x:v>
      </x:c>
      <x:c r="K598" s="10" t="n">
        <x:v>3500</x:v>
      </x:c>
      <x:c r="L598" s="10" t="n">
        <x:v>3</x:v>
      </x:c>
      <x:c r="M598" s="10" t="n">
        <x:v>1012</x:v>
      </x:c>
      <x:c r="N598" s="2" t="str">
        <x:v>D18</x:v>
      </x:c>
      <x:c r="O598" s="2" t="str">
        <x:v>hdb flat</x:v>
      </x:c>
      <x:c r="P598" s="2" t="str">
        <x:v>https://www.propertyguru.com.sg/listing/hdb-for-rent-520-pasir-ris-street-52-500283656</x:v>
      </x:c>
      <x:c r="Q598" s="12" t="str">
        <x:v>Mandatory area, bedrooms and rent pass. D18 is met at SGD 3,500, matching original strong-fit D18 anchors.</x:v>
      </x:c>
      <x:c r="R598" s="13"/>
    </x:row>
    <x:row r="599" ht="36" hidden="0" customHeight="1">
      <x:c r="A599" s="2" t="str">
        <x:v>S09|60052971</x:v>
      </x:c>
      <x:c r="B599" s="2" t="str">
        <x:v>S09</x:v>
      </x:c>
      <x:c r="C599" s="2" t="str">
        <x:v>60052971</x:v>
      </x:c>
      <x:c r="D599" s="2" t="n">
        <x:v>2</x:v>
      </x:c>
      <x:c r="E599" s="9"/>
      <x:c r="F599" s="2" t="n">
        <x:f>IF(E599="",D599,IF(E599="U","U",IF(AND(ISNUMBER(E599),E599&gt;=0,E599&lt;=3,INT(E599)=E599),E599,"Invalid")))</x:f>
        <x:v>2</x:v>
      </x:c>
      <x:c r="G599" s="2" t="n">
        <x:f>IF(ISNUMBER(F599),1,0)</x:f>
        <x:v>1</x:v>
      </x:c>
      <x:c r="H599" s="2" t="n">
        <x:f>IF(ISNUMBER(F599),IF(F599&gt;=2,1,0),0)</x:f>
        <x:v>1</x:v>
      </x:c>
      <x:c r="I599" s="11" t="n">
        <x:f>IF(ISNUMBER(F599),2^F599-1,0)</x:f>
        <x:v>3</x:v>
      </x:c>
      <x:c r="J599" s="2" t="str">
        <x:v>Retained supplemental 42</x:v>
      </x:c>
      <x:c r="K599" s="10" t="n">
        <x:v>3600</x:v>
      </x:c>
      <x:c r="L599" s="10" t="n">
        <x:v>3</x:v>
      </x:c>
      <x:c r="M599" s="10" t="n">
        <x:v>1109</x:v>
      </x:c>
      <x:c r="N599" s="2" t="str">
        <x:v>D18</x:v>
      </x:c>
      <x:c r="O599" s="2" t="str">
        <x:v>hdb flat</x:v>
      </x:c>
      <x:c r="P599" s="2" t="str">
        <x:v>https://www.propertyguru.com.sg/listing/hdb-for-rent-730-tampines-street-71-60052971</x:v>
      </x:c>
      <x:c r="Q599" s="12" t="str">
        <x:v>Mandatory area, bedrooms and rent pass, and D18 is met. SGD 3,600 is above the original grade-3 savings anchors at SGD 3,500 or below, so a conservative grade 2 preserves the location-price trade-off.</x:v>
      </x:c>
      <x:c r="R599" s="13"/>
    </x:row>
    <x:row r="600" ht="36" hidden="0" customHeight="1">
      <x:c r="A600" s="2" t="str">
        <x:v>S09|60179146</x:v>
      </x:c>
      <x:c r="B600" s="2" t="str">
        <x:v>S09</x:v>
      </x:c>
      <x:c r="C600" s="2" t="str">
        <x:v>60179146</x:v>
      </x:c>
      <x:c r="D600" s="2" t="n">
        <x:v>2</x:v>
      </x:c>
      <x:c r="E600" s="9"/>
      <x:c r="F600" s="2" t="n">
        <x:f>IF(E600="",D600,IF(E600="U","U",IF(AND(ISNUMBER(E600),E600&gt;=0,E600&lt;=3,INT(E600)=E600),E600,"Invalid")))</x:f>
        <x:v>2</x:v>
      </x:c>
      <x:c r="G600" s="2" t="n">
        <x:f>IF(ISNUMBER(F600),1,0)</x:f>
        <x:v>1</x:v>
      </x:c>
      <x:c r="H600" s="2" t="n">
        <x:f>IF(ISNUMBER(F600),IF(F600&gt;=2,1,0),0)</x:f>
        <x:v>1</x:v>
      </x:c>
      <x:c r="I600" s="11" t="n">
        <x:f>IF(ISNUMBER(F600),2^F600-1,0)</x:f>
        <x:v>3</x:v>
      </x:c>
      <x:c r="J600" s="2" t="str">
        <x:v>Retained supplemental 42</x:v>
      </x:c>
      <x:c r="K600" s="10" t="n">
        <x:v>3600</x:v>
      </x:c>
      <x:c r="L600" s="10" t="n">
        <x:v>3</x:v>
      </x:c>
      <x:c r="M600" s="10" t="n">
        <x:v>1378</x:v>
      </x:c>
      <x:c r="N600" s="2" t="str">
        <x:v>D18</x:v>
      </x:c>
      <x:c r="O600" s="2" t="str">
        <x:v>hdb flat</x:v>
      </x:c>
      <x:c r="P600" s="2" t="str">
        <x:v>https://www.propertyguru.com.sg/listing/hdb-for-rent-757-pasir-ris-street-71-60179146</x:v>
      </x:c>
      <x:c r="Q600" s="12" t="str">
        <x:v>Mandatory area, bedrooms and rent pass, and D18 is met. SGD 3,600 is above the original grade-3 savings anchors at SGD 3,500 or below, so a conservative grade 2 preserves the location-price trade-off.</x:v>
      </x:c>
      <x:c r="R600" s="13"/>
    </x:row>
    <x:row r="601" ht="36" hidden="0" customHeight="1">
      <x:c r="A601" s="2" t="str">
        <x:v>S10|25115782</x:v>
      </x:c>
      <x:c r="B601" s="2" t="str">
        <x:v>S10</x:v>
      </x:c>
      <x:c r="C601" s="2" t="str">
        <x:v>25115782</x:v>
      </x:c>
      <x:c r="D601" s="2" t="n">
        <x:v>2</x:v>
      </x:c>
      <x:c r="E601" s="9"/>
      <x:c r="F601" s="2" t="n">
        <x:f>IF(E601="",D601,IF(E601="U","U",IF(AND(ISNUMBER(E601),E601&gt;=0,E601&lt;=3,INT(E601)=E601),E601,"Invalid")))</x:f>
        <x:v>2</x:v>
      </x:c>
      <x:c r="G601" s="2" t="n">
        <x:f>IF(ISNUMBER(F601),1,0)</x:f>
        <x:v>1</x:v>
      </x:c>
      <x:c r="H601" s="2" t="n">
        <x:f>IF(ISNUMBER(F601),IF(F601&gt;=2,1,0),0)</x:f>
        <x:v>1</x:v>
      </x:c>
      <x:c r="I601" s="11" t="n">
        <x:f>IF(ISNUMBER(F601),2^F601-1,0)</x:f>
        <x:v>3</x:v>
      </x:c>
      <x:c r="J601" s="2" t="str">
        <x:v>Retained supplemental 42</x:v>
      </x:c>
      <x:c r="K601" s="10" t="n">
        <x:v>6900</x:v>
      </x:c>
      <x:c r="L601" s="10" t="n">
        <x:v>4</x:v>
      </x:c>
      <x:c r="M601" s="10" t="n">
        <x:v>3500</x:v>
      </x:c>
      <x:c r="N601" s="2" t="str">
        <x:v>D17</x:v>
      </x:c>
      <x:c r="O601" s="2" t="str">
        <x:v>semi-detached house</x:v>
      </x:c>
      <x:c r="P601" s="2" t="str">
        <x:v>https://www.propertyguru.com.sg/listing/for-rent-loyang-terrace-25115782</x:v>
      </x:c>
      <x:c r="Q601" s="12" t="str">
        <x:v>The accepted landed type and mandatory limits pass. The reported 3,500 sqft at SGD 6,900 matches the original 3,500 sqft / SGD 6,800 grade-2 anchor rather than the approximately 4,000 sqft strong-fit alternatives.</x:v>
      </x:c>
      <x:c r="R601" s="13"/>
    </x:row>
    <x:row r="602" ht="36" hidden="0" customHeight="1">
      <x:c r="A602" s="2" t="str">
        <x:v>S11|23368920</x:v>
      </x:c>
      <x:c r="B602" s="2" t="str">
        <x:v>S11</x:v>
      </x:c>
      <x:c r="C602" s="2" t="str">
        <x:v>23368920</x:v>
      </x:c>
      <x:c r="D602" s="2" t="n">
        <x:v>2</x:v>
      </x:c>
      <x:c r="E602" s="9"/>
      <x:c r="F602" s="2" t="n">
        <x:f>IF(E602="",D602,IF(E602="U","U",IF(AND(ISNUMBER(E602),E602&gt;=0,E602&lt;=3,INT(E602)=E602),E602,"Invalid")))</x:f>
        <x:v>2</x:v>
      </x:c>
      <x:c r="G602" s="2" t="n">
        <x:f>IF(ISNUMBER(F602),1,0)</x:f>
        <x:v>1</x:v>
      </x:c>
      <x:c r="H602" s="2" t="n">
        <x:f>IF(ISNUMBER(F602),IF(F602&gt;=2,1,0),0)</x:f>
        <x:v>1</x:v>
      </x:c>
      <x:c r="I602" s="11" t="n">
        <x:f>IF(ISNUMBER(F602),2^F602-1,0)</x:f>
        <x:v>3</x:v>
      </x:c>
      <x:c r="J602" s="2" t="str">
        <x:v>Retained supplemental 42</x:v>
      </x:c>
      <x:c r="K602" s="10" t="n">
        <x:v>1300</x:v>
      </x:c>
      <x:c r="L602" s="10" t="n">
        <x:v>1</x:v>
      </x:c>
      <x:c r="M602" s="10" t="n">
        <x:v>102</x:v>
      </x:c>
      <x:c r="N602" s="2" t="str">
        <x:v>D10</x:v>
      </x:c>
      <x:c r="O602" s="2" t="str">
        <x:v>hdb flat</x:v>
      </x:c>
      <x:c r="P602" s="2" t="str">
        <x:v>https://www.propertyguru.com.sg/listing/hdb-for-rent-18d-holland-drive-23368920</x:v>
      </x:c>
      <x:c r="Q602" s="12" t="str">
        <x:v>The hard 3,000 m NUS radius is satisfied. About 2.2 km at SGD 1,300-1,450 offers a price saving with a proximity trade-off, consistent with the original approximately 2,206-2,212 m extension grade-2 anchors.</x:v>
      </x:c>
      <x:c r="R602" s="13"/>
    </x:row>
    <x:row r="603" ht="36" hidden="0" customHeight="1">
      <x:c r="A603" s="2" t="str">
        <x:v>S11|500215736</x:v>
      </x:c>
      <x:c r="B603" s="2" t="str">
        <x:v>S11</x:v>
      </x:c>
      <x:c r="C603" s="2" t="str">
        <x:v>500215736</x:v>
      </x:c>
      <x:c r="D603" s="2" t="n">
        <x:v>2</x:v>
      </x:c>
      <x:c r="E603" s="9"/>
      <x:c r="F603" s="2" t="n">
        <x:f>IF(E603="",D603,IF(E603="U","U",IF(AND(ISNUMBER(E603),E603&gt;=0,E603&lt;=3,INT(E603)=E603),E603,"Invalid")))</x:f>
        <x:v>2</x:v>
      </x:c>
      <x:c r="G603" s="2" t="n">
        <x:f>IF(ISNUMBER(F603),1,0)</x:f>
        <x:v>1</x:v>
      </x:c>
      <x:c r="H603" s="2" t="n">
        <x:f>IF(ISNUMBER(F603),IF(F603&gt;=2,1,0),0)</x:f>
        <x:v>1</x:v>
      </x:c>
      <x:c r="I603" s="11" t="n">
        <x:f>IF(ISNUMBER(F603),2^F603-1,0)</x:f>
        <x:v>3</x:v>
      </x:c>
      <x:c r="J603" s="2" t="str">
        <x:v>Retained supplemental 42</x:v>
      </x:c>
      <x:c r="K603" s="10" t="n">
        <x:v>1450</x:v>
      </x:c>
      <x:c r="L603" s="10" t="n">
        <x:v>1</x:v>
      </x:c>
      <x:c r="M603" s="10" t="n">
        <x:v>721</x:v>
      </x:c>
      <x:c r="N603" s="2" t="str">
        <x:v>D05</x:v>
      </x:c>
      <x:c r="O603" s="2" t="str">
        <x:v>hdb flat</x:v>
      </x:c>
      <x:c r="P603" s="2" t="str">
        <x:v>https://www.propertyguru.com.sg/listing/hdb-for-rent-701-west-coast-road-500215736</x:v>
      </x:c>
      <x:c r="Q603" s="12" t="str">
        <x:v>The hard 3,000 m NUS radius is satisfied. About 2.2 km at SGD 1,300-1,450 offers a price saving with a proximity trade-off, consistent with the original approximately 2,206-2,212 m extension grade-2 anchors.</x:v>
      </x:c>
      <x:c r="R603" s="13"/>
    </x:row>
    <x:row r="604" ht="48" hidden="0" customHeight="1">
      <x:c r="A604" s="2" t="str">
        <x:v>S12|24176266</x:v>
      </x:c>
      <x:c r="B604" s="2" t="str">
        <x:v>S12</x:v>
      </x:c>
      <x:c r="C604" s="2" t="str">
        <x:v>24176266</x:v>
      </x:c>
      <x:c r="D604" s="2" t="n">
        <x:v>2</x:v>
      </x:c>
      <x:c r="E604" s="9"/>
      <x:c r="F604" s="2" t="n">
        <x:f>IF(E604="",D604,IF(E604="U","U",IF(AND(ISNUMBER(E604),E604&gt;=0,E604&lt;=3,INT(E604)=E604),E604,"Invalid")))</x:f>
        <x:v>2</x:v>
      </x:c>
      <x:c r="G604" s="2" t="n">
        <x:f>IF(ISNUMBER(F604),1,0)</x:f>
        <x:v>1</x:v>
      </x:c>
      <x:c r="H604" s="2" t="n">
        <x:f>IF(ISNUMBER(F604),IF(F604&gt;=2,1,0),0)</x:f>
        <x:v>1</x:v>
      </x:c>
      <x:c r="I604" s="11" t="n">
        <x:f>IF(ISNUMBER(F604),2^F604-1,0)</x:f>
        <x:v>3</x:v>
      </x:c>
      <x:c r="J604" s="2" t="str">
        <x:v>Retained supplemental 42</x:v>
      </x:c>
      <x:c r="K604" s="10" t="n">
        <x:v>4200</x:v>
      </x:c>
      <x:c r="L604" s="10" t="n">
        <x:v>3</x:v>
      </x:c>
      <x:c r="M604" s="10" t="n">
        <x:v>914</x:v>
      </x:c>
      <x:c r="N604" s="2" t="str">
        <x:v>D03</x:v>
      </x:c>
      <x:c r="O604" s="2" t="str">
        <x:v>hdb flat</x:v>
      </x:c>
      <x:c r="P604" s="2" t="str">
        <x:v>https://www.propertyguru.com.sg/listing/hdb-for-rent-161-mei-ling-street-24176266</x:v>
      </x:c>
      <x:c r="Q604" s="12" t="str">
        <x:v>The mandatory limits and 5,000 m NUS radius pass, and 914 sqft meets the size preference. Rent of SGD 4,200 is a material trade-off against original SGD 3,300-3,980 strong-fit size-matching anchors, consistent with the existing high-rent grade-2 alternative.</x:v>
      </x:c>
      <x:c r="R604" s="13"/>
    </x:row>
    <x:row r="605" ht="48" hidden="0" customHeight="1">
      <x:c r="A605" s="2" t="str">
        <x:v>S13|500229237</x:v>
      </x:c>
      <x:c r="B605" s="2" t="str">
        <x:v>S13</x:v>
      </x:c>
      <x:c r="C605" s="2" t="str">
        <x:v>500229237</x:v>
      </x:c>
      <x:c r="D605" s="2" t="n">
        <x:v>2</x:v>
      </x:c>
      <x:c r="E605" s="9"/>
      <x:c r="F605" s="2" t="n">
        <x:f>IF(E605="",D605,IF(E605="U","U",IF(AND(ISNUMBER(E605),E605&gt;=0,E605&lt;=3,INT(E605)=E605),E605,"Invalid")))</x:f>
        <x:v>2</x:v>
      </x:c>
      <x:c r="G605" s="2" t="n">
        <x:f>IF(ISNUMBER(F605),1,0)</x:f>
        <x:v>1</x:v>
      </x:c>
      <x:c r="H605" s="2" t="n">
        <x:f>IF(ISNUMBER(F605),IF(F605&gt;=2,1,0),0)</x:f>
        <x:v>1</x:v>
      </x:c>
      <x:c r="I605" s="11" t="n">
        <x:f>IF(ISNUMBER(F605),2^F605-1,0)</x:f>
        <x:v>3</x:v>
      </x:c>
      <x:c r="J605" s="2" t="str">
        <x:v>Retained supplemental 42</x:v>
      </x:c>
      <x:c r="K605" s="10" t="n">
        <x:v>900</x:v>
      </x:c>
      <x:c r="L605" s="10" t="n">
        <x:v>1</x:v>
      </x:c>
      <x:c r="M605" s="10" t="n">
        <x:v>118</x:v>
      </x:c>
      <x:c r="N605" s="2" t="str">
        <x:v>D22</x:v>
      </x:c>
      <x:c r="O605" s="2" t="str">
        <x:v>hdb flat</x:v>
      </x:c>
      <x:c r="P605" s="2" t="str">
        <x:v>https://www.propertyguru.com.sg/listing/hdb-for-rent-21-teban-gardens-road-500229237</x:v>
      </x:c>
      <x:c r="Q605" s="12" t="str">
        <x:v>About 5,410 m is a clear shortfall against the closest NUS options, but SGD 900 provides a substantial saving. Provisional useful trade-off relative to original 3.8-4.3 km / SGD 700-1,300 grade-2 anchors; this distance extrapolation needs human review.</x:v>
      </x:c>
      <x:c r="R605" s="13"/>
    </x:row>
    <x:row r="606" ht="36" hidden="0" customHeight="1">
      <x:c r="A606" s="2" t="str">
        <x:v>S14|500151464</x:v>
      </x:c>
      <x:c r="B606" s="2" t="str">
        <x:v>S14</x:v>
      </x:c>
      <x:c r="C606" s="2" t="str">
        <x:v>500151464</x:v>
      </x:c>
      <x:c r="D606" s="2" t="n">
        <x:v>2</x:v>
      </x:c>
      <x:c r="E606" s="9"/>
      <x:c r="F606" s="2" t="n">
        <x:f>IF(E606="",D606,IF(E606="U","U",IF(AND(ISNUMBER(E606),E606&gt;=0,E606&lt;=3,INT(E606)=E606),E606,"Invalid")))</x:f>
        <x:v>2</x:v>
      </x:c>
      <x:c r="G606" s="2" t="n">
        <x:f>IF(ISNUMBER(F606),1,0)</x:f>
        <x:v>1</x:v>
      </x:c>
      <x:c r="H606" s="2" t="n">
        <x:f>IF(ISNUMBER(F606),IF(F606&gt;=2,1,0),0)</x:f>
        <x:v>1</x:v>
      </x:c>
      <x:c r="I606" s="11" t="n">
        <x:f>IF(ISNUMBER(F606),2^F606-1,0)</x:f>
        <x:v>3</x:v>
      </x:c>
      <x:c r="J606" s="2" t="str">
        <x:v>Retained supplemental 42</x:v>
      </x:c>
      <x:c r="K606" s="10" t="n">
        <x:v>600</x:v>
      </x:c>
      <x:c r="L606" s="10" t="n">
        <x:v>1</x:v>
      </x:c>
      <x:c r="M606" s="10"/>
      <x:c r="N606" s="2" t="str">
        <x:v>D12</x:v>
      </x:c>
      <x:c r="O606" s="2" t="str">
        <x:v>hdb flat</x:v>
      </x:c>
      <x:c r="P606" s="2" t="str">
        <x:v>https://www.propertyguru.com.sg/listing/hdb-for-rent-98-whampoa-drive-500151464</x:v>
      </x:c>
      <x:c r="Q606" s="12" t="str">
        <x:v>SGD 600-900 strongly supports the primary saving preference, with a substantial 7.7-15.1 km NUS-distance trade-off. This follows original cheap but 9-17 km grade-2 anchors; missing floor area is not a mandatory failure in this scenario.</x:v>
      </x:c>
      <x:c r="R606" s="13"/>
    </x:row>
    <x:row r="607" ht="36" hidden="0" customHeight="1">
      <x:c r="A607" s="2" t="str">
        <x:v>S14|500267182</x:v>
      </x:c>
      <x:c r="B607" s="2" t="str">
        <x:v>S14</x:v>
      </x:c>
      <x:c r="C607" s="2" t="str">
        <x:v>500267182</x:v>
      </x:c>
      <x:c r="D607" s="2" t="n">
        <x:v>2</x:v>
      </x:c>
      <x:c r="E607" s="9"/>
      <x:c r="F607" s="2" t="n">
        <x:f>IF(E607="",D607,IF(E607="U","U",IF(AND(ISNUMBER(E607),E607&gt;=0,E607&lt;=3,INT(E607)=E607),E607,"Invalid")))</x:f>
        <x:v>2</x:v>
      </x:c>
      <x:c r="G607" s="2" t="n">
        <x:f>IF(ISNUMBER(F607),1,0)</x:f>
        <x:v>1</x:v>
      </x:c>
      <x:c r="H607" s="2" t="n">
        <x:f>IF(ISNUMBER(F607),IF(F607&gt;=2,1,0),0)</x:f>
        <x:v>1</x:v>
      </x:c>
      <x:c r="I607" s="11" t="n">
        <x:f>IF(ISNUMBER(F607),2^F607-1,0)</x:f>
        <x:v>3</x:v>
      </x:c>
      <x:c r="J607" s="2" t="str">
        <x:v>Retained supplemental 42</x:v>
      </x:c>
      <x:c r="K607" s="10" t="n">
        <x:v>700</x:v>
      </x:c>
      <x:c r="L607" s="10" t="n">
        <x:v>1</x:v>
      </x:c>
      <x:c r="M607" s="10" t="n">
        <x:v>150</x:v>
      </x:c>
      <x:c r="N607" s="2" t="str">
        <x:v>D23</x:v>
      </x:c>
      <x:c r="O607" s="2" t="str">
        <x:v>hdb flat</x:v>
      </x:c>
      <x:c r="P607" s="2" t="str">
        <x:v>https://www.propertyguru.com.sg/listing/hdb-for-rent-253-bangkit-road-500267182</x:v>
      </x:c>
      <x:c r="Q607" s="12" t="str">
        <x:v>SGD 600-900 strongly supports the primary saving preference, with a substantial 7.7-15.1 km NUS-distance trade-off. This follows original cheap but 9-17 km grade-2 anchors; missing floor area is not a mandatory failure in this scenario.</x:v>
      </x:c>
      <x:c r="R607" s="13"/>
    </x:row>
    <x:row r="608" ht="36" hidden="0" customHeight="1">
      <x:c r="A608" s="2" t="str">
        <x:v>S14|500267278</x:v>
      </x:c>
      <x:c r="B608" s="2" t="str">
        <x:v>S14</x:v>
      </x:c>
      <x:c r="C608" s="2" t="str">
        <x:v>500267278</x:v>
      </x:c>
      <x:c r="D608" s="2" t="n">
        <x:v>2</x:v>
      </x:c>
      <x:c r="E608" s="9"/>
      <x:c r="F608" s="2" t="n">
        <x:f>IF(E608="",D608,IF(E608="U","U",IF(AND(ISNUMBER(E608),E608&gt;=0,E608&lt;=3,INT(E608)=E608),E608,"Invalid")))</x:f>
        <x:v>2</x:v>
      </x:c>
      <x:c r="G608" s="2" t="n">
        <x:f>IF(ISNUMBER(F608),1,0)</x:f>
        <x:v>1</x:v>
      </x:c>
      <x:c r="H608" s="2" t="n">
        <x:f>IF(ISNUMBER(F608),IF(F608&gt;=2,1,0),0)</x:f>
        <x:v>1</x:v>
      </x:c>
      <x:c r="I608" s="11" t="n">
        <x:f>IF(ISNUMBER(F608),2^F608-1,0)</x:f>
        <x:v>3</x:v>
      </x:c>
      <x:c r="J608" s="2" t="str">
        <x:v>Retained supplemental 42</x:v>
      </x:c>
      <x:c r="K608" s="10" t="n">
        <x:v>900</x:v>
      </x:c>
      <x:c r="L608" s="10" t="n">
        <x:v>1</x:v>
      </x:c>
      <x:c r="M608" s="10"/>
      <x:c r="N608" s="2" t="str">
        <x:v>D12</x:v>
      </x:c>
      <x:c r="O608" s="2" t="str">
        <x:v>hdb flat</x:v>
      </x:c>
      <x:c r="P608" s="2" t="str">
        <x:v>https://www.propertyguru.com.sg/listing/hdb-for-rent-50-lorong-5-toa-payoh-500267278</x:v>
      </x:c>
      <x:c r="Q608" s="12" t="str">
        <x:v>SGD 600-900 strongly supports the primary saving preference, with a substantial 7.7-15.1 km NUS-distance trade-off. This follows original cheap but 9-17 km grade-2 anchors; missing floor area is not a mandatory failure in this scenario.</x:v>
      </x:c>
      <x:c r="R608" s="13"/>
    </x:row>
    <x:row r="609" ht="36" hidden="0" customHeight="1">
      <x:c r="A609" s="2" t="str">
        <x:v>S14|500271520</x:v>
      </x:c>
      <x:c r="B609" s="2" t="str">
        <x:v>S14</x:v>
      </x:c>
      <x:c r="C609" s="2" t="str">
        <x:v>500271520</x:v>
      </x:c>
      <x:c r="D609" s="2" t="n">
        <x:v>2</x:v>
      </x:c>
      <x:c r="E609" s="9"/>
      <x:c r="F609" s="2" t="n">
        <x:f>IF(E609="",D609,IF(E609="U","U",IF(AND(ISNUMBER(E609),E609&gt;=0,E609&lt;=3,INT(E609)=E609),E609,"Invalid")))</x:f>
        <x:v>2</x:v>
      </x:c>
      <x:c r="G609" s="2" t="n">
        <x:f>IF(ISNUMBER(F609),1,0)</x:f>
        <x:v>1</x:v>
      </x:c>
      <x:c r="H609" s="2" t="n">
        <x:f>IF(ISNUMBER(F609),IF(F609&gt;=2,1,0),0)</x:f>
        <x:v>1</x:v>
      </x:c>
      <x:c r="I609" s="11" t="n">
        <x:f>IF(ISNUMBER(F609),2^F609-1,0)</x:f>
        <x:v>3</x:v>
      </x:c>
      <x:c r="J609" s="2" t="str">
        <x:v>Retained supplemental 42</x:v>
      </x:c>
      <x:c r="K609" s="10" t="n">
        <x:v>750</x:v>
      </x:c>
      <x:c r="L609" s="10" t="n">
        <x:v>1</x:v>
      </x:c>
      <x:c r="M609" s="10"/>
      <x:c r="N609" s="2" t="str">
        <x:v>D22</x:v>
      </x:c>
      <x:c r="O609" s="2" t="str">
        <x:v>hdb flat</x:v>
      </x:c>
      <x:c r="P609" s="2" t="str">
        <x:v>https://www.propertyguru.com.sg/listing/hdb-for-rent-361-yung-an-road-500271520</x:v>
      </x:c>
      <x:c r="Q609" s="12" t="str">
        <x:v>SGD 600-900 strongly supports the primary saving preference, with a substantial 7.7-15.1 km NUS-distance trade-off. This follows original cheap but 9-17 km grade-2 anchors; missing floor area is not a mandatory failure in this scenario.</x:v>
      </x:c>
      <x:c r="R609" s="13"/>
    </x:row>
    <x:row r="610" ht="36" hidden="0" customHeight="1">
      <x:c r="A610" s="2" t="str">
        <x:v>S14|500281216</x:v>
      </x:c>
      <x:c r="B610" s="2" t="str">
        <x:v>S14</x:v>
      </x:c>
      <x:c r="C610" s="2" t="str">
        <x:v>500281216</x:v>
      </x:c>
      <x:c r="D610" s="2" t="n">
        <x:v>2</x:v>
      </x:c>
      <x:c r="E610" s="9"/>
      <x:c r="F610" s="2" t="n">
        <x:f>IF(E610="",D610,IF(E610="U","U",IF(AND(ISNUMBER(E610),E610&gt;=0,E610&lt;=3,INT(E610)=E610),E610,"Invalid")))</x:f>
        <x:v>2</x:v>
      </x:c>
      <x:c r="G610" s="2" t="n">
        <x:f>IF(ISNUMBER(F610),1,0)</x:f>
        <x:v>1</x:v>
      </x:c>
      <x:c r="H610" s="2" t="n">
        <x:f>IF(ISNUMBER(F610),IF(F610&gt;=2,1,0),0)</x:f>
        <x:v>1</x:v>
      </x:c>
      <x:c r="I610" s="11" t="n">
        <x:f>IF(ISNUMBER(F610),2^F610-1,0)</x:f>
        <x:v>3</x:v>
      </x:c>
      <x:c r="J610" s="2" t="str">
        <x:v>Retained supplemental 42</x:v>
      </x:c>
      <x:c r="K610" s="10" t="n">
        <x:v>760</x:v>
      </x:c>
      <x:c r="L610" s="10" t="n">
        <x:v>1</x:v>
      </x:c>
      <x:c r="M610" s="10" t="n">
        <x:v>215</x:v>
      </x:c>
      <x:c r="N610" s="2" t="str">
        <x:v>D19</x:v>
      </x:c>
      <x:c r="O610" s="2" t="str">
        <x:v>hdb flat</x:v>
      </x:c>
      <x:c r="P610" s="2" t="str">
        <x:v>https://www.propertyguru.com.sg/listing/hdb-for-rent-133-lorong-ah-soo-500281216</x:v>
      </x:c>
      <x:c r="Q610" s="12" t="str">
        <x:v>SGD 600-900 strongly supports the primary saving preference, with a substantial 7.7-15.1 km NUS-distance trade-off. This follows original cheap but 9-17 km grade-2 anchors; missing floor area is not a mandatory failure in this scenario.</x:v>
      </x:c>
      <x:c r="R610" s="13"/>
    </x:row>
    <x:row r="611" ht="36" hidden="0" customHeight="1">
      <x:c r="A611" s="2" t="str">
        <x:v>S14|500282319</x:v>
      </x:c>
      <x:c r="B611" s="2" t="str">
        <x:v>S14</x:v>
      </x:c>
      <x:c r="C611" s="2" t="str">
        <x:v>500282319</x:v>
      </x:c>
      <x:c r="D611" s="2" t="n">
        <x:v>2</x:v>
      </x:c>
      <x:c r="E611" s="9"/>
      <x:c r="F611" s="2" t="n">
        <x:f>IF(E611="",D611,IF(E611="U","U",IF(AND(ISNUMBER(E611),E611&gt;=0,E611&lt;=3,INT(E611)=E611),E611,"Invalid")))</x:f>
        <x:v>2</x:v>
      </x:c>
      <x:c r="G611" s="2" t="n">
        <x:f>IF(ISNUMBER(F611),1,0)</x:f>
        <x:v>1</x:v>
      </x:c>
      <x:c r="H611" s="2" t="n">
        <x:f>IF(ISNUMBER(F611),IF(F611&gt;=2,1,0),0)</x:f>
        <x:v>1</x:v>
      </x:c>
      <x:c r="I611" s="11" t="n">
        <x:f>IF(ISNUMBER(F611),2^F611-1,0)</x:f>
        <x:v>3</x:v>
      </x:c>
      <x:c r="J611" s="2" t="str">
        <x:v>Retained supplemental 42</x:v>
      </x:c>
      <x:c r="K611" s="10" t="n">
        <x:v>700</x:v>
      </x:c>
      <x:c r="L611" s="10" t="n">
        <x:v>1</x:v>
      </x:c>
      <x:c r="M611" s="10"/>
      <x:c r="N611" s="2" t="str">
        <x:v>D25</x:v>
      </x:c>
      <x:c r="O611" s="2" t="str">
        <x:v>hdb flat</x:v>
      </x:c>
      <x:c r="P611" s="2" t="str">
        <x:v>https://www.propertyguru.com.sg/listing/hdb-for-rent-351-woodlands-avenue-1-500282319</x:v>
      </x:c>
      <x:c r="Q611" s="12" t="str">
        <x:v>SGD 600-900 strongly supports the primary saving preference, with a substantial 7.7-15.1 km NUS-distance trade-off. This follows original cheap but 9-17 km grade-2 anchors; missing floor area is not a mandatory failure in this scenario.</x:v>
      </x:c>
      <x:c r="R611" s="13"/>
    </x:row>
    <x:row r="612" ht="36" hidden="0" customHeight="1">
      <x:c r="A612" s="2" t="str">
        <x:v>S15|18885948</x:v>
      </x:c>
      <x:c r="B612" s="2" t="str">
        <x:v>S15</x:v>
      </x:c>
      <x:c r="C612" s="2" t="str">
        <x:v>18885948</x:v>
      </x:c>
      <x:c r="D612" s="2" t="n">
        <x:v>2</x:v>
      </x:c>
      <x:c r="E612" s="9"/>
      <x:c r="F612" s="2" t="n">
        <x:f>IF(E612="",D612,IF(E612="U","U",IF(AND(ISNUMBER(E612),E612&gt;=0,E612&lt;=3,INT(E612)=E612),E612,"Invalid")))</x:f>
        <x:v>2</x:v>
      </x:c>
      <x:c r="G612" s="2" t="n">
        <x:f>IF(ISNUMBER(F612),1,0)</x:f>
        <x:v>1</x:v>
      </x:c>
      <x:c r="H612" s="2" t="n">
        <x:f>IF(ISNUMBER(F612),IF(F612&gt;=2,1,0),0)</x:f>
        <x:v>1</x:v>
      </x:c>
      <x:c r="I612" s="11" t="n">
        <x:f>IF(ISNUMBER(F612),2^F612-1,0)</x:f>
        <x:v>3</x:v>
      </x:c>
      <x:c r="J612" s="2" t="str">
        <x:v>Retained supplemental 42</x:v>
      </x:c>
      <x:c r="K612" s="10" t="n">
        <x:v>3980</x:v>
      </x:c>
      <x:c r="L612" s="10" t="n">
        <x:v>3</x:v>
      </x:c>
      <x:c r="M612" s="10" t="n">
        <x:v>979</x:v>
      </x:c>
      <x:c r="N612" s="2" t="str">
        <x:v>D05</x:v>
      </x:c>
      <x:c r="O612" s="2" t="str">
        <x:v>hdb flat</x:v>
      </x:c>
      <x:c r="P612" s="2" t="str">
        <x:v>https://www.propertyguru.com.sg/listing/hdb-for-rent-511-west-coast-drive-18885948</x:v>
      </x:c>
      <x:c r="Q612" s="12" t="str">
        <x:v>D05 meets the primary preference. Reported area of 721-979 sqft misses the secondary 1,000 sqft target, consistent with original D05 grade-2 anchors at 732-980 sqft.</x:v>
      </x:c>
      <x:c r="R612" s="13"/>
    </x:row>
    <x:row r="613" ht="36" hidden="0" customHeight="1">
      <x:c r="A613" s="2" t="str">
        <x:v>S15|19266007</x:v>
      </x:c>
      <x:c r="B613" s="2" t="str">
        <x:v>S15</x:v>
      </x:c>
      <x:c r="C613" s="2" t="str">
        <x:v>19266007</x:v>
      </x:c>
      <x:c r="D613" s="2" t="n">
        <x:v>2</x:v>
      </x:c>
      <x:c r="E613" s="9"/>
      <x:c r="F613" s="2" t="n">
        <x:f>IF(E613="",D613,IF(E613="U","U",IF(AND(ISNUMBER(E613),E613&gt;=0,E613&lt;=3,INT(E613)=E613),E613,"Invalid")))</x:f>
        <x:v>2</x:v>
      </x:c>
      <x:c r="G613" s="2" t="n">
        <x:f>IF(ISNUMBER(F613),1,0)</x:f>
        <x:v>1</x:v>
      </x:c>
      <x:c r="H613" s="2" t="n">
        <x:f>IF(ISNUMBER(F613),IF(F613&gt;=2,1,0),0)</x:f>
        <x:v>1</x:v>
      </x:c>
      <x:c r="I613" s="11" t="n">
        <x:f>IF(ISNUMBER(F613),2^F613-1,0)</x:f>
        <x:v>3</x:v>
      </x:c>
      <x:c r="J613" s="2" t="str">
        <x:v>Retained supplemental 42</x:v>
      </x:c>
      <x:c r="K613" s="10" t="n">
        <x:v>4500</x:v>
      </x:c>
      <x:c r="L613" s="10" t="n">
        <x:v>2</x:v>
      </x:c>
      <x:c r="M613" s="10" t="n">
        <x:v>957</x:v>
      </x:c>
      <x:c r="N613" s="2" t="str">
        <x:v>D05</x:v>
      </x:c>
      <x:c r="O613" s="2" t="str">
        <x:v>condominium</x:v>
      </x:c>
      <x:c r="P613" s="2" t="str">
        <x:v>https://www.propertyguru.com.sg/listing/for-rent-regent-park-19266007</x:v>
      </x:c>
      <x:c r="Q613" s="12" t="str">
        <x:v>D05 meets the primary preference. Reported area of 721-979 sqft misses the secondary 1,000 sqft target, consistent with original D05 grade-2 anchors at 732-980 sqft.</x:v>
      </x:c>
      <x:c r="R613" s="13"/>
    </x:row>
    <x:row r="614" ht="36" hidden="0" customHeight="1">
      <x:c r="A614" s="2" t="str">
        <x:v>S15|20052544</x:v>
      </x:c>
      <x:c r="B614" s="2" t="str">
        <x:v>S15</x:v>
      </x:c>
      <x:c r="C614" s="2" t="str">
        <x:v>20052544</x:v>
      </x:c>
      <x:c r="D614" s="2" t="n">
        <x:v>2</x:v>
      </x:c>
      <x:c r="E614" s="9"/>
      <x:c r="F614" s="2" t="n">
        <x:f>IF(E614="",D614,IF(E614="U","U",IF(AND(ISNUMBER(E614),E614&gt;=0,E614&lt;=3,INT(E614)=E614),E614,"Invalid")))</x:f>
        <x:v>2</x:v>
      </x:c>
      <x:c r="G614" s="2" t="n">
        <x:f>IF(ISNUMBER(F614),1,0)</x:f>
        <x:v>1</x:v>
      </x:c>
      <x:c r="H614" s="2" t="n">
        <x:f>IF(ISNUMBER(F614),IF(F614&gt;=2,1,0),0)</x:f>
        <x:v>1</x:v>
      </x:c>
      <x:c r="I614" s="11" t="n">
        <x:f>IF(ISNUMBER(F614),2^F614-1,0)</x:f>
        <x:v>3</x:v>
      </x:c>
      <x:c r="J614" s="2" t="str">
        <x:v>Retained supplemental 42</x:v>
      </x:c>
      <x:c r="K614" s="10" t="n">
        <x:v>4500</x:v>
      </x:c>
      <x:c r="L614" s="10" t="n">
        <x:v>2</x:v>
      </x:c>
      <x:c r="M614" s="10" t="n">
        <x:v>786</x:v>
      </x:c>
      <x:c r="N614" s="2" t="str">
        <x:v>D05</x:v>
      </x:c>
      <x:c r="O614" s="2" t="str">
        <x:v>condominium</x:v>
      </x:c>
      <x:c r="P614" s="2" t="str">
        <x:v>https://www.propertyguru.com.sg/listing/for-rent-hundred-trees-20052544</x:v>
      </x:c>
      <x:c r="Q614" s="12" t="str">
        <x:v>D05 meets the primary preference. Reported area of 721-979 sqft misses the secondary 1,000 sqft target, consistent with original D05 grade-2 anchors at 732-980 sqft.</x:v>
      </x:c>
      <x:c r="R614" s="13"/>
    </x:row>
    <x:row r="615" ht="36" hidden="0" customHeight="1">
      <x:c r="A615" s="2" t="str">
        <x:v>S15|20205305</x:v>
      </x:c>
      <x:c r="B615" s="2" t="str">
        <x:v>S15</x:v>
      </x:c>
      <x:c r="C615" s="2" t="str">
        <x:v>20205305</x:v>
      </x:c>
      <x:c r="D615" s="2" t="n">
        <x:v>2</x:v>
      </x:c>
      <x:c r="E615" s="9"/>
      <x:c r="F615" s="2" t="n">
        <x:f>IF(E615="",D615,IF(E615="U","U",IF(AND(ISNUMBER(E615),E615&gt;=0,E615&lt;=3,INT(E615)=E615),E615,"Invalid")))</x:f>
        <x:v>2</x:v>
      </x:c>
      <x:c r="G615" s="2" t="n">
        <x:f>IF(ISNUMBER(F615),1,0)</x:f>
        <x:v>1</x:v>
      </x:c>
      <x:c r="H615" s="2" t="n">
        <x:f>IF(ISNUMBER(F615),IF(F615&gt;=2,1,0),0)</x:f>
        <x:v>1</x:v>
      </x:c>
      <x:c r="I615" s="11" t="n">
        <x:f>IF(ISNUMBER(F615),2^F615-1,0)</x:f>
        <x:v>3</x:v>
      </x:c>
      <x:c r="J615" s="2" t="str">
        <x:v>Retained supplemental 42</x:v>
      </x:c>
      <x:c r="K615" s="10" t="n">
        <x:v>3200</x:v>
      </x:c>
      <x:c r="L615" s="10" t="n">
        <x:v>2</x:v>
      </x:c>
      <x:c r="M615" s="10" t="n">
        <x:v>721</x:v>
      </x:c>
      <x:c r="N615" s="2" t="str">
        <x:v>D05</x:v>
      </x:c>
      <x:c r="O615" s="2" t="str">
        <x:v>hdb flat</x:v>
      </x:c>
      <x:c r="P615" s="2" t="str">
        <x:v>https://www.propertyguru.com.sg/listing/hdb-for-rent-379-clementi-avenue-5-20205305</x:v>
      </x:c>
      <x:c r="Q615" s="12" t="str">
        <x:v>D05 meets the primary preference. Reported area of 721-979 sqft misses the secondary 1,000 sqft target, consistent with original D05 grade-2 anchors at 732-980 sqft.</x:v>
      </x:c>
      <x:c r="R615" s="13"/>
    </x:row>
    <x:row r="616" ht="24" hidden="0" customHeight="1">
      <x:c r="A616" s="2" t="str">
        <x:v>S15|500251234</x:v>
      </x:c>
      <x:c r="B616" s="2" t="str">
        <x:v>S15</x:v>
      </x:c>
      <x:c r="C616" s="2" t="str">
        <x:v>500251234</x:v>
      </x:c>
      <x:c r="D616" s="2" t="n">
        <x:v>3</x:v>
      </x:c>
      <x:c r="E616" s="9"/>
      <x:c r="F616" s="2" t="n">
        <x:f>IF(E616="",D616,IF(E616="U","U",IF(AND(ISNUMBER(E616),E616&gt;=0,E616&lt;=3,INT(E616)=E616),E616,"Invalid")))</x:f>
        <x:v>3</x:v>
      </x:c>
      <x:c r="G616" s="2" t="n">
        <x:f>IF(ISNUMBER(F616),1,0)</x:f>
        <x:v>1</x:v>
      </x:c>
      <x:c r="H616" s="2" t="n">
        <x:f>IF(ISNUMBER(F616),IF(F616&gt;=2,1,0),0)</x:f>
        <x:v>1</x:v>
      </x:c>
      <x:c r="I616" s="11" t="n">
        <x:f>IF(ISNUMBER(F616),2^F616-1,0)</x:f>
        <x:v>7</x:v>
      </x:c>
      <x:c r="J616" s="2" t="str">
        <x:v>Retained supplemental 42</x:v>
      </x:c>
      <x:c r="K616" s="10" t="n">
        <x:v>3900</x:v>
      </x:c>
      <x:c r="L616" s="10" t="n">
        <x:v>3</x:v>
      </x:c>
      <x:c r="M616" s="10" t="n">
        <x:v>1000</x:v>
      </x:c>
      <x:c r="N616" s="2" t="str">
        <x:v>D05</x:v>
      </x:c>
      <x:c r="O616" s="2" t="str">
        <x:v>hdb flat</x:v>
      </x:c>
      <x:c r="P616" s="2" t="str">
        <x:v>https://www.propertyguru.com.sg/listing/hdb-for-rent-506-west-coast-drive-500251234</x:v>
      </x:c>
      <x:c r="Q616" s="12" t="str">
        <x:v>Both D05 and at least 1,000 sqft are met, as in the original grade-3 anchors. Rent and bedrooms meet mandatory limits.</x:v>
      </x:c>
      <x:c r="R616" s="13"/>
    </x:row>
    <x:row r="617" ht="24" hidden="0" customHeight="1">
      <x:c r="A617" s="2" t="str">
        <x:v>S15|500265127</x:v>
      </x:c>
      <x:c r="B617" s="2" t="str">
        <x:v>S15</x:v>
      </x:c>
      <x:c r="C617" s="2" t="str">
        <x:v>500265127</x:v>
      </x:c>
      <x:c r="D617" s="2" t="n">
        <x:v>3</x:v>
      </x:c>
      <x:c r="E617" s="9"/>
      <x:c r="F617" s="2" t="n">
        <x:f>IF(E617="",D617,IF(E617="U","U",IF(AND(ISNUMBER(E617),E617&gt;=0,E617&lt;=3,INT(E617)=E617),E617,"Invalid")))</x:f>
        <x:v>3</x:v>
      </x:c>
      <x:c r="G617" s="2" t="n">
        <x:f>IF(ISNUMBER(F617),1,0)</x:f>
        <x:v>1</x:v>
      </x:c>
      <x:c r="H617" s="2" t="n">
        <x:f>IF(ISNUMBER(F617),IF(F617&gt;=2,1,0),0)</x:f>
        <x:v>1</x:v>
      </x:c>
      <x:c r="I617" s="11" t="n">
        <x:f>IF(ISNUMBER(F617),2^F617-1,0)</x:f>
        <x:v>7</x:v>
      </x:c>
      <x:c r="J617" s="2" t="str">
        <x:v>Retained supplemental 42</x:v>
      </x:c>
      <x:c r="K617" s="10" t="n">
        <x:v>4200</x:v>
      </x:c>
      <x:c r="L617" s="10" t="n">
        <x:v>2</x:v>
      </x:c>
      <x:c r="M617" s="10" t="n">
        <x:v>1032</x:v>
      </x:c>
      <x:c r="N617" s="2" t="str">
        <x:v>D05</x:v>
      </x:c>
      <x:c r="O617" s="2" t="str">
        <x:v>hdb flat</x:v>
      </x:c>
      <x:c r="P617" s="2" t="str">
        <x:v>https://www.propertyguru.com.sg/listing/hdb-for-rent-28b-dover-crescent-500265127</x:v>
      </x:c>
      <x:c r="Q617" s="12" t="str">
        <x:v>Both D05 and at least 1,000 sqft are met, as in the original grade-3 anchors. Rent and bedrooms meet mandatory limits.</x:v>
      </x:c>
      <x:c r="R617" s="13"/>
    </x:row>
    <x:row r="618" ht="36" hidden="0" customHeight="1">
      <x:c r="A618" s="2" t="str">
        <x:v>S16|1248978</x:v>
      </x:c>
      <x:c r="B618" s="2" t="str">
        <x:v>S16</x:v>
      </x:c>
      <x:c r="C618" s="2" t="str">
        <x:v>1248978</x:v>
      </x:c>
      <x:c r="D618" s="2" t="n">
        <x:v>2</x:v>
      </x:c>
      <x:c r="E618" s="9"/>
      <x:c r="F618" s="2" t="n">
        <x:f>IF(E618="",D618,IF(E618="U","U",IF(AND(ISNUMBER(E618),E618&gt;=0,E618&lt;=3,INT(E618)=E618),E618,"Invalid")))</x:f>
        <x:v>2</x:v>
      </x:c>
      <x:c r="G618" s="2" t="n">
        <x:f>IF(ISNUMBER(F618),1,0)</x:f>
        <x:v>1</x:v>
      </x:c>
      <x:c r="H618" s="2" t="n">
        <x:f>IF(ISNUMBER(F618),IF(F618&gt;=2,1,0),0)</x:f>
        <x:v>1</x:v>
      </x:c>
      <x:c r="I618" s="11" t="n">
        <x:f>IF(ISNUMBER(F618),2^F618-1,0)</x:f>
        <x:v>3</x:v>
      </x:c>
      <x:c r="J618" s="2" t="str">
        <x:v>Retained supplemental 42</x:v>
      </x:c>
      <x:c r="K618" s="10" t="n">
        <x:v>3800</x:v>
      </x:c>
      <x:c r="L618" s="10" t="n">
        <x:v>3</x:v>
      </x:c>
      <x:c r="M618" s="10" t="n">
        <x:v>1238</x:v>
      </x:c>
      <x:c r="N618" s="2" t="str">
        <x:v>D16</x:v>
      </x:c>
      <x:c r="O618" s="2" t="str">
        <x:v>hdb flat</x:v>
      </x:c>
      <x:c r="P618" s="2" t="str">
        <x:v>https://www.propertyguru.com.sg/listing/hdb-for-rent-763-bedok-reservoir-view-1248978</x:v>
      </x:c>
      <x:c r="Q618" s="12" t="str">
        <x:v>Reported area exceeds 1,000 sqft and satisfies the primary preference. The secondary D05 preference is unmet, consistent with original larger outside-D05 grade-2 anchors.</x:v>
      </x:c>
      <x:c r="R618" s="13"/>
    </x:row>
    <x:row r="619" ht="36" hidden="0" customHeight="1">
      <x:c r="A619" s="2" t="str">
        <x:v>S16|13383072</x:v>
      </x:c>
      <x:c r="B619" s="2" t="str">
        <x:v>S16</x:v>
      </x:c>
      <x:c r="C619" s="2" t="str">
        <x:v>13383072</x:v>
      </x:c>
      <x:c r="D619" s="2" t="n">
        <x:v>2</x:v>
      </x:c>
      <x:c r="E619" s="9"/>
      <x:c r="F619" s="2" t="n">
        <x:f>IF(E619="",D619,IF(E619="U","U",IF(AND(ISNUMBER(E619),E619&gt;=0,E619&lt;=3,INT(E619)=E619),E619,"Invalid")))</x:f>
        <x:v>2</x:v>
      </x:c>
      <x:c r="G619" s="2" t="n">
        <x:f>IF(ISNUMBER(F619),1,0)</x:f>
        <x:v>1</x:v>
      </x:c>
      <x:c r="H619" s="2" t="n">
        <x:f>IF(ISNUMBER(F619),IF(F619&gt;=2,1,0),0)</x:f>
        <x:v>1</x:v>
      </x:c>
      <x:c r="I619" s="11" t="n">
        <x:f>IF(ISNUMBER(F619),2^F619-1,0)</x:f>
        <x:v>3</x:v>
      </x:c>
      <x:c r="J619" s="2" t="str">
        <x:v>Retained supplemental 42</x:v>
      </x:c>
      <x:c r="K619" s="10" t="n">
        <x:v>4500</x:v>
      </x:c>
      <x:c r="L619" s="10" t="n">
        <x:v>2</x:v>
      </x:c>
      <x:c r="M619" s="10" t="n">
        <x:v>1055</x:v>
      </x:c>
      <x:c r="N619" s="2" t="str">
        <x:v>D21</x:v>
      </x:c>
      <x:c r="O619" s="2" t="str">
        <x:v>condominium</x:v>
      </x:c>
      <x:c r="P619" s="2" t="str">
        <x:v>https://www.propertyguru.com.sg/listing/for-rent-signature-park-13383072</x:v>
      </x:c>
      <x:c r="Q619" s="12" t="str">
        <x:v>Reported area exceeds 1,000 sqft and satisfies the primary preference. The secondary D05 preference is unmet, consistent with original larger outside-D05 grade-2 anchors.</x:v>
      </x:c>
      <x:c r="R619" s="13"/>
    </x:row>
    <x:row r="620" ht="36" hidden="0" customHeight="1">
      <x:c r="A620" s="2" t="str">
        <x:v>S16|13840195</x:v>
      </x:c>
      <x:c r="B620" s="2" t="str">
        <x:v>S16</x:v>
      </x:c>
      <x:c r="C620" s="2" t="str">
        <x:v>13840195</x:v>
      </x:c>
      <x:c r="D620" s="2" t="n">
        <x:v>2</x:v>
      </x:c>
      <x:c r="E620" s="9"/>
      <x:c r="F620" s="2" t="n">
        <x:f>IF(E620="",D620,IF(E620="U","U",IF(AND(ISNUMBER(E620),E620&gt;=0,E620&lt;=3,INT(E620)=E620),E620,"Invalid")))</x:f>
        <x:v>2</x:v>
      </x:c>
      <x:c r="G620" s="2" t="n">
        <x:f>IF(ISNUMBER(F620),1,0)</x:f>
        <x:v>1</x:v>
      </x:c>
      <x:c r="H620" s="2" t="n">
        <x:f>IF(ISNUMBER(F620),IF(F620&gt;=2,1,0),0)</x:f>
        <x:v>1</x:v>
      </x:c>
      <x:c r="I620" s="11" t="n">
        <x:f>IF(ISNUMBER(F620),2^F620-1,0)</x:f>
        <x:v>3</x:v>
      </x:c>
      <x:c r="J620" s="2" t="str">
        <x:v>Retained supplemental 42</x:v>
      </x:c>
      <x:c r="K620" s="10" t="n">
        <x:v>4900</x:v>
      </x:c>
      <x:c r="L620" s="10" t="n">
        <x:v>3</x:v>
      </x:c>
      <x:c r="M620" s="10" t="n">
        <x:v>1044</x:v>
      </x:c>
      <x:c r="N620" s="2" t="str">
        <x:v>D15</x:v>
      </x:c>
      <x:c r="O620" s="2" t="str">
        <x:v>condominium</x:v>
      </x:c>
      <x:c r="P620" s="2" t="str">
        <x:v>https://www.propertyguru.com.sg/listing/for-rent-fortune-spring-13840195</x:v>
      </x:c>
      <x:c r="Q620" s="12" t="str">
        <x:v>Reported area exceeds 1,000 sqft and satisfies the primary preference. The secondary D05 preference is unmet, consistent with original larger outside-D05 grade-2 anchors.</x:v>
      </x:c>
      <x:c r="R620" s="13"/>
    </x:row>
    <x:row r="621" ht="24" hidden="0" customHeight="1">
      <x:c r="A621" s="2" t="str">
        <x:v>S16|500164225</x:v>
      </x:c>
      <x:c r="B621" s="2" t="str">
        <x:v>S16</x:v>
      </x:c>
      <x:c r="C621" s="2" t="str">
        <x:v>500164225</x:v>
      </x:c>
      <x:c r="D621" s="2" t="n">
        <x:v>3</x:v>
      </x:c>
      <x:c r="E621" s="9"/>
      <x:c r="F621" s="2" t="n">
        <x:f>IF(E621="",D621,IF(E621="U","U",IF(AND(ISNUMBER(E621),E621&gt;=0,E621&lt;=3,INT(E621)=E621),E621,"Invalid")))</x:f>
        <x:v>3</x:v>
      </x:c>
      <x:c r="G621" s="2" t="n">
        <x:f>IF(ISNUMBER(F621),1,0)</x:f>
        <x:v>1</x:v>
      </x:c>
      <x:c r="H621" s="2" t="n">
        <x:f>IF(ISNUMBER(F621),IF(F621&gt;=2,1,0),0)</x:f>
        <x:v>1</x:v>
      </x:c>
      <x:c r="I621" s="11" t="n">
        <x:f>IF(ISNUMBER(F621),2^F621-1,0)</x:f>
        <x:v>7</x:v>
      </x:c>
      <x:c r="J621" s="2" t="str">
        <x:v>Retained supplemental 42</x:v>
      </x:c>
      <x:c r="K621" s="10" t="n">
        <x:v>3999</x:v>
      </x:c>
      <x:c r="L621" s="10" t="n">
        <x:v>3</x:v>
      </x:c>
      <x:c r="M621" s="10" t="n">
        <x:v>1238</x:v>
      </x:c>
      <x:c r="N621" s="2" t="str">
        <x:v>D05</x:v>
      </x:c>
      <x:c r="O621" s="2" t="str">
        <x:v>hdb flat</x:v>
      </x:c>
      <x:c r="P621" s="2" t="str">
        <x:v>https://www.propertyguru.com.sg/listing/hdb-for-rent-604-clementi-west-street-1-500164225</x:v>
      </x:c>
      <x:c r="Q621" s="12" t="str">
        <x:v>Both primary size and secondary D05 preferences are met, consistent with original grade-3 anchors.</x:v>
      </x:c>
      <x:c r="R621" s="13"/>
    </x:row>
    <x:row r="622" ht="24" hidden="0" customHeight="1">
      <x:c r="A622" s="2" t="str">
        <x:v>S16|500264910</x:v>
      </x:c>
      <x:c r="B622" s="2" t="str">
        <x:v>S16</x:v>
      </x:c>
      <x:c r="C622" s="2" t="str">
        <x:v>500264910</x:v>
      </x:c>
      <x:c r="D622" s="2" t="n">
        <x:v>3</x:v>
      </x:c>
      <x:c r="E622" s="9"/>
      <x:c r="F622" s="2" t="n">
        <x:f>IF(E622="",D622,IF(E622="U","U",IF(AND(ISNUMBER(E622),E622&gt;=0,E622&lt;=3,INT(E622)=E622),E622,"Invalid")))</x:f>
        <x:v>3</x:v>
      </x:c>
      <x:c r="G622" s="2" t="n">
        <x:f>IF(ISNUMBER(F622),1,0)</x:f>
        <x:v>1</x:v>
      </x:c>
      <x:c r="H622" s="2" t="n">
        <x:f>IF(ISNUMBER(F622),IF(F622&gt;=2,1,0),0)</x:f>
        <x:v>1</x:v>
      </x:c>
      <x:c r="I622" s="11" t="n">
        <x:f>IF(ISNUMBER(F622),2^F622-1,0)</x:f>
        <x:v>7</x:v>
      </x:c>
      <x:c r="J622" s="2" t="str">
        <x:v>Retained supplemental 42</x:v>
      </x:c>
      <x:c r="K622" s="10" t="n">
        <x:v>4500</x:v>
      </x:c>
      <x:c r="L622" s="10" t="n">
        <x:v>3</x:v>
      </x:c>
      <x:c r="M622" s="10" t="n">
        <x:v>1001</x:v>
      </x:c>
      <x:c r="N622" s="2" t="str">
        <x:v>D05</x:v>
      </x:c>
      <x:c r="O622" s="2" t="str">
        <x:v>hdb flat</x:v>
      </x:c>
      <x:c r="P622" s="2" t="str">
        <x:v>https://www.propertyguru.com.sg/listing/hdb-for-rent-375-clementi-avenue-4-500264910</x:v>
      </x:c>
      <x:c r="Q622" s="12" t="str">
        <x:v>Both primary size and secondary D05 preferences are met, consistent with original grade-3 anchors.</x:v>
      </x:c>
      <x:c r="R622" s="13"/>
    </x:row>
    <x:row r="623" ht="24" hidden="0" customHeight="1">
      <x:c r="A623" s="2" t="str">
        <x:v>S16|500280490</x:v>
      </x:c>
      <x:c r="B623" s="2" t="str">
        <x:v>S16</x:v>
      </x:c>
      <x:c r="C623" s="2" t="str">
        <x:v>500280490</x:v>
      </x:c>
      <x:c r="D623" s="2" t="n">
        <x:v>3</x:v>
      </x:c>
      <x:c r="E623" s="9"/>
      <x:c r="F623" s="2" t="n">
        <x:f>IF(E623="",D623,IF(E623="U","U",IF(AND(ISNUMBER(E623),E623&gt;=0,E623&lt;=3,INT(E623)=E623),E623,"Invalid")))</x:f>
        <x:v>3</x:v>
      </x:c>
      <x:c r="G623" s="2" t="n">
        <x:f>IF(ISNUMBER(F623),1,0)</x:f>
        <x:v>1</x:v>
      </x:c>
      <x:c r="H623" s="2" t="n">
        <x:f>IF(ISNUMBER(F623),IF(F623&gt;=2,1,0),0)</x:f>
        <x:v>1</x:v>
      </x:c>
      <x:c r="I623" s="11" t="n">
        <x:f>IF(ISNUMBER(F623),2^F623-1,0)</x:f>
        <x:v>7</x:v>
      </x:c>
      <x:c r="J623" s="2" t="str">
        <x:v>Retained supplemental 42</x:v>
      </x:c>
      <x:c r="K623" s="10" t="n">
        <x:v>4800</x:v>
      </x:c>
      <x:c r="L623" s="10" t="n">
        <x:v>2</x:v>
      </x:c>
      <x:c r="M623" s="10" t="n">
        <x:v>1076</x:v>
      </x:c>
      <x:c r="N623" s="2" t="str">
        <x:v>D05</x:v>
      </x:c>
      <x:c r="O623" s="2" t="str">
        <x:v>condominium</x:v>
      </x:c>
      <x:c r="P623" s="2" t="str">
        <x:v>https://www.propertyguru.com.sg/listing/for-rent-botannia-500280490</x:v>
      </x:c>
      <x:c r="Q623" s="12" t="str">
        <x:v>Both primary size and secondary D05 preferences are met, consistent with original grade-3 anchors.</x:v>
      </x:c>
      <x:c r="R623" s="13"/>
    </x:row>
    <x:row r="624" ht="24" hidden="0" customHeight="1">
      <x:c r="A624" s="2" t="str">
        <x:v>S16|60120018</x:v>
      </x:c>
      <x:c r="B624" s="2" t="str">
        <x:v>S16</x:v>
      </x:c>
      <x:c r="C624" s="2" t="str">
        <x:v>60120018</x:v>
      </x:c>
      <x:c r="D624" s="2" t="n">
        <x:v>3</x:v>
      </x:c>
      <x:c r="E624" s="9"/>
      <x:c r="F624" s="2" t="n">
        <x:f>IF(E624="",D624,IF(E624="U","U",IF(AND(ISNUMBER(E624),E624&gt;=0,E624&lt;=3,INT(E624)=E624),E624,"Invalid")))</x:f>
        <x:v>3</x:v>
      </x:c>
      <x:c r="G624" s="2" t="n">
        <x:f>IF(ISNUMBER(F624),1,0)</x:f>
        <x:v>1</x:v>
      </x:c>
      <x:c r="H624" s="2" t="n">
        <x:f>IF(ISNUMBER(F624),IF(F624&gt;=2,1,0),0)</x:f>
        <x:v>1</x:v>
      </x:c>
      <x:c r="I624" s="11" t="n">
        <x:f>IF(ISNUMBER(F624),2^F624-1,0)</x:f>
        <x:v>7</x:v>
      </x:c>
      <x:c r="J624" s="2" t="str">
        <x:v>Retained supplemental 42</x:v>
      </x:c>
      <x:c r="K624" s="10" t="n">
        <x:v>4500</x:v>
      </x:c>
      <x:c r="L624" s="10" t="n">
        <x:v>3</x:v>
      </x:c>
      <x:c r="M624" s="10" t="n">
        <x:v>1345</x:v>
      </x:c>
      <x:c r="N624" s="2" t="str">
        <x:v>D05</x:v>
      </x:c>
      <x:c r="O624" s="2" t="str">
        <x:v>hdb flat</x:v>
      </x:c>
      <x:c r="P624" s="2" t="str">
        <x:v>https://www.propertyguru.com.sg/listing/hdb-for-rent-414-commonwealth-avenue-west-60120018</x:v>
      </x:c>
      <x:c r="Q624" s="12" t="str">
        <x:v>Both primary size and secondary D05 preferences are met, consistent with original grade-3 anchors.</x:v>
      </x:c>
      <x:c r="R624" s="13"/>
    </x:row>
    <x:row r="625" ht="15" hidden="0" customHeight="1">
      <x:c r="A625" s="2" t="str">
        <x:v>S21|500266385</x:v>
      </x:c>
      <x:c r="B625" s="2" t="str">
        <x:v>S21</x:v>
      </x:c>
      <x:c r="C625" s="2" t="str">
        <x:v>500266385</x:v>
      </x:c>
      <x:c r="D625" s="2" t="n">
        <x:v>3</x:v>
      </x:c>
      <x:c r="E625" s="9"/>
      <x:c r="F625" s="2" t="n">
        <x:f>IF(E625="",D625,IF(E625="U","U",IF(AND(ISNUMBER(E625),E625&gt;=0,E625&lt;=3,INT(E625)=E625),E625,"Invalid")))</x:f>
        <x:v>3</x:v>
      </x:c>
      <x:c r="G625" s="2" t="n">
        <x:f>IF(ISNUMBER(F625),1,0)</x:f>
        <x:v>1</x:v>
      </x:c>
      <x:c r="H625" s="2" t="n">
        <x:f>IF(ISNUMBER(F625),IF(F625&gt;=2,1,0),0)</x:f>
        <x:v>1</x:v>
      </x:c>
      <x:c r="I625" s="11" t="n">
        <x:f>IF(ISNUMBER(F625),2^F625-1,0)</x:f>
        <x:v>7</x:v>
      </x:c>
      <x:c r="J625" s="2" t="str">
        <x:v>Extension pre-run 600</x:v>
      </x:c>
      <x:c r="K625" s="10" t="n">
        <x:v>900</x:v>
      </x:c>
      <x:c r="L625" s="10" t="n">
        <x:v>1</x:v>
      </x:c>
      <x:c r="M625" s="10" t="n">
        <x:v>13896</x:v>
      </x:c>
      <x:c r="N625" s="2" t="str">
        <x:v>D25</x:v>
      </x:c>
      <x:c r="O625" s="2" t="str">
        <x:v>hdb flat</x:v>
      </x:c>
      <x:c r="P625" s="2" t="str">
        <x:v>https://www.propertyguru.com.sg/listing/hdb-for-rent-557-woodlands-drive-53-500266385</x:v>
      </x:c>
      <x:c r="Q625" s="12" t="str">
        <x:v>Pre-registered source-rubric-v1; grade applied before outputs.</x:v>
      </x:c>
      <x:c r="R625" s="13"/>
    </x:row>
    <x:row r="626" ht="15" hidden="0" customHeight="1">
      <x:c r="A626" s="2" t="str">
        <x:v>S21|500281545</x:v>
      </x:c>
      <x:c r="B626" s="2" t="str">
        <x:v>S21</x:v>
      </x:c>
      <x:c r="C626" s="2" t="str">
        <x:v>500281545</x:v>
      </x:c>
      <x:c r="D626" s="2" t="n">
        <x:v>3</x:v>
      </x:c>
      <x:c r="E626" s="9"/>
      <x:c r="F626" s="2" t="n">
        <x:f>IF(E626="",D626,IF(E626="U","U",IF(AND(ISNUMBER(E626),E626&gt;=0,E626&lt;=3,INT(E626)=E626),E626,"Invalid")))</x:f>
        <x:v>3</x:v>
      </x:c>
      <x:c r="G626" s="2" t="n">
        <x:f>IF(ISNUMBER(F626),1,0)</x:f>
        <x:v>1</x:v>
      </x:c>
      <x:c r="H626" s="2" t="n">
        <x:f>IF(ISNUMBER(F626),IF(F626&gt;=2,1,0),0)</x:f>
        <x:v>1</x:v>
      </x:c>
      <x:c r="I626" s="11" t="n">
        <x:f>IF(ISNUMBER(F626),2^F626-1,0)</x:f>
        <x:v>7</x:v>
      </x:c>
      <x:c r="J626" s="2" t="str">
        <x:v>Extension pre-run 600</x:v>
      </x:c>
      <x:c r="K626" s="10" t="n">
        <x:v>700</x:v>
      </x:c>
      <x:c r="L626" s="10" t="n">
        <x:v>3</x:v>
      </x:c>
      <x:c r="M626" s="10" t="n">
        <x:v>904</x:v>
      </x:c>
      <x:c r="N626" s="2" t="str">
        <x:v>D18</x:v>
      </x:c>
      <x:c r="O626" s="2" t="str">
        <x:v>hdb flat</x:v>
      </x:c>
      <x:c r="P626" s="2" t="str">
        <x:v>https://www.propertyguru.com.sg/listing/hdb-for-rent-832-tampines-street-82-500281545</x:v>
      </x:c>
      <x:c r="Q626" s="12" t="str">
        <x:v>Pre-registered source-rubric-v1; grade applied before outputs.</x:v>
      </x:c>
      <x:c r="R626" s="13"/>
    </x:row>
    <x:row r="627" ht="15" hidden="0" customHeight="1">
      <x:c r="A627" s="2" t="str">
        <x:v>S21|500252673</x:v>
      </x:c>
      <x:c r="B627" s="2" t="str">
        <x:v>S21</x:v>
      </x:c>
      <x:c r="C627" s="2" t="str">
        <x:v>500252673</x:v>
      </x:c>
      <x:c r="D627" s="2" t="n">
        <x:v>3</x:v>
      </x:c>
      <x:c r="E627" s="9"/>
      <x:c r="F627" s="2" t="n">
        <x:f>IF(E627="",D627,IF(E627="U","U",IF(AND(ISNUMBER(E627),E627&gt;=0,E627&lt;=3,INT(E627)=E627),E627,"Invalid")))</x:f>
        <x:v>3</x:v>
      </x:c>
      <x:c r="G627" s="2" t="n">
        <x:f>IF(ISNUMBER(F627),1,0)</x:f>
        <x:v>1</x:v>
      </x:c>
      <x:c r="H627" s="2" t="n">
        <x:f>IF(ISNUMBER(F627),IF(F627&gt;=2,1,0),0)</x:f>
        <x:v>1</x:v>
      </x:c>
      <x:c r="I627" s="11" t="n">
        <x:f>IF(ISNUMBER(F627),2^F627-1,0)</x:f>
        <x:v>7</x:v>
      </x:c>
      <x:c r="J627" s="2" t="str">
        <x:v>Extension pre-run 600</x:v>
      </x:c>
      <x:c r="K627" s="10" t="n">
        <x:v>900</x:v>
      </x:c>
      <x:c r="L627" s="10" t="n">
        <x:v>1</x:v>
      </x:c>
      <x:c r="M627" s="10" t="n">
        <x:v>721</x:v>
      </x:c>
      <x:c r="N627" s="2" t="str">
        <x:v>D22</x:v>
      </x:c>
      <x:c r="O627" s="2" t="str">
        <x:v>hdb flat</x:v>
      </x:c>
      <x:c r="P627" s="2" t="str">
        <x:v>https://www.propertyguru.com.sg/listing/hdb-for-rent-863-jurong-west-street-81-500252673</x:v>
      </x:c>
      <x:c r="Q627" s="12" t="str">
        <x:v>Pre-registered source-rubric-v1; grade applied before outputs.</x:v>
      </x:c>
      <x:c r="R627" s="13"/>
    </x:row>
    <x:row r="628" ht="15" hidden="0" customHeight="1">
      <x:c r="A628" s="2" t="str">
        <x:v>S21|500240943</x:v>
      </x:c>
      <x:c r="B628" s="2" t="str">
        <x:v>S21</x:v>
      </x:c>
      <x:c r="C628" s="2" t="str">
        <x:v>500240943</x:v>
      </x:c>
      <x:c r="D628" s="2" t="n">
        <x:v>3</x:v>
      </x:c>
      <x:c r="E628" s="9"/>
      <x:c r="F628" s="2" t="n">
        <x:f>IF(E628="",D628,IF(E628="U","U",IF(AND(ISNUMBER(E628),E628&gt;=0,E628&lt;=3,INT(E628)=E628),E628,"Invalid")))</x:f>
        <x:v>3</x:v>
      </x:c>
      <x:c r="G628" s="2" t="n">
        <x:f>IF(ISNUMBER(F628),1,0)</x:f>
        <x:v>1</x:v>
      </x:c>
      <x:c r="H628" s="2" t="n">
        <x:f>IF(ISNUMBER(F628),IF(F628&gt;=2,1,0),0)</x:f>
        <x:v>1</x:v>
      </x:c>
      <x:c r="I628" s="11" t="n">
        <x:f>IF(ISNUMBER(F628),2^F628-1,0)</x:f>
        <x:v>7</x:v>
      </x:c>
      <x:c r="J628" s="2" t="str">
        <x:v>Extension pre-run 600</x:v>
      </x:c>
      <x:c r="K628" s="10" t="n">
        <x:v>1100</x:v>
      </x:c>
      <x:c r="L628" s="10" t="n">
        <x:v>1</x:v>
      </x:c>
      <x:c r="M628" s="10" t="n">
        <x:v>1615</x:v>
      </x:c>
      <x:c r="N628" s="2" t="str">
        <x:v>D23</x:v>
      </x:c>
      <x:c r="O628" s="2" t="str">
        <x:v>hdb flat</x:v>
      </x:c>
      <x:c r="P628" s="2" t="str">
        <x:v>https://www.propertyguru.com.sg/listing/hdb-for-rent-160-jalan-teck-whye-500240943</x:v>
      </x:c>
      <x:c r="Q628" s="12" t="str">
        <x:v>Pre-registered source-rubric-v1; grade applied before outputs.</x:v>
      </x:c>
      <x:c r="R628" s="13"/>
    </x:row>
    <x:row r="629" ht="15" hidden="0" customHeight="1">
      <x:c r="A629" s="2" t="str">
        <x:v>S21|500270347</x:v>
      </x:c>
      <x:c r="B629" s="2" t="str">
        <x:v>S21</x:v>
      </x:c>
      <x:c r="C629" s="2" t="str">
        <x:v>500270347</x:v>
      </x:c>
      <x:c r="D629" s="2" t="n">
        <x:v>3</x:v>
      </x:c>
      <x:c r="E629" s="9"/>
      <x:c r="F629" s="2" t="n">
        <x:f>IF(E629="",D629,IF(E629="U","U",IF(AND(ISNUMBER(E629),E629&gt;=0,E629&lt;=3,INT(E629)=E629),E629,"Invalid")))</x:f>
        <x:v>3</x:v>
      </x:c>
      <x:c r="G629" s="2" t="n">
        <x:f>IF(ISNUMBER(F629),1,0)</x:f>
        <x:v>1</x:v>
      </x:c>
      <x:c r="H629" s="2" t="n">
        <x:f>IF(ISNUMBER(F629),IF(F629&gt;=2,1,0),0)</x:f>
        <x:v>1</x:v>
      </x:c>
      <x:c r="I629" s="11" t="n">
        <x:f>IF(ISNUMBER(F629),2^F629-1,0)</x:f>
        <x:v>7</x:v>
      </x:c>
      <x:c r="J629" s="2" t="str">
        <x:v>Extension pre-run 600</x:v>
      </x:c>
      <x:c r="K629" s="10" t="n">
        <x:v>850</x:v>
      </x:c>
      <x:c r="L629" s="10" t="n">
        <x:v>1</x:v>
      </x:c>
      <x:c r="M629" s="10" t="n">
        <x:v>904</x:v>
      </x:c>
      <x:c r="N629" s="2" t="str">
        <x:v>D27</x:v>
      </x:c>
      <x:c r="O629" s="2" t="str">
        <x:v>hdb flat</x:v>
      </x:c>
      <x:c r="P629" s="2" t="str">
        <x:v>https://www.propertyguru.com.sg/listing/hdb-for-rent-655-yishun-avenue-4-500270347</x:v>
      </x:c>
      <x:c r="Q629" s="12" t="str">
        <x:v>Pre-registered source-rubric-v1; grade applied before outputs.</x:v>
      </x:c>
      <x:c r="R629" s="13"/>
    </x:row>
    <x:row r="630" ht="15" hidden="0" customHeight="1">
      <x:c r="A630" s="2" t="str">
        <x:v>S21|500268065</x:v>
      </x:c>
      <x:c r="B630" s="2" t="str">
        <x:v>S21</x:v>
      </x:c>
      <x:c r="C630" s="2" t="str">
        <x:v>500268065</x:v>
      </x:c>
      <x:c r="D630" s="2" t="n">
        <x:v>3</x:v>
      </x:c>
      <x:c r="E630" s="9"/>
      <x:c r="F630" s="2" t="n">
        <x:f>IF(E630="",D630,IF(E630="U","U",IF(AND(ISNUMBER(E630),E630&gt;=0,E630&lt;=3,INT(E630)=E630),E630,"Invalid")))</x:f>
        <x:v>3</x:v>
      </x:c>
      <x:c r="G630" s="2" t="n">
        <x:f>IF(ISNUMBER(F630),1,0)</x:f>
        <x:v>1</x:v>
      </x:c>
      <x:c r="H630" s="2" t="n">
        <x:f>IF(ISNUMBER(F630),IF(F630&gt;=2,1,0),0)</x:f>
        <x:v>1</x:v>
      </x:c>
      <x:c r="I630" s="11" t="n">
        <x:f>IF(ISNUMBER(F630),2^F630-1,0)</x:f>
        <x:v>7</x:v>
      </x:c>
      <x:c r="J630" s="2" t="str">
        <x:v>Extension pre-run 600</x:v>
      </x:c>
      <x:c r="K630" s="10" t="n">
        <x:v>1200</x:v>
      </x:c>
      <x:c r="L630" s="10" t="n">
        <x:v>1</x:v>
      </x:c>
      <x:c r="M630" s="10" t="n">
        <x:v>904</x:v>
      </x:c>
      <x:c r="N630" s="2" t="str">
        <x:v>D18</x:v>
      </x:c>
      <x:c r="O630" s="2" t="str">
        <x:v>hdb flat</x:v>
      </x:c>
      <x:c r="P630" s="2" t="str">
        <x:v>https://www.propertyguru.com.sg/listing/hdb-for-rent-246-simei-street-5-500268065</x:v>
      </x:c>
      <x:c r="Q630" s="12" t="str">
        <x:v>Pre-registered source-rubric-v1; grade applied before outputs.</x:v>
      </x:c>
      <x:c r="R630" s="13"/>
    </x:row>
    <x:row r="631" ht="15" hidden="0" customHeight="1">
      <x:c r="A631" s="2" t="str">
        <x:v>S21|500281216</x:v>
      </x:c>
      <x:c r="B631" s="2" t="str">
        <x:v>S21</x:v>
      </x:c>
      <x:c r="C631" s="2" t="str">
        <x:v>500281216</x:v>
      </x:c>
      <x:c r="D631" s="2" t="n">
        <x:v>2</x:v>
      </x:c>
      <x:c r="E631" s="9"/>
      <x:c r="F631" s="2" t="n">
        <x:f>IF(E631="",D631,IF(E631="U","U",IF(AND(ISNUMBER(E631),E631&gt;=0,E631&lt;=3,INT(E631)=E631),E631,"Invalid")))</x:f>
        <x:v>2</x:v>
      </x:c>
      <x:c r="G631" s="2" t="n">
        <x:f>IF(ISNUMBER(F631),1,0)</x:f>
        <x:v>1</x:v>
      </x:c>
      <x:c r="H631" s="2" t="n">
        <x:f>IF(ISNUMBER(F631),IF(F631&gt;=2,1,0),0)</x:f>
        <x:v>1</x:v>
      </x:c>
      <x:c r="I631" s="11" t="n">
        <x:f>IF(ISNUMBER(F631),2^F631-1,0)</x:f>
        <x:v>3</x:v>
      </x:c>
      <x:c r="J631" s="2" t="str">
        <x:v>Extension pre-run 600</x:v>
      </x:c>
      <x:c r="K631" s="10" t="n">
        <x:v>760</x:v>
      </x:c>
      <x:c r="L631" s="10" t="n">
        <x:v>1</x:v>
      </x:c>
      <x:c r="M631" s="10" t="n">
        <x:v>215</x:v>
      </x:c>
      <x:c r="N631" s="2" t="str">
        <x:v>D19</x:v>
      </x:c>
      <x:c r="O631" s="2" t="str">
        <x:v>hdb flat</x:v>
      </x:c>
      <x:c r="P631" s="2" t="str">
        <x:v>https://www.propertyguru.com.sg/listing/hdb-for-rent-133-lorong-ah-soo-500281216</x:v>
      </x:c>
      <x:c r="Q631" s="12" t="str">
        <x:v>Pre-registered source-rubric-v1; grade applied before outputs.</x:v>
      </x:c>
      <x:c r="R631" s="13"/>
    </x:row>
    <x:row r="632" ht="15" hidden="0" customHeight="1">
      <x:c r="A632" s="2" t="str">
        <x:v>S21|21644298</x:v>
      </x:c>
      <x:c r="B632" s="2" t="str">
        <x:v>S21</x:v>
      </x:c>
      <x:c r="C632" s="2" t="str">
        <x:v>21644298</x:v>
      </x:c>
      <x:c r="D632" s="2" t="n">
        <x:v>2</x:v>
      </x:c>
      <x:c r="E632" s="9"/>
      <x:c r="F632" s="2" t="n">
        <x:f>IF(E632="",D632,IF(E632="U","U",IF(AND(ISNUMBER(E632),E632&gt;=0,E632&lt;=3,INT(E632)=E632),E632,"Invalid")))</x:f>
        <x:v>2</x:v>
      </x:c>
      <x:c r="G632" s="2" t="n">
        <x:f>IF(ISNUMBER(F632),1,0)</x:f>
        <x:v>1</x:v>
      </x:c>
      <x:c r="H632" s="2" t="n">
        <x:f>IF(ISNUMBER(F632),IF(F632&gt;=2,1,0),0)</x:f>
        <x:v>1</x:v>
      </x:c>
      <x:c r="I632" s="11" t="n">
        <x:f>IF(ISNUMBER(F632),2^F632-1,0)</x:f>
        <x:v>3</x:v>
      </x:c>
      <x:c r="J632" s="2" t="str">
        <x:v>Extension pre-run 600</x:v>
      </x:c>
      <x:c r="K632" s="10" t="n">
        <x:v>500</x:v>
      </x:c>
      <x:c r="L632" s="10" t="n">
        <x:v>1</x:v>
      </x:c>
      <x:c r="M632" s="10" t="n">
        <x:v>215</x:v>
      </x:c>
      <x:c r="N632" s="2" t="str">
        <x:v>D25</x:v>
      </x:c>
      <x:c r="O632" s="2" t="str">
        <x:v>hdb flat</x:v>
      </x:c>
      <x:c r="P632" s="2" t="str">
        <x:v>https://www.propertyguru.com.sg/listing/hdb-for-rent-605-woodlands-drive-42-21644298</x:v>
      </x:c>
      <x:c r="Q632" s="12" t="str">
        <x:v>Pre-registered source-rubric-v1; grade applied before outputs.</x:v>
      </x:c>
      <x:c r="R632" s="13"/>
    </x:row>
    <x:row r="633" ht="15" hidden="0" customHeight="1">
      <x:c r="A633" s="2" t="str">
        <x:v>S21|24877396</x:v>
      </x:c>
      <x:c r="B633" s="2" t="str">
        <x:v>S21</x:v>
      </x:c>
      <x:c r="C633" s="2" t="str">
        <x:v>24877396</x:v>
      </x:c>
      <x:c r="D633" s="2" t="n">
        <x:v>2</x:v>
      </x:c>
      <x:c r="E633" s="9"/>
      <x:c r="F633" s="2" t="n">
        <x:f>IF(E633="",D633,IF(E633="U","U",IF(AND(ISNUMBER(E633),E633&gt;=0,E633&lt;=3,INT(E633)=E633),E633,"Invalid")))</x:f>
        <x:v>2</x:v>
      </x:c>
      <x:c r="G633" s="2" t="n">
        <x:f>IF(ISNUMBER(F633),1,0)</x:f>
        <x:v>1</x:v>
      </x:c>
      <x:c r="H633" s="2" t="n">
        <x:f>IF(ISNUMBER(F633),IF(F633&gt;=2,1,0),0)</x:f>
        <x:v>1</x:v>
      </x:c>
      <x:c r="I633" s="11" t="n">
        <x:f>IF(ISNUMBER(F633),2^F633-1,0)</x:f>
        <x:v>3</x:v>
      </x:c>
      <x:c r="J633" s="2" t="str">
        <x:v>Extension pre-run 600</x:v>
      </x:c>
      <x:c r="K633" s="10" t="n">
        <x:v>1050</x:v>
      </x:c>
      <x:c r="L633" s="10" t="n">
        <x:v>1</x:v>
      </x:c>
      <x:c r="M633" s="10" t="n">
        <x:v>200</x:v>
      </x:c>
      <x:c r="N633" s="2" t="str">
        <x:v>D12</x:v>
      </x:c>
      <x:c r="O633" s="2" t="str">
        <x:v>hdb flat</x:v>
      </x:c>
      <x:c r="P633" s="2" t="str">
        <x:v>https://www.propertyguru.com.sg/listing/hdb-for-rent-8b-boon-keng-road-24877396</x:v>
      </x:c>
      <x:c r="Q633" s="12" t="str">
        <x:v>Pre-registered source-rubric-v1; grade applied before outputs.</x:v>
      </x:c>
      <x:c r="R633" s="13"/>
    </x:row>
    <x:row r="634" ht="15" hidden="0" customHeight="1">
      <x:c r="A634" s="2" t="str">
        <x:v>S21|23347353</x:v>
      </x:c>
      <x:c r="B634" s="2" t="str">
        <x:v>S21</x:v>
      </x:c>
      <x:c r="C634" s="2" t="str">
        <x:v>23347353</x:v>
      </x:c>
      <x:c r="D634" s="2" t="n">
        <x:v>2</x:v>
      </x:c>
      <x:c r="E634" s="9"/>
      <x:c r="F634" s="2" t="n">
        <x:f>IF(E634="",D634,IF(E634="U","U",IF(AND(ISNUMBER(E634),E634&gt;=0,E634&lt;=3,INT(E634)=E634),E634,"Invalid")))</x:f>
        <x:v>2</x:v>
      </x:c>
      <x:c r="G634" s="2" t="n">
        <x:f>IF(ISNUMBER(F634),1,0)</x:f>
        <x:v>1</x:v>
      </x:c>
      <x:c r="H634" s="2" t="n">
        <x:f>IF(ISNUMBER(F634),IF(F634&gt;=2,1,0),0)</x:f>
        <x:v>1</x:v>
      </x:c>
      <x:c r="I634" s="11" t="n">
        <x:f>IF(ISNUMBER(F634),2^F634-1,0)</x:f>
        <x:v>3</x:v>
      </x:c>
      <x:c r="J634" s="2" t="str">
        <x:v>Extension pre-run 600</x:v>
      </x:c>
      <x:c r="K634" s="10" t="n">
        <x:v>900</x:v>
      </x:c>
      <x:c r="L634" s="10" t="n">
        <x:v>1</x:v>
      </x:c>
      <x:c r="M634" s="10" t="n">
        <x:v>200</x:v>
      </x:c>
      <x:c r="N634" s="2" t="str">
        <x:v>D19</x:v>
      </x:c>
      <x:c r="O634" s="2" t="str">
        <x:v>hdb flat</x:v>
      </x:c>
      <x:c r="P634" s="2" t="str">
        <x:v>https://www.propertyguru.com.sg/listing/hdb-for-rent-698c-hougang-street-52-23347353</x:v>
      </x:c>
      <x:c r="Q634" s="12" t="str">
        <x:v>Pre-registered source-rubric-v1; grade applied before outputs.</x:v>
      </x:c>
      <x:c r="R634" s="13"/>
    </x:row>
    <x:row r="635" ht="15" hidden="0" customHeight="1">
      <x:c r="A635" s="2" t="str">
        <x:v>S21|20779850</x:v>
      </x:c>
      <x:c r="B635" s="2" t="str">
        <x:v>S21</x:v>
      </x:c>
      <x:c r="C635" s="2" t="str">
        <x:v>20779850</x:v>
      </x:c>
      <x:c r="D635" s="2" t="n">
        <x:v>2</x:v>
      </x:c>
      <x:c r="E635" s="9"/>
      <x:c r="F635" s="2" t="n">
        <x:f>IF(E635="",D635,IF(E635="U","U",IF(AND(ISNUMBER(E635),E635&gt;=0,E635&lt;=3,INT(E635)=E635),E635,"Invalid")))</x:f>
        <x:v>2</x:v>
      </x:c>
      <x:c r="G635" s="2" t="n">
        <x:f>IF(ISNUMBER(F635),1,0)</x:f>
        <x:v>1</x:v>
      </x:c>
      <x:c r="H635" s="2" t="n">
        <x:f>IF(ISNUMBER(F635),IF(F635&gt;=2,1,0),0)</x:f>
        <x:v>1</x:v>
      </x:c>
      <x:c r="I635" s="11" t="n">
        <x:f>IF(ISNUMBER(F635),2^F635-1,0)</x:f>
        <x:v>3</x:v>
      </x:c>
      <x:c r="J635" s="2" t="str">
        <x:v>Extension pre-run 600</x:v>
      </x:c>
      <x:c r="K635" s="10" t="n">
        <x:v>750</x:v>
      </x:c>
      <x:c r="L635" s="10" t="n">
        <x:v>1</x:v>
      </x:c>
      <x:c r="M635" s="10" t="n">
        <x:v>300</x:v>
      </x:c>
      <x:c r="N635" s="2" t="str">
        <x:v>D16</x:v>
      </x:c>
      <x:c r="O635" s="2" t="str">
        <x:v>hdb flat</x:v>
      </x:c>
      <x:c r="P635" s="2" t="str">
        <x:v>https://www.propertyguru.com.sg/listing/hdb-for-rent-91-bedok-north-street-4-20779850</x:v>
      </x:c>
      <x:c r="Q635" s="12" t="str">
        <x:v>Pre-registered source-rubric-v1; grade applied before outputs.</x:v>
      </x:c>
      <x:c r="R635" s="13"/>
    </x:row>
    <x:row r="636" ht="15" hidden="0" customHeight="1">
      <x:c r="A636" s="2" t="str">
        <x:v>S21|25283210</x:v>
      </x:c>
      <x:c r="B636" s="2" t="str">
        <x:v>S21</x:v>
      </x:c>
      <x:c r="C636" s="2" t="str">
        <x:v>25283210</x:v>
      </x:c>
      <x:c r="D636" s="2" t="n">
        <x:v>2</x:v>
      </x:c>
      <x:c r="E636" s="9"/>
      <x:c r="F636" s="2" t="n">
        <x:f>IF(E636="",D636,IF(E636="U","U",IF(AND(ISNUMBER(E636),E636&gt;=0,E636&lt;=3,INT(E636)=E636),E636,"Invalid")))</x:f>
        <x:v>2</x:v>
      </x:c>
      <x:c r="G636" s="2" t="n">
        <x:f>IF(ISNUMBER(F636),1,0)</x:f>
        <x:v>1</x:v>
      </x:c>
      <x:c r="H636" s="2" t="n">
        <x:f>IF(ISNUMBER(F636),IF(F636&gt;=2,1,0),0)</x:f>
        <x:v>1</x:v>
      </x:c>
      <x:c r="I636" s="11" t="n">
        <x:f>IF(ISNUMBER(F636),2^F636-1,0)</x:f>
        <x:v>3</x:v>
      </x:c>
      <x:c r="J636" s="2" t="str">
        <x:v>Extension pre-run 600</x:v>
      </x:c>
      <x:c r="K636" s="10" t="n">
        <x:v>1200</x:v>
      </x:c>
      <x:c r="L636" s="10" t="n">
        <x:v>1</x:v>
      </x:c>
      <x:c r="M636" s="10" t="n">
        <x:v>200</x:v>
      </x:c>
      <x:c r="N636" s="2" t="str">
        <x:v>D05</x:v>
      </x:c>
      <x:c r="O636" s="2" t="str">
        <x:v>condominium</x:v>
      </x:c>
      <x:c r="P636" s="2" t="str">
        <x:v>https://www.propertyguru.com.sg/listing/for-rent-heritage-view-25283210</x:v>
      </x:c>
      <x:c r="Q636" s="12" t="str">
        <x:v>Pre-registered source-rubric-v1; grade applied before outputs.</x:v>
      </x:c>
      <x:c r="R636" s="13"/>
    </x:row>
    <x:row r="637" ht="15" hidden="0" customHeight="1">
      <x:c r="A637" s="2" t="str">
        <x:v>S21|25315134</x:v>
      </x:c>
      <x:c r="B637" s="2" t="str">
        <x:v>S21</x:v>
      </x:c>
      <x:c r="C637" s="2" t="str">
        <x:v>25315134</x:v>
      </x:c>
      <x:c r="D637" s="2" t="n">
        <x:v>2</x:v>
      </x:c>
      <x:c r="E637" s="9"/>
      <x:c r="F637" s="2" t="n">
        <x:f>IF(E637="",D637,IF(E637="U","U",IF(AND(ISNUMBER(E637),E637&gt;=0,E637&lt;=3,INT(E637)=E637),E637,"Invalid")))</x:f>
        <x:v>2</x:v>
      </x:c>
      <x:c r="G637" s="2" t="n">
        <x:f>IF(ISNUMBER(F637),1,0)</x:f>
        <x:v>1</x:v>
      </x:c>
      <x:c r="H637" s="2" t="n">
        <x:f>IF(ISNUMBER(F637),IF(F637&gt;=2,1,0),0)</x:f>
        <x:v>1</x:v>
      </x:c>
      <x:c r="I637" s="11" t="n">
        <x:f>IF(ISNUMBER(F637),2^F637-1,0)</x:f>
        <x:v>3</x:v>
      </x:c>
      <x:c r="J637" s="2" t="str">
        <x:v>Extension pre-run 600</x:v>
      </x:c>
      <x:c r="K637" s="10" t="n">
        <x:v>650</x:v>
      </x:c>
      <x:c r="L637" s="10" t="n">
        <x:v>1</x:v>
      </x:c>
      <x:c r="M637" s="10" t="n">
        <x:v>300</x:v>
      </x:c>
      <x:c r="N637" s="2" t="str">
        <x:v>D14</x:v>
      </x:c>
      <x:c r="O637" s="2" t="str">
        <x:v>walk-up apartment</x:v>
      </x:c>
      <x:c r="P637" s="2" t="str">
        <x:v>https://www.propertyguru.com.sg/listing/for-rent-worker-permit-foreign-worker-l-mom-approved-25315134</x:v>
      </x:c>
      <x:c r="Q637" s="12" t="str">
        <x:v>Pre-registered source-rubric-v1; grade applied before outputs.</x:v>
      </x:c>
      <x:c r="R637" s="13"/>
    </x:row>
    <x:row r="638" ht="15" hidden="0" customHeight="1">
      <x:c r="A638" s="2" t="str">
        <x:v>S21|500288331</x:v>
      </x:c>
      <x:c r="B638" s="2" t="str">
        <x:v>S21</x:v>
      </x:c>
      <x:c r="C638" s="2" t="str">
        <x:v>500288331</x:v>
      </x:c>
      <x:c r="D638" s="2" t="n">
        <x:v>2</x:v>
      </x:c>
      <x:c r="E638" s="9"/>
      <x:c r="F638" s="2" t="n">
        <x:f>IF(E638="",D638,IF(E638="U","U",IF(AND(ISNUMBER(E638),E638&gt;=0,E638&lt;=3,INT(E638)=E638),E638,"Invalid")))</x:f>
        <x:v>2</x:v>
      </x:c>
      <x:c r="G638" s="2" t="n">
        <x:f>IF(ISNUMBER(F638),1,0)</x:f>
        <x:v>1</x:v>
      </x:c>
      <x:c r="H638" s="2" t="n">
        <x:f>IF(ISNUMBER(F638),IF(F638&gt;=2,1,0),0)</x:f>
        <x:v>1</x:v>
      </x:c>
      <x:c r="I638" s="11" t="n">
        <x:f>IF(ISNUMBER(F638),2^F638-1,0)</x:f>
        <x:v>3</x:v>
      </x:c>
      <x:c r="J638" s="2" t="str">
        <x:v>Extension pre-run 600</x:v>
      </x:c>
      <x:c r="K638" s="10" t="n">
        <x:v>1100</x:v>
      </x:c>
      <x:c r="L638" s="10" t="n">
        <x:v>1</x:v>
      </x:c>
      <x:c r="M638" s="10" t="n">
        <x:v>215</x:v>
      </x:c>
      <x:c r="N638" s="2" t="str">
        <x:v>D27</x:v>
      </x:c>
      <x:c r="O638" s="2" t="str">
        <x:v>hdb flat</x:v>
      </x:c>
      <x:c r="P638" s="2" t="str">
        <x:v>https://www.propertyguru.com.sg/listing/hdb-for-rent-327-sembawang-crescent-500288331</x:v>
      </x:c>
      <x:c r="Q638" s="12" t="str">
        <x:v>Pre-registered source-rubric-v1; grade applied before outputs.</x:v>
      </x:c>
      <x:c r="R638" s="13"/>
    </x:row>
    <x:row r="639" ht="15" hidden="0" customHeight="1">
      <x:c r="A639" s="2" t="str">
        <x:v>S21|500266367</x:v>
      </x:c>
      <x:c r="B639" s="2" t="str">
        <x:v>S21</x:v>
      </x:c>
      <x:c r="C639" s="2" t="str">
        <x:v>500266367</x:v>
      </x:c>
      <x:c r="D639" s="2" t="n">
        <x:v>1</x:v>
      </x:c>
      <x:c r="E639" s="9"/>
      <x:c r="F639" s="2" t="n">
        <x:f>IF(E639="",D639,IF(E639="U","U",IF(AND(ISNUMBER(E639),E639&gt;=0,E639&lt;=3,INT(E639)=E639),E639,"Invalid")))</x:f>
        <x:v>1</x:v>
      </x:c>
      <x:c r="G639" s="2" t="n">
        <x:f>IF(ISNUMBER(F639),1,0)</x:f>
        <x:v>1</x:v>
      </x:c>
      <x:c r="H639" s="2" t="n">
        <x:f>IF(ISNUMBER(F639),IF(F639&gt;=2,1,0),0)</x:f>
        <x:v>0</x:v>
      </x:c>
      <x:c r="I639" s="11" t="n">
        <x:f>IF(ISNUMBER(F639),2^F639-1,0)</x:f>
        <x:v>1</x:v>
      </x:c>
      <x:c r="J639" s="2" t="str">
        <x:v>Extension pre-run 600</x:v>
      </x:c>
      <x:c r="K639" s="10" t="n">
        <x:v>1300</x:v>
      </x:c>
      <x:c r="L639" s="10" t="n">
        <x:v>1</x:v>
      </x:c>
      <x:c r="M639" s="10" t="n">
        <x:v>1937</x:v>
      </x:c>
      <x:c r="N639" s="2" t="str">
        <x:v>D18</x:v>
      </x:c>
      <x:c r="O639" s="2" t="str">
        <x:v>hdb flat</x:v>
      </x:c>
      <x:c r="P639" s="2" t="str">
        <x:v>https://www.propertyguru.com.sg/listing/hdb-for-rent-163-simei-road-500266367</x:v>
      </x:c>
      <x:c r="Q639" s="12" t="str">
        <x:v>Pre-registered source-rubric-v1; grade applied before outputs.</x:v>
      </x:c>
      <x:c r="R639" s="13"/>
    </x:row>
    <x:row r="640" ht="15" hidden="0" customHeight="1">
      <x:c r="A640" s="2" t="str">
        <x:v>S21|22133298</x:v>
      </x:c>
      <x:c r="B640" s="2" t="str">
        <x:v>S21</x:v>
      </x:c>
      <x:c r="C640" s="2" t="str">
        <x:v>22133298</x:v>
      </x:c>
      <x:c r="D640" s="2" t="n">
        <x:v>1</x:v>
      </x:c>
      <x:c r="E640" s="9"/>
      <x:c r="F640" s="2" t="n">
        <x:f>IF(E640="",D640,IF(E640="U","U",IF(AND(ISNUMBER(E640),E640&gt;=0,E640&lt;=3,INT(E640)=E640),E640,"Invalid")))</x:f>
        <x:v>1</x:v>
      </x:c>
      <x:c r="G640" s="2" t="n">
        <x:f>IF(ISNUMBER(F640),1,0)</x:f>
        <x:v>1</x:v>
      </x:c>
      <x:c r="H640" s="2" t="n">
        <x:f>IF(ISNUMBER(F640),IF(F640&gt;=2,1,0),0)</x:f>
        <x:v>0</x:v>
      </x:c>
      <x:c r="I640" s="11" t="n">
        <x:f>IF(ISNUMBER(F640),2^F640-1,0)</x:f>
        <x:v>1</x:v>
      </x:c>
      <x:c r="J640" s="2" t="str">
        <x:v>Extension pre-run 600</x:v>
      </x:c>
      <x:c r="K640" s="10" t="n">
        <x:v>1400</x:v>
      </x:c>
      <x:c r="L640" s="10" t="n">
        <x:v>1</x:v>
      </x:c>
      <x:c r="M640" s="10" t="n">
        <x:v>250</x:v>
      </x:c>
      <x:c r="N640" s="2" t="str">
        <x:v>D16</x:v>
      </x:c>
      <x:c r="O640" s="2" t="str">
        <x:v>hdb flat</x:v>
      </x:c>
      <x:c r="P640" s="2" t="str">
        <x:v>https://www.propertyguru.com.sg/listing/hdb-for-rent-69-bedok-south-avenue-3-22133298</x:v>
      </x:c>
      <x:c r="Q640" s="12" t="str">
        <x:v>Pre-registered source-rubric-v1; grade applied before outputs.</x:v>
      </x:c>
      <x:c r="R640" s="13"/>
    </x:row>
    <x:row r="641" ht="15" hidden="0" customHeight="1">
      <x:c r="A641" s="2" t="str">
        <x:v>S21|23839651</x:v>
      </x:c>
      <x:c r="B641" s="2" t="str">
        <x:v>S21</x:v>
      </x:c>
      <x:c r="C641" s="2" t="str">
        <x:v>23839651</x:v>
      </x:c>
      <x:c r="D641" s="2" t="n">
        <x:v>1</x:v>
      </x:c>
      <x:c r="E641" s="9"/>
      <x:c r="F641" s="2" t="n">
        <x:f>IF(E641="",D641,IF(E641="U","U",IF(AND(ISNUMBER(E641),E641&gt;=0,E641&lt;=3,INT(E641)=E641),E641,"Invalid")))</x:f>
        <x:v>1</x:v>
      </x:c>
      <x:c r="G641" s="2" t="n">
        <x:f>IF(ISNUMBER(F641),1,0)</x:f>
        <x:v>1</x:v>
      </x:c>
      <x:c r="H641" s="2" t="n">
        <x:f>IF(ISNUMBER(F641),IF(F641&gt;=2,1,0),0)</x:f>
        <x:v>0</x:v>
      </x:c>
      <x:c r="I641" s="11" t="n">
        <x:f>IF(ISNUMBER(F641),2^F641-1,0)</x:f>
        <x:v>1</x:v>
      </x:c>
      <x:c r="J641" s="2" t="str">
        <x:v>Extension pre-run 600</x:v>
      </x:c>
      <x:c r="K641" s="10" t="n">
        <x:v>1450</x:v>
      </x:c>
      <x:c r="L641" s="10" t="n">
        <x:v>1</x:v>
      </x:c>
      <x:c r="M641" s="10" t="n">
        <x:v>721</x:v>
      </x:c>
      <x:c r="N641" s="2" t="str">
        <x:v>D05</x:v>
      </x:c>
      <x:c r="O641" s="2" t="str">
        <x:v>hdb flat</x:v>
      </x:c>
      <x:c r="P641" s="2" t="str">
        <x:v>https://www.propertyguru.com.sg/listing/hdb-for-rent-701-west-coast-road-23839651</x:v>
      </x:c>
      <x:c r="Q641" s="12" t="str">
        <x:v>Pre-registered source-rubric-v1; grade applied before outputs.</x:v>
      </x:c>
      <x:c r="R641" s="13"/>
    </x:row>
    <x:row r="642" ht="15" hidden="0" customHeight="1">
      <x:c r="A642" s="2" t="str">
        <x:v>S21|60157109</x:v>
      </x:c>
      <x:c r="B642" s="2" t="str">
        <x:v>S21</x:v>
      </x:c>
      <x:c r="C642" s="2" t="str">
        <x:v>60157109</x:v>
      </x:c>
      <x:c r="D642" s="2" t="n">
        <x:v>1</x:v>
      </x:c>
      <x:c r="E642" s="9"/>
      <x:c r="F642" s="2" t="n">
        <x:f>IF(E642="",D642,IF(E642="U","U",IF(AND(ISNUMBER(E642),E642&gt;=0,E642&lt;=3,INT(E642)=E642),E642,"Invalid")))</x:f>
        <x:v>1</x:v>
      </x:c>
      <x:c r="G642" s="2" t="n">
        <x:f>IF(ISNUMBER(F642),1,0)</x:f>
        <x:v>1</x:v>
      </x:c>
      <x:c r="H642" s="2" t="n">
        <x:f>IF(ISNUMBER(F642),IF(F642&gt;=2,1,0),0)</x:f>
        <x:v>0</x:v>
      </x:c>
      <x:c r="I642" s="11" t="n">
        <x:f>IF(ISNUMBER(F642),2^F642-1,0)</x:f>
        <x:v>1</x:v>
      </x:c>
      <x:c r="J642" s="2" t="str">
        <x:v>Extension pre-run 600</x:v>
      </x:c>
      <x:c r="K642" s="10" t="n">
        <x:v>1400</x:v>
      </x:c>
      <x:c r="L642" s="10" t="n">
        <x:v>1</x:v>
      </x:c>
      <x:c r="M642" s="10" t="n">
        <x:v>250</x:v>
      </x:c>
      <x:c r="N642" s="2" t="str">
        <x:v>D20</x:v>
      </x:c>
      <x:c r="O642" s="2" t="str">
        <x:v>condominium</x:v>
      </x:c>
      <x:c r="P642" s="2" t="str">
        <x:v>https://www.propertyguru.com.sg/listing/for-rent-rafflesia-condo-60157109</x:v>
      </x:c>
      <x:c r="Q642" s="12" t="str">
        <x:v>Pre-registered source-rubric-v1; grade applied before outputs.</x:v>
      </x:c>
      <x:c r="R642" s="13"/>
    </x:row>
    <x:row r="643" ht="15" hidden="0" customHeight="1">
      <x:c r="A643" s="2" t="str">
        <x:v>S21|500258638</x:v>
      </x:c>
      <x:c r="B643" s="2" t="str">
        <x:v>S21</x:v>
      </x:c>
      <x:c r="C643" s="2" t="str">
        <x:v>500258638</x:v>
      </x:c>
      <x:c r="D643" s="2" t="n">
        <x:v>1</x:v>
      </x:c>
      <x:c r="E643" s="9"/>
      <x:c r="F643" s="2" t="n">
        <x:f>IF(E643="",D643,IF(E643="U","U",IF(AND(ISNUMBER(E643),E643&gt;=0,E643&lt;=3,INT(E643)=E643),E643,"Invalid")))</x:f>
        <x:v>1</x:v>
      </x:c>
      <x:c r="G643" s="2" t="n">
        <x:f>IF(ISNUMBER(F643),1,0)</x:f>
        <x:v>1</x:v>
      </x:c>
      <x:c r="H643" s="2" t="n">
        <x:f>IF(ISNUMBER(F643),IF(F643&gt;=2,1,0),0)</x:f>
        <x:v>0</x:v>
      </x:c>
      <x:c r="I643" s="11" t="n">
        <x:f>IF(ISNUMBER(F643),2^F643-1,0)</x:f>
        <x:v>1</x:v>
      </x:c>
      <x:c r="J643" s="2" t="str">
        <x:v>Extension pre-run 600</x:v>
      </x:c>
      <x:c r="K643" s="10" t="n">
        <x:v>1500</x:v>
      </x:c>
      <x:c r="L643" s="10" t="n">
        <x:v>1</x:v>
      </x:c>
      <x:c r="M643" s="10" t="n">
        <x:v>1119</x:v>
      </x:c>
      <x:c r="N643" s="2" t="str">
        <x:v>D18</x:v>
      </x:c>
      <x:c r="O643" s="2" t="str">
        <x:v>hdb flat</x:v>
      </x:c>
      <x:c r="P643" s="2" t="str">
        <x:v>https://www.propertyguru.com.sg/listing/hdb-for-rent-286-tampines-street-22-500258638</x:v>
      </x:c>
      <x:c r="Q643" s="12" t="str">
        <x:v>Pre-registered source-rubric-v1; grade applied before outputs.</x:v>
      </x:c>
      <x:c r="R643" s="13"/>
    </x:row>
    <x:row r="644" ht="15" hidden="0" customHeight="1">
      <x:c r="A644" s="2" t="str">
        <x:v>S21|500215736</x:v>
      </x:c>
      <x:c r="B644" s="2" t="str">
        <x:v>S21</x:v>
      </x:c>
      <x:c r="C644" s="2" t="str">
        <x:v>500215736</x:v>
      </x:c>
      <x:c r="D644" s="2" t="n">
        <x:v>1</x:v>
      </x:c>
      <x:c r="E644" s="9"/>
      <x:c r="F644" s="2" t="n">
        <x:f>IF(E644="",D644,IF(E644="U","U",IF(AND(ISNUMBER(E644),E644&gt;=0,E644&lt;=3,INT(E644)=E644),E644,"Invalid")))</x:f>
        <x:v>1</x:v>
      </x:c>
      <x:c r="G644" s="2" t="n">
        <x:f>IF(ISNUMBER(F644),1,0)</x:f>
        <x:v>1</x:v>
      </x:c>
      <x:c r="H644" s="2" t="n">
        <x:f>IF(ISNUMBER(F644),IF(F644&gt;=2,1,0),0)</x:f>
        <x:v>0</x:v>
      </x:c>
      <x:c r="I644" s="11" t="n">
        <x:f>IF(ISNUMBER(F644),2^F644-1,0)</x:f>
        <x:v>1</x:v>
      </x:c>
      <x:c r="J644" s="2" t="str">
        <x:v>Extension pre-run 600</x:v>
      </x:c>
      <x:c r="K644" s="10" t="n">
        <x:v>1450</x:v>
      </x:c>
      <x:c r="L644" s="10" t="n">
        <x:v>1</x:v>
      </x:c>
      <x:c r="M644" s="10" t="n">
        <x:v>721</x:v>
      </x:c>
      <x:c r="N644" s="2" t="str">
        <x:v>D05</x:v>
      </x:c>
      <x:c r="O644" s="2" t="str">
        <x:v>hdb flat</x:v>
      </x:c>
      <x:c r="P644" s="2" t="str">
        <x:v>https://www.propertyguru.com.sg/listing/hdb-for-rent-701-west-coast-road-500215736</x:v>
      </x:c>
      <x:c r="Q644" s="12" t="str">
        <x:v>Pre-registered source-rubric-v1; grade applied before outputs.</x:v>
      </x:c>
      <x:c r="R644" s="13"/>
    </x:row>
    <x:row r="645" ht="15" hidden="0" customHeight="1">
      <x:c r="A645" s="2" t="str">
        <x:v>S21|25457448</x:v>
      </x:c>
      <x:c r="B645" s="2" t="str">
        <x:v>S21</x:v>
      </x:c>
      <x:c r="C645" s="2" t="str">
        <x:v>25457448</x:v>
      </x:c>
      <x:c r="D645" s="2" t="n">
        <x:v>0</x:v>
      </x:c>
      <x:c r="E645" s="9"/>
      <x:c r="F645" s="2" t="n">
        <x:f>IF(E645="",D645,IF(E645="U","U",IF(AND(ISNUMBER(E645),E645&gt;=0,E645&lt;=3,INT(E645)=E645),E645,"Invalid")))</x:f>
        <x:v>0</x:v>
      </x:c>
      <x:c r="G645" s="2" t="n">
        <x:f>IF(ISNUMBER(F645),1,0)</x:f>
        <x:v>1</x:v>
      </x:c>
      <x:c r="H645" s="2" t="n">
        <x:f>IF(ISNUMBER(F645),IF(F645&gt;=2,1,0),0)</x:f>
        <x:v>0</x:v>
      </x:c>
      <x:c r="I645" s="11" t="n">
        <x:f>IF(ISNUMBER(F645),2^F645-1,0)</x:f>
        <x:v>0</x:v>
      </x:c>
      <x:c r="J645" s="2" t="str">
        <x:v>Extension pre-run 600</x:v>
      </x:c>
      <x:c r="K645" s="10" t="n">
        <x:v>4500</x:v>
      </x:c>
      <x:c r="L645" s="10" t="n">
        <x:v>2</x:v>
      </x:c>
      <x:c r="M645" s="10" t="n">
        <x:v>829</x:v>
      </x:c>
      <x:c r="N645" s="2" t="str">
        <x:v>D16</x:v>
      </x:c>
      <x:c r="O645" s="2" t="str">
        <x:v>condominium</x:v>
      </x:c>
      <x:c r="P645" s="2" t="str">
        <x:v>https://www.propertyguru.com.sg/listing/for-rent-archipelago-25457448</x:v>
      </x:c>
      <x:c r="Q645" s="12" t="str">
        <x:v>Pre-registered source-rubric-v1; grade applied before outputs.</x:v>
      </x:c>
      <x:c r="R645" s="13"/>
    </x:row>
    <x:row r="646" ht="15" hidden="0" customHeight="1">
      <x:c r="A646" s="2" t="str">
        <x:v>S21|500267328</x:v>
      </x:c>
      <x:c r="B646" s="2" t="str">
        <x:v>S21</x:v>
      </x:c>
      <x:c r="C646" s="2" t="str">
        <x:v>500267328</x:v>
      </x:c>
      <x:c r="D646" s="2" t="n">
        <x:v>0</x:v>
      </x:c>
      <x:c r="E646" s="9"/>
      <x:c r="F646" s="2" t="n">
        <x:f>IF(E646="",D646,IF(E646="U","U",IF(AND(ISNUMBER(E646),E646&gt;=0,E646&lt;=3,INT(E646)=E646),E646,"Invalid")))</x:f>
        <x:v>0</x:v>
      </x:c>
      <x:c r="G646" s="2" t="n">
        <x:f>IF(ISNUMBER(F646),1,0)</x:f>
        <x:v>1</x:v>
      </x:c>
      <x:c r="H646" s="2" t="n">
        <x:f>IF(ISNUMBER(F646),IF(F646&gt;=2,1,0),0)</x:f>
        <x:v>0</x:v>
      </x:c>
      <x:c r="I646" s="11" t="n">
        <x:f>IF(ISNUMBER(F646),2^F646-1,0)</x:f>
        <x:v>0</x:v>
      </x:c>
      <x:c r="J646" s="2" t="str">
        <x:v>Extension pre-run 600</x:v>
      </x:c>
      <x:c r="K646" s="10" t="n">
        <x:v>1000</x:v>
      </x:c>
      <x:c r="L646" s="10" t="n">
        <x:v>0</x:v>
      </x:c>
      <x:c r="M646" s="10"/>
      <x:c r="N646" s="2" t="str">
        <x:v>D22</x:v>
      </x:c>
      <x:c r="O646" s="2" t="str">
        <x:v>hdb flat</x:v>
      </x:c>
      <x:c r="P646" s="2" t="str">
        <x:v>https://www.propertyguru.com.sg/listing/hdb-for-rent-268-toh-guan-road-500267328</x:v>
      </x:c>
      <x:c r="Q646" s="12" t="str">
        <x:v>Pre-registered source-rubric-v1; grade applied before outputs.</x:v>
      </x:c>
      <x:c r="R646" s="13"/>
    </x:row>
    <x:row r="647" ht="15" hidden="0" customHeight="1">
      <x:c r="A647" s="2" t="str">
        <x:v>S21|500262901</x:v>
      </x:c>
      <x:c r="B647" s="2" t="str">
        <x:v>S21</x:v>
      </x:c>
      <x:c r="C647" s="2" t="str">
        <x:v>500262901</x:v>
      </x:c>
      <x:c r="D647" s="2" t="n">
        <x:v>0</x:v>
      </x:c>
      <x:c r="E647" s="9"/>
      <x:c r="F647" s="2" t="n">
        <x:f>IF(E647="",D647,IF(E647="U","U",IF(AND(ISNUMBER(E647),E647&gt;=0,E647&lt;=3,INT(E647)=E647),E647,"Invalid")))</x:f>
        <x:v>0</x:v>
      </x:c>
      <x:c r="G647" s="2" t="n">
        <x:f>IF(ISNUMBER(F647),1,0)</x:f>
        <x:v>1</x:v>
      </x:c>
      <x:c r="H647" s="2" t="n">
        <x:f>IF(ISNUMBER(F647),IF(F647&gt;=2,1,0),0)</x:f>
        <x:v>0</x:v>
      </x:c>
      <x:c r="I647" s="11" t="n">
        <x:f>IF(ISNUMBER(F647),2^F647-1,0)</x:f>
        <x:v>0</x:v>
      </x:c>
      <x:c r="J647" s="2" t="str">
        <x:v>Extension pre-run 600</x:v>
      </x:c>
      <x:c r="K647" s="10" t="n">
        <x:v>4500</x:v>
      </x:c>
      <x:c r="L647" s="10" t="n">
        <x:v>2</x:v>
      </x:c>
      <x:c r="M647" s="10" t="n">
        <x:v>1033</x:v>
      </x:c>
      <x:c r="N647" s="2" t="str">
        <x:v>D23</x:v>
      </x:c>
      <x:c r="O647" s="2" t="str">
        <x:v>condominium</x:v>
      </x:c>
      <x:c r="P647" s="2" t="str">
        <x:v>https://www.propertyguru.com.sg/listing/for-rent-glendale-park-500262901</x:v>
      </x:c>
      <x:c r="Q647" s="12" t="str">
        <x:v>Pre-registered source-rubric-v1; grade applied before outputs.</x:v>
      </x:c>
      <x:c r="R647" s="13"/>
    </x:row>
    <x:row r="648" ht="15" hidden="0" customHeight="1">
      <x:c r="A648" s="2" t="str">
        <x:v>S21|500246689</x:v>
      </x:c>
      <x:c r="B648" s="2" t="str">
        <x:v>S21</x:v>
      </x:c>
      <x:c r="C648" s="2" t="str">
        <x:v>500246689</x:v>
      </x:c>
      <x:c r="D648" s="2" t="n">
        <x:v>0</x:v>
      </x:c>
      <x:c r="E648" s="9"/>
      <x:c r="F648" s="2" t="n">
        <x:f>IF(E648="",D648,IF(E648="U","U",IF(AND(ISNUMBER(E648),E648&gt;=0,E648&lt;=3,INT(E648)=E648),E648,"Invalid")))</x:f>
        <x:v>0</x:v>
      </x:c>
      <x:c r="G648" s="2" t="n">
        <x:f>IF(ISNUMBER(F648),1,0)</x:f>
        <x:v>1</x:v>
      </x:c>
      <x:c r="H648" s="2" t="n">
        <x:f>IF(ISNUMBER(F648),IF(F648&gt;=2,1,0),0)</x:f>
        <x:v>0</x:v>
      </x:c>
      <x:c r="I648" s="11" t="n">
        <x:f>IF(ISNUMBER(F648),2^F648-1,0)</x:f>
        <x:v>0</x:v>
      </x:c>
      <x:c r="J648" s="2" t="str">
        <x:v>Extension pre-run 600</x:v>
      </x:c>
      <x:c r="K648" s="10" t="n">
        <x:v>1000</x:v>
      </x:c>
      <x:c r="L648" s="10" t="n">
        <x:v>0</x:v>
      </x:c>
      <x:c r="M648" s="10"/>
      <x:c r="N648" s="2" t="str">
        <x:v>D19</x:v>
      </x:c>
      <x:c r="O648" s="2" t="str">
        <x:v>hdb flat</x:v>
      </x:c>
      <x:c r="P648" s="2" t="str">
        <x:v>https://www.propertyguru.com.sg/listing/hdb-for-rent-231b-sumang-lane-500246689</x:v>
      </x:c>
      <x:c r="Q648" s="12" t="str">
        <x:v>Pre-registered source-rubric-v1; grade applied before outputs.</x:v>
      </x:c>
      <x:c r="R648" s="13"/>
    </x:row>
    <x:row r="649" ht="15" hidden="0" customHeight="1">
      <x:c r="A649" s="2" t="str">
        <x:v>S21|21758066</x:v>
      </x:c>
      <x:c r="B649" s="2" t="str">
        <x:v>S21</x:v>
      </x:c>
      <x:c r="C649" s="2" t="str">
        <x:v>21758066</x:v>
      </x:c>
      <x:c r="D649" s="2" t="n">
        <x:v>0</x:v>
      </x:c>
      <x:c r="E649" s="9"/>
      <x:c r="F649" s="2" t="n">
        <x:f>IF(E649="",D649,IF(E649="U","U",IF(AND(ISNUMBER(E649),E649&gt;=0,E649&lt;=3,INT(E649)=E649),E649,"Invalid")))</x:f>
        <x:v>0</x:v>
      </x:c>
      <x:c r="G649" s="2" t="n">
        <x:f>IF(ISNUMBER(F649),1,0)</x:f>
        <x:v>1</x:v>
      </x:c>
      <x:c r="H649" s="2" t="n">
        <x:f>IF(ISNUMBER(F649),IF(F649&gt;=2,1,0),0)</x:f>
        <x:v>0</x:v>
      </x:c>
      <x:c r="I649" s="11" t="n">
        <x:f>IF(ISNUMBER(F649),2^F649-1,0)</x:f>
        <x:v>0</x:v>
      </x:c>
      <x:c r="J649" s="2" t="str">
        <x:v>Extension pre-run 600</x:v>
      </x:c>
      <x:c r="K649" s="10" t="n">
        <x:v>3200</x:v>
      </x:c>
      <x:c r="L649" s="10" t="n">
        <x:v>2</x:v>
      </x:c>
      <x:c r="M649" s="10" t="n">
        <x:v>1200</x:v>
      </x:c>
      <x:c r="N649" s="2" t="str">
        <x:v>D18</x:v>
      </x:c>
      <x:c r="O649" s="2" t="str">
        <x:v>hdb flat</x:v>
      </x:c>
      <x:c r="P649" s="2" t="str">
        <x:v>https://www.propertyguru.com.sg/listing/hdb-for-rent-886-tampines-street-83-21758066</x:v>
      </x:c>
      <x:c r="Q649" s="12" t="str">
        <x:v>Pre-registered source-rubric-v1; grade applied before outputs.</x:v>
      </x:c>
      <x:c r="R649" s="13"/>
    </x:row>
    <x:row r="650" ht="15" hidden="0" customHeight="1">
      <x:c r="A650" s="2" t="str">
        <x:v>S21|24952568</x:v>
      </x:c>
      <x:c r="B650" s="2" t="str">
        <x:v>S21</x:v>
      </x:c>
      <x:c r="C650" s="2" t="str">
        <x:v>24952568</x:v>
      </x:c>
      <x:c r="D650" s="2" t="n">
        <x:v>0</x:v>
      </x:c>
      <x:c r="E650" s="9"/>
      <x:c r="F650" s="2" t="n">
        <x:f>IF(E650="",D650,IF(E650="U","U",IF(AND(ISNUMBER(E650),E650&gt;=0,E650&lt;=3,INT(E650)=E650),E650,"Invalid")))</x:f>
        <x:v>0</x:v>
      </x:c>
      <x:c r="G650" s="2" t="n">
        <x:f>IF(ISNUMBER(F650),1,0)</x:f>
        <x:v>1</x:v>
      </x:c>
      <x:c r="H650" s="2" t="n">
        <x:f>IF(ISNUMBER(F650),IF(F650&gt;=2,1,0),0)</x:f>
        <x:v>0</x:v>
      </x:c>
      <x:c r="I650" s="11" t="n">
        <x:f>IF(ISNUMBER(F650),2^F650-1,0)</x:f>
        <x:v>0</x:v>
      </x:c>
      <x:c r="J650" s="2" t="str">
        <x:v>Extension pre-run 600</x:v>
      </x:c>
      <x:c r="K650" s="10" t="n">
        <x:v>3200</x:v>
      </x:c>
      <x:c r="L650" s="10" t="n">
        <x:v>3</x:v>
      </x:c>
      <x:c r="M650" s="10" t="n">
        <x:v>1335</x:v>
      </x:c>
      <x:c r="N650" s="2" t="str">
        <x:v>D25</x:v>
      </x:c>
      <x:c r="O650" s="2" t="str">
        <x:v>hdb flat</x:v>
      </x:c>
      <x:c r="P650" s="2" t="str">
        <x:v>https://www.propertyguru.com.sg/listing/hdb-for-rent-876-woodlands-avenue-9-24952568</x:v>
      </x:c>
      <x:c r="Q650" s="12" t="str">
        <x:v>Pre-registered source-rubric-v1; grade applied before outputs.</x:v>
      </x:c>
      <x:c r="R650" s="13"/>
    </x:row>
    <x:row r="651" ht="15" hidden="0" customHeight="1">
      <x:c r="A651" s="2" t="str">
        <x:v>S21|20910203</x:v>
      </x:c>
      <x:c r="B651" s="2" t="str">
        <x:v>S21</x:v>
      </x:c>
      <x:c r="C651" s="2" t="str">
        <x:v>20910203</x:v>
      </x:c>
      <x:c r="D651" s="2" t="n">
        <x:v>0</x:v>
      </x:c>
      <x:c r="E651" s="9"/>
      <x:c r="F651" s="2" t="n">
        <x:f>IF(E651="",D651,IF(E651="U","U",IF(AND(ISNUMBER(E651),E651&gt;=0,E651&lt;=3,INT(E651)=E651),E651,"Invalid")))</x:f>
        <x:v>0</x:v>
      </x:c>
      <x:c r="G651" s="2" t="n">
        <x:f>IF(ISNUMBER(F651),1,0)</x:f>
        <x:v>1</x:v>
      </x:c>
      <x:c r="H651" s="2" t="n">
        <x:f>IF(ISNUMBER(F651),IF(F651&gt;=2,1,0),0)</x:f>
        <x:v>0</x:v>
      </x:c>
      <x:c r="I651" s="11" t="n">
        <x:f>IF(ISNUMBER(F651),2^F651-1,0)</x:f>
        <x:v>0</x:v>
      </x:c>
      <x:c r="J651" s="2" t="str">
        <x:v>Extension pre-run 600</x:v>
      </x:c>
      <x:c r="K651" s="10" t="n">
        <x:v>4500</x:v>
      </x:c>
      <x:c r="L651" s="10" t="n">
        <x:v>1</x:v>
      </x:c>
      <x:c r="M651" s="10" t="n">
        <x:v>592</x:v>
      </x:c>
      <x:c r="N651" s="2" t="str">
        <x:v>D07</x:v>
      </x:c>
      <x:c r="O651" s="2" t="str">
        <x:v>apartment</x:v>
      </x:c>
      <x:c r="P651" s="2" t="str">
        <x:v>https://www.propertyguru.com.sg/listing/for-rent-duo-residences-20910203</x:v>
      </x:c>
      <x:c r="Q651" s="12" t="str">
        <x:v>Pre-registered source-rubric-v1; grade applied before outputs.</x:v>
      </x:c>
      <x:c r="R651" s="13"/>
    </x:row>
    <x:row r="652" ht="15" hidden="0" customHeight="1">
      <x:c r="A652" s="2" t="str">
        <x:v>S21|24818334</x:v>
      </x:c>
      <x:c r="B652" s="2" t="str">
        <x:v>S21</x:v>
      </x:c>
      <x:c r="C652" s="2" t="str">
        <x:v>24818334</x:v>
      </x:c>
      <x:c r="D652" s="2" t="n">
        <x:v>0</x:v>
      </x:c>
      <x:c r="E652" s="9"/>
      <x:c r="F652" s="2" t="n">
        <x:f>IF(E652="",D652,IF(E652="U","U",IF(AND(ISNUMBER(E652),E652&gt;=0,E652&lt;=3,INT(E652)=E652),E652,"Invalid")))</x:f>
        <x:v>0</x:v>
      </x:c>
      <x:c r="G652" s="2" t="n">
        <x:f>IF(ISNUMBER(F652),1,0)</x:f>
        <x:v>1</x:v>
      </x:c>
      <x:c r="H652" s="2" t="n">
        <x:f>IF(ISNUMBER(F652),IF(F652&gt;=2,1,0),0)</x:f>
        <x:v>0</x:v>
      </x:c>
      <x:c r="I652" s="11" t="n">
        <x:f>IF(ISNUMBER(F652),2^F652-1,0)</x:f>
        <x:v>0</x:v>
      </x:c>
      <x:c r="J652" s="2" t="str">
        <x:v>Extension pre-run 600</x:v>
      </x:c>
      <x:c r="K652" s="10" t="n">
        <x:v>8999</x:v>
      </x:c>
      <x:c r="L652" s="10" t="n">
        <x:v>2</x:v>
      </x:c>
      <x:c r="M652" s="10" t="n">
        <x:v>1055</x:v>
      </x:c>
      <x:c r="N652" s="2" t="str">
        <x:v>D09</x:v>
      </x:c>
      <x:c r="O652" s="2" t="str">
        <x:v>condominium</x:v>
      </x:c>
      <x:c r="P652" s="2" t="str">
        <x:v>https://www.propertyguru.com.sg/listing/for-rent-oue-twin-peaks-24818334</x:v>
      </x:c>
      <x:c r="Q652" s="12" t="str">
        <x:v>Pre-registered source-rubric-v1; grade applied before outputs.</x:v>
      </x:c>
      <x:c r="R652" s="13"/>
    </x:row>
    <x:row r="653" ht="15" hidden="0" customHeight="1">
      <x:c r="A653" s="2" t="str">
        <x:v>S21|500273065</x:v>
      </x:c>
      <x:c r="B653" s="2" t="str">
        <x:v>S21</x:v>
      </x:c>
      <x:c r="C653" s="2" t="str">
        <x:v>500273065</x:v>
      </x:c>
      <x:c r="D653" s="2" t="str">
        <x:v>U</x:v>
      </x:c>
      <x:c r="E653" s="9"/>
      <x:c r="F653" s="2" t="str">
        <x:f>IF(E653="",D653,IF(E653="U","U",IF(AND(ISNUMBER(E653),E653&gt;=0,E653&lt;=3,INT(E653)=E653),E653,"Invalid")))</x:f>
        <x:v>U</x:v>
      </x:c>
      <x:c r="G653" s="2" t="n">
        <x:f>IF(ISNUMBER(F653),1,0)</x:f>
        <x:v>0</x:v>
      </x:c>
      <x:c r="H653" s="2" t="n">
        <x:f>IF(ISNUMBER(F653),IF(F653&gt;=2,1,0),0)</x:f>
        <x:v>0</x:v>
      </x:c>
      <x:c r="I653" s="11" t="n">
        <x:f>IF(ISNUMBER(F653),2^F653-1,0)</x:f>
        <x:v>0</x:v>
      </x:c>
      <x:c r="J653" s="2" t="str">
        <x:v>Extension pre-run 600</x:v>
      </x:c>
      <x:c r="K653" s="10" t="n">
        <x:v>900</x:v>
      </x:c>
      <x:c r="L653" s="10" t="n">
        <x:v>1</x:v>
      </x:c>
      <x:c r="M653" s="10"/>
      <x:c r="N653" s="2" t="str">
        <x:v>D27</x:v>
      </x:c>
      <x:c r="O653" s="2" t="str">
        <x:v>hdb flat</x:v>
      </x:c>
      <x:c r="P653" s="2" t="str">
        <x:v>https://www.propertyguru.com.sg/listing/hdb-for-rent-315a-yishun-greenwalk-500273065</x:v>
      </x:c>
      <x:c r="Q653" s="12" t="str">
        <x:v>Pre-registered source-rubric-v1; grade applied before outputs.</x:v>
      </x:c>
      <x:c r="R653" s="13"/>
    </x:row>
    <x:row r="654" ht="15" hidden="0" customHeight="1">
      <x:c r="A654" s="2" t="str">
        <x:v>S21|500273530</x:v>
      </x:c>
      <x:c r="B654" s="2" t="str">
        <x:v>S21</x:v>
      </x:c>
      <x:c r="C654" s="2" t="str">
        <x:v>500273530</x:v>
      </x:c>
      <x:c r="D654" s="2" t="str">
        <x:v>U</x:v>
      </x:c>
      <x:c r="E654" s="9"/>
      <x:c r="F654" s="2" t="str">
        <x:f>IF(E654="",D654,IF(E654="U","U",IF(AND(ISNUMBER(E654),E654&gt;=0,E654&lt;=3,INT(E654)=E654),E654,"Invalid")))</x:f>
        <x:v>U</x:v>
      </x:c>
      <x:c r="G654" s="2" t="n">
        <x:f>IF(ISNUMBER(F654),1,0)</x:f>
        <x:v>0</x:v>
      </x:c>
      <x:c r="H654" s="2" t="n">
        <x:f>IF(ISNUMBER(F654),IF(F654&gt;=2,1,0),0)</x:f>
        <x:v>0</x:v>
      </x:c>
      <x:c r="I654" s="11" t="n">
        <x:f>IF(ISNUMBER(F654),2^F654-1,0)</x:f>
        <x:v>0</x:v>
      </x:c>
      <x:c r="J654" s="2" t="str">
        <x:v>Extension pre-run 600</x:v>
      </x:c>
      <x:c r="K654" s="10" t="n">
        <x:v>1400</x:v>
      </x:c>
      <x:c r="L654" s="10" t="n">
        <x:v>1</x:v>
      </x:c>
      <x:c r="M654" s="10"/>
      <x:c r="N654" s="2" t="str">
        <x:v>D14</x:v>
      </x:c>
      <x:c r="O654" s="2" t="str">
        <x:v>condominium</x:v>
      </x:c>
      <x:c r="P654" s="2" t="str">
        <x:v>https://www.propertyguru.com.sg/listing/for-rent-central-grove-500273530</x:v>
      </x:c>
      <x:c r="Q654" s="12" t="str">
        <x:v>Pre-registered source-rubric-v1; grade applied before outputs.</x:v>
      </x:c>
      <x:c r="R654" s="13"/>
    </x:row>
    <x:row r="655" ht="15" hidden="0" customHeight="1">
      <x:c r="A655" s="2" t="str">
        <x:v>S22|24159156</x:v>
      </x:c>
      <x:c r="B655" s="2" t="str">
        <x:v>S22</x:v>
      </x:c>
      <x:c r="C655" s="2" t="str">
        <x:v>24159156</x:v>
      </x:c>
      <x:c r="D655" s="2" t="n">
        <x:v>3</x:v>
      </x:c>
      <x:c r="E655" s="9"/>
      <x:c r="F655" s="2" t="n">
        <x:f>IF(E655="",D655,IF(E655="U","U",IF(AND(ISNUMBER(E655),E655&gt;=0,E655&lt;=3,INT(E655)=E655),E655,"Invalid")))</x:f>
        <x:v>3</x:v>
      </x:c>
      <x:c r="G655" s="2" t="n">
        <x:f>IF(ISNUMBER(F655),1,0)</x:f>
        <x:v>1</x:v>
      </x:c>
      <x:c r="H655" s="2" t="n">
        <x:f>IF(ISNUMBER(F655),IF(F655&gt;=2,1,0),0)</x:f>
        <x:v>1</x:v>
      </x:c>
      <x:c r="I655" s="11" t="n">
        <x:f>IF(ISNUMBER(F655),2^F655-1,0)</x:f>
        <x:v>7</x:v>
      </x:c>
      <x:c r="J655" s="2" t="str">
        <x:v>Extension pre-run 600</x:v>
      </x:c>
      <x:c r="K655" s="10" t="n">
        <x:v>3200</x:v>
      </x:c>
      <x:c r="L655" s="10" t="n">
        <x:v>2</x:v>
      </x:c>
      <x:c r="M655" s="10" t="n">
        <x:v>969</x:v>
      </x:c>
      <x:c r="N655" s="2" t="str">
        <x:v>D23</x:v>
      </x:c>
      <x:c r="O655" s="2" t="str">
        <x:v>hdb flat</x:v>
      </x:c>
      <x:c r="P655" s="2" t="str">
        <x:v>https://www.propertyguru.com.sg/listing/hdb-for-rent-177-lompang-road-24159156</x:v>
      </x:c>
      <x:c r="Q655" s="12" t="str">
        <x:v>Pre-registered source-rubric-v1; grade applied before outputs.</x:v>
      </x:c>
      <x:c r="R655" s="13"/>
    </x:row>
    <x:row r="656" ht="15" hidden="0" customHeight="1">
      <x:c r="A656" s="2" t="str">
        <x:v>S22|24168244</x:v>
      </x:c>
      <x:c r="B656" s="2" t="str">
        <x:v>S22</x:v>
      </x:c>
      <x:c r="C656" s="2" t="str">
        <x:v>24168244</x:v>
      </x:c>
      <x:c r="D656" s="2" t="n">
        <x:v>3</x:v>
      </x:c>
      <x:c r="E656" s="9"/>
      <x:c r="F656" s="2" t="n">
        <x:f>IF(E656="",D656,IF(E656="U","U",IF(AND(ISNUMBER(E656),E656&gt;=0,E656&lt;=3,INT(E656)=E656),E656,"Invalid")))</x:f>
        <x:v>3</x:v>
      </x:c>
      <x:c r="G656" s="2" t="n">
        <x:f>IF(ISNUMBER(F656),1,0)</x:f>
        <x:v>1</x:v>
      </x:c>
      <x:c r="H656" s="2" t="n">
        <x:f>IF(ISNUMBER(F656),IF(F656&gt;=2,1,0),0)</x:f>
        <x:v>1</x:v>
      </x:c>
      <x:c r="I656" s="11" t="n">
        <x:f>IF(ISNUMBER(F656),2^F656-1,0)</x:f>
        <x:v>7</x:v>
      </x:c>
      <x:c r="J656" s="2" t="str">
        <x:v>Extension pre-run 600</x:v>
      </x:c>
      <x:c r="K656" s="10" t="n">
        <x:v>3500</x:v>
      </x:c>
      <x:c r="L656" s="10" t="n">
        <x:v>3</x:v>
      </x:c>
      <x:c r="M656" s="10" t="n">
        <x:v>1300</x:v>
      </x:c>
      <x:c r="N656" s="2" t="str">
        <x:v>D25</x:v>
      </x:c>
      <x:c r="O656" s="2" t="str">
        <x:v>hdb flat</x:v>
      </x:c>
      <x:c r="P656" s="2" t="str">
        <x:v>https://www.propertyguru.com.sg/listing/hdb-for-rent-632-woodlands-ring-road-24168244</x:v>
      </x:c>
      <x:c r="Q656" s="12" t="str">
        <x:v>Pre-registered source-rubric-v1; grade applied before outputs.</x:v>
      </x:c>
      <x:c r="R656" s="13"/>
    </x:row>
    <x:row r="657" ht="15" hidden="0" customHeight="1">
      <x:c r="A657" s="2" t="str">
        <x:v>S22|24627802</x:v>
      </x:c>
      <x:c r="B657" s="2" t="str">
        <x:v>S22</x:v>
      </x:c>
      <x:c r="C657" s="2" t="str">
        <x:v>24627802</x:v>
      </x:c>
      <x:c r="D657" s="2" t="n">
        <x:v>3</x:v>
      </x:c>
      <x:c r="E657" s="9"/>
      <x:c r="F657" s="2" t="n">
        <x:f>IF(E657="",D657,IF(E657="U","U",IF(AND(ISNUMBER(E657),E657&gt;=0,E657&lt;=3,INT(E657)=E657),E657,"Invalid")))</x:f>
        <x:v>3</x:v>
      </x:c>
      <x:c r="G657" s="2" t="n">
        <x:f>IF(ISNUMBER(F657),1,0)</x:f>
        <x:v>1</x:v>
      </x:c>
      <x:c r="H657" s="2" t="n">
        <x:f>IF(ISNUMBER(F657),IF(F657&gt;=2,1,0),0)</x:f>
        <x:v>1</x:v>
      </x:c>
      <x:c r="I657" s="11" t="n">
        <x:f>IF(ISNUMBER(F657),2^F657-1,0)</x:f>
        <x:v>7</x:v>
      </x:c>
      <x:c r="J657" s="2" t="str">
        <x:v>Extension pre-run 600</x:v>
      </x:c>
      <x:c r="K657" s="10" t="n">
        <x:v>3499</x:v>
      </x:c>
      <x:c r="L657" s="10" t="n">
        <x:v>3</x:v>
      </x:c>
      <x:c r="M657" s="10" t="n">
        <x:v>904</x:v>
      </x:c>
      <x:c r="N657" s="2" t="str">
        <x:v>D18</x:v>
      </x:c>
      <x:c r="O657" s="2" t="str">
        <x:v>hdb flat</x:v>
      </x:c>
      <x:c r="P657" s="2" t="str">
        <x:v>https://www.propertyguru.com.sg/listing/hdb-for-rent-458-tampines-street-42-24627802</x:v>
      </x:c>
      <x:c r="Q657" s="12" t="str">
        <x:v>Pre-registered source-rubric-v1; grade applied before outputs.</x:v>
      </x:c>
      <x:c r="R657" s="13"/>
    </x:row>
    <x:row r="658" ht="15" hidden="0" customHeight="1">
      <x:c r="A658" s="2" t="str">
        <x:v>S22|500250798</x:v>
      </x:c>
      <x:c r="B658" s="2" t="str">
        <x:v>S22</x:v>
      </x:c>
      <x:c r="C658" s="2" t="str">
        <x:v>500250798</x:v>
      </x:c>
      <x:c r="D658" s="2" t="n">
        <x:v>3</x:v>
      </x:c>
      <x:c r="E658" s="9"/>
      <x:c r="F658" s="2" t="n">
        <x:f>IF(E658="",D658,IF(E658="U","U",IF(AND(ISNUMBER(E658),E658&gt;=0,E658&lt;=3,INT(E658)=E658),E658,"Invalid")))</x:f>
        <x:v>3</x:v>
      </x:c>
      <x:c r="G658" s="2" t="n">
        <x:f>IF(ISNUMBER(F658),1,0)</x:f>
        <x:v>1</x:v>
      </x:c>
      <x:c r="H658" s="2" t="n">
        <x:f>IF(ISNUMBER(F658),IF(F658&gt;=2,1,0),0)</x:f>
        <x:v>1</x:v>
      </x:c>
      <x:c r="I658" s="11" t="n">
        <x:f>IF(ISNUMBER(F658),2^F658-1,0)</x:f>
        <x:v>7</x:v>
      </x:c>
      <x:c r="J658" s="2" t="str">
        <x:v>Extension pre-run 600</x:v>
      </x:c>
      <x:c r="K658" s="10" t="n">
        <x:v>3500</x:v>
      </x:c>
      <x:c r="L658" s="10" t="n">
        <x:v>3</x:v>
      </x:c>
      <x:c r="M658" s="10" t="n">
        <x:v>1183</x:v>
      </x:c>
      <x:c r="N658" s="2" t="str">
        <x:v>D25</x:v>
      </x:c>
      <x:c r="O658" s="2" t="str">
        <x:v>hdb flat</x:v>
      </x:c>
      <x:c r="P658" s="2" t="str">
        <x:v>https://www.propertyguru.com.sg/listing/hdb-for-rent-628a-woodlands-ring-road-500250798</x:v>
      </x:c>
      <x:c r="Q658" s="12" t="str">
        <x:v>Pre-registered source-rubric-v1; grade applied before outputs.</x:v>
      </x:c>
      <x:c r="R658" s="13"/>
    </x:row>
    <x:row r="659" ht="15" hidden="0" customHeight="1">
      <x:c r="A659" s="2" t="str">
        <x:v>S22|500284737</x:v>
      </x:c>
      <x:c r="B659" s="2" t="str">
        <x:v>S22</x:v>
      </x:c>
      <x:c r="C659" s="2" t="str">
        <x:v>500284737</x:v>
      </x:c>
      <x:c r="D659" s="2" t="n">
        <x:v>3</x:v>
      </x:c>
      <x:c r="E659" s="9"/>
      <x:c r="F659" s="2" t="n">
        <x:f>IF(E659="",D659,IF(E659="U","U",IF(AND(ISNUMBER(E659),E659&gt;=0,E659&lt;=3,INT(E659)=E659),E659,"Invalid")))</x:f>
        <x:v>3</x:v>
      </x:c>
      <x:c r="G659" s="2" t="n">
        <x:f>IF(ISNUMBER(F659),1,0)</x:f>
        <x:v>1</x:v>
      </x:c>
      <x:c r="H659" s="2" t="n">
        <x:f>IF(ISNUMBER(F659),IF(F659&gt;=2,1,0),0)</x:f>
        <x:v>1</x:v>
      </x:c>
      <x:c r="I659" s="11" t="n">
        <x:f>IF(ISNUMBER(F659),2^F659-1,0)</x:f>
        <x:v>7</x:v>
      </x:c>
      <x:c r="J659" s="2" t="str">
        <x:v>Extension pre-run 600</x:v>
      </x:c>
      <x:c r="K659" s="10" t="n">
        <x:v>2800</x:v>
      </x:c>
      <x:c r="L659" s="10" t="n">
        <x:v>2</x:v>
      </x:c>
      <x:c r="M659" s="10" t="n">
        <x:v>1095</x:v>
      </x:c>
      <x:c r="N659" s="2" t="str">
        <x:v>D27</x:v>
      </x:c>
      <x:c r="O659" s="2" t="str">
        <x:v>hdb flat</x:v>
      </x:c>
      <x:c r="P659" s="2" t="str">
        <x:v>https://www.propertyguru.com.sg/listing/hdb-for-rent-510a-wellington-circle-500284737</x:v>
      </x:c>
      <x:c r="Q659" s="12" t="str">
        <x:v>Pre-registered source-rubric-v1; grade applied before outputs.</x:v>
      </x:c>
      <x:c r="R659" s="13"/>
    </x:row>
    <x:row r="660" ht="15" hidden="0" customHeight="1">
      <x:c r="A660" s="2" t="str">
        <x:v>S22|500279340</x:v>
      </x:c>
      <x:c r="B660" s="2" t="str">
        <x:v>S22</x:v>
      </x:c>
      <x:c r="C660" s="2" t="str">
        <x:v>500279340</x:v>
      </x:c>
      <x:c r="D660" s="2" t="n">
        <x:v>3</x:v>
      </x:c>
      <x:c r="E660" s="9"/>
      <x:c r="F660" s="2" t="n">
        <x:f>IF(E660="",D660,IF(E660="U","U",IF(AND(ISNUMBER(E660),E660&gt;=0,E660&lt;=3,INT(E660)=E660),E660,"Invalid")))</x:f>
        <x:v>3</x:v>
      </x:c>
      <x:c r="G660" s="2" t="n">
        <x:f>IF(ISNUMBER(F660),1,0)</x:f>
        <x:v>1</x:v>
      </x:c>
      <x:c r="H660" s="2" t="n">
        <x:f>IF(ISNUMBER(F660),IF(F660&gt;=2,1,0),0)</x:f>
        <x:v>1</x:v>
      </x:c>
      <x:c r="I660" s="11" t="n">
        <x:f>IF(ISNUMBER(F660),2^F660-1,0)</x:f>
        <x:v>7</x:v>
      </x:c>
      <x:c r="J660" s="2" t="str">
        <x:v>Extension pre-run 600</x:v>
      </x:c>
      <x:c r="K660" s="10" t="n">
        <x:v>3100</x:v>
      </x:c>
      <x:c r="L660" s="10" t="n">
        <x:v>2</x:v>
      </x:c>
      <x:c r="M660" s="10" t="n">
        <x:v>1012</x:v>
      </x:c>
      <x:c r="N660" s="2" t="str">
        <x:v>D28</x:v>
      </x:c>
      <x:c r="O660" s="2" t="str">
        <x:v>hdb flat</x:v>
      </x:c>
      <x:c r="P660" s="2" t="str">
        <x:v>https://www.propertyguru.com.sg/listing/hdb-for-rent-438a-sengkang-west-avenue-500279340</x:v>
      </x:c>
      <x:c r="Q660" s="12" t="str">
        <x:v>Pre-registered source-rubric-v1; grade applied before outputs.</x:v>
      </x:c>
      <x:c r="R660" s="13"/>
    </x:row>
    <x:row r="661" ht="15" hidden="0" customHeight="1">
      <x:c r="A661" s="2" t="str">
        <x:v>S22|500250444</x:v>
      </x:c>
      <x:c r="B661" s="2" t="str">
        <x:v>S22</x:v>
      </x:c>
      <x:c r="C661" s="2" t="str">
        <x:v>500250444</x:v>
      </x:c>
      <x:c r="D661" s="2" t="n">
        <x:v>2</x:v>
      </x:c>
      <x:c r="E661" s="9"/>
      <x:c r="F661" s="2" t="n">
        <x:f>IF(E661="",D661,IF(E661="U","U",IF(AND(ISNUMBER(E661),E661&gt;=0,E661&lt;=3,INT(E661)=E661),E661,"Invalid")))</x:f>
        <x:v>2</x:v>
      </x:c>
      <x:c r="G661" s="2" t="n">
        <x:f>IF(ISNUMBER(F661),1,0)</x:f>
        <x:v>1</x:v>
      </x:c>
      <x:c r="H661" s="2" t="n">
        <x:f>IF(ISNUMBER(F661),IF(F661&gt;=2,1,0),0)</x:f>
        <x:v>1</x:v>
      </x:c>
      <x:c r="I661" s="11" t="n">
        <x:f>IF(ISNUMBER(F661),2^F661-1,0)</x:f>
        <x:v>3</x:v>
      </x:c>
      <x:c r="J661" s="2" t="str">
        <x:v>Extension pre-run 600</x:v>
      </x:c>
      <x:c r="K661" s="10" t="n">
        <x:v>3800</x:v>
      </x:c>
      <x:c r="L661" s="10" t="n">
        <x:v>3</x:v>
      </x:c>
      <x:c r="M661" s="10" t="n">
        <x:v>1076</x:v>
      </x:c>
      <x:c r="N661" s="2" t="str">
        <x:v>D20</x:v>
      </x:c>
      <x:c r="O661" s="2" t="str">
        <x:v>hdb flat</x:v>
      </x:c>
      <x:c r="P661" s="2" t="str">
        <x:v>https://www.propertyguru.com.sg/listing/hdb-for-rent-448-bright-hill-drive-500250444</x:v>
      </x:c>
      <x:c r="Q661" s="12" t="str">
        <x:v>Pre-registered source-rubric-v1; grade applied before outputs.</x:v>
      </x:c>
      <x:c r="R661" s="13"/>
    </x:row>
    <x:row r="662" ht="15" hidden="0" customHeight="1">
      <x:c r="A662" s="2" t="str">
        <x:v>S22|500288351</x:v>
      </x:c>
      <x:c r="B662" s="2" t="str">
        <x:v>S22</x:v>
      </x:c>
      <x:c r="C662" s="2" t="str">
        <x:v>500288351</x:v>
      </x:c>
      <x:c r="D662" s="2" t="n">
        <x:v>2</x:v>
      </x:c>
      <x:c r="E662" s="9"/>
      <x:c r="F662" s="2" t="n">
        <x:f>IF(E662="",D662,IF(E662="U","U",IF(AND(ISNUMBER(E662),E662&gt;=0,E662&lt;=3,INT(E662)=E662),E662,"Invalid")))</x:f>
        <x:v>2</x:v>
      </x:c>
      <x:c r="G662" s="2" t="n">
        <x:f>IF(ISNUMBER(F662),1,0)</x:f>
        <x:v>1</x:v>
      </x:c>
      <x:c r="H662" s="2" t="n">
        <x:f>IF(ISNUMBER(F662),IF(F662&gt;=2,1,0),0)</x:f>
        <x:v>1</x:v>
      </x:c>
      <x:c r="I662" s="11" t="n">
        <x:f>IF(ISNUMBER(F662),2^F662-1,0)</x:f>
        <x:v>3</x:v>
      </x:c>
      <x:c r="J662" s="2" t="str">
        <x:v>Extension pre-run 600</x:v>
      </x:c>
      <x:c r="K662" s="10" t="n">
        <x:v>3600</x:v>
      </x:c>
      <x:c r="L662" s="10" t="n">
        <x:v>4</x:v>
      </x:c>
      <x:c r="M662" s="10" t="n">
        <x:v>1119</x:v>
      </x:c>
      <x:c r="N662" s="2" t="str">
        <x:v>D19</x:v>
      </x:c>
      <x:c r="O662" s="2" t="str">
        <x:v>hdb flat</x:v>
      </x:c>
      <x:c r="P662" s="2" t="str">
        <x:v>https://www.propertyguru.com.sg/listing/hdb-for-rent-445-hougang-avenue-8-500288351</x:v>
      </x:c>
      <x:c r="Q662" s="12" t="str">
        <x:v>Pre-registered source-rubric-v1; grade applied before outputs.</x:v>
      </x:c>
      <x:c r="R662" s="13"/>
    </x:row>
    <x:row r="663" ht="15" hidden="0" customHeight="1">
      <x:c r="A663" s="2" t="str">
        <x:v>S22|19242757</x:v>
      </x:c>
      <x:c r="B663" s="2" t="str">
        <x:v>S22</x:v>
      </x:c>
      <x:c r="C663" s="2" t="str">
        <x:v>19242757</x:v>
      </x:c>
      <x:c r="D663" s="2" t="n">
        <x:v>2</x:v>
      </x:c>
      <x:c r="E663" s="9"/>
      <x:c r="F663" s="2" t="n">
        <x:f>IF(E663="",D663,IF(E663="U","U",IF(AND(ISNUMBER(E663),E663&gt;=0,E663&lt;=3,INT(E663)=E663),E663,"Invalid")))</x:f>
        <x:v>2</x:v>
      </x:c>
      <x:c r="G663" s="2" t="n">
        <x:f>IF(ISNUMBER(F663),1,0)</x:f>
        <x:v>1</x:v>
      </x:c>
      <x:c r="H663" s="2" t="n">
        <x:f>IF(ISNUMBER(F663),IF(F663&gt;=2,1,0),0)</x:f>
        <x:v>1</x:v>
      </x:c>
      <x:c r="I663" s="11" t="n">
        <x:f>IF(ISNUMBER(F663),2^F663-1,0)</x:f>
        <x:v>3</x:v>
      </x:c>
      <x:c r="J663" s="2" t="str">
        <x:v>Extension pre-run 600</x:v>
      </x:c>
      <x:c r="K663" s="10" t="n">
        <x:v>4000</x:v>
      </x:c>
      <x:c r="L663" s="10" t="n">
        <x:v>2</x:v>
      </x:c>
      <x:c r="M663" s="10" t="n">
        <x:v>947</x:v>
      </x:c>
      <x:c r="N663" s="2" t="str">
        <x:v>D16</x:v>
      </x:c>
      <x:c r="O663" s="2" t="str">
        <x:v>condominium</x:v>
      </x:c>
      <x:c r="P663" s="2" t="str">
        <x:v>https://www.propertyguru.com.sg/listing/for-rent-waterfront-isle-19242757</x:v>
      </x:c>
      <x:c r="Q663" s="12" t="str">
        <x:v>Pre-registered source-rubric-v1; grade applied before outputs.</x:v>
      </x:c>
      <x:c r="R663" s="13"/>
    </x:row>
    <x:row r="664" ht="15" hidden="0" customHeight="1">
      <x:c r="A664" s="2" t="str">
        <x:v>S22|500282634</x:v>
      </x:c>
      <x:c r="B664" s="2" t="str">
        <x:v>S22</x:v>
      </x:c>
      <x:c r="C664" s="2" t="str">
        <x:v>500282634</x:v>
      </x:c>
      <x:c r="D664" s="2" t="n">
        <x:v>2</x:v>
      </x:c>
      <x:c r="E664" s="9"/>
      <x:c r="F664" s="2" t="n">
        <x:f>IF(E664="",D664,IF(E664="U","U",IF(AND(ISNUMBER(E664),E664&gt;=0,E664&lt;=3,INT(E664)=E664),E664,"Invalid")))</x:f>
        <x:v>2</x:v>
      </x:c>
      <x:c r="G664" s="2" t="n">
        <x:f>IF(ISNUMBER(F664),1,0)</x:f>
        <x:v>1</x:v>
      </x:c>
      <x:c r="H664" s="2" t="n">
        <x:f>IF(ISNUMBER(F664),IF(F664&gt;=2,1,0),0)</x:f>
        <x:v>1</x:v>
      </x:c>
      <x:c r="I664" s="11" t="n">
        <x:f>IF(ISNUMBER(F664),2^F664-1,0)</x:f>
        <x:v>3</x:v>
      </x:c>
      <x:c r="J664" s="2" t="str">
        <x:v>Extension pre-run 600</x:v>
      </x:c>
      <x:c r="K664" s="10" t="n">
        <x:v>3600</x:v>
      </x:c>
      <x:c r="L664" s="10" t="n">
        <x:v>3</x:v>
      </x:c>
      <x:c r="M664" s="10" t="n">
        <x:v>1141</x:v>
      </x:c>
      <x:c r="N664" s="2" t="str">
        <x:v>D18</x:v>
      </x:c>
      <x:c r="O664" s="2" t="str">
        <x:v>hdb flat</x:v>
      </x:c>
      <x:c r="P664" s="2" t="str">
        <x:v>https://www.propertyguru.com.sg/listing/hdb-for-rent-124-pasir-ris-street-11-500282634</x:v>
      </x:c>
      <x:c r="Q664" s="12" t="str">
        <x:v>Pre-registered source-rubric-v1; grade applied before outputs.</x:v>
      </x:c>
      <x:c r="R664" s="13"/>
    </x:row>
    <x:row r="665" ht="15" hidden="0" customHeight="1">
      <x:c r="A665" s="2" t="str">
        <x:v>S22|21651430</x:v>
      </x:c>
      <x:c r="B665" s="2" t="str">
        <x:v>S22</x:v>
      </x:c>
      <x:c r="C665" s="2" t="str">
        <x:v>21651430</x:v>
      </x:c>
      <x:c r="D665" s="2" t="n">
        <x:v>2</x:v>
      </x:c>
      <x:c r="E665" s="9"/>
      <x:c r="F665" s="2" t="n">
        <x:f>IF(E665="",D665,IF(E665="U","U",IF(AND(ISNUMBER(E665),E665&gt;=0,E665&lt;=3,INT(E665)=E665),E665,"Invalid")))</x:f>
        <x:v>2</x:v>
      </x:c>
      <x:c r="G665" s="2" t="n">
        <x:f>IF(ISNUMBER(F665),1,0)</x:f>
        <x:v>1</x:v>
      </x:c>
      <x:c r="H665" s="2" t="n">
        <x:f>IF(ISNUMBER(F665),IF(F665&gt;=2,1,0),0)</x:f>
        <x:v>1</x:v>
      </x:c>
      <x:c r="I665" s="11" t="n">
        <x:f>IF(ISNUMBER(F665),2^F665-1,0)</x:f>
        <x:v>3</x:v>
      </x:c>
      <x:c r="J665" s="2" t="str">
        <x:v>Extension pre-run 600</x:v>
      </x:c>
      <x:c r="K665" s="10" t="n">
        <x:v>3550</x:v>
      </x:c>
      <x:c r="L665" s="10" t="n">
        <x:v>2</x:v>
      </x:c>
      <x:c r="M665" s="10" t="n">
        <x:v>1000</x:v>
      </x:c>
      <x:c r="N665" s="2" t="str">
        <x:v>D16</x:v>
      </x:c>
      <x:c r="O665" s="2" t="str">
        <x:v>condominium</x:v>
      </x:c>
      <x:c r="P665" s="2" t="str">
        <x:v>https://www.propertyguru.com.sg/listing/for-rent-changi-green-21651430</x:v>
      </x:c>
      <x:c r="Q665" s="12" t="str">
        <x:v>Pre-registered source-rubric-v1; grade applied before outputs.</x:v>
      </x:c>
      <x:c r="R665" s="13"/>
    </x:row>
    <x:row r="666" ht="15" hidden="0" customHeight="1">
      <x:c r="A666" s="2" t="str">
        <x:v>S22|500272131</x:v>
      </x:c>
      <x:c r="B666" s="2" t="str">
        <x:v>S22</x:v>
      </x:c>
      <x:c r="C666" s="2" t="str">
        <x:v>500272131</x:v>
      </x:c>
      <x:c r="D666" s="2" t="n">
        <x:v>2</x:v>
      </x:c>
      <x:c r="E666" s="9"/>
      <x:c r="F666" s="2" t="n">
        <x:f>IF(E666="",D666,IF(E666="U","U",IF(AND(ISNUMBER(E666),E666&gt;=0,E666&lt;=3,INT(E666)=E666),E666,"Invalid")))</x:f>
        <x:v>2</x:v>
      </x:c>
      <x:c r="G666" s="2" t="n">
        <x:f>IF(ISNUMBER(F666),1,0)</x:f>
        <x:v>1</x:v>
      </x:c>
      <x:c r="H666" s="2" t="n">
        <x:f>IF(ISNUMBER(F666),IF(F666&gt;=2,1,0),0)</x:f>
        <x:v>1</x:v>
      </x:c>
      <x:c r="I666" s="11" t="n">
        <x:f>IF(ISNUMBER(F666),2^F666-1,0)</x:f>
        <x:v>3</x:v>
      </x:c>
      <x:c r="J666" s="2" t="str">
        <x:v>Extension pre-run 600</x:v>
      </x:c>
      <x:c r="K666" s="10" t="n">
        <x:v>4000</x:v>
      </x:c>
      <x:c r="L666" s="10" t="n">
        <x:v>3</x:v>
      </x:c>
      <x:c r="M666" s="10" t="n">
        <x:v>947</x:v>
      </x:c>
      <x:c r="N666" s="2" t="str">
        <x:v>D16</x:v>
      </x:c>
      <x:c r="O666" s="2" t="str">
        <x:v>hdb flat</x:v>
      </x:c>
      <x:c r="P666" s="2" t="str">
        <x:v>https://www.propertyguru.com.sg/listing/hdb-for-rent-185-bedok-north-road-500272131</x:v>
      </x:c>
      <x:c r="Q666" s="12" t="str">
        <x:v>Pre-registered source-rubric-v1; grade applied before outputs.</x:v>
      </x:c>
      <x:c r="R666" s="13"/>
    </x:row>
    <x:row r="667" ht="15" hidden="0" customHeight="1">
      <x:c r="A667" s="2" t="str">
        <x:v>S22|500259392</x:v>
      </x:c>
      <x:c r="B667" s="2" t="str">
        <x:v>S22</x:v>
      </x:c>
      <x:c r="C667" s="2" t="str">
        <x:v>500259392</x:v>
      </x:c>
      <x:c r="D667" s="2" t="n">
        <x:v>2</x:v>
      </x:c>
      <x:c r="E667" s="9"/>
      <x:c r="F667" s="2" t="n">
        <x:f>IF(E667="",D667,IF(E667="U","U",IF(AND(ISNUMBER(E667),E667&gt;=0,E667&lt;=3,INT(E667)=E667),E667,"Invalid")))</x:f>
        <x:v>2</x:v>
      </x:c>
      <x:c r="G667" s="2" t="n">
        <x:f>IF(ISNUMBER(F667),1,0)</x:f>
        <x:v>1</x:v>
      </x:c>
      <x:c r="H667" s="2" t="n">
        <x:f>IF(ISNUMBER(F667),IF(F667&gt;=2,1,0),0)</x:f>
        <x:v>1</x:v>
      </x:c>
      <x:c r="I667" s="11" t="n">
        <x:f>IF(ISNUMBER(F667),2^F667-1,0)</x:f>
        <x:v>3</x:v>
      </x:c>
      <x:c r="J667" s="2" t="str">
        <x:v>Extension pre-run 600</x:v>
      </x:c>
      <x:c r="K667" s="10" t="n">
        <x:v>4000</x:v>
      </x:c>
      <x:c r="L667" s="10" t="n">
        <x:v>3</x:v>
      </x:c>
      <x:c r="M667" s="10" t="n">
        <x:v>1388</x:v>
      </x:c>
      <x:c r="N667" s="2" t="str">
        <x:v>D23</x:v>
      </x:c>
      <x:c r="O667" s="2" t="str">
        <x:v>hdb flat</x:v>
      </x:c>
      <x:c r="P667" s="2" t="str">
        <x:v>https://www.propertyguru.com.sg/listing/hdb-for-rent-130-choa-chu-kang-avenue-1-500259392</x:v>
      </x:c>
      <x:c r="Q667" s="12" t="str">
        <x:v>Pre-registered source-rubric-v1; grade applied before outputs.</x:v>
      </x:c>
      <x:c r="R667" s="13"/>
    </x:row>
    <x:row r="668" ht="15" hidden="0" customHeight="1">
      <x:c r="A668" s="2" t="str">
        <x:v>S22|60025917</x:v>
      </x:c>
      <x:c r="B668" s="2" t="str">
        <x:v>S22</x:v>
      </x:c>
      <x:c r="C668" s="2" t="str">
        <x:v>60025917</x:v>
      </x:c>
      <x:c r="D668" s="2" t="n">
        <x:v>2</x:v>
      </x:c>
      <x:c r="E668" s="9"/>
      <x:c r="F668" s="2" t="n">
        <x:f>IF(E668="",D668,IF(E668="U","U",IF(AND(ISNUMBER(E668),E668&gt;=0,E668&lt;=3,INT(E668)=E668),E668,"Invalid")))</x:f>
        <x:v>2</x:v>
      </x:c>
      <x:c r="G668" s="2" t="n">
        <x:f>IF(ISNUMBER(F668),1,0)</x:f>
        <x:v>1</x:v>
      </x:c>
      <x:c r="H668" s="2" t="n">
        <x:f>IF(ISNUMBER(F668),IF(F668&gt;=2,1,0),0)</x:f>
        <x:v>1</x:v>
      </x:c>
      <x:c r="I668" s="11" t="n">
        <x:f>IF(ISNUMBER(F668),2^F668-1,0)</x:f>
        <x:v>3</x:v>
      </x:c>
      <x:c r="J668" s="2" t="str">
        <x:v>Extension pre-run 600</x:v>
      </x:c>
      <x:c r="K668" s="10" t="n">
        <x:v>3900</x:v>
      </x:c>
      <x:c r="L668" s="10" t="n">
        <x:v>3</x:v>
      </x:c>
      <x:c r="M668" s="10" t="n">
        <x:v>1044</x:v>
      </x:c>
      <x:c r="N668" s="2" t="str">
        <x:v>D16</x:v>
      </x:c>
      <x:c r="O668" s="2" t="str">
        <x:v>apartment</x:v>
      </x:c>
      <x:c r="P668" s="2" t="str">
        <x:v>https://www.propertyguru.com.sg/listing/for-rent-the-taipan-60025917</x:v>
      </x:c>
      <x:c r="Q668" s="12" t="str">
        <x:v>Pre-registered source-rubric-v1; grade applied before outputs.</x:v>
      </x:c>
      <x:c r="R668" s="13"/>
    </x:row>
    <x:row r="669" ht="15" hidden="0" customHeight="1">
      <x:c r="A669" s="2" t="str">
        <x:v>S22|500260424</x:v>
      </x:c>
      <x:c r="B669" s="2" t="str">
        <x:v>S22</x:v>
      </x:c>
      <x:c r="C669" s="2" t="str">
        <x:v>500260424</x:v>
      </x:c>
      <x:c r="D669" s="2" t="n">
        <x:v>1</x:v>
      </x:c>
      <x:c r="E669" s="9"/>
      <x:c r="F669" s="2" t="n">
        <x:f>IF(E669="",D669,IF(E669="U","U",IF(AND(ISNUMBER(E669),E669&gt;=0,E669&lt;=3,INT(E669)=E669),E669,"Invalid")))</x:f>
        <x:v>1</x:v>
      </x:c>
      <x:c r="G669" s="2" t="n">
        <x:f>IF(ISNUMBER(F669),1,0)</x:f>
        <x:v>1</x:v>
      </x:c>
      <x:c r="H669" s="2" t="n">
        <x:f>IF(ISNUMBER(F669),IF(F669&gt;=2,1,0),0)</x:f>
        <x:v>0</x:v>
      </x:c>
      <x:c r="I669" s="11" t="n">
        <x:f>IF(ISNUMBER(F669),2^F669-1,0)</x:f>
        <x:v>1</x:v>
      </x:c>
      <x:c r="J669" s="2" t="str">
        <x:v>Extension pre-run 600</x:v>
      </x:c>
      <x:c r="K669" s="10" t="n">
        <x:v>2950</x:v>
      </x:c>
      <x:c r="L669" s="10" t="n">
        <x:v>2</x:v>
      </x:c>
      <x:c r="M669" s="10" t="n">
        <x:v>797</x:v>
      </x:c>
      <x:c r="N669" s="2" t="str">
        <x:v>D27</x:v>
      </x:c>
      <x:c r="O669" s="2" t="str">
        <x:v>hdb flat</x:v>
      </x:c>
      <x:c r="P669" s="2" t="str">
        <x:v>https://www.propertyguru.com.sg/listing/hdb-for-rent-778-yishun-avenue-2-500260424</x:v>
      </x:c>
      <x:c r="Q669" s="12" t="str">
        <x:v>Pre-registered source-rubric-v1; grade applied before outputs.</x:v>
      </x:c>
      <x:c r="R669" s="13"/>
    </x:row>
    <x:row r="670" ht="15" hidden="0" customHeight="1">
      <x:c r="A670" s="2" t="str">
        <x:v>S22|500286845</x:v>
      </x:c>
      <x:c r="B670" s="2" t="str">
        <x:v>S22</x:v>
      </x:c>
      <x:c r="C670" s="2" t="str">
        <x:v>500286845</x:v>
      </x:c>
      <x:c r="D670" s="2" t="n">
        <x:v>1</x:v>
      </x:c>
      <x:c r="E670" s="9"/>
      <x:c r="F670" s="2" t="n">
        <x:f>IF(E670="",D670,IF(E670="U","U",IF(AND(ISNUMBER(E670),E670&gt;=0,E670&lt;=3,INT(E670)=E670),E670,"Invalid")))</x:f>
        <x:v>1</x:v>
      </x:c>
      <x:c r="G670" s="2" t="n">
        <x:f>IF(ISNUMBER(F670),1,0)</x:f>
        <x:v>1</x:v>
      </x:c>
      <x:c r="H670" s="2" t="n">
        <x:f>IF(ISNUMBER(F670),IF(F670&gt;=2,1,0),0)</x:f>
        <x:v>0</x:v>
      </x:c>
      <x:c r="I670" s="11" t="n">
        <x:f>IF(ISNUMBER(F670),2^F670-1,0)</x:f>
        <x:v>1</x:v>
      </x:c>
      <x:c r="J670" s="2" t="str">
        <x:v>Extension pre-run 600</x:v>
      </x:c>
      <x:c r="K670" s="10" t="n">
        <x:v>4000</x:v>
      </x:c>
      <x:c r="L670" s="10" t="n">
        <x:v>2</x:v>
      </x:c>
      <x:c r="M670" s="10" t="n">
        <x:v>731</x:v>
      </x:c>
      <x:c r="N670" s="2" t="str">
        <x:v>D03</x:v>
      </x:c>
      <x:c r="O670" s="2" t="str">
        <x:v>hdb flat</x:v>
      </x:c>
      <x:c r="P670" s="2" t="str">
        <x:v>https://www.propertyguru.com.sg/listing/hdb-for-rent-166-stirling-road-500286845</x:v>
      </x:c>
      <x:c r="Q670" s="12" t="str">
        <x:v>Pre-registered source-rubric-v1; grade applied before outputs.</x:v>
      </x:c>
      <x:c r="R670" s="13"/>
    </x:row>
    <x:row r="671" ht="15" hidden="0" customHeight="1">
      <x:c r="A671" s="2" t="str">
        <x:v>S22|21718552</x:v>
      </x:c>
      <x:c r="B671" s="2" t="str">
        <x:v>S22</x:v>
      </x:c>
      <x:c r="C671" s="2" t="str">
        <x:v>21718552</x:v>
      </x:c>
      <x:c r="D671" s="2" t="n">
        <x:v>1</x:v>
      </x:c>
      <x:c r="E671" s="9"/>
      <x:c r="F671" s="2" t="n">
        <x:f>IF(E671="",D671,IF(E671="U","U",IF(AND(ISNUMBER(E671),E671&gt;=0,E671&lt;=3,INT(E671)=E671),E671,"Invalid")))</x:f>
        <x:v>1</x:v>
      </x:c>
      <x:c r="G671" s="2" t="n">
        <x:f>IF(ISNUMBER(F671),1,0)</x:f>
        <x:v>1</x:v>
      </x:c>
      <x:c r="H671" s="2" t="n">
        <x:f>IF(ISNUMBER(F671),IF(F671&gt;=2,1,0),0)</x:f>
        <x:v>0</x:v>
      </x:c>
      <x:c r="I671" s="11" t="n">
        <x:f>IF(ISNUMBER(F671),2^F671-1,0)</x:f>
        <x:v>1</x:v>
      </x:c>
      <x:c r="J671" s="2" t="str">
        <x:v>Extension pre-run 600</x:v>
      </x:c>
      <x:c r="K671" s="10" t="n">
        <x:v>4000</x:v>
      </x:c>
      <x:c r="L671" s="10" t="n">
        <x:v>2</x:v>
      </x:c>
      <x:c r="M671" s="10" t="n">
        <x:v>861</x:v>
      </x:c>
      <x:c r="N671" s="2" t="str">
        <x:v>D03</x:v>
      </x:c>
      <x:c r="O671" s="2" t="str">
        <x:v>apartment</x:v>
      </x:c>
      <x:c r="P671" s="2" t="str">
        <x:v>https://www.propertyguru.com.sg/listing/for-rent-alexis-21718552</x:v>
      </x:c>
      <x:c r="Q671" s="12" t="str">
        <x:v>Pre-registered source-rubric-v1; grade applied before outputs.</x:v>
      </x:c>
      <x:c r="R671" s="13"/>
    </x:row>
    <x:row r="672" ht="15" hidden="0" customHeight="1">
      <x:c r="A672" s="2" t="str">
        <x:v>S22|500284144</x:v>
      </x:c>
      <x:c r="B672" s="2" t="str">
        <x:v>S22</x:v>
      </x:c>
      <x:c r="C672" s="2" t="str">
        <x:v>500284144</x:v>
      </x:c>
      <x:c r="D672" s="2" t="n">
        <x:v>1</x:v>
      </x:c>
      <x:c r="E672" s="9"/>
      <x:c r="F672" s="2" t="n">
        <x:f>IF(E672="",D672,IF(E672="U","U",IF(AND(ISNUMBER(E672),E672&gt;=0,E672&lt;=3,INT(E672)=E672),E672,"Invalid")))</x:f>
        <x:v>1</x:v>
      </x:c>
      <x:c r="G672" s="2" t="n">
        <x:f>IF(ISNUMBER(F672),1,0)</x:f>
        <x:v>1</x:v>
      </x:c>
      <x:c r="H672" s="2" t="n">
        <x:f>IF(ISNUMBER(F672),IF(F672&gt;=2,1,0),0)</x:f>
        <x:v>0</x:v>
      </x:c>
      <x:c r="I672" s="11" t="n">
        <x:f>IF(ISNUMBER(F672),2^F672-1,0)</x:f>
        <x:v>1</x:v>
      </x:c>
      <x:c r="J672" s="2" t="str">
        <x:v>Extension pre-run 600</x:v>
      </x:c>
      <x:c r="K672" s="10" t="n">
        <x:v>3000</x:v>
      </x:c>
      <x:c r="L672" s="10" t="n">
        <x:v>2</x:v>
      </x:c>
      <x:c r="M672" s="10" t="n">
        <x:v>720</x:v>
      </x:c>
      <x:c r="N672" s="2" t="str">
        <x:v>D23</x:v>
      </x:c>
      <x:c r="O672" s="2" t="str">
        <x:v>hdb flat</x:v>
      </x:c>
      <x:c r="P672" s="2" t="str">
        <x:v>https://www.propertyguru.com.sg/listing/hdb-for-rent-539-bukit-batok-street-52-500284144</x:v>
      </x:c>
      <x:c r="Q672" s="12" t="str">
        <x:v>Pre-registered source-rubric-v1; grade applied before outputs.</x:v>
      </x:c>
      <x:c r="R672" s="13"/>
    </x:row>
    <x:row r="673" ht="15" hidden="0" customHeight="1">
      <x:c r="A673" s="2" t="str">
        <x:v>S22|500271560</x:v>
      </x:c>
      <x:c r="B673" s="2" t="str">
        <x:v>S22</x:v>
      </x:c>
      <x:c r="C673" s="2" t="str">
        <x:v>500271560</x:v>
      </x:c>
      <x:c r="D673" s="2" t="n">
        <x:v>1</x:v>
      </x:c>
      <x:c r="E673" s="9"/>
      <x:c r="F673" s="2" t="n">
        <x:f>IF(E673="",D673,IF(E673="U","U",IF(AND(ISNUMBER(E673),E673&gt;=0,E673&lt;=3,INT(E673)=E673),E673,"Invalid")))</x:f>
        <x:v>1</x:v>
      </x:c>
      <x:c r="G673" s="2" t="n">
        <x:f>IF(ISNUMBER(F673),1,0)</x:f>
        <x:v>1</x:v>
      </x:c>
      <x:c r="H673" s="2" t="n">
        <x:f>IF(ISNUMBER(F673),IF(F673&gt;=2,1,0),0)</x:f>
        <x:v>0</x:v>
      </x:c>
      <x:c r="I673" s="11" t="n">
        <x:f>IF(ISNUMBER(F673),2^F673-1,0)</x:f>
        <x:v>1</x:v>
      </x:c>
      <x:c r="J673" s="2" t="str">
        <x:v>Extension pre-run 600</x:v>
      </x:c>
      <x:c r="K673" s="10" t="n">
        <x:v>4000</x:v>
      </x:c>
      <x:c r="L673" s="10" t="n">
        <x:v>2</x:v>
      </x:c>
      <x:c r="M673" s="10" t="n">
        <x:v>711</x:v>
      </x:c>
      <x:c r="N673" s="2" t="str">
        <x:v>D18</x:v>
      </x:c>
      <x:c r="O673" s="2" t="str">
        <x:v>apartment</x:v>
      </x:c>
      <x:c r="P673" s="2" t="str">
        <x:v>https://www.propertyguru.com.sg/listing/for-rent-pasir-ris-8-500271560</x:v>
      </x:c>
      <x:c r="Q673" s="12" t="str">
        <x:v>Pre-registered source-rubric-v1; grade applied before outputs.</x:v>
      </x:c>
      <x:c r="R673" s="13"/>
    </x:row>
    <x:row r="674" ht="15" hidden="0" customHeight="1">
      <x:c r="A674" s="2" t="str">
        <x:v>S22|25189444</x:v>
      </x:c>
      <x:c r="B674" s="2" t="str">
        <x:v>S22</x:v>
      </x:c>
      <x:c r="C674" s="2" t="str">
        <x:v>25189444</x:v>
      </x:c>
      <x:c r="D674" s="2" t="n">
        <x:v>1</x:v>
      </x:c>
      <x:c r="E674" s="9"/>
      <x:c r="F674" s="2" t="n">
        <x:f>IF(E674="",D674,IF(E674="U","U",IF(AND(ISNUMBER(E674),E674&gt;=0,E674&lt;=3,INT(E674)=E674),E674,"Invalid")))</x:f>
        <x:v>1</x:v>
      </x:c>
      <x:c r="G674" s="2" t="n">
        <x:f>IF(ISNUMBER(F674),1,0)</x:f>
        <x:v>1</x:v>
      </x:c>
      <x:c r="H674" s="2" t="n">
        <x:f>IF(ISNUMBER(F674),IF(F674&gt;=2,1,0),0)</x:f>
        <x:v>0</x:v>
      </x:c>
      <x:c r="I674" s="11" t="n">
        <x:f>IF(ISNUMBER(F674),2^F674-1,0)</x:f>
        <x:v>1</x:v>
      </x:c>
      <x:c r="J674" s="2" t="str">
        <x:v>Extension pre-run 600</x:v>
      </x:c>
      <x:c r="K674" s="10" t="n">
        <x:v>3700</x:v>
      </x:c>
      <x:c r="L674" s="10" t="n">
        <x:v>2</x:v>
      </x:c>
      <x:c r="M674" s="10" t="n">
        <x:v>753</x:v>
      </x:c>
      <x:c r="N674" s="2" t="str">
        <x:v>D18</x:v>
      </x:c>
      <x:c r="O674" s="2" t="str">
        <x:v>condominium</x:v>
      </x:c>
      <x:c r="P674" s="2" t="str">
        <x:v>https://www.propertyguru.com.sg/listing/for-rent-coco-palms-25189444</x:v>
      </x:c>
      <x:c r="Q674" s="12" t="str">
        <x:v>Pre-registered source-rubric-v1; grade applied before outputs.</x:v>
      </x:c>
      <x:c r="R674" s="13"/>
    </x:row>
    <x:row r="675" ht="15" hidden="0" customHeight="1">
      <x:c r="A675" s="2" t="str">
        <x:v>S22|500261839</x:v>
      </x:c>
      <x:c r="B675" s="2" t="str">
        <x:v>S22</x:v>
      </x:c>
      <x:c r="C675" s="2" t="str">
        <x:v>500261839</x:v>
      </x:c>
      <x:c r="D675" s="2" t="n">
        <x:v>0</x:v>
      </x:c>
      <x:c r="E675" s="9"/>
      <x:c r="F675" s="2" t="n">
        <x:f>IF(E675="",D675,IF(E675="U","U",IF(AND(ISNUMBER(E675),E675&gt;=0,E675&lt;=3,INT(E675)=E675),E675,"Invalid")))</x:f>
        <x:v>0</x:v>
      </x:c>
      <x:c r="G675" s="2" t="n">
        <x:f>IF(ISNUMBER(F675),1,0)</x:f>
        <x:v>1</x:v>
      </x:c>
      <x:c r="H675" s="2" t="n">
        <x:f>IF(ISNUMBER(F675),IF(F675&gt;=2,1,0),0)</x:f>
        <x:v>0</x:v>
      </x:c>
      <x:c r="I675" s="11" t="n">
        <x:f>IF(ISNUMBER(F675),2^F675-1,0)</x:f>
        <x:v>0</x:v>
      </x:c>
      <x:c r="J675" s="2" t="str">
        <x:v>Extension pre-run 600</x:v>
      </x:c>
      <x:c r="K675" s="10" t="n">
        <x:v>2400</x:v>
      </x:c>
      <x:c r="L675" s="10"/>
      <x:c r="M675" s="10" t="n">
        <x:v>210</x:v>
      </x:c>
      <x:c r="N675" s="2" t="str">
        <x:v>D22</x:v>
      </x:c>
      <x:c r="O675" s="2" t="str">
        <x:v>terraced house</x:v>
      </x:c>
      <x:c r="P675" s="2" t="str">
        <x:v>https://www.propertyguru.com.sg/listing/for-rent-westville-500261839</x:v>
      </x:c>
      <x:c r="Q675" s="12" t="str">
        <x:v>Pre-registered source-rubric-v1; grade applied before outputs.</x:v>
      </x:c>
      <x:c r="R675" s="13"/>
    </x:row>
    <x:row r="676" ht="15" hidden="0" customHeight="1">
      <x:c r="A676" s="2" t="str">
        <x:v>S22|500245370</x:v>
      </x:c>
      <x:c r="B676" s="2" t="str">
        <x:v>S22</x:v>
      </x:c>
      <x:c r="C676" s="2" t="str">
        <x:v>500245370</x:v>
      </x:c>
      <x:c r="D676" s="2" t="n">
        <x:v>0</x:v>
      </x:c>
      <x:c r="E676" s="9"/>
      <x:c r="F676" s="2" t="n">
        <x:f>IF(E676="",D676,IF(E676="U","U",IF(AND(ISNUMBER(E676),E676&gt;=0,E676&lt;=3,INT(E676)=E676),E676,"Invalid")))</x:f>
        <x:v>0</x:v>
      </x:c>
      <x:c r="G676" s="2" t="n">
        <x:f>IF(ISNUMBER(F676),1,0)</x:f>
        <x:v>1</x:v>
      </x:c>
      <x:c r="H676" s="2" t="n">
        <x:f>IF(ISNUMBER(F676),IF(F676&gt;=2,1,0),0)</x:f>
        <x:v>0</x:v>
      </x:c>
      <x:c r="I676" s="11" t="n">
        <x:f>IF(ISNUMBER(F676),2^F676-1,0)</x:f>
        <x:v>0</x:v>
      </x:c>
      <x:c r="J676" s="2" t="str">
        <x:v>Extension pre-run 600</x:v>
      </x:c>
      <x:c r="K676" s="10" t="n">
        <x:v>550</x:v>
      </x:c>
      <x:c r="L676" s="10" t="n">
        <x:v>0</x:v>
      </x:c>
      <x:c r="M676" s="10"/>
      <x:c r="N676" s="2" t="str">
        <x:v>D22</x:v>
      </x:c>
      <x:c r="O676" s="2" t="str">
        <x:v>hdb flat</x:v>
      </x:c>
      <x:c r="P676" s="2" t="str">
        <x:v>https://www.propertyguru.com.sg/listing/hdb-for-rent-273c-jurong-west-avenue-3-500245370</x:v>
      </x:c>
      <x:c r="Q676" s="12" t="str">
        <x:v>Pre-registered source-rubric-v1; grade applied before outputs.</x:v>
      </x:c>
      <x:c r="R676" s="13"/>
    </x:row>
    <x:row r="677" ht="15" hidden="0" customHeight="1">
      <x:c r="A677" s="2" t="str">
        <x:v>S22|500261253</x:v>
      </x:c>
      <x:c r="B677" s="2" t="str">
        <x:v>S22</x:v>
      </x:c>
      <x:c r="C677" s="2" t="str">
        <x:v>500261253</x:v>
      </x:c>
      <x:c r="D677" s="2" t="n">
        <x:v>0</x:v>
      </x:c>
      <x:c r="E677" s="9"/>
      <x:c r="F677" s="2" t="n">
        <x:f>IF(E677="",D677,IF(E677="U","U",IF(AND(ISNUMBER(E677),E677&gt;=0,E677&lt;=3,INT(E677)=E677),E677,"Invalid")))</x:f>
        <x:v>0</x:v>
      </x:c>
      <x:c r="G677" s="2" t="n">
        <x:f>IF(ISNUMBER(F677),1,0)</x:f>
        <x:v>1</x:v>
      </x:c>
      <x:c r="H677" s="2" t="n">
        <x:f>IF(ISNUMBER(F677),IF(F677&gt;=2,1,0),0)</x:f>
        <x:v>0</x:v>
      </x:c>
      <x:c r="I677" s="11" t="n">
        <x:f>IF(ISNUMBER(F677),2^F677-1,0)</x:f>
        <x:v>0</x:v>
      </x:c>
      <x:c r="J677" s="2" t="str">
        <x:v>Extension pre-run 600</x:v>
      </x:c>
      <x:c r="K677" s="10" t="n">
        <x:v>1600</x:v>
      </x:c>
      <x:c r="L677" s="10" t="n">
        <x:v>0</x:v>
      </x:c>
      <x:c r="M677" s="10"/>
      <x:c r="N677" s="2" t="str">
        <x:v>D16</x:v>
      </x:c>
      <x:c r="O677" s="2" t="str">
        <x:v>condominium</x:v>
      </x:c>
      <x:c r="P677" s="2" t="str">
        <x:v>https://www.propertyguru.com.sg/listing/for-rent-aquarius-by-the-park-500261253</x:v>
      </x:c>
      <x:c r="Q677" s="12" t="str">
        <x:v>Pre-registered source-rubric-v1; grade applied before outputs.</x:v>
      </x:c>
      <x:c r="R677" s="13"/>
    </x:row>
    <x:row r="678" ht="15" hidden="0" customHeight="1">
      <x:c r="A678" s="2" t="str">
        <x:v>S22|500269556</x:v>
      </x:c>
      <x:c r="B678" s="2" t="str">
        <x:v>S22</x:v>
      </x:c>
      <x:c r="C678" s="2" t="str">
        <x:v>500269556</x:v>
      </x:c>
      <x:c r="D678" s="2" t="n">
        <x:v>0</x:v>
      </x:c>
      <x:c r="E678" s="9"/>
      <x:c r="F678" s="2" t="n">
        <x:f>IF(E678="",D678,IF(E678="U","U",IF(AND(ISNUMBER(E678),E678&gt;=0,E678&lt;=3,INT(E678)=E678),E678,"Invalid")))</x:f>
        <x:v>0</x:v>
      </x:c>
      <x:c r="G678" s="2" t="n">
        <x:f>IF(ISNUMBER(F678),1,0)</x:f>
        <x:v>1</x:v>
      </x:c>
      <x:c r="H678" s="2" t="n">
        <x:f>IF(ISNUMBER(F678),IF(F678&gt;=2,1,0),0)</x:f>
        <x:v>0</x:v>
      </x:c>
      <x:c r="I678" s="11" t="n">
        <x:f>IF(ISNUMBER(F678),2^F678-1,0)</x:f>
        <x:v>0</x:v>
      </x:c>
      <x:c r="J678" s="2" t="str">
        <x:v>Extension pre-run 600</x:v>
      </x:c>
      <x:c r="K678" s="10" t="n">
        <x:v>5500</x:v>
      </x:c>
      <x:c r="L678" s="10" t="n">
        <x:v>3</x:v>
      </x:c>
      <x:c r="M678" s="10" t="n">
        <x:v>797</x:v>
      </x:c>
      <x:c r="N678" s="2" t="str">
        <x:v>D21</x:v>
      </x:c>
      <x:c r="O678" s="2" t="str">
        <x:v>condominium</x:v>
      </x:c>
      <x:c r="P678" s="2" t="str">
        <x:v>https://www.propertyguru.com.sg/listing/for-rent-pinetree-hill-500269556</x:v>
      </x:c>
      <x:c r="Q678" s="12" t="str">
        <x:v>Pre-registered source-rubric-v1; grade applied before outputs.</x:v>
      </x:c>
      <x:c r="R678" s="13"/>
    </x:row>
    <x:row r="679" ht="15" hidden="0" customHeight="1">
      <x:c r="A679" s="2" t="str">
        <x:v>S22|21544590</x:v>
      </x:c>
      <x:c r="B679" s="2" t="str">
        <x:v>S22</x:v>
      </x:c>
      <x:c r="C679" s="2" t="str">
        <x:v>21544590</x:v>
      </x:c>
      <x:c r="D679" s="2" t="n">
        <x:v>0</x:v>
      </x:c>
      <x:c r="E679" s="9"/>
      <x:c r="F679" s="2" t="n">
        <x:f>IF(E679="",D679,IF(E679="U","U",IF(AND(ISNUMBER(E679),E679&gt;=0,E679&lt;=3,INT(E679)=E679),E679,"Invalid")))</x:f>
        <x:v>0</x:v>
      </x:c>
      <x:c r="G679" s="2" t="n">
        <x:f>IF(ISNUMBER(F679),1,0)</x:f>
        <x:v>1</x:v>
      </x:c>
      <x:c r="H679" s="2" t="n">
        <x:f>IF(ISNUMBER(F679),IF(F679&gt;=2,1,0),0)</x:f>
        <x:v>0</x:v>
      </x:c>
      <x:c r="I679" s="11" t="n">
        <x:f>IF(ISNUMBER(F679),2^F679-1,0)</x:f>
        <x:v>0</x:v>
      </x:c>
      <x:c r="J679" s="2" t="str">
        <x:v>Extension pre-run 600</x:v>
      </x:c>
      <x:c r="K679" s="10" t="n">
        <x:v>6800</x:v>
      </x:c>
      <x:c r="L679" s="10" t="n">
        <x:v>2</x:v>
      </x:c>
      <x:c r="M679" s="10" t="n">
        <x:v>1292</x:v>
      </x:c>
      <x:c r="N679" s="2" t="str">
        <x:v>D10</x:v>
      </x:c>
      <x:c r="O679" s="2" t="str">
        <x:v>condominium</x:v>
      </x:c>
      <x:c r="P679" s="2" t="str">
        <x:v>https://www.propertyguru.com.sg/listing/for-rent-cyan-21544590</x:v>
      </x:c>
      <x:c r="Q679" s="12" t="str">
        <x:v>Pre-registered source-rubric-v1; grade applied before outputs.</x:v>
      </x:c>
      <x:c r="R679" s="13"/>
    </x:row>
    <x:row r="680" ht="15" hidden="0" customHeight="1">
      <x:c r="A680" s="2" t="str">
        <x:v>S22|500263612</x:v>
      </x:c>
      <x:c r="B680" s="2" t="str">
        <x:v>S22</x:v>
      </x:c>
      <x:c r="C680" s="2" t="str">
        <x:v>500263612</x:v>
      </x:c>
      <x:c r="D680" s="2" t="n">
        <x:v>0</x:v>
      </x:c>
      <x:c r="E680" s="9"/>
      <x:c r="F680" s="2" t="n">
        <x:f>IF(E680="",D680,IF(E680="U","U",IF(AND(ISNUMBER(E680),E680&gt;=0,E680&lt;=3,INT(E680)=E680),E680,"Invalid")))</x:f>
        <x:v>0</x:v>
      </x:c>
      <x:c r="G680" s="2" t="n">
        <x:f>IF(ISNUMBER(F680),1,0)</x:f>
        <x:v>1</x:v>
      </x:c>
      <x:c r="H680" s="2" t="n">
        <x:f>IF(ISNUMBER(F680),IF(F680&gt;=2,1,0),0)</x:f>
        <x:v>0</x:v>
      </x:c>
      <x:c r="I680" s="11" t="n">
        <x:f>IF(ISNUMBER(F680),2^F680-1,0)</x:f>
        <x:v>0</x:v>
      </x:c>
      <x:c r="J680" s="2" t="str">
        <x:v>Extension pre-run 600</x:v>
      </x:c>
      <x:c r="K680" s="10" t="n">
        <x:v>6000</x:v>
      </x:c>
      <x:c r="L680" s="10" t="n">
        <x:v>3</x:v>
      </x:c>
      <x:c r="M680" s="10" t="n">
        <x:v>1335</x:v>
      </x:c>
      <x:c r="N680" s="2" t="str">
        <x:v>D16</x:v>
      </x:c>
      <x:c r="O680" s="2" t="str">
        <x:v>condominium</x:v>
      </x:c>
      <x:c r="P680" s="2" t="str">
        <x:v>https://www.propertyguru.com.sg/listing/for-rent-country-park-condo-500263612</x:v>
      </x:c>
      <x:c r="Q680" s="12" t="str">
        <x:v>Pre-registered source-rubric-v1; grade applied before outputs.</x:v>
      </x:c>
      <x:c r="R680" s="13"/>
    </x:row>
    <x:row r="681" ht="15" hidden="0" customHeight="1">
      <x:c r="A681" s="2" t="str">
        <x:v>S22|500268755</x:v>
      </x:c>
      <x:c r="B681" s="2" t="str">
        <x:v>S22</x:v>
      </x:c>
      <x:c r="C681" s="2" t="str">
        <x:v>500268755</x:v>
      </x:c>
      <x:c r="D681" s="2" t="n">
        <x:v>0</x:v>
      </x:c>
      <x:c r="E681" s="9"/>
      <x:c r="F681" s="2" t="n">
        <x:f>IF(E681="",D681,IF(E681="U","U",IF(AND(ISNUMBER(E681),E681&gt;=0,E681&lt;=3,INT(E681)=E681),E681,"Invalid")))</x:f>
        <x:v>0</x:v>
      </x:c>
      <x:c r="G681" s="2" t="n">
        <x:f>IF(ISNUMBER(F681),1,0)</x:f>
        <x:v>1</x:v>
      </x:c>
      <x:c r="H681" s="2" t="n">
        <x:f>IF(ISNUMBER(F681),IF(F681&gt;=2,1,0),0)</x:f>
        <x:v>0</x:v>
      </x:c>
      <x:c r="I681" s="11" t="n">
        <x:f>IF(ISNUMBER(F681),2^F681-1,0)</x:f>
        <x:v>0</x:v>
      </x:c>
      <x:c r="J681" s="2" t="str">
        <x:v>Extension pre-run 600</x:v>
      </x:c>
      <x:c r="K681" s="10" t="n">
        <x:v>1100</x:v>
      </x:c>
      <x:c r="L681" s="10" t="n">
        <x:v>0</x:v>
      </x:c>
      <x:c r="M681" s="10"/>
      <x:c r="N681" s="2" t="str">
        <x:v>D19</x:v>
      </x:c>
      <x:c r="O681" s="2" t="str">
        <x:v>hdb flat</x:v>
      </x:c>
      <x:c r="P681" s="2" t="str">
        <x:v>https://www.propertyguru.com.sg/listing/hdb-for-rent-523-hougang-avenue-6-500268755</x:v>
      </x:c>
      <x:c r="Q681" s="12" t="str">
        <x:v>Pre-registered source-rubric-v1; grade applied before outputs.</x:v>
      </x:c>
      <x:c r="R681" s="13"/>
    </x:row>
    <x:row r="682" ht="15" hidden="0" customHeight="1">
      <x:c r="A682" s="2" t="str">
        <x:v>S22|500248672</x:v>
      </x:c>
      <x:c r="B682" s="2" t="str">
        <x:v>S22</x:v>
      </x:c>
      <x:c r="C682" s="2" t="str">
        <x:v>500248672</x:v>
      </x:c>
      <x:c r="D682" s="2" t="n">
        <x:v>0</x:v>
      </x:c>
      <x:c r="E682" s="9"/>
      <x:c r="F682" s="2" t="n">
        <x:f>IF(E682="",D682,IF(E682="U","U",IF(AND(ISNUMBER(E682),E682&gt;=0,E682&lt;=3,INT(E682)=E682),E682,"Invalid")))</x:f>
        <x:v>0</x:v>
      </x:c>
      <x:c r="G682" s="2" t="n">
        <x:f>IF(ISNUMBER(F682),1,0)</x:f>
        <x:v>1</x:v>
      </x:c>
      <x:c r="H682" s="2" t="n">
        <x:f>IF(ISNUMBER(F682),IF(F682&gt;=2,1,0),0)</x:f>
        <x:v>0</x:v>
      </x:c>
      <x:c r="I682" s="11" t="n">
        <x:f>IF(ISNUMBER(F682),2^F682-1,0)</x:f>
        <x:v>0</x:v>
      </x:c>
      <x:c r="J682" s="2" t="str">
        <x:v>Extension pre-run 600</x:v>
      </x:c>
      <x:c r="K682" s="10" t="n">
        <x:v>9700</x:v>
      </x:c>
      <x:c r="L682" s="10" t="n">
        <x:v>3</x:v>
      </x:c>
      <x:c r="M682" s="10" t="n">
        <x:v>1442</x:v>
      </x:c>
      <x:c r="N682" s="2" t="str">
        <x:v>D09</x:v>
      </x:c>
      <x:c r="O682" s="2" t="str">
        <x:v>apartment</x:v>
      </x:c>
      <x:c r="P682" s="2" t="str">
        <x:v>https://www.propertyguru.com.sg/listing/for-rent-the-vermont-on-cairnhill-500248672</x:v>
      </x:c>
      <x:c r="Q682" s="12" t="str">
        <x:v>Pre-registered source-rubric-v1; grade applied before outputs.</x:v>
      </x:c>
      <x:c r="R682" s="13"/>
    </x:row>
    <x:row r="683" ht="15" hidden="0" customHeight="1">
      <x:c r="A683" s="2" t="str">
        <x:v>S22|500194402</x:v>
      </x:c>
      <x:c r="B683" s="2" t="str">
        <x:v>S22</x:v>
      </x:c>
      <x:c r="C683" s="2" t="str">
        <x:v>500194402</x:v>
      </x:c>
      <x:c r="D683" s="2" t="str">
        <x:v>U</x:v>
      </x:c>
      <x:c r="E683" s="9"/>
      <x:c r="F683" s="2" t="str">
        <x:f>IF(E683="",D683,IF(E683="U","U",IF(AND(ISNUMBER(E683),E683&gt;=0,E683&lt;=3,INT(E683)=E683),E683,"Invalid")))</x:f>
        <x:v>U</x:v>
      </x:c>
      <x:c r="G683" s="2" t="n">
        <x:f>IF(ISNUMBER(F683),1,0)</x:f>
        <x:v>0</x:v>
      </x:c>
      <x:c r="H683" s="2" t="n">
        <x:f>IF(ISNUMBER(F683),IF(F683&gt;=2,1,0),0)</x:f>
        <x:v>0</x:v>
      </x:c>
      <x:c r="I683" s="11" t="n">
        <x:f>IF(ISNUMBER(F683),2^F683-1,0)</x:f>
        <x:v>0</x:v>
      </x:c>
      <x:c r="J683" s="2" t="str">
        <x:v>Extension pre-run 600</x:v>
      </x:c>
      <x:c r="K683" s="10" t="n">
        <x:v>2400</x:v>
      </x:c>
      <x:c r="L683" s="10"/>
      <x:c r="M683" s="10" t="n">
        <x:v>2400</x:v>
      </x:c>
      <x:c r="N683" s="2" t="str">
        <x:v>D18</x:v>
      </x:c>
      <x:c r="O683" s="2" t="str">
        <x:v>executive condominium</x:v>
      </x:c>
      <x:c r="P683" s="2" t="str">
        <x:v>https://www.propertyguru.com.sg/listing/for-rent-citylife-tampines-500194402</x:v>
      </x:c>
      <x:c r="Q683" s="12" t="str">
        <x:v>Pre-registered source-rubric-v1; grade applied before outputs.</x:v>
      </x:c>
      <x:c r="R683" s="13"/>
    </x:row>
    <x:row r="684" ht="15" hidden="0" customHeight="1">
      <x:c r="A684" s="2" t="str">
        <x:v>S22|500285400</x:v>
      </x:c>
      <x:c r="B684" s="2" t="str">
        <x:v>S22</x:v>
      </x:c>
      <x:c r="C684" s="2" t="str">
        <x:v>500285400</x:v>
      </x:c>
      <x:c r="D684" s="2" t="str">
        <x:v>U</x:v>
      </x:c>
      <x:c r="E684" s="9"/>
      <x:c r="F684" s="2" t="str">
        <x:f>IF(E684="",D684,IF(E684="U","U",IF(AND(ISNUMBER(E684),E684&gt;=0,E684&lt;=3,INT(E684)=E684),E684,"Invalid")))</x:f>
        <x:v>U</x:v>
      </x:c>
      <x:c r="G684" s="2" t="n">
        <x:f>IF(ISNUMBER(F684),1,0)</x:f>
        <x:v>0</x:v>
      </x:c>
      <x:c r="H684" s="2" t="n">
        <x:f>IF(ISNUMBER(F684),IF(F684&gt;=2,1,0),0)</x:f>
        <x:v>0</x:v>
      </x:c>
      <x:c r="I684" s="11" t="n">
        <x:f>IF(ISNUMBER(F684),2^F684-1,0)</x:f>
        <x:v>0</x:v>
      </x:c>
      <x:c r="J684" s="2" t="str">
        <x:v>Extension pre-run 600</x:v>
      </x:c>
      <x:c r="K684" s="10" t="n">
        <x:v>2900</x:v>
      </x:c>
      <x:c r="L684" s="10"/>
      <x:c r="M684" s="10" t="n">
        <x:v>700</x:v>
      </x:c>
      <x:c r="N684" s="2" t="str">
        <x:v>D03</x:v>
      </x:c>
      <x:c r="O684" s="2" t="str">
        <x:v>hdb flat</x:v>
      </x:c>
      <x:c r="P684" s="2" t="str">
        <x:v>https://www.propertyguru.com.sg/listing/hdb-for-rent-129-bukit-merah-view-500285400</x:v>
      </x:c>
      <x:c r="Q684" s="12" t="str">
        <x:v>Pre-registered source-rubric-v1; grade applied before outputs.</x:v>
      </x:c>
      <x:c r="R684" s="13"/>
    </x:row>
    <x:row r="685" ht="15" hidden="0" customHeight="1">
      <x:c r="A685" s="2" t="str">
        <x:v>S23|500275915</x:v>
      </x:c>
      <x:c r="B685" s="2" t="str">
        <x:v>S23</x:v>
      </x:c>
      <x:c r="C685" s="2" t="str">
        <x:v>500275915</x:v>
      </x:c>
      <x:c r="D685" s="2" t="n">
        <x:v>3</x:v>
      </x:c>
      <x:c r="E685" s="9"/>
      <x:c r="F685" s="2" t="n">
        <x:f>IF(E685="",D685,IF(E685="U","U",IF(AND(ISNUMBER(E685),E685&gt;=0,E685&lt;=3,INT(E685)=E685),E685,"Invalid")))</x:f>
        <x:v>3</x:v>
      </x:c>
      <x:c r="G685" s="2" t="n">
        <x:f>IF(ISNUMBER(F685),1,0)</x:f>
        <x:v>1</x:v>
      </x:c>
      <x:c r="H685" s="2" t="n">
        <x:f>IF(ISNUMBER(F685),IF(F685&gt;=2,1,0),0)</x:f>
        <x:v>1</x:v>
      </x:c>
      <x:c r="I685" s="11" t="n">
        <x:f>IF(ISNUMBER(F685),2^F685-1,0)</x:f>
        <x:v>7</x:v>
      </x:c>
      <x:c r="J685" s="2" t="str">
        <x:v>Extension pre-run 600</x:v>
      </x:c>
      <x:c r="K685" s="10" t="n">
        <x:v>3500</x:v>
      </x:c>
      <x:c r="L685" s="10" t="n">
        <x:v>2</x:v>
      </x:c>
      <x:c r="M685" s="10" t="n">
        <x:v>1012</x:v>
      </x:c>
      <x:c r="N685" s="2" t="str">
        <x:v>D19</x:v>
      </x:c>
      <x:c r="O685" s="2" t="str">
        <x:v>hdb flat</x:v>
      </x:c>
      <x:c r="P685" s="2" t="str">
        <x:v>https://www.propertyguru.com.sg/listing/hdb-for-rent-302a-punggol-place-500275915</x:v>
      </x:c>
      <x:c r="Q685" s="12" t="str">
        <x:v>Pre-registered source-rubric-v1; grade applied before outputs.</x:v>
      </x:c>
      <x:c r="R685" s="13"/>
    </x:row>
    <x:row r="686" ht="15" hidden="0" customHeight="1">
      <x:c r="A686" s="2" t="str">
        <x:v>S23|500273278</x:v>
      </x:c>
      <x:c r="B686" s="2" t="str">
        <x:v>S23</x:v>
      </x:c>
      <x:c r="C686" s="2" t="str">
        <x:v>500273278</x:v>
      </x:c>
      <x:c r="D686" s="2" t="n">
        <x:v>3</x:v>
      </x:c>
      <x:c r="E686" s="9"/>
      <x:c r="F686" s="2" t="n">
        <x:f>IF(E686="",D686,IF(E686="U","U",IF(AND(ISNUMBER(E686),E686&gt;=0,E686&lt;=3,INT(E686)=E686),E686,"Invalid")))</x:f>
        <x:v>3</x:v>
      </x:c>
      <x:c r="G686" s="2" t="n">
        <x:f>IF(ISNUMBER(F686),1,0)</x:f>
        <x:v>1</x:v>
      </x:c>
      <x:c r="H686" s="2" t="n">
        <x:f>IF(ISNUMBER(F686),IF(F686&gt;=2,1,0),0)</x:f>
        <x:v>1</x:v>
      </x:c>
      <x:c r="I686" s="11" t="n">
        <x:f>IF(ISNUMBER(F686),2^F686-1,0)</x:f>
        <x:v>7</x:v>
      </x:c>
      <x:c r="J686" s="2" t="str">
        <x:v>Extension pre-run 600</x:v>
      </x:c>
      <x:c r="K686" s="10" t="n">
        <x:v>3500</x:v>
      </x:c>
      <x:c r="L686" s="10" t="n">
        <x:v>2</x:v>
      </x:c>
      <x:c r="M686" s="10" t="n">
        <x:v>800</x:v>
      </x:c>
      <x:c r="N686" s="2" t="str">
        <x:v>D18</x:v>
      </x:c>
      <x:c r="O686" s="2" t="str">
        <x:v>hdb flat</x:v>
      </x:c>
      <x:c r="P686" s="2" t="str">
        <x:v>https://www.propertyguru.com.sg/listing/hdb-for-rent-820-tampines-street-81-500273278</x:v>
      </x:c>
      <x:c r="Q686" s="12" t="str">
        <x:v>Pre-registered source-rubric-v1; grade applied before outputs.</x:v>
      </x:c>
      <x:c r="R686" s="13"/>
    </x:row>
    <x:row r="687" ht="15" hidden="0" customHeight="1">
      <x:c r="A687" s="2" t="str">
        <x:v>S23|500285177</x:v>
      </x:c>
      <x:c r="B687" s="2" t="str">
        <x:v>S23</x:v>
      </x:c>
      <x:c r="C687" s="2" t="str">
        <x:v>500285177</x:v>
      </x:c>
      <x:c r="D687" s="2" t="n">
        <x:v>3</x:v>
      </x:c>
      <x:c r="E687" s="9"/>
      <x:c r="F687" s="2" t="n">
        <x:f>IF(E687="",D687,IF(E687="U","U",IF(AND(ISNUMBER(E687),E687&gt;=0,E687&lt;=3,INT(E687)=E687),E687,"Invalid")))</x:f>
        <x:v>3</x:v>
      </x:c>
      <x:c r="G687" s="2" t="n">
        <x:f>IF(ISNUMBER(F687),1,0)</x:f>
        <x:v>1</x:v>
      </x:c>
      <x:c r="H687" s="2" t="n">
        <x:f>IF(ISNUMBER(F687),IF(F687&gt;=2,1,0),0)</x:f>
        <x:v>1</x:v>
      </x:c>
      <x:c r="I687" s="11" t="n">
        <x:f>IF(ISNUMBER(F687),2^F687-1,0)</x:f>
        <x:v>7</x:v>
      </x:c>
      <x:c r="J687" s="2" t="str">
        <x:v>Extension pre-run 600</x:v>
      </x:c>
      <x:c r="K687" s="10" t="n">
        <x:v>3490</x:v>
      </x:c>
      <x:c r="L687" s="10" t="n">
        <x:v>2</x:v>
      </x:c>
      <x:c r="M687" s="10" t="n">
        <x:v>850</x:v>
      </x:c>
      <x:c r="N687" s="2" t="str">
        <x:v>D19</x:v>
      </x:c>
      <x:c r="O687" s="2" t="str">
        <x:v>apartment</x:v>
      </x:c>
      <x:c r="P687" s="2" t="str">
        <x:v>https://www.propertyguru.com.sg/listing/for-rent-2-bedroom-apartment-850sqft-8-min-walk-to-bartley-mrt-10min-bus-to-tai-seng-500285177</x:v>
      </x:c>
      <x:c r="Q687" s="12" t="str">
        <x:v>Pre-registered source-rubric-v1; grade applied before outputs.</x:v>
      </x:c>
      <x:c r="R687" s="13"/>
    </x:row>
    <x:row r="688" ht="15" hidden="0" customHeight="1">
      <x:c r="A688" s="2" t="str">
        <x:v>S23|500209476</x:v>
      </x:c>
      <x:c r="B688" s="2" t="str">
        <x:v>S23</x:v>
      </x:c>
      <x:c r="C688" s="2" t="str">
        <x:v>500209476</x:v>
      </x:c>
      <x:c r="D688" s="2" t="n">
        <x:v>3</x:v>
      </x:c>
      <x:c r="E688" s="9"/>
      <x:c r="F688" s="2" t="n">
        <x:f>IF(E688="",D688,IF(E688="U","U",IF(AND(ISNUMBER(E688),E688&gt;=0,E688&lt;=3,INT(E688)=E688),E688,"Invalid")))</x:f>
        <x:v>3</x:v>
      </x:c>
      <x:c r="G688" s="2" t="n">
        <x:f>IF(ISNUMBER(F688),1,0)</x:f>
        <x:v>1</x:v>
      </x:c>
      <x:c r="H688" s="2" t="n">
        <x:f>IF(ISNUMBER(F688),IF(F688&gt;=2,1,0),0)</x:f>
        <x:v>1</x:v>
      </x:c>
      <x:c r="I688" s="11" t="n">
        <x:f>IF(ISNUMBER(F688),2^F688-1,0)</x:f>
        <x:v>7</x:v>
      </x:c>
      <x:c r="J688" s="2" t="str">
        <x:v>Extension pre-run 600</x:v>
      </x:c>
      <x:c r="K688" s="10" t="n">
        <x:v>3000</x:v>
      </x:c>
      <x:c r="L688" s="10" t="n">
        <x:v>2</x:v>
      </x:c>
      <x:c r="M688" s="10" t="n">
        <x:v>882</x:v>
      </x:c>
      <x:c r="N688" s="2" t="str">
        <x:v>D19</x:v>
      </x:c>
      <x:c r="O688" s="2" t="str">
        <x:v>hdb flat</x:v>
      </x:c>
      <x:c r="P688" s="2" t="str">
        <x:v>https://www.propertyguru.com.sg/listing/hdb-for-rent-106-serangoon-north-avenue-1-500209476</x:v>
      </x:c>
      <x:c r="Q688" s="12" t="str">
        <x:v>Pre-registered source-rubric-v1; grade applied before outputs.</x:v>
      </x:c>
      <x:c r="R688" s="13"/>
    </x:row>
    <x:row r="689" ht="15" hidden="0" customHeight="1">
      <x:c r="A689" s="2" t="str">
        <x:v>S23|23420947</x:v>
      </x:c>
      <x:c r="B689" s="2" t="str">
        <x:v>S23</x:v>
      </x:c>
      <x:c r="C689" s="2" t="str">
        <x:v>23420947</x:v>
      </x:c>
      <x:c r="D689" s="2" t="n">
        <x:v>3</x:v>
      </x:c>
      <x:c r="E689" s="9"/>
      <x:c r="F689" s="2" t="n">
        <x:f>IF(E689="",D689,IF(E689="U","U",IF(AND(ISNUMBER(E689),E689&gt;=0,E689&lt;=3,INT(E689)=E689),E689,"Invalid")))</x:f>
        <x:v>3</x:v>
      </x:c>
      <x:c r="G689" s="2" t="n">
        <x:f>IF(ISNUMBER(F689),1,0)</x:f>
        <x:v>1</x:v>
      </x:c>
      <x:c r="H689" s="2" t="n">
        <x:f>IF(ISNUMBER(F689),IF(F689&gt;=2,1,0),0)</x:f>
        <x:v>1</x:v>
      </x:c>
      <x:c r="I689" s="11" t="n">
        <x:f>IF(ISNUMBER(F689),2^F689-1,0)</x:f>
        <x:v>7</x:v>
      </x:c>
      <x:c r="J689" s="2" t="str">
        <x:v>Extension pre-run 600</x:v>
      </x:c>
      <x:c r="K689" s="10" t="n">
        <x:v>3500</x:v>
      </x:c>
      <x:c r="L689" s="10" t="n">
        <x:v>2</x:v>
      </x:c>
      <x:c r="M689" s="10" t="n">
        <x:v>840</x:v>
      </x:c>
      <x:c r="N689" s="2" t="str">
        <x:v>D19</x:v>
      </x:c>
      <x:c r="O689" s="2" t="str">
        <x:v>condominium</x:v>
      </x:c>
      <x:c r="P689" s="2" t="str">
        <x:v>https://www.propertyguru.com.sg/listing/for-rent-boathouse-residences-23420947</x:v>
      </x:c>
      <x:c r="Q689" s="12" t="str">
        <x:v>Pre-registered source-rubric-v1; grade applied before outputs.</x:v>
      </x:c>
      <x:c r="R689" s="13"/>
    </x:row>
    <x:row r="690" ht="15" hidden="0" customHeight="1">
      <x:c r="A690" s="2" t="str">
        <x:v>S23|500262406</x:v>
      </x:c>
      <x:c r="B690" s="2" t="str">
        <x:v>S23</x:v>
      </x:c>
      <x:c r="C690" s="2" t="str">
        <x:v>500262406</x:v>
      </x:c>
      <x:c r="D690" s="2" t="n">
        <x:v>3</x:v>
      </x:c>
      <x:c r="E690" s="9"/>
      <x:c r="F690" s="2" t="n">
        <x:f>IF(E690="",D690,IF(E690="U","U",IF(AND(ISNUMBER(E690),E690&gt;=0,E690&lt;=3,INT(E690)=E690),E690,"Invalid")))</x:f>
        <x:v>3</x:v>
      </x:c>
      <x:c r="G690" s="2" t="n">
        <x:f>IF(ISNUMBER(F690),1,0)</x:f>
        <x:v>1</x:v>
      </x:c>
      <x:c r="H690" s="2" t="n">
        <x:f>IF(ISNUMBER(F690),IF(F690&gt;=2,1,0),0)</x:f>
        <x:v>1</x:v>
      </x:c>
      <x:c r="I690" s="11" t="n">
        <x:f>IF(ISNUMBER(F690),2^F690-1,0)</x:f>
        <x:v>7</x:v>
      </x:c>
      <x:c r="J690" s="2" t="str">
        <x:v>Extension pre-run 600</x:v>
      </x:c>
      <x:c r="K690" s="10" t="n">
        <x:v>3200</x:v>
      </x:c>
      <x:c r="L690" s="10" t="n">
        <x:v>2</x:v>
      </x:c>
      <x:c r="M690" s="10" t="n">
        <x:v>1001</x:v>
      </x:c>
      <x:c r="N690" s="2" t="str">
        <x:v>D19</x:v>
      </x:c>
      <x:c r="O690" s="2" t="str">
        <x:v>hdb flat</x:v>
      </x:c>
      <x:c r="P690" s="2" t="str">
        <x:v>https://www.propertyguru.com.sg/listing/hdb-for-rent-613a-punggol-drive-500262406</x:v>
      </x:c>
      <x:c r="Q690" s="12" t="str">
        <x:v>Pre-registered source-rubric-v1; grade applied before outputs.</x:v>
      </x:c>
      <x:c r="R690" s="13"/>
    </x:row>
    <x:row r="691" ht="15" hidden="0" customHeight="1">
      <x:c r="A691" s="2" t="str">
        <x:v>S23|24177236</x:v>
      </x:c>
      <x:c r="B691" s="2" t="str">
        <x:v>S23</x:v>
      </x:c>
      <x:c r="C691" s="2" t="str">
        <x:v>24177236</x:v>
      </x:c>
      <x:c r="D691" s="2" t="n">
        <x:v>2</x:v>
      </x:c>
      <x:c r="E691" s="9"/>
      <x:c r="F691" s="2" t="n">
        <x:f>IF(E691="",D691,IF(E691="U","U",IF(AND(ISNUMBER(E691),E691&gt;=0,E691&lt;=3,INT(E691)=E691),E691,"Invalid")))</x:f>
        <x:v>2</x:v>
      </x:c>
      <x:c r="G691" s="2" t="n">
        <x:f>IF(ISNUMBER(F691),1,0)</x:f>
        <x:v>1</x:v>
      </x:c>
      <x:c r="H691" s="2" t="n">
        <x:f>IF(ISNUMBER(F691),IF(F691&gt;=2,1,0),0)</x:f>
        <x:v>1</x:v>
      </x:c>
      <x:c r="I691" s="11" t="n">
        <x:f>IF(ISNUMBER(F691),2^F691-1,0)</x:f>
        <x:v>3</x:v>
      </x:c>
      <x:c r="J691" s="2" t="str">
        <x:v>Extension pre-run 600</x:v>
      </x:c>
      <x:c r="K691" s="10" t="n">
        <x:v>3950</x:v>
      </x:c>
      <x:c r="L691" s="10" t="n">
        <x:v>2</x:v>
      </x:c>
      <x:c r="M691" s="10" t="n">
        <x:v>1001</x:v>
      </x:c>
      <x:c r="N691" s="2" t="str">
        <x:v>D18</x:v>
      </x:c>
      <x:c r="O691" s="2" t="str">
        <x:v>apartment</x:v>
      </x:c>
      <x:c r="P691" s="2" t="str">
        <x:v>https://www.propertyguru.com.sg/listing/for-rent-melville-park-24177236</x:v>
      </x:c>
      <x:c r="Q691" s="12" t="str">
        <x:v>Pre-registered source-rubric-v1; grade applied before outputs.</x:v>
      </x:c>
      <x:c r="R691" s="13"/>
    </x:row>
    <x:row r="692" ht="15" hidden="0" customHeight="1">
      <x:c r="A692" s="2" t="str">
        <x:v>S23|500263064</x:v>
      </x:c>
      <x:c r="B692" s="2" t="str">
        <x:v>S23</x:v>
      </x:c>
      <x:c r="C692" s="2" t="str">
        <x:v>500263064</x:v>
      </x:c>
      <x:c r="D692" s="2" t="n">
        <x:v>2</x:v>
      </x:c>
      <x:c r="E692" s="9"/>
      <x:c r="F692" s="2" t="n">
        <x:f>IF(E692="",D692,IF(E692="U","U",IF(AND(ISNUMBER(E692),E692&gt;=0,E692&lt;=3,INT(E692)=E692),E692,"Invalid")))</x:f>
        <x:v>2</x:v>
      </x:c>
      <x:c r="G692" s="2" t="n">
        <x:f>IF(ISNUMBER(F692),1,0)</x:f>
        <x:v>1</x:v>
      </x:c>
      <x:c r="H692" s="2" t="n">
        <x:f>IF(ISNUMBER(F692),IF(F692&gt;=2,1,0),0)</x:f>
        <x:v>1</x:v>
      </x:c>
      <x:c r="I692" s="11" t="n">
        <x:f>IF(ISNUMBER(F692),2^F692-1,0)</x:f>
        <x:v>3</x:v>
      </x:c>
      <x:c r="J692" s="2" t="str">
        <x:v>Extension pre-run 600</x:v>
      </x:c>
      <x:c r="K692" s="10" t="n">
        <x:v>3999</x:v>
      </x:c>
      <x:c r="L692" s="10" t="n">
        <x:v>2</x:v>
      </x:c>
      <x:c r="M692" s="10" t="n">
        <x:v>1216</x:v>
      </x:c>
      <x:c r="N692" s="2" t="str">
        <x:v>D19</x:v>
      </x:c>
      <x:c r="O692" s="2" t="str">
        <x:v>condominium</x:v>
      </x:c>
      <x:c r="P692" s="2" t="str">
        <x:v>https://www.propertyguru.com.sg/listing/for-rent-the-promenade-pelikat-500263064</x:v>
      </x:c>
      <x:c r="Q692" s="12" t="str">
        <x:v>Pre-registered source-rubric-v1; grade applied before outputs.</x:v>
      </x:c>
      <x:c r="R692" s="13"/>
    </x:row>
    <x:row r="693" ht="15" hidden="0" customHeight="1">
      <x:c r="A693" s="2" t="str">
        <x:v>S23|25210636</x:v>
      </x:c>
      <x:c r="B693" s="2" t="str">
        <x:v>S23</x:v>
      </x:c>
      <x:c r="C693" s="2" t="str">
        <x:v>25210636</x:v>
      </x:c>
      <x:c r="D693" s="2" t="n">
        <x:v>2</x:v>
      </x:c>
      <x:c r="E693" s="9"/>
      <x:c r="F693" s="2" t="n">
        <x:f>IF(E693="",D693,IF(E693="U","U",IF(AND(ISNUMBER(E693),E693&gt;=0,E693&lt;=3,INT(E693)=E693),E693,"Invalid")))</x:f>
        <x:v>2</x:v>
      </x:c>
      <x:c r="G693" s="2" t="n">
        <x:f>IF(ISNUMBER(F693),1,0)</x:f>
        <x:v>1</x:v>
      </x:c>
      <x:c r="H693" s="2" t="n">
        <x:f>IF(ISNUMBER(F693),IF(F693&gt;=2,1,0),0)</x:f>
        <x:v>1</x:v>
      </x:c>
      <x:c r="I693" s="11" t="n">
        <x:f>IF(ISNUMBER(F693),2^F693-1,0)</x:f>
        <x:v>3</x:v>
      </x:c>
      <x:c r="J693" s="2" t="str">
        <x:v>Extension pre-run 600</x:v>
      </x:c>
      <x:c r="K693" s="10" t="n">
        <x:v>4200</x:v>
      </x:c>
      <x:c r="L693" s="10" t="n">
        <x:v>2</x:v>
      </x:c>
      <x:c r="M693" s="10" t="n">
        <x:v>829</x:v>
      </x:c>
      <x:c r="N693" s="2" t="str">
        <x:v>D18</x:v>
      </x:c>
      <x:c r="O693" s="2" t="str">
        <x:v>condominium</x:v>
      </x:c>
      <x:c r="P693" s="2" t="str">
        <x:v>https://www.propertyguru.com.sg/listing/for-rent-q-bay-residences-25210636</x:v>
      </x:c>
      <x:c r="Q693" s="12" t="str">
        <x:v>Pre-registered source-rubric-v1; grade applied before outputs.</x:v>
      </x:c>
      <x:c r="R693" s="13"/>
    </x:row>
    <x:row r="694" ht="15" hidden="0" customHeight="1">
      <x:c r="A694" s="2" t="str">
        <x:v>S23|23939700</x:v>
      </x:c>
      <x:c r="B694" s="2" t="str">
        <x:v>S23</x:v>
      </x:c>
      <x:c r="C694" s="2" t="str">
        <x:v>23939700</x:v>
      </x:c>
      <x:c r="D694" s="2" t="n">
        <x:v>2</x:v>
      </x:c>
      <x:c r="E694" s="9"/>
      <x:c r="F694" s="2" t="n">
        <x:f>IF(E694="",D694,IF(E694="U","U",IF(AND(ISNUMBER(E694),E694&gt;=0,E694&lt;=3,INT(E694)=E694),E694,"Invalid")))</x:f>
        <x:v>2</x:v>
      </x:c>
      <x:c r="G694" s="2" t="n">
        <x:f>IF(ISNUMBER(F694),1,0)</x:f>
        <x:v>1</x:v>
      </x:c>
      <x:c r="H694" s="2" t="n">
        <x:f>IF(ISNUMBER(F694),IF(F694&gt;=2,1,0),0)</x:f>
        <x:v>1</x:v>
      </x:c>
      <x:c r="I694" s="11" t="n">
        <x:f>IF(ISNUMBER(F694),2^F694-1,0)</x:f>
        <x:v>3</x:v>
      </x:c>
      <x:c r="J694" s="2" t="str">
        <x:v>Extension pre-run 600</x:v>
      </x:c>
      <x:c r="K694" s="10" t="n">
        <x:v>3990</x:v>
      </x:c>
      <x:c r="L694" s="10" t="n">
        <x:v>2</x:v>
      </x:c>
      <x:c r="M694" s="10" t="n">
        <x:v>1000</x:v>
      </x:c>
      <x:c r="N694" s="2" t="str">
        <x:v>D19</x:v>
      </x:c>
      <x:c r="O694" s="2" t="str">
        <x:v>semi-detached house</x:v>
      </x:c>
      <x:c r="P694" s="2" t="str">
        <x:v>https://www.propertyguru.com.sg/listing/for-rent-2-bedder-near-serangoon-mrt-23939700</x:v>
      </x:c>
      <x:c r="Q694" s="12" t="str">
        <x:v>Pre-registered source-rubric-v1; grade applied before outputs.</x:v>
      </x:c>
      <x:c r="R694" s="13"/>
    </x:row>
    <x:row r="695" ht="15" hidden="0" customHeight="1">
      <x:c r="A695" s="2" t="str">
        <x:v>S23|23282836</x:v>
      </x:c>
      <x:c r="B695" s="2" t="str">
        <x:v>S23</x:v>
      </x:c>
      <x:c r="C695" s="2" t="str">
        <x:v>23282836</x:v>
      </x:c>
      <x:c r="D695" s="2" t="n">
        <x:v>2</x:v>
      </x:c>
      <x:c r="E695" s="9"/>
      <x:c r="F695" s="2" t="n">
        <x:f>IF(E695="",D695,IF(E695="U","U",IF(AND(ISNUMBER(E695),E695&gt;=0,E695&lt;=3,INT(E695)=E695),E695,"Invalid")))</x:f>
        <x:v>2</x:v>
      </x:c>
      <x:c r="G695" s="2" t="n">
        <x:f>IF(ISNUMBER(F695),1,0)</x:f>
        <x:v>1</x:v>
      </x:c>
      <x:c r="H695" s="2" t="n">
        <x:f>IF(ISNUMBER(F695),IF(F695&gt;=2,1,0),0)</x:f>
        <x:v>1</x:v>
      </x:c>
      <x:c r="I695" s="11" t="n">
        <x:f>IF(ISNUMBER(F695),2^F695-1,0)</x:f>
        <x:v>3</x:v>
      </x:c>
      <x:c r="J695" s="2" t="str">
        <x:v>Extension pre-run 600</x:v>
      </x:c>
      <x:c r="K695" s="10" t="n">
        <x:v>3588</x:v>
      </x:c>
      <x:c r="L695" s="10" t="n">
        <x:v>2</x:v>
      </x:c>
      <x:c r="M695" s="10" t="n">
        <x:v>990</x:v>
      </x:c>
      <x:c r="N695" s="2" t="str">
        <x:v>D18</x:v>
      </x:c>
      <x:c r="O695" s="2" t="str">
        <x:v>apartment</x:v>
      </x:c>
      <x:c r="P695" s="2" t="str">
        <x:v>https://www.propertyguru.com.sg/listing/for-rent-melville-park-23282836</x:v>
      </x:c>
      <x:c r="Q695" s="12" t="str">
        <x:v>Pre-registered source-rubric-v1; grade applied before outputs.</x:v>
      </x:c>
      <x:c r="R695" s="13"/>
    </x:row>
    <x:row r="696" ht="15" hidden="0" customHeight="1">
      <x:c r="A696" s="2" t="str">
        <x:v>S23|25322722</x:v>
      </x:c>
      <x:c r="B696" s="2" t="str">
        <x:v>S23</x:v>
      </x:c>
      <x:c r="C696" s="2" t="str">
        <x:v>25322722</x:v>
      </x:c>
      <x:c r="D696" s="2" t="n">
        <x:v>2</x:v>
      </x:c>
      <x:c r="E696" s="9"/>
      <x:c r="F696" s="2" t="n">
        <x:f>IF(E696="",D696,IF(E696="U","U",IF(AND(ISNUMBER(E696),E696&gt;=0,E696&lt;=3,INT(E696)=E696),E696,"Invalid")))</x:f>
        <x:v>2</x:v>
      </x:c>
      <x:c r="G696" s="2" t="n">
        <x:f>IF(ISNUMBER(F696),1,0)</x:f>
        <x:v>1</x:v>
      </x:c>
      <x:c r="H696" s="2" t="n">
        <x:f>IF(ISNUMBER(F696),IF(F696&gt;=2,1,0),0)</x:f>
        <x:v>1</x:v>
      </x:c>
      <x:c r="I696" s="11" t="n">
        <x:f>IF(ISNUMBER(F696),2^F696-1,0)</x:f>
        <x:v>3</x:v>
      </x:c>
      <x:c r="J696" s="2" t="str">
        <x:v>Extension pre-run 600</x:v>
      </x:c>
      <x:c r="K696" s="10" t="n">
        <x:v>3799</x:v>
      </x:c>
      <x:c r="L696" s="10" t="n">
        <x:v>2</x:v>
      </x:c>
      <x:c r="M696" s="10" t="n">
        <x:v>937</x:v>
      </x:c>
      <x:c r="N696" s="2" t="str">
        <x:v>D18</x:v>
      </x:c>
      <x:c r="O696" s="2" t="str">
        <x:v>apartment</x:v>
      </x:c>
      <x:c r="P696" s="2" t="str">
        <x:v>https://www.propertyguru.com.sg/listing/for-rent-melville-park-25322722</x:v>
      </x:c>
      <x:c r="Q696" s="12" t="str">
        <x:v>Pre-registered source-rubric-v1; grade applied before outputs.</x:v>
      </x:c>
      <x:c r="R696" s="13"/>
    </x:row>
    <x:row r="697" ht="15" hidden="0" customHeight="1">
      <x:c r="A697" s="2" t="str">
        <x:v>S23|24175185</x:v>
      </x:c>
      <x:c r="B697" s="2" t="str">
        <x:v>S23</x:v>
      </x:c>
      <x:c r="C697" s="2" t="str">
        <x:v>24175185</x:v>
      </x:c>
      <x:c r="D697" s="2" t="n">
        <x:v>2</x:v>
      </x:c>
      <x:c r="E697" s="9"/>
      <x:c r="F697" s="2" t="n">
        <x:f>IF(E697="",D697,IF(E697="U","U",IF(AND(ISNUMBER(E697),E697&gt;=0,E697&lt;=3,INT(E697)=E697),E697,"Invalid")))</x:f>
        <x:v>2</x:v>
      </x:c>
      <x:c r="G697" s="2" t="n">
        <x:f>IF(ISNUMBER(F697),1,0)</x:f>
        <x:v>1</x:v>
      </x:c>
      <x:c r="H697" s="2" t="n">
        <x:f>IF(ISNUMBER(F697),IF(F697&gt;=2,1,0),0)</x:f>
        <x:v>1</x:v>
      </x:c>
      <x:c r="I697" s="11" t="n">
        <x:f>IF(ISNUMBER(F697),2^F697-1,0)</x:f>
        <x:v>3</x:v>
      </x:c>
      <x:c r="J697" s="2" t="str">
        <x:v>Extension pre-run 600</x:v>
      </x:c>
      <x:c r="K697" s="10" t="n">
        <x:v>4200</x:v>
      </x:c>
      <x:c r="L697" s="10" t="n">
        <x:v>2</x:v>
      </x:c>
      <x:c r="M697" s="10" t="n">
        <x:v>1100</x:v>
      </x:c>
      <x:c r="N697" s="2" t="str">
        <x:v>D19</x:v>
      </x:c>
      <x:c r="O697" s="2" t="str">
        <x:v>shophouse</x:v>
      </x:c>
      <x:c r="P697" s="2" t="str">
        <x:v>https://www.propertyguru.com.sg/listing/for-rent-2nd-level-serangoon-garden-shophouse-for-rent-24175185</x:v>
      </x:c>
      <x:c r="Q697" s="12" t="str">
        <x:v>Pre-registered source-rubric-v1; grade applied before outputs.</x:v>
      </x:c>
      <x:c r="R697" s="13"/>
    </x:row>
    <x:row r="698" ht="15" hidden="0" customHeight="1">
      <x:c r="A698" s="2" t="str">
        <x:v>S23|18817153</x:v>
      </x:c>
      <x:c r="B698" s="2" t="str">
        <x:v>S23</x:v>
      </x:c>
      <x:c r="C698" s="2" t="str">
        <x:v>18817153</x:v>
      </x:c>
      <x:c r="D698" s="2" t="n">
        <x:v>2</x:v>
      </x:c>
      <x:c r="E698" s="9"/>
      <x:c r="F698" s="2" t="n">
        <x:f>IF(E698="",D698,IF(E698="U","U",IF(AND(ISNUMBER(E698),E698&gt;=0,E698&lt;=3,INT(E698)=E698),E698,"Invalid")))</x:f>
        <x:v>2</x:v>
      </x:c>
      <x:c r="G698" s="2" t="n">
        <x:f>IF(ISNUMBER(F698),1,0)</x:f>
        <x:v>1</x:v>
      </x:c>
      <x:c r="H698" s="2" t="n">
        <x:f>IF(ISNUMBER(F698),IF(F698&gt;=2,1,0),0)</x:f>
        <x:v>1</x:v>
      </x:c>
      <x:c r="I698" s="11" t="n">
        <x:f>IF(ISNUMBER(F698),2^F698-1,0)</x:f>
        <x:v>3</x:v>
      </x:c>
      <x:c r="J698" s="2" t="str">
        <x:v>Extension pre-run 600</x:v>
      </x:c>
      <x:c r="K698" s="10" t="n">
        <x:v>4400</x:v>
      </x:c>
      <x:c r="L698" s="10" t="n">
        <x:v>2</x:v>
      </x:c>
      <x:c r="M698" s="10" t="n">
        <x:v>1033</x:v>
      </x:c>
      <x:c r="N698" s="2" t="str">
        <x:v>D19</x:v>
      </x:c>
      <x:c r="O698" s="2" t="str">
        <x:v>condominium</x:v>
      </x:c>
      <x:c r="P698" s="2" t="str">
        <x:v>https://www.propertyguru.com.sg/listing/for-rent-oasis-garden-18817153</x:v>
      </x:c>
      <x:c r="Q698" s="12" t="str">
        <x:v>Pre-registered source-rubric-v1; grade applied before outputs.</x:v>
      </x:c>
      <x:c r="R698" s="13"/>
    </x:row>
    <x:row r="699" ht="15" hidden="0" customHeight="1">
      <x:c r="A699" s="2" t="str">
        <x:v>S23|500281994</x:v>
      </x:c>
      <x:c r="B699" s="2" t="str">
        <x:v>S23</x:v>
      </x:c>
      <x:c r="C699" s="2" t="str">
        <x:v>500281994</x:v>
      </x:c>
      <x:c r="D699" s="2" t="n">
        <x:v>1</x:v>
      </x:c>
      <x:c r="E699" s="9"/>
      <x:c r="F699" s="2" t="n">
        <x:f>IF(E699="",D699,IF(E699="U","U",IF(AND(ISNUMBER(E699),E699&gt;=0,E699&lt;=3,INT(E699)=E699),E699,"Invalid")))</x:f>
        <x:v>1</x:v>
      </x:c>
      <x:c r="G699" s="2" t="n">
        <x:f>IF(ISNUMBER(F699),1,0)</x:f>
        <x:v>1</x:v>
      </x:c>
      <x:c r="H699" s="2" t="n">
        <x:f>IF(ISNUMBER(F699),IF(F699&gt;=2,1,0),0)</x:f>
        <x:v>0</x:v>
      </x:c>
      <x:c r="I699" s="11" t="n">
        <x:f>IF(ISNUMBER(F699),2^F699-1,0)</x:f>
        <x:v>1</x:v>
      </x:c>
      <x:c r="J699" s="2" t="str">
        <x:v>Extension pre-run 600</x:v>
      </x:c>
      <x:c r="K699" s="10" t="n">
        <x:v>4500</x:v>
      </x:c>
      <x:c r="L699" s="10" t="n">
        <x:v>2</x:v>
      </x:c>
      <x:c r="M699" s="10" t="n">
        <x:v>764</x:v>
      </x:c>
      <x:c r="N699" s="2" t="str">
        <x:v>D19</x:v>
      </x:c>
      <x:c r="O699" s="2" t="str">
        <x:v>condominium</x:v>
      </x:c>
      <x:c r="P699" s="2" t="str">
        <x:v>https://www.propertyguru.com.sg/listing/for-rent-sengkang-grand-residences-500281994</x:v>
      </x:c>
      <x:c r="Q699" s="12" t="str">
        <x:v>Pre-registered source-rubric-v1; grade applied before outputs.</x:v>
      </x:c>
      <x:c r="R699" s="13"/>
    </x:row>
    <x:row r="700" ht="15" hidden="0" customHeight="1">
      <x:c r="A700" s="2" t="str">
        <x:v>S23|500245497</x:v>
      </x:c>
      <x:c r="B700" s="2" t="str">
        <x:v>S23</x:v>
      </x:c>
      <x:c r="C700" s="2" t="str">
        <x:v>500245497</x:v>
      </x:c>
      <x:c r="D700" s="2" t="n">
        <x:v>1</x:v>
      </x:c>
      <x:c r="E700" s="9"/>
      <x:c r="F700" s="2" t="n">
        <x:f>IF(E700="",D700,IF(E700="U","U",IF(AND(ISNUMBER(E700),E700&gt;=0,E700&lt;=3,INT(E700)=E700),E700,"Invalid")))</x:f>
        <x:v>1</x:v>
      </x:c>
      <x:c r="G700" s="2" t="n">
        <x:f>IF(ISNUMBER(F700),1,0)</x:f>
        <x:v>1</x:v>
      </x:c>
      <x:c r="H700" s="2" t="n">
        <x:f>IF(ISNUMBER(F700),IF(F700&gt;=2,1,0),0)</x:f>
        <x:v>0</x:v>
      </x:c>
      <x:c r="I700" s="11" t="n">
        <x:f>IF(ISNUMBER(F700),2^F700-1,0)</x:f>
        <x:v>1</x:v>
      </x:c>
      <x:c r="J700" s="2" t="str">
        <x:v>Extension pre-run 600</x:v>
      </x:c>
      <x:c r="K700" s="10" t="n">
        <x:v>3750</x:v>
      </x:c>
      <x:c r="L700" s="10" t="n">
        <x:v>2</x:v>
      </x:c>
      <x:c r="M700" s="10" t="n">
        <x:v>786</x:v>
      </x:c>
      <x:c r="N700" s="2" t="str">
        <x:v>D18</x:v>
      </x:c>
      <x:c r="O700" s="2" t="str">
        <x:v>condominium</x:v>
      </x:c>
      <x:c r="P700" s="2" t="str">
        <x:v>https://www.propertyguru.com.sg/listing/for-rent-waterview-500245497</x:v>
      </x:c>
      <x:c r="Q700" s="12" t="str">
        <x:v>Pre-registered source-rubric-v1; grade applied before outputs.</x:v>
      </x:c>
      <x:c r="R700" s="13"/>
    </x:row>
    <x:row r="701" ht="15" hidden="0" customHeight="1">
      <x:c r="A701" s="2" t="str">
        <x:v>S23|500284771</x:v>
      </x:c>
      <x:c r="B701" s="2" t="str">
        <x:v>S23</x:v>
      </x:c>
      <x:c r="C701" s="2" t="str">
        <x:v>500284771</x:v>
      </x:c>
      <x:c r="D701" s="2" t="n">
        <x:v>1</x:v>
      </x:c>
      <x:c r="E701" s="9"/>
      <x:c r="F701" s="2" t="n">
        <x:f>IF(E701="",D701,IF(E701="U","U",IF(AND(ISNUMBER(E701),E701&gt;=0,E701&lt;=3,INT(E701)=E701),E701,"Invalid")))</x:f>
        <x:v>1</x:v>
      </x:c>
      <x:c r="G701" s="2" t="n">
        <x:f>IF(ISNUMBER(F701),1,0)</x:f>
        <x:v>1</x:v>
      </x:c>
      <x:c r="H701" s="2" t="n">
        <x:f>IF(ISNUMBER(F701),IF(F701&gt;=2,1,0),0)</x:f>
        <x:v>0</x:v>
      </x:c>
      <x:c r="I701" s="11" t="n">
        <x:f>IF(ISNUMBER(F701),2^F701-1,0)</x:f>
        <x:v>1</x:v>
      </x:c>
      <x:c r="J701" s="2" t="str">
        <x:v>Extension pre-run 600</x:v>
      </x:c>
      <x:c r="K701" s="10" t="n">
        <x:v>3600</x:v>
      </x:c>
      <x:c r="L701" s="10" t="n">
        <x:v>2</x:v>
      </x:c>
      <x:c r="M701" s="10" t="n">
        <x:v>689</x:v>
      </x:c>
      <x:c r="N701" s="2" t="str">
        <x:v>D19</x:v>
      </x:c>
      <x:c r="O701" s="2" t="str">
        <x:v>hdb flat</x:v>
      </x:c>
      <x:c r="P701" s="2" t="str">
        <x:v>https://www.propertyguru.com.sg/listing/hdb-for-rent-207-serangoon-central-500284771</x:v>
      </x:c>
      <x:c r="Q701" s="12" t="str">
        <x:v>Pre-registered source-rubric-v1; grade applied before outputs.</x:v>
      </x:c>
      <x:c r="R701" s="13"/>
    </x:row>
    <x:row r="702" ht="15" hidden="0" customHeight="1">
      <x:c r="A702" s="2" t="str">
        <x:v>S23|500275795</x:v>
      </x:c>
      <x:c r="B702" s="2" t="str">
        <x:v>S23</x:v>
      </x:c>
      <x:c r="C702" s="2" t="str">
        <x:v>500275795</x:v>
      </x:c>
      <x:c r="D702" s="2" t="n">
        <x:v>1</x:v>
      </x:c>
      <x:c r="E702" s="9"/>
      <x:c r="F702" s="2" t="n">
        <x:f>IF(E702="",D702,IF(E702="U","U",IF(AND(ISNUMBER(E702),E702&gt;=0,E702&lt;=3,INT(E702)=E702),E702,"Invalid")))</x:f>
        <x:v>1</x:v>
      </x:c>
      <x:c r="G702" s="2" t="n">
        <x:f>IF(ISNUMBER(F702),1,0)</x:f>
        <x:v>1</x:v>
      </x:c>
      <x:c r="H702" s="2" t="n">
        <x:f>IF(ISNUMBER(F702),IF(F702&gt;=2,1,0),0)</x:f>
        <x:v>0</x:v>
      </x:c>
      <x:c r="I702" s="11" t="n">
        <x:f>IF(ISNUMBER(F702),2^F702-1,0)</x:f>
        <x:v>1</x:v>
      </x:c>
      <x:c r="J702" s="2" t="str">
        <x:v>Extension pre-run 600</x:v>
      </x:c>
      <x:c r="K702" s="10" t="n">
        <x:v>3600</x:v>
      </x:c>
      <x:c r="L702" s="10" t="n">
        <x:v>2</x:v>
      </x:c>
      <x:c r="M702" s="10" t="n">
        <x:v>754</x:v>
      </x:c>
      <x:c r="N702" s="2" t="str">
        <x:v>D18</x:v>
      </x:c>
      <x:c r="O702" s="2" t="str">
        <x:v>condominium</x:v>
      </x:c>
      <x:c r="P702" s="2" t="str">
        <x:v>https://www.propertyguru.com.sg/listing/for-rent-d-nest-500275795</x:v>
      </x:c>
      <x:c r="Q702" s="12" t="str">
        <x:v>Pre-registered source-rubric-v1; grade applied before outputs.</x:v>
      </x:c>
      <x:c r="R702" s="13"/>
    </x:row>
    <x:row r="703" ht="15" hidden="0" customHeight="1">
      <x:c r="A703" s="2" t="str">
        <x:v>S23|500271560</x:v>
      </x:c>
      <x:c r="B703" s="2" t="str">
        <x:v>S23</x:v>
      </x:c>
      <x:c r="C703" s="2" t="str">
        <x:v>500271560</x:v>
      </x:c>
      <x:c r="D703" s="2" t="n">
        <x:v>1</x:v>
      </x:c>
      <x:c r="E703" s="9"/>
      <x:c r="F703" s="2" t="n">
        <x:f>IF(E703="",D703,IF(E703="U","U",IF(AND(ISNUMBER(E703),E703&gt;=0,E703&lt;=3,INT(E703)=E703),E703,"Invalid")))</x:f>
        <x:v>1</x:v>
      </x:c>
      <x:c r="G703" s="2" t="n">
        <x:f>IF(ISNUMBER(F703),1,0)</x:f>
        <x:v>1</x:v>
      </x:c>
      <x:c r="H703" s="2" t="n">
        <x:f>IF(ISNUMBER(F703),IF(F703&gt;=2,1,0),0)</x:f>
        <x:v>0</x:v>
      </x:c>
      <x:c r="I703" s="11" t="n">
        <x:f>IF(ISNUMBER(F703),2^F703-1,0)</x:f>
        <x:v>1</x:v>
      </x:c>
      <x:c r="J703" s="2" t="str">
        <x:v>Extension pre-run 600</x:v>
      </x:c>
      <x:c r="K703" s="10" t="n">
        <x:v>4000</x:v>
      </x:c>
      <x:c r="L703" s="10" t="n">
        <x:v>2</x:v>
      </x:c>
      <x:c r="M703" s="10" t="n">
        <x:v>711</x:v>
      </x:c>
      <x:c r="N703" s="2" t="str">
        <x:v>D18</x:v>
      </x:c>
      <x:c r="O703" s="2" t="str">
        <x:v>apartment</x:v>
      </x:c>
      <x:c r="P703" s="2" t="str">
        <x:v>https://www.propertyguru.com.sg/listing/for-rent-pasir-ris-8-500271560</x:v>
      </x:c>
      <x:c r="Q703" s="12" t="str">
        <x:v>Pre-registered source-rubric-v1; grade applied before outputs.</x:v>
      </x:c>
      <x:c r="R703" s="13"/>
    </x:row>
    <x:row r="704" ht="15" hidden="0" customHeight="1">
      <x:c r="A704" s="2" t="str">
        <x:v>S23|25371141</x:v>
      </x:c>
      <x:c r="B704" s="2" t="str">
        <x:v>S23</x:v>
      </x:c>
      <x:c r="C704" s="2" t="str">
        <x:v>25371141</x:v>
      </x:c>
      <x:c r="D704" s="2" t="n">
        <x:v>1</x:v>
      </x:c>
      <x:c r="E704" s="9"/>
      <x:c r="F704" s="2" t="n">
        <x:f>IF(E704="",D704,IF(E704="U","U",IF(AND(ISNUMBER(E704),E704&gt;=0,E704&lt;=3,INT(E704)=E704),E704,"Invalid")))</x:f>
        <x:v>1</x:v>
      </x:c>
      <x:c r="G704" s="2" t="n">
        <x:f>IF(ISNUMBER(F704),1,0)</x:f>
        <x:v>1</x:v>
      </x:c>
      <x:c r="H704" s="2" t="n">
        <x:f>IF(ISNUMBER(F704),IF(F704&gt;=2,1,0),0)</x:f>
        <x:v>0</x:v>
      </x:c>
      <x:c r="I704" s="11" t="n">
        <x:f>IF(ISNUMBER(F704),2^F704-1,0)</x:f>
        <x:v>1</x:v>
      </x:c>
      <x:c r="J704" s="2" t="str">
        <x:v>Extension pre-run 600</x:v>
      </x:c>
      <x:c r="K704" s="10" t="n">
        <x:v>4000</x:v>
      </x:c>
      <x:c r="L704" s="10" t="n">
        <x:v>2</x:v>
      </x:c>
      <x:c r="M704" s="10" t="n">
        <x:v>786</x:v>
      </x:c>
      <x:c r="N704" s="2" t="str">
        <x:v>D19</x:v>
      </x:c>
      <x:c r="O704" s="2" t="str">
        <x:v>condominium</x:v>
      </x:c>
      <x:c r="P704" s="2" t="str">
        <x:v>https://www.propertyguru.com.sg/listing/for-rent-parc-vera-25371141</x:v>
      </x:c>
      <x:c r="Q704" s="12" t="str">
        <x:v>Pre-registered source-rubric-v1; grade applied before outputs.</x:v>
      </x:c>
      <x:c r="R704" s="13"/>
    </x:row>
    <x:row r="705" ht="15" hidden="0" customHeight="1">
      <x:c r="A705" s="2" t="str">
        <x:v>S23|500227637</x:v>
      </x:c>
      <x:c r="B705" s="2" t="str">
        <x:v>S23</x:v>
      </x:c>
      <x:c r="C705" s="2" t="str">
        <x:v>500227637</x:v>
      </x:c>
      <x:c r="D705" s="2" t="n">
        <x:v>0</x:v>
      </x:c>
      <x:c r="E705" s="9"/>
      <x:c r="F705" s="2" t="n">
        <x:f>IF(E705="",D705,IF(E705="U","U",IF(AND(ISNUMBER(E705),E705&gt;=0,E705&lt;=3,INT(E705)=E705),E705,"Invalid")))</x:f>
        <x:v>0</x:v>
      </x:c>
      <x:c r="G705" s="2" t="n">
        <x:f>IF(ISNUMBER(F705),1,0)</x:f>
        <x:v>1</x:v>
      </x:c>
      <x:c r="H705" s="2" t="n">
        <x:f>IF(ISNUMBER(F705),IF(F705&gt;=2,1,0),0)</x:f>
        <x:v>0</x:v>
      </x:c>
      <x:c r="I705" s="11" t="n">
        <x:f>IF(ISNUMBER(F705),2^F705-1,0)</x:f>
        <x:v>0</x:v>
      </x:c>
      <x:c r="J705" s="2" t="str">
        <x:v>Extension pre-run 600</x:v>
      </x:c>
      <x:c r="K705" s="10" t="n">
        <x:v>2999</x:v>
      </x:c>
      <x:c r="L705" s="10" t="n">
        <x:v>2</x:v>
      </x:c>
      <x:c r="M705" s="10" t="n">
        <x:v>645</x:v>
      </x:c>
      <x:c r="N705" s="2" t="str">
        <x:v>D13</x:v>
      </x:c>
      <x:c r="O705" s="2" t="str">
        <x:v>hdb flat</x:v>
      </x:c>
      <x:c r="P705" s="2" t="str">
        <x:v>https://www.propertyguru.com.sg/listing/hdb-for-rent-20-balam-road-500227637</x:v>
      </x:c>
      <x:c r="Q705" s="12" t="str">
        <x:v>Pre-registered source-rubric-v1; grade applied before outputs.</x:v>
      </x:c>
      <x:c r="R705" s="13"/>
    </x:row>
    <x:row r="706" ht="15" hidden="0" customHeight="1">
      <x:c r="A706" s="2" t="str">
        <x:v>S23|24187064</x:v>
      </x:c>
      <x:c r="B706" s="2" t="str">
        <x:v>S23</x:v>
      </x:c>
      <x:c r="C706" s="2" t="str">
        <x:v>24187064</x:v>
      </x:c>
      <x:c r="D706" s="2" t="n">
        <x:v>0</x:v>
      </x:c>
      <x:c r="E706" s="9"/>
      <x:c r="F706" s="2" t="n">
        <x:f>IF(E706="",D706,IF(E706="U","U",IF(AND(ISNUMBER(E706),E706&gt;=0,E706&lt;=3,INT(E706)=E706),E706,"Invalid")))</x:f>
        <x:v>0</x:v>
      </x:c>
      <x:c r="G706" s="2" t="n">
        <x:f>IF(ISNUMBER(F706),1,0)</x:f>
        <x:v>1</x:v>
      </x:c>
      <x:c r="H706" s="2" t="n">
        <x:f>IF(ISNUMBER(F706),IF(F706&gt;=2,1,0),0)</x:f>
        <x:v>0</x:v>
      </x:c>
      <x:c r="I706" s="11" t="n">
        <x:f>IF(ISNUMBER(F706),2^F706-1,0)</x:f>
        <x:v>0</x:v>
      </x:c>
      <x:c r="J706" s="2" t="str">
        <x:v>Extension pre-run 600</x:v>
      </x:c>
      <x:c r="K706" s="10" t="n">
        <x:v>3300</x:v>
      </x:c>
      <x:c r="L706" s="10" t="n">
        <x:v>2</x:v>
      </x:c>
      <x:c r="M706" s="10" t="n">
        <x:v>795</x:v>
      </x:c>
      <x:c r="N706" s="2" t="str">
        <x:v>D27</x:v>
      </x:c>
      <x:c r="O706" s="2" t="str">
        <x:v>hdb flat</x:v>
      </x:c>
      <x:c r="P706" s="2" t="str">
        <x:v>https://www.propertyguru.com.sg/listing/hdb-for-rent-853-yishun-ring-road-24187064</x:v>
      </x:c>
      <x:c r="Q706" s="12" t="str">
        <x:v>Pre-registered source-rubric-v1; grade applied before outputs.</x:v>
      </x:c>
      <x:c r="R706" s="13"/>
    </x:row>
    <x:row r="707" ht="15" hidden="0" customHeight="1">
      <x:c r="A707" s="2" t="str">
        <x:v>S23|500094454</x:v>
      </x:c>
      <x:c r="B707" s="2" t="str">
        <x:v>S23</x:v>
      </x:c>
      <x:c r="C707" s="2" t="str">
        <x:v>500094454</x:v>
      </x:c>
      <x:c r="D707" s="2" t="n">
        <x:v>0</x:v>
      </x:c>
      <x:c r="E707" s="9"/>
      <x:c r="F707" s="2" t="n">
        <x:f>IF(E707="",D707,IF(E707="U","U",IF(AND(ISNUMBER(E707),E707&gt;=0,E707&lt;=3,INT(E707)=E707),E707,"Invalid")))</x:f>
        <x:v>0</x:v>
      </x:c>
      <x:c r="G707" s="2" t="n">
        <x:f>IF(ISNUMBER(F707),1,0)</x:f>
        <x:v>1</x:v>
      </x:c>
      <x:c r="H707" s="2" t="n">
        <x:f>IF(ISNUMBER(F707),IF(F707&gt;=2,1,0),0)</x:f>
        <x:v>0</x:v>
      </x:c>
      <x:c r="I707" s="11" t="n">
        <x:f>IF(ISNUMBER(F707),2^F707-1,0)</x:f>
        <x:v>0</x:v>
      </x:c>
      <x:c r="J707" s="2" t="str">
        <x:v>Extension pre-run 600</x:v>
      </x:c>
      <x:c r="K707" s="10" t="n">
        <x:v>19800</x:v>
      </x:c>
      <x:c r="L707" s="10" t="n">
        <x:v>3</x:v>
      </x:c>
      <x:c r="M707" s="10" t="n">
        <x:v>3993</x:v>
      </x:c>
      <x:c r="N707" s="2" t="str">
        <x:v>D10</x:v>
      </x:c>
      <x:c r="O707" s="2" t="str">
        <x:v>condominium</x:v>
      </x:c>
      <x:c r="P707" s="2" t="str">
        <x:v>https://www.propertyguru.com.sg/listing/for-rent-the-colonnade-500094454</x:v>
      </x:c>
      <x:c r="Q707" s="12" t="str">
        <x:v>Pre-registered source-rubric-v1; grade applied before outputs.</x:v>
      </x:c>
      <x:c r="R707" s="13"/>
    </x:row>
    <x:row r="708" ht="15" hidden="0" customHeight="1">
      <x:c r="A708" s="2" t="str">
        <x:v>S23|500225441</x:v>
      </x:c>
      <x:c r="B708" s="2" t="str">
        <x:v>S23</x:v>
      </x:c>
      <x:c r="C708" s="2" t="str">
        <x:v>500225441</x:v>
      </x:c>
      <x:c r="D708" s="2" t="n">
        <x:v>0</x:v>
      </x:c>
      <x:c r="E708" s="9"/>
      <x:c r="F708" s="2" t="n">
        <x:f>IF(E708="",D708,IF(E708="U","U",IF(AND(ISNUMBER(E708),E708&gt;=0,E708&lt;=3,INT(E708)=E708),E708,"Invalid")))</x:f>
        <x:v>0</x:v>
      </x:c>
      <x:c r="G708" s="2" t="n">
        <x:f>IF(ISNUMBER(F708),1,0)</x:f>
        <x:v>1</x:v>
      </x:c>
      <x:c r="H708" s="2" t="n">
        <x:f>IF(ISNUMBER(F708),IF(F708&gt;=2,1,0),0)</x:f>
        <x:v>0</x:v>
      </x:c>
      <x:c r="I708" s="11" t="n">
        <x:f>IF(ISNUMBER(F708),2^F708-1,0)</x:f>
        <x:v>0</x:v>
      </x:c>
      <x:c r="J708" s="2" t="str">
        <x:v>Extension pre-run 600</x:v>
      </x:c>
      <x:c r="K708" s="10" t="n">
        <x:v>1200</x:v>
      </x:c>
      <x:c r="L708" s="10" t="n">
        <x:v>0</x:v>
      </x:c>
      <x:c r="M708" s="10"/>
      <x:c r="N708" s="2" t="str">
        <x:v>D19</x:v>
      </x:c>
      <x:c r="O708" s="2" t="str">
        <x:v>hdb flat</x:v>
      </x:c>
      <x:c r="P708" s="2" t="str">
        <x:v>https://www.propertyguru.com.sg/listing/hdb-for-rent-308a-anchorvale-road-500225441</x:v>
      </x:c>
      <x:c r="Q708" s="12" t="str">
        <x:v>Pre-registered source-rubric-v1; grade applied before outputs.</x:v>
      </x:c>
      <x:c r="R708" s="13"/>
    </x:row>
    <x:row r="709" ht="15" hidden="0" customHeight="1">
      <x:c r="A709" s="2" t="str">
        <x:v>S23|21159207</x:v>
      </x:c>
      <x:c r="B709" s="2" t="str">
        <x:v>S23</x:v>
      </x:c>
      <x:c r="C709" s="2" t="str">
        <x:v>21159207</x:v>
      </x:c>
      <x:c r="D709" s="2" t="n">
        <x:v>0</x:v>
      </x:c>
      <x:c r="E709" s="9"/>
      <x:c r="F709" s="2" t="n">
        <x:f>IF(E709="",D709,IF(E709="U","U",IF(AND(ISNUMBER(E709),E709&gt;=0,E709&lt;=3,INT(E709)=E709),E709,"Invalid")))</x:f>
        <x:v>0</x:v>
      </x:c>
      <x:c r="G709" s="2" t="n">
        <x:f>IF(ISNUMBER(F709),1,0)</x:f>
        <x:v>1</x:v>
      </x:c>
      <x:c r="H709" s="2" t="n">
        <x:f>IF(ISNUMBER(F709),IF(F709&gt;=2,1,0),0)</x:f>
        <x:v>0</x:v>
      </x:c>
      <x:c r="I709" s="11" t="n">
        <x:f>IF(ISNUMBER(F709),2^F709-1,0)</x:f>
        <x:v>0</x:v>
      </x:c>
      <x:c r="J709" s="2" t="str">
        <x:v>Extension pre-run 600</x:v>
      </x:c>
      <x:c r="K709" s="10" t="n">
        <x:v>4200</x:v>
      </x:c>
      <x:c r="L709" s="10" t="n">
        <x:v>3</x:v>
      </x:c>
      <x:c r="M709" s="10" t="n">
        <x:v>936</x:v>
      </x:c>
      <x:c r="N709" s="2" t="str">
        <x:v>D18</x:v>
      </x:c>
      <x:c r="O709" s="2" t="str">
        <x:v>condominium</x:v>
      </x:c>
      <x:c r="P709" s="2" t="str">
        <x:v>https://www.propertyguru.com.sg/listing/for-rent-d-nest-21159207</x:v>
      </x:c>
      <x:c r="Q709" s="12" t="str">
        <x:v>Pre-registered source-rubric-v1; grade applied before outputs.</x:v>
      </x:c>
      <x:c r="R709" s="13"/>
    </x:row>
    <x:row r="710" ht="15" hidden="0" customHeight="1">
      <x:c r="A710" s="2" t="str">
        <x:v>S23|500271594</x:v>
      </x:c>
      <x:c r="B710" s="2" t="str">
        <x:v>S23</x:v>
      </x:c>
      <x:c r="C710" s="2" t="str">
        <x:v>500271594</x:v>
      </x:c>
      <x:c r="D710" s="2" t="n">
        <x:v>0</x:v>
      </x:c>
      <x:c r="E710" s="9"/>
      <x:c r="F710" s="2" t="n">
        <x:f>IF(E710="",D710,IF(E710="U","U",IF(AND(ISNUMBER(E710),E710&gt;=0,E710&lt;=3,INT(E710)=E710),E710,"Invalid")))</x:f>
        <x:v>0</x:v>
      </x:c>
      <x:c r="G710" s="2" t="n">
        <x:f>IF(ISNUMBER(F710),1,0)</x:f>
        <x:v>1</x:v>
      </x:c>
      <x:c r="H710" s="2" t="n">
        <x:f>IF(ISNUMBER(F710),IF(F710&gt;=2,1,0),0)</x:f>
        <x:v>0</x:v>
      </x:c>
      <x:c r="I710" s="11" t="n">
        <x:f>IF(ISNUMBER(F710),2^F710-1,0)</x:f>
        <x:v>0</x:v>
      </x:c>
      <x:c r="J710" s="2" t="str">
        <x:v>Extension pre-run 600</x:v>
      </x:c>
      <x:c r="K710" s="10" t="n">
        <x:v>900</x:v>
      </x:c>
      <x:c r="L710" s="10" t="n">
        <x:v>0</x:v>
      </x:c>
      <x:c r="M710" s="10"/>
      <x:c r="N710" s="2" t="str">
        <x:v>D25</x:v>
      </x:c>
      <x:c r="O710" s="2" t="str">
        <x:v>hdb flat</x:v>
      </x:c>
      <x:c r="P710" s="2" t="str">
        <x:v>https://www.propertyguru.com.sg/listing/hdb-for-rent-175-woodlands-street-13-500271594</x:v>
      </x:c>
      <x:c r="Q710" s="12" t="str">
        <x:v>Pre-registered source-rubric-v1; grade applied before outputs.</x:v>
      </x:c>
      <x:c r="R710" s="13"/>
    </x:row>
    <x:row r="711" ht="15" hidden="0" customHeight="1">
      <x:c r="A711" s="2" t="str">
        <x:v>S23|500014463</x:v>
      </x:c>
      <x:c r="B711" s="2" t="str">
        <x:v>S23</x:v>
      </x:c>
      <x:c r="C711" s="2" t="str">
        <x:v>500014463</x:v>
      </x:c>
      <x:c r="D711" s="2" t="n">
        <x:v>0</x:v>
      </x:c>
      <x:c r="E711" s="9"/>
      <x:c r="F711" s="2" t="n">
        <x:f>IF(E711="",D711,IF(E711="U","U",IF(AND(ISNUMBER(E711),E711&gt;=0,E711&lt;=3,INT(E711)=E711),E711,"Invalid")))</x:f>
        <x:v>0</x:v>
      </x:c>
      <x:c r="G711" s="2" t="n">
        <x:f>IF(ISNUMBER(F711),1,0)</x:f>
        <x:v>1</x:v>
      </x:c>
      <x:c r="H711" s="2" t="n">
        <x:f>IF(ISNUMBER(F711),IF(F711&gt;=2,1,0),0)</x:f>
        <x:v>0</x:v>
      </x:c>
      <x:c r="I711" s="11" t="n">
        <x:f>IF(ISNUMBER(F711),2^F711-1,0)</x:f>
        <x:v>0</x:v>
      </x:c>
      <x:c r="J711" s="2" t="str">
        <x:v>Extension pre-run 600</x:v>
      </x:c>
      <x:c r="K711" s="10" t="n">
        <x:v>850</x:v>
      </x:c>
      <x:c r="L711" s="10" t="n">
        <x:v>0</x:v>
      </x:c>
      <x:c r="M711" s="10"/>
      <x:c r="N711" s="2" t="str">
        <x:v>D23</x:v>
      </x:c>
      <x:c r="O711" s="2" t="str">
        <x:v>hdb flat</x:v>
      </x:c>
      <x:c r="P711" s="2" t="str">
        <x:v>https://www.propertyguru.com.sg/listing/hdb-for-rent-350-bukit-batok-street-34-500014463</x:v>
      </x:c>
      <x:c r="Q711" s="12" t="str">
        <x:v>Pre-registered source-rubric-v1; grade applied before outputs.</x:v>
      </x:c>
      <x:c r="R711" s="13"/>
    </x:row>
    <x:row r="712" ht="15" hidden="0" customHeight="1">
      <x:c r="A712" s="2" t="str">
        <x:v>S23|500288317</x:v>
      </x:c>
      <x:c r="B712" s="2" t="str">
        <x:v>S23</x:v>
      </x:c>
      <x:c r="C712" s="2" t="str">
        <x:v>500288317</x:v>
      </x:c>
      <x:c r="D712" s="2" t="n">
        <x:v>0</x:v>
      </x:c>
      <x:c r="E712" s="9"/>
      <x:c r="F712" s="2" t="n">
        <x:f>IF(E712="",D712,IF(E712="U","U",IF(AND(ISNUMBER(E712),E712&gt;=0,E712&lt;=3,INT(E712)=E712),E712,"Invalid")))</x:f>
        <x:v>0</x:v>
      </x:c>
      <x:c r="G712" s="2" t="n">
        <x:f>IF(ISNUMBER(F712),1,0)</x:f>
        <x:v>1</x:v>
      </x:c>
      <x:c r="H712" s="2" t="n">
        <x:f>IF(ISNUMBER(F712),IF(F712&gt;=2,1,0),0)</x:f>
        <x:v>0</x:v>
      </x:c>
      <x:c r="I712" s="11" t="n">
        <x:f>IF(ISNUMBER(F712),2^F712-1,0)</x:f>
        <x:v>0</x:v>
      </x:c>
      <x:c r="J712" s="2" t="str">
        <x:v>Extension pre-run 600</x:v>
      </x:c>
      <x:c r="K712" s="10" t="n">
        <x:v>1000</x:v>
      </x:c>
      <x:c r="L712" s="10" t="n">
        <x:v>0</x:v>
      </x:c>
      <x:c r="M712" s="10"/>
      <x:c r="N712" s="2" t="str">
        <x:v>D19</x:v>
      </x:c>
      <x:c r="O712" s="2" t="str">
        <x:v>hdb flat</x:v>
      </x:c>
      <x:c r="P712" s="2" t="str">
        <x:v>https://www.propertyguru.com.sg/listing/hdb-for-rent-241-hougang-street-22-500288317</x:v>
      </x:c>
      <x:c r="Q712" s="12" t="str">
        <x:v>Pre-registered source-rubric-v1; grade applied before outputs.</x:v>
      </x:c>
      <x:c r="R712" s="13"/>
    </x:row>
    <x:row r="713" ht="15" hidden="0" customHeight="1">
      <x:c r="A713" s="2" t="str">
        <x:v>S23|500244603</x:v>
      </x:c>
      <x:c r="B713" s="2" t="str">
        <x:v>S23</x:v>
      </x:c>
      <x:c r="C713" s="2" t="str">
        <x:v>500244603</x:v>
      </x:c>
      <x:c r="D713" s="2" t="str">
        <x:v>U</x:v>
      </x:c>
      <x:c r="E713" s="9"/>
      <x:c r="F713" s="2" t="str">
        <x:f>IF(E713="",D713,IF(E713="U","U",IF(AND(ISNUMBER(E713),E713&gt;=0,E713&lt;=3,INT(E713)=E713),E713,"Invalid")))</x:f>
        <x:v>U</x:v>
      </x:c>
      <x:c r="G713" s="2" t="n">
        <x:f>IF(ISNUMBER(F713),1,0)</x:f>
        <x:v>0</x:v>
      </x:c>
      <x:c r="H713" s="2" t="n">
        <x:f>IF(ISNUMBER(F713),IF(F713&gt;=2,1,0),0)</x:f>
        <x:v>0</x:v>
      </x:c>
      <x:c r="I713" s="11" t="n">
        <x:f>IF(ISNUMBER(F713),2^F713-1,0)</x:f>
        <x:v>0</x:v>
      </x:c>
      <x:c r="J713" s="2" t="str">
        <x:v>Extension pre-run 600</x:v>
      </x:c>
      <x:c r="K713" s="10" t="n">
        <x:v>2150</x:v>
      </x:c>
      <x:c r="L713" s="10"/>
      <x:c r="M713" s="10" t="n">
        <x:v>280</x:v>
      </x:c>
      <x:c r="N713" s="2" t="str">
        <x:v>D18</x:v>
      </x:c>
      <x:c r="O713" s="2" t="str">
        <x:v>terraced house</x:v>
      </x:c>
      <x:c r="P713" s="2" t="str">
        <x:v>https://www.propertyguru.com.sg/listing/for-rent-resort-style-co-living-studio-near-pasir-ris-park-changi-airport-500244603</x:v>
      </x:c>
      <x:c r="Q713" s="12" t="str">
        <x:v>Pre-registered source-rubric-v1; grade applied before outputs.</x:v>
      </x:c>
      <x:c r="R713" s="13"/>
    </x:row>
    <x:row r="714" ht="15" hidden="0" customHeight="1">
      <x:c r="A714" s="2" t="str">
        <x:v>S23|500241538</x:v>
      </x:c>
      <x:c r="B714" s="2" t="str">
        <x:v>S23</x:v>
      </x:c>
      <x:c r="C714" s="2" t="str">
        <x:v>500241538</x:v>
      </x:c>
      <x:c r="D714" s="2" t="str">
        <x:v>U</x:v>
      </x:c>
      <x:c r="E714" s="9"/>
      <x:c r="F714" s="2" t="str">
        <x:f>IF(E714="",D714,IF(E714="U","U",IF(AND(ISNUMBER(E714),E714&gt;=0,E714&lt;=3,INT(E714)=E714),E714,"Invalid")))</x:f>
        <x:v>U</x:v>
      </x:c>
      <x:c r="G714" s="2" t="n">
        <x:f>IF(ISNUMBER(F714),1,0)</x:f>
        <x:v>0</x:v>
      </x:c>
      <x:c r="H714" s="2" t="n">
        <x:f>IF(ISNUMBER(F714),IF(F714&gt;=2,1,0),0)</x:f>
        <x:v>0</x:v>
      </x:c>
      <x:c r="I714" s="11" t="n">
        <x:f>IF(ISNUMBER(F714),2^F714-1,0)</x:f>
        <x:v>0</x:v>
      </x:c>
      <x:c r="J714" s="2" t="str">
        <x:v>Extension pre-run 600</x:v>
      </x:c>
      <x:c r="K714" s="10" t="n">
        <x:v>2400</x:v>
      </x:c>
      <x:c r="L714" s="10"/>
      <x:c r="M714" s="10" t="n">
        <x:v>220</x:v>
      </x:c>
      <x:c r="N714" s="2" t="str">
        <x:v>D18</x:v>
      </x:c>
      <x:c r="O714" s="2" t="str">
        <x:v>terraced house</x:v>
      </x:c>
      <x:c r="P714" s="2" t="str">
        <x:v>https://www.propertyguru.com.sg/listing/for-rent-coliwoo-resort-changi-500241538</x:v>
      </x:c>
      <x:c r="Q714" s="12" t="str">
        <x:v>Pre-registered source-rubric-v1; grade applied before outputs.</x:v>
      </x:c>
      <x:c r="R714" s="13"/>
    </x:row>
    <x:row r="715" ht="15" hidden="0" customHeight="1">
      <x:c r="A715" s="2" t="str">
        <x:v>S24|16634118</x:v>
      </x:c>
      <x:c r="B715" s="2" t="str">
        <x:v>S24</x:v>
      </x:c>
      <x:c r="C715" s="2" t="str">
        <x:v>16634118</x:v>
      </x:c>
      <x:c r="D715" s="2" t="n">
        <x:v>3</x:v>
      </x:c>
      <x:c r="E715" s="9"/>
      <x:c r="F715" s="2" t="n">
        <x:f>IF(E715="",D715,IF(E715="U","U",IF(AND(ISNUMBER(E715),E715&gt;=0,E715&lt;=3,INT(E715)=E715),E715,"Invalid")))</x:f>
        <x:v>3</x:v>
      </x:c>
      <x:c r="G715" s="2" t="n">
        <x:f>IF(ISNUMBER(F715),1,0)</x:f>
        <x:v>1</x:v>
      </x:c>
      <x:c r="H715" s="2" t="n">
        <x:f>IF(ISNUMBER(F715),IF(F715&gt;=2,1,0),0)</x:f>
        <x:v>1</x:v>
      </x:c>
      <x:c r="I715" s="11" t="n">
        <x:f>IF(ISNUMBER(F715),2^F715-1,0)</x:f>
        <x:v>7</x:v>
      </x:c>
      <x:c r="J715" s="2" t="str">
        <x:v>Extension pre-run 600</x:v>
      </x:c>
      <x:c r="K715" s="10" t="n">
        <x:v>2799</x:v>
      </x:c>
      <x:c r="L715" s="10" t="n">
        <x:v>3</x:v>
      </x:c>
      <x:c r="M715" s="10" t="n">
        <x:v>1130</x:v>
      </x:c>
      <x:c r="N715" s="2" t="str">
        <x:v>D25</x:v>
      </x:c>
      <x:c r="O715" s="2" t="str">
        <x:v>hdb flat</x:v>
      </x:c>
      <x:c r="P715" s="2" t="str">
        <x:v>https://www.propertyguru.com.sg/listing/hdb-for-rent-843-woodlands-street-82-16634118</x:v>
      </x:c>
      <x:c r="Q715" s="12" t="str">
        <x:v>Pre-registered source-rubric-v1; grade applied before outputs.</x:v>
      </x:c>
      <x:c r="R715" s="13"/>
    </x:row>
    <x:row r="716" ht="15" hidden="0" customHeight="1">
      <x:c r="A716" s="2" t="str">
        <x:v>S24|20289433</x:v>
      </x:c>
      <x:c r="B716" s="2" t="str">
        <x:v>S24</x:v>
      </x:c>
      <x:c r="C716" s="2" t="str">
        <x:v>20289433</x:v>
      </x:c>
      <x:c r="D716" s="2" t="n">
        <x:v>3</x:v>
      </x:c>
      <x:c r="E716" s="9"/>
      <x:c r="F716" s="2" t="n">
        <x:f>IF(E716="",D716,IF(E716="U","U",IF(AND(ISNUMBER(E716),E716&gt;=0,E716&lt;=3,INT(E716)=E716),E716,"Invalid")))</x:f>
        <x:v>3</x:v>
      </x:c>
      <x:c r="G716" s="2" t="n">
        <x:f>IF(ISNUMBER(F716),1,0)</x:f>
        <x:v>1</x:v>
      </x:c>
      <x:c r="H716" s="2" t="n">
        <x:f>IF(ISNUMBER(F716),IF(F716&gt;=2,1,0),0)</x:f>
        <x:v>1</x:v>
      </x:c>
      <x:c r="I716" s="11" t="n">
        <x:f>IF(ISNUMBER(F716),2^F716-1,0)</x:f>
        <x:v>7</x:v>
      </x:c>
      <x:c r="J716" s="2" t="str">
        <x:v>Extension pre-run 600</x:v>
      </x:c>
      <x:c r="K716" s="10" t="n">
        <x:v>2899</x:v>
      </x:c>
      <x:c r="L716" s="10" t="n">
        <x:v>2</x:v>
      </x:c>
      <x:c r="M716" s="10" t="n">
        <x:v>1130</x:v>
      </x:c>
      <x:c r="N716" s="2" t="str">
        <x:v>D25</x:v>
      </x:c>
      <x:c r="O716" s="2" t="str">
        <x:v>hdb flat</x:v>
      </x:c>
      <x:c r="P716" s="2" t="str">
        <x:v>https://www.propertyguru.com.sg/listing/hdb-for-rent-843-woodlands-street-82-20289433</x:v>
      </x:c>
      <x:c r="Q716" s="12" t="str">
        <x:v>Pre-registered source-rubric-v1; grade applied before outputs.</x:v>
      </x:c>
      <x:c r="R716" s="13"/>
    </x:row>
    <x:row r="717" ht="15" hidden="0" customHeight="1">
      <x:c r="A717" s="2" t="str">
        <x:v>S24|500284702</x:v>
      </x:c>
      <x:c r="B717" s="2" t="str">
        <x:v>S24</x:v>
      </x:c>
      <x:c r="C717" s="2" t="str">
        <x:v>500284702</x:v>
      </x:c>
      <x:c r="D717" s="2" t="n">
        <x:v>3</x:v>
      </x:c>
      <x:c r="E717" s="9"/>
      <x:c r="F717" s="2" t="n">
        <x:f>IF(E717="",D717,IF(E717="U","U",IF(AND(ISNUMBER(E717),E717&gt;=0,E717&lt;=3,INT(E717)=E717),E717,"Invalid")))</x:f>
        <x:v>3</x:v>
      </x:c>
      <x:c r="G717" s="2" t="n">
        <x:f>IF(ISNUMBER(F717),1,0)</x:f>
        <x:v>1</x:v>
      </x:c>
      <x:c r="H717" s="2" t="n">
        <x:f>IF(ISNUMBER(F717),IF(F717&gt;=2,1,0),0)</x:f>
        <x:v>1</x:v>
      </x:c>
      <x:c r="I717" s="11" t="n">
        <x:f>IF(ISNUMBER(F717),2^F717-1,0)</x:f>
        <x:v>7</x:v>
      </x:c>
      <x:c r="J717" s="2" t="str">
        <x:v>Extension pre-run 600</x:v>
      </x:c>
      <x:c r="K717" s="10" t="n">
        <x:v>2800</x:v>
      </x:c>
      <x:c r="L717" s="10" t="n">
        <x:v>2</x:v>
      </x:c>
      <x:c r="M717" s="10" t="n">
        <x:v>1182</x:v>
      </x:c>
      <x:c r="N717" s="2" t="str">
        <x:v>D25</x:v>
      </x:c>
      <x:c r="O717" s="2" t="str">
        <x:v>hdb flat</x:v>
      </x:c>
      <x:c r="P717" s="2" t="str">
        <x:v>https://www.propertyguru.com.sg/listing/hdb-for-rent-585-woodlands-drive-16-500284702</x:v>
      </x:c>
      <x:c r="Q717" s="12" t="str">
        <x:v>Pre-registered source-rubric-v1; grade applied before outputs.</x:v>
      </x:c>
      <x:c r="R717" s="13"/>
    </x:row>
    <x:row r="718" ht="15" hidden="0" customHeight="1">
      <x:c r="A718" s="2" t="str">
        <x:v>S24|500178981</x:v>
      </x:c>
      <x:c r="B718" s="2" t="str">
        <x:v>S24</x:v>
      </x:c>
      <x:c r="C718" s="2" t="str">
        <x:v>500178981</x:v>
      </x:c>
      <x:c r="D718" s="2" t="n">
        <x:v>3</x:v>
      </x:c>
      <x:c r="E718" s="9"/>
      <x:c r="F718" s="2" t="n">
        <x:f>IF(E718="",D718,IF(E718="U","U",IF(AND(ISNUMBER(E718),E718&gt;=0,E718&lt;=3,INT(E718)=E718),E718,"Invalid")))</x:f>
        <x:v>3</x:v>
      </x:c>
      <x:c r="G718" s="2" t="n">
        <x:f>IF(ISNUMBER(F718),1,0)</x:f>
        <x:v>1</x:v>
      </x:c>
      <x:c r="H718" s="2" t="n">
        <x:f>IF(ISNUMBER(F718),IF(F718&gt;=2,1,0),0)</x:f>
        <x:v>1</x:v>
      </x:c>
      <x:c r="I718" s="11" t="n">
        <x:f>IF(ISNUMBER(F718),2^F718-1,0)</x:f>
        <x:v>7</x:v>
      </x:c>
      <x:c r="J718" s="2" t="str">
        <x:v>Extension pre-run 600</x:v>
      </x:c>
      <x:c r="K718" s="10" t="n">
        <x:v>3000</x:v>
      </x:c>
      <x:c r="L718" s="10" t="n">
        <x:v>2</x:v>
      </x:c>
      <x:c r="M718" s="10" t="n">
        <x:v>1539</x:v>
      </x:c>
      <x:c r="N718" s="2" t="str">
        <x:v>D25</x:v>
      </x:c>
      <x:c r="O718" s="2" t="str">
        <x:v>hdb flat</x:v>
      </x:c>
      <x:c r="P718" s="2" t="str">
        <x:v>https://www.propertyguru.com.sg/listing/hdb-for-rent-821-woodlands-street-82-500178981</x:v>
      </x:c>
      <x:c r="Q718" s="12" t="str">
        <x:v>Pre-registered source-rubric-v1; grade applied before outputs.</x:v>
      </x:c>
      <x:c r="R718" s="13"/>
    </x:row>
    <x:row r="719" ht="15" hidden="0" customHeight="1">
      <x:c r="A719" s="2" t="str">
        <x:v>S24|24853613</x:v>
      </x:c>
      <x:c r="B719" s="2" t="str">
        <x:v>S24</x:v>
      </x:c>
      <x:c r="C719" s="2" t="str">
        <x:v>24853613</x:v>
      </x:c>
      <x:c r="D719" s="2" t="n">
        <x:v>3</x:v>
      </x:c>
      <x:c r="E719" s="9"/>
      <x:c r="F719" s="2" t="n">
        <x:f>IF(E719="",D719,IF(E719="U","U",IF(AND(ISNUMBER(E719),E719&gt;=0,E719&lt;=3,INT(E719)=E719),E719,"Invalid")))</x:f>
        <x:v>3</x:v>
      </x:c>
      <x:c r="G719" s="2" t="n">
        <x:f>IF(ISNUMBER(F719),1,0)</x:f>
        <x:v>1</x:v>
      </x:c>
      <x:c r="H719" s="2" t="n">
        <x:f>IF(ISNUMBER(F719),IF(F719&gt;=2,1,0),0)</x:f>
        <x:v>1</x:v>
      </x:c>
      <x:c r="I719" s="11" t="n">
        <x:f>IF(ISNUMBER(F719),2^F719-1,0)</x:f>
        <x:v>7</x:v>
      </x:c>
      <x:c r="J719" s="2" t="str">
        <x:v>Extension pre-run 600</x:v>
      </x:c>
      <x:c r="K719" s="10" t="n">
        <x:v>3000</x:v>
      </x:c>
      <x:c r="L719" s="10" t="n">
        <x:v>2</x:v>
      </x:c>
      <x:c r="M719" s="10" t="n">
        <x:v>968</x:v>
      </x:c>
      <x:c r="N719" s="2" t="str">
        <x:v>D25</x:v>
      </x:c>
      <x:c r="O719" s="2" t="str">
        <x:v>hdb flat</x:v>
      </x:c>
      <x:c r="P719" s="2" t="str">
        <x:v>https://www.propertyguru.com.sg/listing/hdb-for-rent-119-marsiling-rise-24853613</x:v>
      </x:c>
      <x:c r="Q719" s="12" t="str">
        <x:v>Pre-registered source-rubric-v1; grade applied before outputs.</x:v>
      </x:c>
      <x:c r="R719" s="13"/>
    </x:row>
    <x:row r="720" ht="15" hidden="0" customHeight="1">
      <x:c r="A720" s="2" t="str">
        <x:v>S24|500201150</x:v>
      </x:c>
      <x:c r="B720" s="2" t="str">
        <x:v>S24</x:v>
      </x:c>
      <x:c r="C720" s="2" t="str">
        <x:v>500201150</x:v>
      </x:c>
      <x:c r="D720" s="2" t="n">
        <x:v>3</x:v>
      </x:c>
      <x:c r="E720" s="9"/>
      <x:c r="F720" s="2" t="n">
        <x:f>IF(E720="",D720,IF(E720="U","U",IF(AND(ISNUMBER(E720),E720&gt;=0,E720&lt;=3,INT(E720)=E720),E720,"Invalid")))</x:f>
        <x:v>3</x:v>
      </x:c>
      <x:c r="G720" s="2" t="n">
        <x:f>IF(ISNUMBER(F720),1,0)</x:f>
        <x:v>1</x:v>
      </x:c>
      <x:c r="H720" s="2" t="n">
        <x:f>IF(ISNUMBER(F720),IF(F720&gt;=2,1,0),0)</x:f>
        <x:v>1</x:v>
      </x:c>
      <x:c r="I720" s="11" t="n">
        <x:f>IF(ISNUMBER(F720),2^F720-1,0)</x:f>
        <x:v>7</x:v>
      </x:c>
      <x:c r="J720" s="2" t="str">
        <x:v>Extension pre-run 600</x:v>
      </x:c>
      <x:c r="K720" s="10" t="n">
        <x:v>3000</x:v>
      </x:c>
      <x:c r="L720" s="10" t="n">
        <x:v>2</x:v>
      </x:c>
      <x:c r="M720" s="10" t="n">
        <x:v>904</x:v>
      </x:c>
      <x:c r="N720" s="2" t="str">
        <x:v>D25</x:v>
      </x:c>
      <x:c r="O720" s="2" t="str">
        <x:v>hdb flat</x:v>
      </x:c>
      <x:c r="P720" s="2" t="str">
        <x:v>https://www.propertyguru.com.sg/listing/hdb-for-rent-436-woodlands-street-41-500201150</x:v>
      </x:c>
      <x:c r="Q720" s="12" t="str">
        <x:v>Pre-registered source-rubric-v1; grade applied before outputs.</x:v>
      </x:c>
      <x:c r="R720" s="13"/>
    </x:row>
    <x:row r="721" ht="15" hidden="0" customHeight="1">
      <x:c r="A721" s="2" t="str">
        <x:v>S24|500130422</x:v>
      </x:c>
      <x:c r="B721" s="2" t="str">
        <x:v>S24</x:v>
      </x:c>
      <x:c r="C721" s="2" t="str">
        <x:v>500130422</x:v>
      </x:c>
      <x:c r="D721" s="2" t="n">
        <x:v>2</x:v>
      </x:c>
      <x:c r="E721" s="9"/>
      <x:c r="F721" s="2" t="n">
        <x:f>IF(E721="",D721,IF(E721="U","U",IF(AND(ISNUMBER(E721),E721&gt;=0,E721&lt;=3,INT(E721)=E721),E721,"Invalid")))</x:f>
        <x:v>2</x:v>
      </x:c>
      <x:c r="G721" s="2" t="n">
        <x:f>IF(ISNUMBER(F721),1,0)</x:f>
        <x:v>1</x:v>
      </x:c>
      <x:c r="H721" s="2" t="n">
        <x:f>IF(ISNUMBER(F721),IF(F721&gt;=2,1,0),0)</x:f>
        <x:v>1</x:v>
      </x:c>
      <x:c r="I721" s="11" t="n">
        <x:f>IF(ISNUMBER(F721),2^F721-1,0)</x:f>
        <x:v>3</x:v>
      </x:c>
      <x:c r="J721" s="2" t="str">
        <x:v>Extension pre-run 600</x:v>
      </x:c>
      <x:c r="K721" s="10" t="n">
        <x:v>3300</x:v>
      </x:c>
      <x:c r="L721" s="10" t="n">
        <x:v>3</x:v>
      </x:c>
      <x:c r="M721" s="10" t="n">
        <x:v>1013</x:v>
      </x:c>
      <x:c r="N721" s="2" t="str">
        <x:v>D25</x:v>
      </x:c>
      <x:c r="O721" s="2" t="str">
        <x:v>hdb flat</x:v>
      </x:c>
      <x:c r="P721" s="2" t="str">
        <x:v>https://www.propertyguru.com.sg/listing/hdb-for-rent-686a-woodlands-drive-73-500130422</x:v>
      </x:c>
      <x:c r="Q721" s="12" t="str">
        <x:v>Pre-registered source-rubric-v1; grade applied before outputs.</x:v>
      </x:c>
      <x:c r="R721" s="13"/>
    </x:row>
    <x:row r="722" ht="15" hidden="0" customHeight="1">
      <x:c r="A722" s="2" t="str">
        <x:v>S24|500265104</x:v>
      </x:c>
      <x:c r="B722" s="2" t="str">
        <x:v>S24</x:v>
      </x:c>
      <x:c r="C722" s="2" t="str">
        <x:v>500265104</x:v>
      </x:c>
      <x:c r="D722" s="2" t="n">
        <x:v>2</x:v>
      </x:c>
      <x:c r="E722" s="9"/>
      <x:c r="F722" s="2" t="n">
        <x:f>IF(E722="",D722,IF(E722="U","U",IF(AND(ISNUMBER(E722),E722&gt;=0,E722&lt;=3,INT(E722)=E722),E722,"Invalid")))</x:f>
        <x:v>2</x:v>
      </x:c>
      <x:c r="G722" s="2" t="n">
        <x:f>IF(ISNUMBER(F722),1,0)</x:f>
        <x:v>1</x:v>
      </x:c>
      <x:c r="H722" s="2" t="n">
        <x:f>IF(ISNUMBER(F722),IF(F722&gt;=2,1,0),0)</x:f>
        <x:v>1</x:v>
      </x:c>
      <x:c r="I722" s="11" t="n">
        <x:f>IF(ISNUMBER(F722),2^F722-1,0)</x:f>
        <x:v>3</x:v>
      </x:c>
      <x:c r="J722" s="2" t="str">
        <x:v>Extension pre-run 600</x:v>
      </x:c>
      <x:c r="K722" s="10" t="n">
        <x:v>3500</x:v>
      </x:c>
      <x:c r="L722" s="10" t="n">
        <x:v>3</x:v>
      </x:c>
      <x:c r="M722" s="10" t="n">
        <x:v>1162</x:v>
      </x:c>
      <x:c r="N722" s="2" t="str">
        <x:v>D23</x:v>
      </x:c>
      <x:c r="O722" s="2" t="str">
        <x:v>hdb flat</x:v>
      </x:c>
      <x:c r="P722" s="2" t="str">
        <x:v>https://www.propertyguru.com.sg/listing/hdb-for-rent-173-gangsa-road-500265104</x:v>
      </x:c>
      <x:c r="Q722" s="12" t="str">
        <x:v>Pre-registered source-rubric-v1; grade applied before outputs.</x:v>
      </x:c>
      <x:c r="R722" s="13"/>
    </x:row>
    <x:row r="723" ht="15" hidden="0" customHeight="1">
      <x:c r="A723" s="2" t="str">
        <x:v>S24|500250798</x:v>
      </x:c>
      <x:c r="B723" s="2" t="str">
        <x:v>S24</x:v>
      </x:c>
      <x:c r="C723" s="2" t="str">
        <x:v>500250798</x:v>
      </x:c>
      <x:c r="D723" s="2" t="n">
        <x:v>2</x:v>
      </x:c>
      <x:c r="E723" s="9"/>
      <x:c r="F723" s="2" t="n">
        <x:f>IF(E723="",D723,IF(E723="U","U",IF(AND(ISNUMBER(E723),E723&gt;=0,E723&lt;=3,INT(E723)=E723),E723,"Invalid")))</x:f>
        <x:v>2</x:v>
      </x:c>
      <x:c r="G723" s="2" t="n">
        <x:f>IF(ISNUMBER(F723),1,0)</x:f>
        <x:v>1</x:v>
      </x:c>
      <x:c r="H723" s="2" t="n">
        <x:f>IF(ISNUMBER(F723),IF(F723&gt;=2,1,0),0)</x:f>
        <x:v>1</x:v>
      </x:c>
      <x:c r="I723" s="11" t="n">
        <x:f>IF(ISNUMBER(F723),2^F723-1,0)</x:f>
        <x:v>3</x:v>
      </x:c>
      <x:c r="J723" s="2" t="str">
        <x:v>Extension pre-run 600</x:v>
      </x:c>
      <x:c r="K723" s="10" t="n">
        <x:v>3500</x:v>
      </x:c>
      <x:c r="L723" s="10" t="n">
        <x:v>3</x:v>
      </x:c>
      <x:c r="M723" s="10" t="n">
        <x:v>1183</x:v>
      </x:c>
      <x:c r="N723" s="2" t="str">
        <x:v>D25</x:v>
      </x:c>
      <x:c r="O723" s="2" t="str">
        <x:v>hdb flat</x:v>
      </x:c>
      <x:c r="P723" s="2" t="str">
        <x:v>https://www.propertyguru.com.sg/listing/hdb-for-rent-628a-woodlands-ring-road-500250798</x:v>
      </x:c>
      <x:c r="Q723" s="12" t="str">
        <x:v>Pre-registered source-rubric-v1; grade applied before outputs.</x:v>
      </x:c>
      <x:c r="R723" s="13"/>
    </x:row>
    <x:row r="724" ht="15" hidden="0" customHeight="1">
      <x:c r="A724" s="2" t="str">
        <x:v>S24|500253781</x:v>
      </x:c>
      <x:c r="B724" s="2" t="str">
        <x:v>S24</x:v>
      </x:c>
      <x:c r="C724" s="2" t="str">
        <x:v>500253781</x:v>
      </x:c>
      <x:c r="D724" s="2" t="n">
        <x:v>2</x:v>
      </x:c>
      <x:c r="E724" s="9"/>
      <x:c r="F724" s="2" t="n">
        <x:f>IF(E724="",D724,IF(E724="U","U",IF(AND(ISNUMBER(E724),E724&gt;=0,E724&lt;=3,INT(E724)=E724),E724,"Invalid")))</x:f>
        <x:v>2</x:v>
      </x:c>
      <x:c r="G724" s="2" t="n">
        <x:f>IF(ISNUMBER(F724),1,0)</x:f>
        <x:v>1</x:v>
      </x:c>
      <x:c r="H724" s="2" t="n">
        <x:f>IF(ISNUMBER(F724),IF(F724&gt;=2,1,0),0)</x:f>
        <x:v>1</x:v>
      </x:c>
      <x:c r="I724" s="11" t="n">
        <x:f>IF(ISNUMBER(F724),2^F724-1,0)</x:f>
        <x:v>3</x:v>
      </x:c>
      <x:c r="J724" s="2" t="str">
        <x:v>Extension pre-run 600</x:v>
      </x:c>
      <x:c r="K724" s="10" t="n">
        <x:v>3400</x:v>
      </x:c>
      <x:c r="L724" s="10" t="n">
        <x:v>3</x:v>
      </x:c>
      <x:c r="M724" s="10" t="n">
        <x:v>1324</x:v>
      </x:c>
      <x:c r="N724" s="2" t="str">
        <x:v>D23</x:v>
      </x:c>
      <x:c r="O724" s="2" t="str">
        <x:v>hdb flat</x:v>
      </x:c>
      <x:c r="P724" s="2" t="str">
        <x:v>https://www.propertyguru.com.sg/listing/hdb-for-rent-410-saujana-road-500253781</x:v>
      </x:c>
      <x:c r="Q724" s="12" t="str">
        <x:v>Pre-registered source-rubric-v1; grade applied before outputs.</x:v>
      </x:c>
      <x:c r="R724" s="13"/>
    </x:row>
    <x:row r="725" ht="15" hidden="0" customHeight="1">
      <x:c r="A725" s="2" t="str">
        <x:v>S24|24826882</x:v>
      </x:c>
      <x:c r="B725" s="2" t="str">
        <x:v>S24</x:v>
      </x:c>
      <x:c r="C725" s="2" t="str">
        <x:v>24826882</x:v>
      </x:c>
      <x:c r="D725" s="2" t="n">
        <x:v>2</x:v>
      </x:c>
      <x:c r="E725" s="9"/>
      <x:c r="F725" s="2" t="n">
        <x:f>IF(E725="",D725,IF(E725="U","U",IF(AND(ISNUMBER(E725),E725&gt;=0,E725&lt;=3,INT(E725)=E725),E725,"Invalid")))</x:f>
        <x:v>2</x:v>
      </x:c>
      <x:c r="G725" s="2" t="n">
        <x:f>IF(ISNUMBER(F725),1,0)</x:f>
        <x:v>1</x:v>
      </x:c>
      <x:c r="H725" s="2" t="n">
        <x:f>IF(ISNUMBER(F725),IF(F725&gt;=2,1,0),0)</x:f>
        <x:v>1</x:v>
      </x:c>
      <x:c r="I725" s="11" t="n">
        <x:f>IF(ISNUMBER(F725),2^F725-1,0)</x:f>
        <x:v>3</x:v>
      </x:c>
      <x:c r="J725" s="2" t="str">
        <x:v>Extension pre-run 600</x:v>
      </x:c>
      <x:c r="K725" s="10" t="n">
        <x:v>3500</x:v>
      </x:c>
      <x:c r="L725" s="10" t="n">
        <x:v>3</x:v>
      </x:c>
      <x:c r="M725" s="10" t="n">
        <x:v>1313</x:v>
      </x:c>
      <x:c r="N725" s="2" t="str">
        <x:v>D23</x:v>
      </x:c>
      <x:c r="O725" s="2" t="str">
        <x:v>hdb flat</x:v>
      </x:c>
      <x:c r="P725" s="2" t="str">
        <x:v>https://www.propertyguru.com.sg/listing/hdb-for-rent-514-bukit-batok-street-52-24826882</x:v>
      </x:c>
      <x:c r="Q725" s="12" t="str">
        <x:v>Pre-registered source-rubric-v1; grade applied before outputs.</x:v>
      </x:c>
      <x:c r="R725" s="13"/>
    </x:row>
    <x:row r="726" ht="15" hidden="0" customHeight="1">
      <x:c r="A726" s="2" t="str">
        <x:v>S24|24593875</x:v>
      </x:c>
      <x:c r="B726" s="2" t="str">
        <x:v>S24</x:v>
      </x:c>
      <x:c r="C726" s="2" t="str">
        <x:v>24593875</x:v>
      </x:c>
      <x:c r="D726" s="2" t="n">
        <x:v>2</x:v>
      </x:c>
      <x:c r="E726" s="9"/>
      <x:c r="F726" s="2" t="n">
        <x:f>IF(E726="",D726,IF(E726="U","U",IF(AND(ISNUMBER(E726),E726&gt;=0,E726&lt;=3,INT(E726)=E726),E726,"Invalid")))</x:f>
        <x:v>2</x:v>
      </x:c>
      <x:c r="G726" s="2" t="n">
        <x:f>IF(ISNUMBER(F726),1,0)</x:f>
        <x:v>1</x:v>
      </x:c>
      <x:c r="H726" s="2" t="n">
        <x:f>IF(ISNUMBER(F726),IF(F726&gt;=2,1,0),0)</x:f>
        <x:v>1</x:v>
      </x:c>
      <x:c r="I726" s="11" t="n">
        <x:f>IF(ISNUMBER(F726),2^F726-1,0)</x:f>
        <x:v>3</x:v>
      </x:c>
      <x:c r="J726" s="2" t="str">
        <x:v>Extension pre-run 600</x:v>
      </x:c>
      <x:c r="K726" s="10" t="n">
        <x:v>3500</x:v>
      </x:c>
      <x:c r="L726" s="10" t="n">
        <x:v>3</x:v>
      </x:c>
      <x:c r="M726" s="10" t="n">
        <x:v>1087</x:v>
      </x:c>
      <x:c r="N726" s="2" t="str">
        <x:v>D23</x:v>
      </x:c>
      <x:c r="O726" s="2" t="str">
        <x:v>hdb flat</x:v>
      </x:c>
      <x:c r="P726" s="2" t="str">
        <x:v>https://www.propertyguru.com.sg/listing/hdb-for-rent-449-bukit-panjang-ring-road-24593875</x:v>
      </x:c>
      <x:c r="Q726" s="12" t="str">
        <x:v>Pre-registered source-rubric-v1; grade applied before outputs.</x:v>
      </x:c>
      <x:c r="R726" s="13"/>
    </x:row>
    <x:row r="727" ht="15" hidden="0" customHeight="1">
      <x:c r="A727" s="2" t="str">
        <x:v>S24|24952568</x:v>
      </x:c>
      <x:c r="B727" s="2" t="str">
        <x:v>S24</x:v>
      </x:c>
      <x:c r="C727" s="2" t="str">
        <x:v>24952568</x:v>
      </x:c>
      <x:c r="D727" s="2" t="n">
        <x:v>2</x:v>
      </x:c>
      <x:c r="E727" s="9"/>
      <x:c r="F727" s="2" t="n">
        <x:f>IF(E727="",D727,IF(E727="U","U",IF(AND(ISNUMBER(E727),E727&gt;=0,E727&lt;=3,INT(E727)=E727),E727,"Invalid")))</x:f>
        <x:v>2</x:v>
      </x:c>
      <x:c r="G727" s="2" t="n">
        <x:f>IF(ISNUMBER(F727),1,0)</x:f>
        <x:v>1</x:v>
      </x:c>
      <x:c r="H727" s="2" t="n">
        <x:f>IF(ISNUMBER(F727),IF(F727&gt;=2,1,0),0)</x:f>
        <x:v>1</x:v>
      </x:c>
      <x:c r="I727" s="11" t="n">
        <x:f>IF(ISNUMBER(F727),2^F727-1,0)</x:f>
        <x:v>3</x:v>
      </x:c>
      <x:c r="J727" s="2" t="str">
        <x:v>Extension pre-run 600</x:v>
      </x:c>
      <x:c r="K727" s="10" t="n">
        <x:v>3200</x:v>
      </x:c>
      <x:c r="L727" s="10" t="n">
        <x:v>3</x:v>
      </x:c>
      <x:c r="M727" s="10" t="n">
        <x:v>1335</x:v>
      </x:c>
      <x:c r="N727" s="2" t="str">
        <x:v>D25</x:v>
      </x:c>
      <x:c r="O727" s="2" t="str">
        <x:v>hdb flat</x:v>
      </x:c>
      <x:c r="P727" s="2" t="str">
        <x:v>https://www.propertyguru.com.sg/listing/hdb-for-rent-876-woodlands-avenue-9-24952568</x:v>
      </x:c>
      <x:c r="Q727" s="12" t="str">
        <x:v>Pre-registered source-rubric-v1; grade applied before outputs.</x:v>
      </x:c>
      <x:c r="R727" s="13"/>
    </x:row>
    <x:row r="728" ht="15" hidden="0" customHeight="1">
      <x:c r="A728" s="2" t="str">
        <x:v>S24|24581908</x:v>
      </x:c>
      <x:c r="B728" s="2" t="str">
        <x:v>S24</x:v>
      </x:c>
      <x:c r="C728" s="2" t="str">
        <x:v>24581908</x:v>
      </x:c>
      <x:c r="D728" s="2" t="n">
        <x:v>2</x:v>
      </x:c>
      <x:c r="E728" s="9"/>
      <x:c r="F728" s="2" t="n">
        <x:f>IF(E728="",D728,IF(E728="U","U",IF(AND(ISNUMBER(E728),E728&gt;=0,E728&lt;=3,INT(E728)=E728),E728,"Invalid")))</x:f>
        <x:v>2</x:v>
      </x:c>
      <x:c r="G728" s="2" t="n">
        <x:f>IF(ISNUMBER(F728),1,0)</x:f>
        <x:v>1</x:v>
      </x:c>
      <x:c r="H728" s="2" t="n">
        <x:f>IF(ISNUMBER(F728),IF(F728&gt;=2,1,0),0)</x:f>
        <x:v>1</x:v>
      </x:c>
      <x:c r="I728" s="11" t="n">
        <x:f>IF(ISNUMBER(F728),2^F728-1,0)</x:f>
        <x:v>3</x:v>
      </x:c>
      <x:c r="J728" s="2" t="str">
        <x:v>Extension pre-run 600</x:v>
      </x:c>
      <x:c r="K728" s="10" t="n">
        <x:v>3500</x:v>
      </x:c>
      <x:c r="L728" s="10" t="n">
        <x:v>3</x:v>
      </x:c>
      <x:c r="M728" s="10" t="n">
        <x:v>980</x:v>
      </x:c>
      <x:c r="N728" s="2" t="str">
        <x:v>D23</x:v>
      </x:c>
      <x:c r="O728" s="2" t="str">
        <x:v>hdb flat</x:v>
      </x:c>
      <x:c r="P728" s="2" t="str">
        <x:v>https://www.propertyguru.com.sg/listing/hdb-for-rent-655-senja-road-24581908</x:v>
      </x:c>
      <x:c r="Q728" s="12" t="str">
        <x:v>Pre-registered source-rubric-v1; grade applied before outputs.</x:v>
      </x:c>
      <x:c r="R728" s="13"/>
    </x:row>
    <x:row r="729" ht="15" hidden="0" customHeight="1">
      <x:c r="A729" s="2" t="str">
        <x:v>S24|500284234</x:v>
      </x:c>
      <x:c r="B729" s="2" t="str">
        <x:v>S24</x:v>
      </x:c>
      <x:c r="C729" s="2" t="str">
        <x:v>500284234</x:v>
      </x:c>
      <x:c r="D729" s="2" t="n">
        <x:v>1</x:v>
      </x:c>
      <x:c r="E729" s="9"/>
      <x:c r="F729" s="2" t="n">
        <x:f>IF(E729="",D729,IF(E729="U","U",IF(AND(ISNUMBER(E729),E729&gt;=0,E729&lt;=3,INT(E729)=E729),E729,"Invalid")))</x:f>
        <x:v>1</x:v>
      </x:c>
      <x:c r="G729" s="2" t="n">
        <x:f>IF(ISNUMBER(F729),1,0)</x:f>
        <x:v>1</x:v>
      </x:c>
      <x:c r="H729" s="2" t="n">
        <x:f>IF(ISNUMBER(F729),IF(F729&gt;=2,1,0),0)</x:f>
        <x:v>0</x:v>
      </x:c>
      <x:c r="I729" s="11" t="n">
        <x:f>IF(ISNUMBER(F729),2^F729-1,0)</x:f>
        <x:v>1</x:v>
      </x:c>
      <x:c r="J729" s="2" t="str">
        <x:v>Extension pre-run 600</x:v>
      </x:c>
      <x:c r="K729" s="10" t="n">
        <x:v>3500</x:v>
      </x:c>
      <x:c r="L729" s="10" t="n">
        <x:v>2</x:v>
      </x:c>
      <x:c r="M729" s="10" t="n">
        <x:v>624</x:v>
      </x:c>
      <x:c r="N729" s="2" t="str">
        <x:v>D25</x:v>
      </x:c>
      <x:c r="O729" s="2" t="str">
        <x:v>condominium</x:v>
      </x:c>
      <x:c r="P729" s="2" t="str">
        <x:v>https://www.propertyguru.com.sg/listing/for-rent-norwood-grand-500284234</x:v>
      </x:c>
      <x:c r="Q729" s="12" t="str">
        <x:v>Pre-registered source-rubric-v1; grade applied before outputs.</x:v>
      </x:c>
      <x:c r="R729" s="13"/>
    </x:row>
    <x:row r="730" ht="15" hidden="0" customHeight="1">
      <x:c r="A730" s="2" t="str">
        <x:v>S24|500248414</x:v>
      </x:c>
      <x:c r="B730" s="2" t="str">
        <x:v>S24</x:v>
      </x:c>
      <x:c r="C730" s="2" t="str">
        <x:v>500248414</x:v>
      </x:c>
      <x:c r="D730" s="2" t="n">
        <x:v>1</x:v>
      </x:c>
      <x:c r="E730" s="9"/>
      <x:c r="F730" s="2" t="n">
        <x:f>IF(E730="",D730,IF(E730="U","U",IF(AND(ISNUMBER(E730),E730&gt;=0,E730&lt;=3,INT(E730)=E730),E730,"Invalid")))</x:f>
        <x:v>1</x:v>
      </x:c>
      <x:c r="G730" s="2" t="n">
        <x:f>IF(ISNUMBER(F730),1,0)</x:f>
        <x:v>1</x:v>
      </x:c>
      <x:c r="H730" s="2" t="n">
        <x:f>IF(ISNUMBER(F730),IF(F730&gt;=2,1,0),0)</x:f>
        <x:v>0</x:v>
      </x:c>
      <x:c r="I730" s="11" t="n">
        <x:f>IF(ISNUMBER(F730),2^F730-1,0)</x:f>
        <x:v>1</x:v>
      </x:c>
      <x:c r="J730" s="2" t="str">
        <x:v>Extension pre-run 600</x:v>
      </x:c>
      <x:c r="K730" s="10" t="n">
        <x:v>3400</x:v>
      </x:c>
      <x:c r="L730" s="10" t="n">
        <x:v>2</x:v>
      </x:c>
      <x:c r="M730" s="10" t="n">
        <x:v>624</x:v>
      </x:c>
      <x:c r="N730" s="2" t="str">
        <x:v>D25</x:v>
      </x:c>
      <x:c r="O730" s="2" t="str">
        <x:v>condominium</x:v>
      </x:c>
      <x:c r="P730" s="2" t="str">
        <x:v>https://www.propertyguru.com.sg/listing/for-rent-norwood-grand-500248414</x:v>
      </x:c>
      <x:c r="Q730" s="12" t="str">
        <x:v>Pre-registered source-rubric-v1; grade applied before outputs.</x:v>
      </x:c>
      <x:c r="R730" s="13"/>
    </x:row>
    <x:row r="731" ht="15" hidden="0" customHeight="1">
      <x:c r="A731" s="2" t="str">
        <x:v>S24|500287492</x:v>
      </x:c>
      <x:c r="B731" s="2" t="str">
        <x:v>S24</x:v>
      </x:c>
      <x:c r="C731" s="2" t="str">
        <x:v>500287492</x:v>
      </x:c>
      <x:c r="D731" s="2" t="n">
        <x:v>1</x:v>
      </x:c>
      <x:c r="E731" s="9"/>
      <x:c r="F731" s="2" t="n">
        <x:f>IF(E731="",D731,IF(E731="U","U",IF(AND(ISNUMBER(E731),E731&gt;=0,E731&lt;=3,INT(E731)=E731),E731,"Invalid")))</x:f>
        <x:v>1</x:v>
      </x:c>
      <x:c r="G731" s="2" t="n">
        <x:f>IF(ISNUMBER(F731),1,0)</x:f>
        <x:v>1</x:v>
      </x:c>
      <x:c r="H731" s="2" t="n">
        <x:f>IF(ISNUMBER(F731),IF(F731&gt;=2,1,0),0)</x:f>
        <x:v>0</x:v>
      </x:c>
      <x:c r="I731" s="11" t="n">
        <x:f>IF(ISNUMBER(F731),2^F731-1,0)</x:f>
        <x:v>1</x:v>
      </x:c>
      <x:c r="J731" s="2" t="str">
        <x:v>Extension pre-run 600</x:v>
      </x:c>
      <x:c r="K731" s="10" t="n">
        <x:v>3000</x:v>
      </x:c>
      <x:c r="L731" s="10" t="n">
        <x:v>2</x:v>
      </x:c>
      <x:c r="M731" s="10" t="n">
        <x:v>721</x:v>
      </x:c>
      <x:c r="N731" s="2" t="str">
        <x:v>D25</x:v>
      </x:c>
      <x:c r="O731" s="2" t="str">
        <x:v>hdb flat</x:v>
      </x:c>
      <x:c r="P731" s="2" t="str">
        <x:v>https://www.propertyguru.com.sg/listing/hdb-for-rent-102-woodlands-street-13-500287492</x:v>
      </x:c>
      <x:c r="Q731" s="12" t="str">
        <x:v>Pre-registered source-rubric-v1; grade applied before outputs.</x:v>
      </x:c>
      <x:c r="R731" s="13"/>
    </x:row>
    <x:row r="732" ht="15" hidden="0" customHeight="1">
      <x:c r="A732" s="2" t="str">
        <x:v>S24|500268029</x:v>
      </x:c>
      <x:c r="B732" s="2" t="str">
        <x:v>S24</x:v>
      </x:c>
      <x:c r="C732" s="2" t="str">
        <x:v>500268029</x:v>
      </x:c>
      <x:c r="D732" s="2" t="n">
        <x:v>1</x:v>
      </x:c>
      <x:c r="E732" s="9"/>
      <x:c r="F732" s="2" t="n">
        <x:f>IF(E732="",D732,IF(E732="U","U",IF(AND(ISNUMBER(E732),E732&gt;=0,E732&lt;=3,INT(E732)=E732),E732,"Invalid")))</x:f>
        <x:v>1</x:v>
      </x:c>
      <x:c r="G732" s="2" t="n">
        <x:f>IF(ISNUMBER(F732),1,0)</x:f>
        <x:v>1</x:v>
      </x:c>
      <x:c r="H732" s="2" t="n">
        <x:f>IF(ISNUMBER(F732),IF(F732&gt;=2,1,0),0)</x:f>
        <x:v>0</x:v>
      </x:c>
      <x:c r="I732" s="11" t="n">
        <x:f>IF(ISNUMBER(F732),2^F732-1,0)</x:f>
        <x:v>1</x:v>
      </x:c>
      <x:c r="J732" s="2" t="str">
        <x:v>Extension pre-run 600</x:v>
      </x:c>
      <x:c r="K732" s="10" t="n">
        <x:v>3100</x:v>
      </x:c>
      <x:c r="L732" s="10" t="n">
        <x:v>2</x:v>
      </x:c>
      <x:c r="M732" s="10" t="n">
        <x:v>786</x:v>
      </x:c>
      <x:c r="N732" s="2" t="str">
        <x:v>D23</x:v>
      </x:c>
      <x:c r="O732" s="2" t="str">
        <x:v>hdb flat</x:v>
      </x:c>
      <x:c r="P732" s="2" t="str">
        <x:v>https://www.propertyguru.com.sg/listing/hdb-for-rent-143-petir-road-500268029</x:v>
      </x:c>
      <x:c r="Q732" s="12" t="str">
        <x:v>Pre-registered source-rubric-v1; grade applied before outputs.</x:v>
      </x:c>
      <x:c r="R732" s="13"/>
    </x:row>
    <x:row r="733" ht="15" hidden="0" customHeight="1">
      <x:c r="A733" s="2" t="str">
        <x:v>S24|60193305</x:v>
      </x:c>
      <x:c r="B733" s="2" t="str">
        <x:v>S24</x:v>
      </x:c>
      <x:c r="C733" s="2" t="str">
        <x:v>60193305</x:v>
      </x:c>
      <x:c r="D733" s="2" t="n">
        <x:v>1</x:v>
      </x:c>
      <x:c r="E733" s="9"/>
      <x:c r="F733" s="2" t="n">
        <x:f>IF(E733="",D733,IF(E733="U","U",IF(AND(ISNUMBER(E733),E733&gt;=0,E733&lt;=3,INT(E733)=E733),E733,"Invalid")))</x:f>
        <x:v>1</x:v>
      </x:c>
      <x:c r="G733" s="2" t="n">
        <x:f>IF(ISNUMBER(F733),1,0)</x:f>
        <x:v>1</x:v>
      </x:c>
      <x:c r="H733" s="2" t="n">
        <x:f>IF(ISNUMBER(F733),IF(F733&gt;=2,1,0),0)</x:f>
        <x:v>0</x:v>
      </x:c>
      <x:c r="I733" s="11" t="n">
        <x:f>IF(ISNUMBER(F733),2^F733-1,0)</x:f>
        <x:v>1</x:v>
      </x:c>
      <x:c r="J733" s="2" t="str">
        <x:v>Extension pre-run 600</x:v>
      </x:c>
      <x:c r="K733" s="10" t="n">
        <x:v>2800</x:v>
      </x:c>
      <x:c r="L733" s="10" t="n">
        <x:v>2</x:v>
      </x:c>
      <x:c r="M733" s="10" t="n">
        <x:v>882</x:v>
      </x:c>
      <x:c r="N733" s="2" t="str">
        <x:v>D25</x:v>
      </x:c>
      <x:c r="O733" s="2" t="str">
        <x:v>hdb flat</x:v>
      </x:c>
      <x:c r="P733" s="2" t="str">
        <x:v>https://www.propertyguru.com.sg/listing/hdb-for-rent-24-marsiling-drive-60193305</x:v>
      </x:c>
      <x:c r="Q733" s="12" t="str">
        <x:v>Pre-registered source-rubric-v1; grade applied before outputs.</x:v>
      </x:c>
      <x:c r="R733" s="13"/>
    </x:row>
    <x:row r="734" ht="15" hidden="0" customHeight="1">
      <x:c r="A734" s="2" t="str">
        <x:v>S24|500121596</x:v>
      </x:c>
      <x:c r="B734" s="2" t="str">
        <x:v>S24</x:v>
      </x:c>
      <x:c r="C734" s="2" t="str">
        <x:v>500121596</x:v>
      </x:c>
      <x:c r="D734" s="2" t="n">
        <x:v>1</x:v>
      </x:c>
      <x:c r="E734" s="9"/>
      <x:c r="F734" s="2" t="n">
        <x:f>IF(E734="",D734,IF(E734="U","U",IF(AND(ISNUMBER(E734),E734&gt;=0,E734&lt;=3,INT(E734)=E734),E734,"Invalid")))</x:f>
        <x:v>1</x:v>
      </x:c>
      <x:c r="G734" s="2" t="n">
        <x:f>IF(ISNUMBER(F734),1,0)</x:f>
        <x:v>1</x:v>
      </x:c>
      <x:c r="H734" s="2" t="n">
        <x:f>IF(ISNUMBER(F734),IF(F734&gt;=2,1,0),0)</x:f>
        <x:v>0</x:v>
      </x:c>
      <x:c r="I734" s="11" t="n">
        <x:f>IF(ISNUMBER(F734),2^F734-1,0)</x:f>
        <x:v>1</x:v>
      </x:c>
      <x:c r="J734" s="2" t="str">
        <x:v>Extension pre-run 600</x:v>
      </x:c>
      <x:c r="K734" s="10" t="n">
        <x:v>3200</x:v>
      </x:c>
      <x:c r="L734" s="10" t="n">
        <x:v>2</x:v>
      </x:c>
      <x:c r="M734" s="10" t="n">
        <x:v>735</x:v>
      </x:c>
      <x:c r="N734" s="2" t="str">
        <x:v>D25</x:v>
      </x:c>
      <x:c r="O734" s="2" t="str">
        <x:v>hdb flat</x:v>
      </x:c>
      <x:c r="P734" s="2" t="str">
        <x:v>https://www.propertyguru.com.sg/listing/hdb-for-rent-871-woodlands-street-81-500121596</x:v>
      </x:c>
      <x:c r="Q734" s="12" t="str">
        <x:v>Pre-registered source-rubric-v1; grade applied before outputs.</x:v>
      </x:c>
      <x:c r="R734" s="13"/>
    </x:row>
    <x:row r="735" ht="15" hidden="0" customHeight="1">
      <x:c r="A735" s="2" t="str">
        <x:v>S24|500249584</x:v>
      </x:c>
      <x:c r="B735" s="2" t="str">
        <x:v>S24</x:v>
      </x:c>
      <x:c r="C735" s="2" t="str">
        <x:v>500249584</x:v>
      </x:c>
      <x:c r="D735" s="2" t="n">
        <x:v>0</x:v>
      </x:c>
      <x:c r="E735" s="9"/>
      <x:c r="F735" s="2" t="n">
        <x:f>IF(E735="",D735,IF(E735="U","U",IF(AND(ISNUMBER(E735),E735&gt;=0,E735&lt;=3,INT(E735)=E735),E735,"Invalid")))</x:f>
        <x:v>0</x:v>
      </x:c>
      <x:c r="G735" s="2" t="n">
        <x:f>IF(ISNUMBER(F735),1,0)</x:f>
        <x:v>1</x:v>
      </x:c>
      <x:c r="H735" s="2" t="n">
        <x:f>IF(ISNUMBER(F735),IF(F735&gt;=2,1,0),0)</x:f>
        <x:v>0</x:v>
      </x:c>
      <x:c r="I735" s="11" t="n">
        <x:f>IF(ISNUMBER(F735),2^F735-1,0)</x:f>
        <x:v>0</x:v>
      </x:c>
      <x:c r="J735" s="2" t="str">
        <x:v>Extension pre-run 600</x:v>
      </x:c>
      <x:c r="K735" s="10" t="n">
        <x:v>1000</x:v>
      </x:c>
      <x:c r="L735" s="10" t="n">
        <x:v>0</x:v>
      </x:c>
      <x:c r="M735" s="10"/>
      <x:c r="N735" s="2" t="str">
        <x:v>D27</x:v>
      </x:c>
      <x:c r="O735" s="2" t="str">
        <x:v>hdb flat</x:v>
      </x:c>
      <x:c r="P735" s="2" t="str">
        <x:v>https://www.propertyguru.com.sg/listing/hdb-for-rent-362c-sembawang-crescent-500249584</x:v>
      </x:c>
      <x:c r="Q735" s="12" t="str">
        <x:v>Pre-registered source-rubric-v1; grade applied before outputs.</x:v>
      </x:c>
      <x:c r="R735" s="13"/>
    </x:row>
    <x:row r="736" ht="15" hidden="0" customHeight="1">
      <x:c r="A736" s="2" t="str">
        <x:v>S24|500265591</x:v>
      </x:c>
      <x:c r="B736" s="2" t="str">
        <x:v>S24</x:v>
      </x:c>
      <x:c r="C736" s="2" t="str">
        <x:v>500265591</x:v>
      </x:c>
      <x:c r="D736" s="2" t="n">
        <x:v>0</x:v>
      </x:c>
      <x:c r="E736" s="9"/>
      <x:c r="F736" s="2" t="n">
        <x:f>IF(E736="",D736,IF(E736="U","U",IF(AND(ISNUMBER(E736),E736&gt;=0,E736&lt;=3,INT(E736)=E736),E736,"Invalid")))</x:f>
        <x:v>0</x:v>
      </x:c>
      <x:c r="G736" s="2" t="n">
        <x:f>IF(ISNUMBER(F736),1,0)</x:f>
        <x:v>1</x:v>
      </x:c>
      <x:c r="H736" s="2" t="n">
        <x:f>IF(ISNUMBER(F736),IF(F736&gt;=2,1,0),0)</x:f>
        <x:v>0</x:v>
      </x:c>
      <x:c r="I736" s="11" t="n">
        <x:f>IF(ISNUMBER(F736),2^F736-1,0)</x:f>
        <x:v>0</x:v>
      </x:c>
      <x:c r="J736" s="2" t="str">
        <x:v>Extension pre-run 600</x:v>
      </x:c>
      <x:c r="K736" s="10" t="n">
        <x:v>10200</x:v>
      </x:c>
      <x:c r="L736" s="10" t="n">
        <x:v>4</x:v>
      </x:c>
      <x:c r="M736" s="10" t="n">
        <x:v>2837</x:v>
      </x:c>
      <x:c r="N736" s="2" t="str">
        <x:v>D21</x:v>
      </x:c>
      <x:c r="O736" s="2" t="str">
        <x:v>semi-detached house</x:v>
      </x:c>
      <x:c r="P736" s="2" t="str">
        <x:v>https://www.propertyguru.com.sg/listing/for-rent-semi-d-near-beauty-world-mrt-nature-reserve-500265591</x:v>
      </x:c>
      <x:c r="Q736" s="12" t="str">
        <x:v>Pre-registered source-rubric-v1; grade applied before outputs.</x:v>
      </x:c>
      <x:c r="R736" s="13"/>
    </x:row>
    <x:row r="737" ht="15" hidden="0" customHeight="1">
      <x:c r="A737" s="2" t="str">
        <x:v>S24|20369392</x:v>
      </x:c>
      <x:c r="B737" s="2" t="str">
        <x:v>S24</x:v>
      </x:c>
      <x:c r="C737" s="2" t="str">
        <x:v>20369392</x:v>
      </x:c>
      <x:c r="D737" s="2" t="n">
        <x:v>0</x:v>
      </x:c>
      <x:c r="E737" s="9"/>
      <x:c r="F737" s="2" t="n">
        <x:f>IF(E737="",D737,IF(E737="U","U",IF(AND(ISNUMBER(E737),E737&gt;=0,E737&lt;=3,INT(E737)=E737),E737,"Invalid")))</x:f>
        <x:v>0</x:v>
      </x:c>
      <x:c r="G737" s="2" t="n">
        <x:f>IF(ISNUMBER(F737),1,0)</x:f>
        <x:v>1</x:v>
      </x:c>
      <x:c r="H737" s="2" t="n">
        <x:f>IF(ISNUMBER(F737),IF(F737&gt;=2,1,0),0)</x:f>
        <x:v>0</x:v>
      </x:c>
      <x:c r="I737" s="11" t="n">
        <x:f>IF(ISNUMBER(F737),2^F737-1,0)</x:f>
        <x:v>0</x:v>
      </x:c>
      <x:c r="J737" s="2" t="str">
        <x:v>Extension pre-run 600</x:v>
      </x:c>
      <x:c r="K737" s="10" t="n">
        <x:v>4400</x:v>
      </x:c>
      <x:c r="L737" s="10" t="n">
        <x:v>3</x:v>
      </x:c>
      <x:c r="M737" s="10" t="n">
        <x:v>1259</x:v>
      </x:c>
      <x:c r="N737" s="2" t="str">
        <x:v>D05</x:v>
      </x:c>
      <x:c r="O737" s="2" t="str">
        <x:v>hdb flat</x:v>
      </x:c>
      <x:c r="P737" s="2" t="str">
        <x:v>https://www.propertyguru.com.sg/listing/hdb-for-rent-356-clementi-avenue-2-20369392</x:v>
      </x:c>
      <x:c r="Q737" s="12" t="str">
        <x:v>Pre-registered source-rubric-v1; grade applied before outputs.</x:v>
      </x:c>
      <x:c r="R737" s="13"/>
    </x:row>
    <x:row r="738" ht="15" hidden="0" customHeight="1">
      <x:c r="A738" s="2" t="str">
        <x:v>S24|500286192</x:v>
      </x:c>
      <x:c r="B738" s="2" t="str">
        <x:v>S24</x:v>
      </x:c>
      <x:c r="C738" s="2" t="str">
        <x:v>500286192</x:v>
      </x:c>
      <x:c r="D738" s="2" t="n">
        <x:v>0</x:v>
      </x:c>
      <x:c r="E738" s="9"/>
      <x:c r="F738" s="2" t="n">
        <x:f>IF(E738="",D738,IF(E738="U","U",IF(AND(ISNUMBER(E738),E738&gt;=0,E738&lt;=3,INT(E738)=E738),E738,"Invalid")))</x:f>
        <x:v>0</x:v>
      </x:c>
      <x:c r="G738" s="2" t="n">
        <x:f>IF(ISNUMBER(F738),1,0)</x:f>
        <x:v>1</x:v>
      </x:c>
      <x:c r="H738" s="2" t="n">
        <x:f>IF(ISNUMBER(F738),IF(F738&gt;=2,1,0),0)</x:f>
        <x:v>0</x:v>
      </x:c>
      <x:c r="I738" s="11" t="n">
        <x:f>IF(ISNUMBER(F738),2^F738-1,0)</x:f>
        <x:v>0</x:v>
      </x:c>
      <x:c r="J738" s="2" t="str">
        <x:v>Extension pre-run 600</x:v>
      </x:c>
      <x:c r="K738" s="10" t="n">
        <x:v>5700</x:v>
      </x:c>
      <x:c r="L738" s="10" t="n">
        <x:v>2</x:v>
      </x:c>
      <x:c r="M738" s="10" t="n">
        <x:v>786</x:v>
      </x:c>
      <x:c r="N738" s="2" t="str">
        <x:v>D05</x:v>
      </x:c>
      <x:c r="O738" s="2" t="str">
        <x:v>condominium</x:v>
      </x:c>
      <x:c r="P738" s="2" t="str">
        <x:v>https://www.propertyguru.com.sg/listing/for-rent-the-hill-one-north-500286192</x:v>
      </x:c>
      <x:c r="Q738" s="12" t="str">
        <x:v>Pre-registered source-rubric-v1; grade applied before outputs.</x:v>
      </x:c>
      <x:c r="R738" s="13"/>
    </x:row>
    <x:row r="739" ht="15" hidden="0" customHeight="1">
      <x:c r="A739" s="2" t="str">
        <x:v>S24|500266098</x:v>
      </x:c>
      <x:c r="B739" s="2" t="str">
        <x:v>S24</x:v>
      </x:c>
      <x:c r="C739" s="2" t="str">
        <x:v>500266098</x:v>
      </x:c>
      <x:c r="D739" s="2" t="n">
        <x:v>0</x:v>
      </x:c>
      <x:c r="E739" s="9"/>
      <x:c r="F739" s="2" t="n">
        <x:f>IF(E739="",D739,IF(E739="U","U",IF(AND(ISNUMBER(E739),E739&gt;=0,E739&lt;=3,INT(E739)=E739),E739,"Invalid")))</x:f>
        <x:v>0</x:v>
      </x:c>
      <x:c r="G739" s="2" t="n">
        <x:f>IF(ISNUMBER(F739),1,0)</x:f>
        <x:v>1</x:v>
      </x:c>
      <x:c r="H739" s="2" t="n">
        <x:f>IF(ISNUMBER(F739),IF(F739&gt;=2,1,0),0)</x:f>
        <x:v>0</x:v>
      </x:c>
      <x:c r="I739" s="11" t="n">
        <x:f>IF(ISNUMBER(F739),2^F739-1,0)</x:f>
        <x:v>0</x:v>
      </x:c>
      <x:c r="J739" s="2" t="str">
        <x:v>Extension pre-run 600</x:v>
      </x:c>
      <x:c r="K739" s="10" t="n">
        <x:v>3999</x:v>
      </x:c>
      <x:c r="L739" s="10" t="n">
        <x:v>1</x:v>
      </x:c>
      <x:c r="M739" s="10" t="n">
        <x:v>452</x:v>
      </x:c>
      <x:c r="N739" s="2" t="str">
        <x:v>D15</x:v>
      </x:c>
      <x:c r="O739" s="2" t="str">
        <x:v>condominium</x:v>
      </x:c>
      <x:c r="P739" s="2" t="str">
        <x:v>https://www.propertyguru.com.sg/listing/for-rent-grand-dunman-500266098</x:v>
      </x:c>
      <x:c r="Q739" s="12" t="str">
        <x:v>Pre-registered source-rubric-v1; grade applied before outputs.</x:v>
      </x:c>
      <x:c r="R739" s="13"/>
    </x:row>
    <x:row r="740" ht="15" hidden="0" customHeight="1">
      <x:c r="A740" s="2" t="str">
        <x:v>S24|25199306</x:v>
      </x:c>
      <x:c r="B740" s="2" t="str">
        <x:v>S24</x:v>
      </x:c>
      <x:c r="C740" s="2" t="str">
        <x:v>25199306</x:v>
      </x:c>
      <x:c r="D740" s="2" t="n">
        <x:v>0</x:v>
      </x:c>
      <x:c r="E740" s="9"/>
      <x:c r="F740" s="2" t="n">
        <x:f>IF(E740="",D740,IF(E740="U","U",IF(AND(ISNUMBER(E740),E740&gt;=0,E740&lt;=3,INT(E740)=E740),E740,"Invalid")))</x:f>
        <x:v>0</x:v>
      </x:c>
      <x:c r="G740" s="2" t="n">
        <x:f>IF(ISNUMBER(F740),1,0)</x:f>
        <x:v>1</x:v>
      </x:c>
      <x:c r="H740" s="2" t="n">
        <x:f>IF(ISNUMBER(F740),IF(F740&gt;=2,1,0),0)</x:f>
        <x:v>0</x:v>
      </x:c>
      <x:c r="I740" s="11" t="n">
        <x:f>IF(ISNUMBER(F740),2^F740-1,0)</x:f>
        <x:v>0</x:v>
      </x:c>
      <x:c r="J740" s="2" t="str">
        <x:v>Extension pre-run 600</x:v>
      </x:c>
      <x:c r="K740" s="10" t="n">
        <x:v>2950</x:v>
      </x:c>
      <x:c r="L740" s="10" t="n">
        <x:v>1</x:v>
      </x:c>
      <x:c r="M740" s="10" t="n">
        <x:v>474</x:v>
      </x:c>
      <x:c r="N740" s="2" t="str">
        <x:v>D19</x:v>
      </x:c>
      <x:c r="O740" s="2" t="str">
        <x:v>condominium</x:v>
      </x:c>
      <x:c r="P740" s="2" t="str">
        <x:v>https://www.propertyguru.com.sg/listing/for-rent-the-tembusu-25199306</x:v>
      </x:c>
      <x:c r="Q740" s="12" t="str">
        <x:v>Pre-registered source-rubric-v1; grade applied before outputs.</x:v>
      </x:c>
      <x:c r="R740" s="13"/>
    </x:row>
    <x:row r="741" ht="15" hidden="0" customHeight="1">
      <x:c r="A741" s="2" t="str">
        <x:v>S24|500242274</x:v>
      </x:c>
      <x:c r="B741" s="2" t="str">
        <x:v>S24</x:v>
      </x:c>
      <x:c r="C741" s="2" t="str">
        <x:v>500242274</x:v>
      </x:c>
      <x:c r="D741" s="2" t="n">
        <x:v>0</x:v>
      </x:c>
      <x:c r="E741" s="9"/>
      <x:c r="F741" s="2" t="n">
        <x:f>IF(E741="",D741,IF(E741="U","U",IF(AND(ISNUMBER(E741),E741&gt;=0,E741&lt;=3,INT(E741)=E741),E741,"Invalid")))</x:f>
        <x:v>0</x:v>
      </x:c>
      <x:c r="G741" s="2" t="n">
        <x:f>IF(ISNUMBER(F741),1,0)</x:f>
        <x:v>1</x:v>
      </x:c>
      <x:c r="H741" s="2" t="n">
        <x:f>IF(ISNUMBER(F741),IF(F741&gt;=2,1,0),0)</x:f>
        <x:v>0</x:v>
      </x:c>
      <x:c r="I741" s="11" t="n">
        <x:f>IF(ISNUMBER(F741),2^F741-1,0)</x:f>
        <x:v>0</x:v>
      </x:c>
      <x:c r="J741" s="2" t="str">
        <x:v>Extension pre-run 600</x:v>
      </x:c>
      <x:c r="K741" s="10" t="n">
        <x:v>500</x:v>
      </x:c>
      <x:c r="L741" s="10" t="n">
        <x:v>0</x:v>
      </x:c>
      <x:c r="M741" s="10"/>
      <x:c r="N741" s="2" t="str">
        <x:v>D19</x:v>
      </x:c>
      <x:c r="O741" s="2" t="str">
        <x:v>hdb flat</x:v>
      </x:c>
      <x:c r="P741" s="2" t="str">
        <x:v>https://www.propertyguru.com.sg/listing/hdb-for-rent-662b-edgedale-plains-500242274</x:v>
      </x:c>
      <x:c r="Q741" s="12" t="str">
        <x:v>Pre-registered source-rubric-v1; grade applied before outputs.</x:v>
      </x:c>
      <x:c r="R741" s="13"/>
    </x:row>
    <x:row r="742" ht="15" hidden="0" customHeight="1">
      <x:c r="A742" s="2" t="str">
        <x:v>S24|16979047</x:v>
      </x:c>
      <x:c r="B742" s="2" t="str">
        <x:v>S24</x:v>
      </x:c>
      <x:c r="C742" s="2" t="str">
        <x:v>16979047</x:v>
      </x:c>
      <x:c r="D742" s="2" t="n">
        <x:v>0</x:v>
      </x:c>
      <x:c r="E742" s="9"/>
      <x:c r="F742" s="2" t="n">
        <x:f>IF(E742="",D742,IF(E742="U","U",IF(AND(ISNUMBER(E742),E742&gt;=0,E742&lt;=3,INT(E742)=E742),E742,"Invalid")))</x:f>
        <x:v>0</x:v>
      </x:c>
      <x:c r="G742" s="2" t="n">
        <x:f>IF(ISNUMBER(F742),1,0)</x:f>
        <x:v>1</x:v>
      </x:c>
      <x:c r="H742" s="2" t="n">
        <x:f>IF(ISNUMBER(F742),IF(F742&gt;=2,1,0),0)</x:f>
        <x:v>0</x:v>
      </x:c>
      <x:c r="I742" s="11" t="n">
        <x:f>IF(ISNUMBER(F742),2^F742-1,0)</x:f>
        <x:v>0</x:v>
      </x:c>
      <x:c r="J742" s="2" t="str">
        <x:v>Extension pre-run 600</x:v>
      </x:c>
      <x:c r="K742" s="10" t="n">
        <x:v>6700</x:v>
      </x:c>
      <x:c r="L742" s="10" t="n">
        <x:v>3</x:v>
      </x:c>
      <x:c r="M742" s="10" t="n">
        <x:v>1173</x:v>
      </x:c>
      <x:c r="N742" s="2" t="str">
        <x:v>D03</x:v>
      </x:c>
      <x:c r="O742" s="2" t="str">
        <x:v>condominium</x:v>
      </x:c>
      <x:c r="P742" s="2" t="str">
        <x:v>https://www.propertyguru.com.sg/listing/for-rent-meraprime-16979047</x:v>
      </x:c>
      <x:c r="Q742" s="12" t="str">
        <x:v>Pre-registered source-rubric-v1; grade applied before outputs.</x:v>
      </x:c>
      <x:c r="R742" s="13"/>
    </x:row>
    <x:row r="743" ht="15" hidden="0" customHeight="1">
      <x:c r="A743" s="2" t="str">
        <x:v>S24|500237626</x:v>
      </x:c>
      <x:c r="B743" s="2" t="str">
        <x:v>S24</x:v>
      </x:c>
      <x:c r="C743" s="2" t="str">
        <x:v>500237626</x:v>
      </x:c>
      <x:c r="D743" s="2" t="str">
        <x:v>U</x:v>
      </x:c>
      <x:c r="E743" s="9"/>
      <x:c r="F743" s="2" t="str">
        <x:f>IF(E743="",D743,IF(E743="U","U",IF(AND(ISNUMBER(E743),E743&gt;=0,E743&lt;=3,INT(E743)=E743),E743,"Invalid")))</x:f>
        <x:v>U</x:v>
      </x:c>
      <x:c r="G743" s="2" t="n">
        <x:f>IF(ISNUMBER(F743),1,0)</x:f>
        <x:v>0</x:v>
      </x:c>
      <x:c r="H743" s="2" t="n">
        <x:f>IF(ISNUMBER(F743),IF(F743&gt;=2,1,0),0)</x:f>
        <x:v>0</x:v>
      </x:c>
      <x:c r="I743" s="11" t="n">
        <x:f>IF(ISNUMBER(F743),2^F743-1,0)</x:f>
        <x:v>0</x:v>
      </x:c>
      <x:c r="J743" s="2" t="str">
        <x:v>Extension pre-run 600</x:v>
      </x:c>
      <x:c r="K743" s="10" t="n">
        <x:v>3100</x:v>
      </x:c>
      <x:c r="L743" s="10"/>
      <x:c r="M743" s="10" t="n">
        <x:v>474</x:v>
      </x:c>
      <x:c r="N743" s="2" t="str">
        <x:v>D23</x:v>
      </x:c>
      <x:c r="O743" s="2" t="str">
        <x:v>apartment</x:v>
      </x:c>
      <x:c r="P743" s="2" t="str">
        <x:v>https://www.propertyguru.com.sg/listing/for-rent-hillion-residences-500237626</x:v>
      </x:c>
      <x:c r="Q743" s="12" t="str">
        <x:v>Pre-registered source-rubric-v1; grade applied before outputs.</x:v>
      </x:c>
      <x:c r="R743" s="13"/>
    </x:row>
    <x:row r="744" ht="15" hidden="0" customHeight="1">
      <x:c r="A744" s="2" t="str">
        <x:v>S24|500280380</x:v>
      </x:c>
      <x:c r="B744" s="2" t="str">
        <x:v>S24</x:v>
      </x:c>
      <x:c r="C744" s="2" t="str">
        <x:v>500280380</x:v>
      </x:c>
      <x:c r="D744" s="2" t="str">
        <x:v>U</x:v>
      </x:c>
      <x:c r="E744" s="9"/>
      <x:c r="F744" s="2" t="str">
        <x:f>IF(E744="",D744,IF(E744="U","U",IF(AND(ISNUMBER(E744),E744&gt;=0,E744&lt;=3,INT(E744)=E744),E744,"Invalid")))</x:f>
        <x:v>U</x:v>
      </x:c>
      <x:c r="G744" s="2" t="n">
        <x:f>IF(ISNUMBER(F744),1,0)</x:f>
        <x:v>0</x:v>
      </x:c>
      <x:c r="H744" s="2" t="n">
        <x:f>IF(ISNUMBER(F744),IF(F744&gt;=2,1,0),0)</x:f>
        <x:v>0</x:v>
      </x:c>
      <x:c r="I744" s="11" t="n">
        <x:f>IF(ISNUMBER(F744),2^F744-1,0)</x:f>
        <x:v>0</x:v>
      </x:c>
      <x:c r="J744" s="2" t="str">
        <x:v>Extension pre-run 600</x:v>
      </x:c>
      <x:c r="K744" s="10" t="n">
        <x:v>2500</x:v>
      </x:c>
      <x:c r="L744" s="10"/>
      <x:c r="M744" s="10" t="n">
        <x:v>200</x:v>
      </x:c>
      <x:c r="N744" s="2" t="str">
        <x:v>D25</x:v>
      </x:c>
      <x:c r="O744" s="2" t="str">
        <x:v>hdb flat</x:v>
      </x:c>
      <x:c r="P744" s="2" t="str">
        <x:v>https://www.propertyguru.com.sg/listing/hdb-for-rent-405-woodlands-street-41-500280380</x:v>
      </x:c>
      <x:c r="Q744" s="12" t="str">
        <x:v>Pre-registered source-rubric-v1; grade applied before outputs.</x:v>
      </x:c>
      <x:c r="R744" s="13"/>
    </x:row>
    <x:row r="745" ht="15" hidden="0" customHeight="1">
      <x:c r="A745" s="2" t="str">
        <x:v>S25|20090505</x:v>
      </x:c>
      <x:c r="B745" s="2" t="str">
        <x:v>S25</x:v>
      </x:c>
      <x:c r="C745" s="2" t="str">
        <x:v>20090505</x:v>
      </x:c>
      <x:c r="D745" s="2" t="n">
        <x:v>3</x:v>
      </x:c>
      <x:c r="E745" s="9"/>
      <x:c r="F745" s="2" t="n">
        <x:f>IF(E745="",D745,IF(E745="U","U",IF(AND(ISNUMBER(E745),E745&gt;=0,E745&lt;=3,INT(E745)=E745),E745,"Invalid")))</x:f>
        <x:v>3</x:v>
      </x:c>
      <x:c r="G745" s="2" t="n">
        <x:f>IF(ISNUMBER(F745),1,0)</x:f>
        <x:v>1</x:v>
      </x:c>
      <x:c r="H745" s="2" t="n">
        <x:f>IF(ISNUMBER(F745),IF(F745&gt;=2,1,0),0)</x:f>
        <x:v>1</x:v>
      </x:c>
      <x:c r="I745" s="11" t="n">
        <x:f>IF(ISNUMBER(F745),2^F745-1,0)</x:f>
        <x:v>7</x:v>
      </x:c>
      <x:c r="J745" s="2" t="str">
        <x:v>Extension pre-run 600</x:v>
      </x:c>
      <x:c r="K745" s="10" t="n">
        <x:v>3350</x:v>
      </x:c>
      <x:c r="L745" s="10" t="n">
        <x:v>3</x:v>
      </x:c>
      <x:c r="M745" s="10" t="n">
        <x:v>1087</x:v>
      </x:c>
      <x:c r="N745" s="2" t="str">
        <x:v>D19</x:v>
      </x:c>
      <x:c r="O745" s="2" t="str">
        <x:v>hdb flat</x:v>
      </x:c>
      <x:c r="P745" s="2" t="str">
        <x:v>https://www.propertyguru.com.sg/listing/hdb-for-rent-120a-rivervale-drive-20090505</x:v>
      </x:c>
      <x:c r="Q745" s="12" t="str">
        <x:v>Pre-registered source-rubric-v1; grade applied before outputs.</x:v>
      </x:c>
      <x:c r="R745" s="13"/>
    </x:row>
    <x:row r="746" ht="15" hidden="0" customHeight="1">
      <x:c r="A746" s="2" t="str">
        <x:v>S25|20506999</x:v>
      </x:c>
      <x:c r="B746" s="2" t="str">
        <x:v>S25</x:v>
      </x:c>
      <x:c r="C746" s="2" t="str">
        <x:v>20506999</x:v>
      </x:c>
      <x:c r="D746" s="2" t="n">
        <x:v>3</x:v>
      </x:c>
      <x:c r="E746" s="9"/>
      <x:c r="F746" s="2" t="n">
        <x:f>IF(E746="",D746,IF(E746="U","U",IF(AND(ISNUMBER(E746),E746&gt;=0,E746&lt;=3,INT(E746)=E746),E746,"Invalid")))</x:f>
        <x:v>3</x:v>
      </x:c>
      <x:c r="G746" s="2" t="n">
        <x:f>IF(ISNUMBER(F746),1,0)</x:f>
        <x:v>1</x:v>
      </x:c>
      <x:c r="H746" s="2" t="n">
        <x:f>IF(ISNUMBER(F746),IF(F746&gt;=2,1,0),0)</x:f>
        <x:v>1</x:v>
      </x:c>
      <x:c r="I746" s="11" t="n">
        <x:f>IF(ISNUMBER(F746),2^F746-1,0)</x:f>
        <x:v>7</x:v>
      </x:c>
      <x:c r="J746" s="2" t="str">
        <x:v>Extension pre-run 600</x:v>
      </x:c>
      <x:c r="K746" s="10" t="n">
        <x:v>3500</x:v>
      </x:c>
      <x:c r="L746" s="10" t="n">
        <x:v>3</x:v>
      </x:c>
      <x:c r="M746" s="10" t="n">
        <x:v>1194</x:v>
      </x:c>
      <x:c r="N746" s="2" t="str">
        <x:v>D18</x:v>
      </x:c>
      <x:c r="O746" s="2" t="str">
        <x:v>hdb flat</x:v>
      </x:c>
      <x:c r="P746" s="2" t="str">
        <x:v>https://www.propertyguru.com.sg/listing/hdb-for-rent-718-pasir-ris-street-72-20506999</x:v>
      </x:c>
      <x:c r="Q746" s="12" t="str">
        <x:v>Pre-registered source-rubric-v1; grade applied before outputs.</x:v>
      </x:c>
      <x:c r="R746" s="13"/>
    </x:row>
    <x:row r="747" ht="15" hidden="0" customHeight="1">
      <x:c r="A747" s="2" t="str">
        <x:v>S25|21388738</x:v>
      </x:c>
      <x:c r="B747" s="2" t="str">
        <x:v>S25</x:v>
      </x:c>
      <x:c r="C747" s="2" t="str">
        <x:v>21388738</x:v>
      </x:c>
      <x:c r="D747" s="2" t="n">
        <x:v>3</x:v>
      </x:c>
      <x:c r="E747" s="9"/>
      <x:c r="F747" s="2" t="n">
        <x:f>IF(E747="",D747,IF(E747="U","U",IF(AND(ISNUMBER(E747),E747&gt;=0,E747&lt;=3,INT(E747)=E747),E747,"Invalid")))</x:f>
        <x:v>3</x:v>
      </x:c>
      <x:c r="G747" s="2" t="n">
        <x:f>IF(ISNUMBER(F747),1,0)</x:f>
        <x:v>1</x:v>
      </x:c>
      <x:c r="H747" s="2" t="n">
        <x:f>IF(ISNUMBER(F747),IF(F747&gt;=2,1,0),0)</x:f>
        <x:v>1</x:v>
      </x:c>
      <x:c r="I747" s="11" t="n">
        <x:f>IF(ISNUMBER(F747),2^F747-1,0)</x:f>
        <x:v>7</x:v>
      </x:c>
      <x:c r="J747" s="2" t="str">
        <x:v>Extension pre-run 600</x:v>
      </x:c>
      <x:c r="K747" s="10" t="n">
        <x:v>3800</x:v>
      </x:c>
      <x:c r="L747" s="10" t="n">
        <x:v>4</x:v>
      </x:c>
      <x:c r="M747" s="10" t="n">
        <x:v>1302</x:v>
      </x:c>
      <x:c r="N747" s="2" t="str">
        <x:v>D18</x:v>
      </x:c>
      <x:c r="O747" s="2" t="str">
        <x:v>hdb flat</x:v>
      </x:c>
      <x:c r="P747" s="2" t="str">
        <x:v>https://www.propertyguru.com.sg/listing/hdb-for-rent-555-pasir-ris-street-51-21388738</x:v>
      </x:c>
      <x:c r="Q747" s="12" t="str">
        <x:v>Pre-registered source-rubric-v1; grade applied before outputs.</x:v>
      </x:c>
      <x:c r="R747" s="13"/>
    </x:row>
    <x:row r="748" ht="15" hidden="0" customHeight="1">
      <x:c r="A748" s="2" t="str">
        <x:v>S25|19574610</x:v>
      </x:c>
      <x:c r="B748" s="2" t="str">
        <x:v>S25</x:v>
      </x:c>
      <x:c r="C748" s="2" t="str">
        <x:v>19574610</x:v>
      </x:c>
      <x:c r="D748" s="2" t="n">
        <x:v>3</x:v>
      </x:c>
      <x:c r="E748" s="9"/>
      <x:c r="F748" s="2" t="n">
        <x:f>IF(E748="",D748,IF(E748="U","U",IF(AND(ISNUMBER(E748),E748&gt;=0,E748&lt;=3,INT(E748)=E748),E748,"Invalid")))</x:f>
        <x:v>3</x:v>
      </x:c>
      <x:c r="G748" s="2" t="n">
        <x:f>IF(ISNUMBER(F748),1,0)</x:f>
        <x:v>1</x:v>
      </x:c>
      <x:c r="H748" s="2" t="n">
        <x:f>IF(ISNUMBER(F748),IF(F748&gt;=2,1,0),0)</x:f>
        <x:v>1</x:v>
      </x:c>
      <x:c r="I748" s="11" t="n">
        <x:f>IF(ISNUMBER(F748),2^F748-1,0)</x:f>
        <x:v>7</x:v>
      </x:c>
      <x:c r="J748" s="2" t="str">
        <x:v>Extension pre-run 600</x:v>
      </x:c>
      <x:c r="K748" s="10" t="n">
        <x:v>3500</x:v>
      </x:c>
      <x:c r="L748" s="10" t="n">
        <x:v>3</x:v>
      </x:c>
      <x:c r="M748" s="10" t="n">
        <x:v>1184</x:v>
      </x:c>
      <x:c r="N748" s="2" t="str">
        <x:v>D19</x:v>
      </x:c>
      <x:c r="O748" s="2" t="str">
        <x:v>hdb flat</x:v>
      </x:c>
      <x:c r="P748" s="2" t="str">
        <x:v>https://www.propertyguru.com.sg/listing/hdb-for-rent-174a-edgedale-plains-19574610</x:v>
      </x:c>
      <x:c r="Q748" s="12" t="str">
        <x:v>Pre-registered source-rubric-v1; grade applied before outputs.</x:v>
      </x:c>
      <x:c r="R748" s="13"/>
    </x:row>
    <x:row r="749" ht="15" hidden="0" customHeight="1">
      <x:c r="A749" s="2" t="str">
        <x:v>S25|500282634</x:v>
      </x:c>
      <x:c r="B749" s="2" t="str">
        <x:v>S25</x:v>
      </x:c>
      <x:c r="C749" s="2" t="str">
        <x:v>500282634</x:v>
      </x:c>
      <x:c r="D749" s="2" t="n">
        <x:v>3</x:v>
      </x:c>
      <x:c r="E749" s="9"/>
      <x:c r="F749" s="2" t="n">
        <x:f>IF(E749="",D749,IF(E749="U","U",IF(AND(ISNUMBER(E749),E749&gt;=0,E749&lt;=3,INT(E749)=E749),E749,"Invalid")))</x:f>
        <x:v>3</x:v>
      </x:c>
      <x:c r="G749" s="2" t="n">
        <x:f>IF(ISNUMBER(F749),1,0)</x:f>
        <x:v>1</x:v>
      </x:c>
      <x:c r="H749" s="2" t="n">
        <x:f>IF(ISNUMBER(F749),IF(F749&gt;=2,1,0),0)</x:f>
        <x:v>1</x:v>
      </x:c>
      <x:c r="I749" s="11" t="n">
        <x:f>IF(ISNUMBER(F749),2^F749-1,0)</x:f>
        <x:v>7</x:v>
      </x:c>
      <x:c r="J749" s="2" t="str">
        <x:v>Extension pre-run 600</x:v>
      </x:c>
      <x:c r="K749" s="10" t="n">
        <x:v>3600</x:v>
      </x:c>
      <x:c r="L749" s="10" t="n">
        <x:v>3</x:v>
      </x:c>
      <x:c r="M749" s="10" t="n">
        <x:v>1141</x:v>
      </x:c>
      <x:c r="N749" s="2" t="str">
        <x:v>D18</x:v>
      </x:c>
      <x:c r="O749" s="2" t="str">
        <x:v>hdb flat</x:v>
      </x:c>
      <x:c r="P749" s="2" t="str">
        <x:v>https://www.propertyguru.com.sg/listing/hdb-for-rent-124-pasir-ris-street-11-500282634</x:v>
      </x:c>
      <x:c r="Q749" s="12" t="str">
        <x:v>Pre-registered source-rubric-v1; grade applied before outputs.</x:v>
      </x:c>
      <x:c r="R749" s="13"/>
    </x:row>
    <x:row r="750" ht="15" hidden="0" customHeight="1">
      <x:c r="A750" s="2" t="str">
        <x:v>S25|500283401</x:v>
      </x:c>
      <x:c r="B750" s="2" t="str">
        <x:v>S25</x:v>
      </x:c>
      <x:c r="C750" s="2" t="str">
        <x:v>500283401</x:v>
      </x:c>
      <x:c r="D750" s="2" t="n">
        <x:v>3</x:v>
      </x:c>
      <x:c r="E750" s="9"/>
      <x:c r="F750" s="2" t="n">
        <x:f>IF(E750="",D750,IF(E750="U","U",IF(AND(ISNUMBER(E750),E750&gt;=0,E750&lt;=3,INT(E750)=E750),E750,"Invalid")))</x:f>
        <x:v>3</x:v>
      </x:c>
      <x:c r="G750" s="2" t="n">
        <x:f>IF(ISNUMBER(F750),1,0)</x:f>
        <x:v>1</x:v>
      </x:c>
      <x:c r="H750" s="2" t="n">
        <x:f>IF(ISNUMBER(F750),IF(F750&gt;=2,1,0),0)</x:f>
        <x:v>1</x:v>
      </x:c>
      <x:c r="I750" s="11" t="n">
        <x:f>IF(ISNUMBER(F750),2^F750-1,0)</x:f>
        <x:v>7</x:v>
      </x:c>
      <x:c r="J750" s="2" t="str">
        <x:v>Extension pre-run 600</x:v>
      </x:c>
      <x:c r="K750" s="10" t="n">
        <x:v>3499</x:v>
      </x:c>
      <x:c r="L750" s="10" t="n">
        <x:v>3</x:v>
      </x:c>
      <x:c r="M750" s="10" t="n">
        <x:v>1184</x:v>
      </x:c>
      <x:c r="N750" s="2" t="str">
        <x:v>D19</x:v>
      </x:c>
      <x:c r="O750" s="2" t="str">
        <x:v>hdb flat</x:v>
      </x:c>
      <x:c r="P750" s="2" t="str">
        <x:v>https://www.propertyguru.com.sg/listing/hdb-for-rent-984b-buangkok-link-500283401</x:v>
      </x:c>
      <x:c r="Q750" s="12" t="str">
        <x:v>Pre-registered source-rubric-v1; grade applied before outputs.</x:v>
      </x:c>
      <x:c r="R750" s="13"/>
    </x:row>
    <x:row r="751" ht="15" hidden="0" customHeight="1">
      <x:c r="A751" s="2" t="str">
        <x:v>S25|500287163</x:v>
      </x:c>
      <x:c r="B751" s="2" t="str">
        <x:v>S25</x:v>
      </x:c>
      <x:c r="C751" s="2" t="str">
        <x:v>500287163</x:v>
      </x:c>
      <x:c r="D751" s="2" t="n">
        <x:v>2</x:v>
      </x:c>
      <x:c r="E751" s="9"/>
      <x:c r="F751" s="2" t="n">
        <x:f>IF(E751="",D751,IF(E751="U","U",IF(AND(ISNUMBER(E751),E751&gt;=0,E751&lt;=3,INT(E751)=E751),E751,"Invalid")))</x:f>
        <x:v>2</x:v>
      </x:c>
      <x:c r="G751" s="2" t="n">
        <x:f>IF(ISNUMBER(F751),1,0)</x:f>
        <x:v>1</x:v>
      </x:c>
      <x:c r="H751" s="2" t="n">
        <x:f>IF(ISNUMBER(F751),IF(F751&gt;=2,1,0),0)</x:f>
        <x:v>1</x:v>
      </x:c>
      <x:c r="I751" s="11" t="n">
        <x:f>IF(ISNUMBER(F751),2^F751-1,0)</x:f>
        <x:v>3</x:v>
      </x:c>
      <x:c r="J751" s="2" t="str">
        <x:v>Extension pre-run 600</x:v>
      </x:c>
      <x:c r="K751" s="10" t="n">
        <x:v>3800</x:v>
      </x:c>
      <x:c r="L751" s="10" t="n">
        <x:v>3</x:v>
      </x:c>
      <x:c r="M751" s="10" t="n">
        <x:v>990</x:v>
      </x:c>
      <x:c r="N751" s="2" t="str">
        <x:v>D19</x:v>
      </x:c>
      <x:c r="O751" s="2" t="str">
        <x:v>hdb flat</x:v>
      </x:c>
      <x:c r="P751" s="2" t="str">
        <x:v>https://www.propertyguru.com.sg/listing/hdb-for-rent-470a-upper-serangoon-crescent-500287163</x:v>
      </x:c>
      <x:c r="Q751" s="12" t="str">
        <x:v>Pre-registered source-rubric-v1; grade applied before outputs.</x:v>
      </x:c>
      <x:c r="R751" s="13"/>
    </x:row>
    <x:row r="752" ht="15" hidden="0" customHeight="1">
      <x:c r="A752" s="2" t="str">
        <x:v>S25|500288280</x:v>
      </x:c>
      <x:c r="B752" s="2" t="str">
        <x:v>S25</x:v>
      </x:c>
      <x:c r="C752" s="2" t="str">
        <x:v>500288280</x:v>
      </x:c>
      <x:c r="D752" s="2" t="n">
        <x:v>2</x:v>
      </x:c>
      <x:c r="E752" s="9"/>
      <x:c r="F752" s="2" t="n">
        <x:f>IF(E752="",D752,IF(E752="U","U",IF(AND(ISNUMBER(E752),E752&gt;=0,E752&lt;=3,INT(E752)=E752),E752,"Invalid")))</x:f>
        <x:v>2</x:v>
      </x:c>
      <x:c r="G752" s="2" t="n">
        <x:f>IF(ISNUMBER(F752),1,0)</x:f>
        <x:v>1</x:v>
      </x:c>
      <x:c r="H752" s="2" t="n">
        <x:f>IF(ISNUMBER(F752),IF(F752&gt;=2,1,0),0)</x:f>
        <x:v>1</x:v>
      </x:c>
      <x:c r="I752" s="11" t="n">
        <x:f>IF(ISNUMBER(F752),2^F752-1,0)</x:f>
        <x:v>3</x:v>
      </x:c>
      <x:c r="J752" s="2" t="str">
        <x:v>Extension pre-run 600</x:v>
      </x:c>
      <x:c r="K752" s="10" t="n">
        <x:v>3500</x:v>
      </x:c>
      <x:c r="L752" s="10" t="n">
        <x:v>3</x:v>
      </x:c>
      <x:c r="M752" s="10" t="n">
        <x:v>968</x:v>
      </x:c>
      <x:c r="N752" s="2" t="str">
        <x:v>D19</x:v>
      </x:c>
      <x:c r="O752" s="2" t="str">
        <x:v>hdb flat</x:v>
      </x:c>
      <x:c r="P752" s="2" t="str">
        <x:v>https://www.propertyguru.com.sg/listing/hdb-for-rent-260a-sengkang-east-way-500288280</x:v>
      </x:c>
      <x:c r="Q752" s="12" t="str">
        <x:v>Pre-registered source-rubric-v1; grade applied before outputs.</x:v>
      </x:c>
      <x:c r="R752" s="13"/>
    </x:row>
    <x:row r="753" ht="15" hidden="0" customHeight="1">
      <x:c r="A753" s="2" t="str">
        <x:v>S25|500285924</x:v>
      </x:c>
      <x:c r="B753" s="2" t="str">
        <x:v>S25</x:v>
      </x:c>
      <x:c r="C753" s="2" t="str">
        <x:v>500285924</x:v>
      </x:c>
      <x:c r="D753" s="2" t="n">
        <x:v>2</x:v>
      </x:c>
      <x:c r="E753" s="9"/>
      <x:c r="F753" s="2" t="n">
        <x:f>IF(E753="",D753,IF(E753="U","U",IF(AND(ISNUMBER(E753),E753&gt;=0,E753&lt;=3,INT(E753)=E753),E753,"Invalid")))</x:f>
        <x:v>2</x:v>
      </x:c>
      <x:c r="G753" s="2" t="n">
        <x:f>IF(ISNUMBER(F753),1,0)</x:f>
        <x:v>1</x:v>
      </x:c>
      <x:c r="H753" s="2" t="n">
        <x:f>IF(ISNUMBER(F753),IF(F753&gt;=2,1,0),0)</x:f>
        <x:v>1</x:v>
      </x:c>
      <x:c r="I753" s="11" t="n">
        <x:f>IF(ISNUMBER(F753),2^F753-1,0)</x:f>
        <x:v>3</x:v>
      </x:c>
      <x:c r="J753" s="2" t="str">
        <x:v>Extension pre-run 600</x:v>
      </x:c>
      <x:c r="K753" s="10" t="n">
        <x:v>3800</x:v>
      </x:c>
      <x:c r="L753" s="10" t="n">
        <x:v>3</x:v>
      </x:c>
      <x:c r="M753" s="10" t="n">
        <x:v>990</x:v>
      </x:c>
      <x:c r="N753" s="2" t="str">
        <x:v>D19</x:v>
      </x:c>
      <x:c r="O753" s="2" t="str">
        <x:v>hdb flat</x:v>
      </x:c>
      <x:c r="P753" s="2" t="str">
        <x:v>https://www.propertyguru.com.sg/listing/hdb-for-rent-264a-compassvale-bow-500285924</x:v>
      </x:c>
      <x:c r="Q753" s="12" t="str">
        <x:v>Pre-registered source-rubric-v1; grade applied before outputs.</x:v>
      </x:c>
      <x:c r="R753" s="13"/>
    </x:row>
    <x:row r="754" ht="15" hidden="0" customHeight="1">
      <x:c r="A754" s="2" t="str">
        <x:v>S25|500236567</x:v>
      </x:c>
      <x:c r="B754" s="2" t="str">
        <x:v>S25</x:v>
      </x:c>
      <x:c r="C754" s="2" t="str">
        <x:v>500236567</x:v>
      </x:c>
      <x:c r="D754" s="2" t="n">
        <x:v>2</x:v>
      </x:c>
      <x:c r="E754" s="9"/>
      <x:c r="F754" s="2" t="n">
        <x:f>IF(E754="",D754,IF(E754="U","U",IF(AND(ISNUMBER(E754),E754&gt;=0,E754&lt;=3,INT(E754)=E754),E754,"Invalid")))</x:f>
        <x:v>2</x:v>
      </x:c>
      <x:c r="G754" s="2" t="n">
        <x:f>IF(ISNUMBER(F754),1,0)</x:f>
        <x:v>1</x:v>
      </x:c>
      <x:c r="H754" s="2" t="n">
        <x:f>IF(ISNUMBER(F754),IF(F754&gt;=2,1,0),0)</x:f>
        <x:v>1</x:v>
      </x:c>
      <x:c r="I754" s="11" t="n">
        <x:f>IF(ISNUMBER(F754),2^F754-1,0)</x:f>
        <x:v>3</x:v>
      </x:c>
      <x:c r="J754" s="2" t="str">
        <x:v>Extension pre-run 600</x:v>
      </x:c>
      <x:c r="K754" s="10" t="n">
        <x:v>3666</x:v>
      </x:c>
      <x:c r="L754" s="10" t="n">
        <x:v>3</x:v>
      </x:c>
      <x:c r="M754" s="10" t="n">
        <x:v>915</x:v>
      </x:c>
      <x:c r="N754" s="2" t="str">
        <x:v>D19</x:v>
      </x:c>
      <x:c r="O754" s="2" t="str">
        <x:v>hdb flat</x:v>
      </x:c>
      <x:c r="P754" s="2" t="str">
        <x:v>https://www.propertyguru.com.sg/listing/hdb-for-rent-126c-edgedale-plains-500236567</x:v>
      </x:c>
      <x:c r="Q754" s="12" t="str">
        <x:v>Pre-registered source-rubric-v1; grade applied before outputs.</x:v>
      </x:c>
      <x:c r="R754" s="13"/>
    </x:row>
    <x:row r="755" ht="15" hidden="0" customHeight="1">
      <x:c r="A755" s="2" t="str">
        <x:v>S25|500278702</x:v>
      </x:c>
      <x:c r="B755" s="2" t="str">
        <x:v>S25</x:v>
      </x:c>
      <x:c r="C755" s="2" t="str">
        <x:v>500278702</x:v>
      </x:c>
      <x:c r="D755" s="2" t="n">
        <x:v>2</x:v>
      </x:c>
      <x:c r="E755" s="9"/>
      <x:c r="F755" s="2" t="n">
        <x:f>IF(E755="",D755,IF(E755="U","U",IF(AND(ISNUMBER(E755),E755&gt;=0,E755&lt;=3,INT(E755)=E755),E755,"Invalid")))</x:f>
        <x:v>2</x:v>
      </x:c>
      <x:c r="G755" s="2" t="n">
        <x:f>IF(ISNUMBER(F755),1,0)</x:f>
        <x:v>1</x:v>
      </x:c>
      <x:c r="H755" s="2" t="n">
        <x:f>IF(ISNUMBER(F755),IF(F755&gt;=2,1,0),0)</x:f>
        <x:v>1</x:v>
      </x:c>
      <x:c r="I755" s="11" t="n">
        <x:f>IF(ISNUMBER(F755),2^F755-1,0)</x:f>
        <x:v>3</x:v>
      </x:c>
      <x:c r="J755" s="2" t="str">
        <x:v>Extension pre-run 600</x:v>
      </x:c>
      <x:c r="K755" s="10" t="n">
        <x:v>3688</x:v>
      </x:c>
      <x:c r="L755" s="10" t="n">
        <x:v>3</x:v>
      </x:c>
      <x:c r="M755" s="10" t="n">
        <x:v>904</x:v>
      </x:c>
      <x:c r="N755" s="2" t="str">
        <x:v>D18</x:v>
      </x:c>
      <x:c r="O755" s="2" t="str">
        <x:v>hdb flat</x:v>
      </x:c>
      <x:c r="P755" s="2" t="str">
        <x:v>https://www.propertyguru.com.sg/listing/hdb-for-rent-519c-tampines-central-8-500278702</x:v>
      </x:c>
      <x:c r="Q755" s="12" t="str">
        <x:v>Pre-registered source-rubric-v1; grade applied before outputs.</x:v>
      </x:c>
      <x:c r="R755" s="13"/>
    </x:row>
    <x:row r="756" ht="15" hidden="0" customHeight="1">
      <x:c r="A756" s="2" t="str">
        <x:v>S25|500238845</x:v>
      </x:c>
      <x:c r="B756" s="2" t="str">
        <x:v>S25</x:v>
      </x:c>
      <x:c r="C756" s="2" t="str">
        <x:v>500238845</x:v>
      </x:c>
      <x:c r="D756" s="2" t="n">
        <x:v>2</x:v>
      </x:c>
      <x:c r="E756" s="9"/>
      <x:c r="F756" s="2" t="n">
        <x:f>IF(E756="",D756,IF(E756="U","U",IF(AND(ISNUMBER(E756),E756&gt;=0,E756&lt;=3,INT(E756)=E756),E756,"Invalid")))</x:f>
        <x:v>2</x:v>
      </x:c>
      <x:c r="G756" s="2" t="n">
        <x:f>IF(ISNUMBER(F756),1,0)</x:f>
        <x:v>1</x:v>
      </x:c>
      <x:c r="H756" s="2" t="n">
        <x:f>IF(ISNUMBER(F756),IF(F756&gt;=2,1,0),0)</x:f>
        <x:v>1</x:v>
      </x:c>
      <x:c r="I756" s="11" t="n">
        <x:f>IF(ISNUMBER(F756),2^F756-1,0)</x:f>
        <x:v>3</x:v>
      </x:c>
      <x:c r="J756" s="2" t="str">
        <x:v>Extension pre-run 600</x:v>
      </x:c>
      <x:c r="K756" s="10" t="n">
        <x:v>3600</x:v>
      </x:c>
      <x:c r="L756" s="10" t="n">
        <x:v>3</x:v>
      </x:c>
      <x:c r="M756" s="10" t="n">
        <x:v>990</x:v>
      </x:c>
      <x:c r="N756" s="2" t="str">
        <x:v>D19</x:v>
      </x:c>
      <x:c r="O756" s="2" t="str">
        <x:v>hdb flat</x:v>
      </x:c>
      <x:c r="P756" s="2" t="str">
        <x:v>https://www.propertyguru.com.sg/listing/hdb-for-rent-265c-compassvale-link-500238845</x:v>
      </x:c>
      <x:c r="Q756" s="12" t="str">
        <x:v>Pre-registered source-rubric-v1; grade applied before outputs.</x:v>
      </x:c>
      <x:c r="R756" s="13"/>
    </x:row>
    <x:row r="757" ht="15" hidden="0" customHeight="1">
      <x:c r="A757" s="2" t="str">
        <x:v>S25|500280174</x:v>
      </x:c>
      <x:c r="B757" s="2" t="str">
        <x:v>S25</x:v>
      </x:c>
      <x:c r="C757" s="2" t="str">
        <x:v>500280174</x:v>
      </x:c>
      <x:c r="D757" s="2" t="n">
        <x:v>2</x:v>
      </x:c>
      <x:c r="E757" s="9"/>
      <x:c r="F757" s="2" t="n">
        <x:f>IF(E757="",D757,IF(E757="U","U",IF(AND(ISNUMBER(E757),E757&gt;=0,E757&lt;=3,INT(E757)=E757),E757,"Invalid")))</x:f>
        <x:v>2</x:v>
      </x:c>
      <x:c r="G757" s="2" t="n">
        <x:f>IF(ISNUMBER(F757),1,0)</x:f>
        <x:v>1</x:v>
      </x:c>
      <x:c r="H757" s="2" t="n">
        <x:f>IF(ISNUMBER(F757),IF(F757&gt;=2,1,0),0)</x:f>
        <x:v>1</x:v>
      </x:c>
      <x:c r="I757" s="11" t="n">
        <x:f>IF(ISNUMBER(F757),2^F757-1,0)</x:f>
        <x:v>3</x:v>
      </x:c>
      <x:c r="J757" s="2" t="str">
        <x:v>Extension pre-run 600</x:v>
      </x:c>
      <x:c r="K757" s="10" t="n">
        <x:v>3200</x:v>
      </x:c>
      <x:c r="L757" s="10" t="n">
        <x:v>3</x:v>
      </x:c>
      <x:c r="M757" s="10" t="n">
        <x:v>969</x:v>
      </x:c>
      <x:c r="N757" s="2" t="str">
        <x:v>D19</x:v>
      </x:c>
      <x:c r="O757" s="2" t="str">
        <x:v>hdb flat</x:v>
      </x:c>
      <x:c r="P757" s="2" t="str">
        <x:v>https://www.propertyguru.com.sg/listing/hdb-for-rent-351d-anchorvale-road-500280174</x:v>
      </x:c>
      <x:c r="Q757" s="12" t="str">
        <x:v>Pre-registered source-rubric-v1; grade applied before outputs.</x:v>
      </x:c>
      <x:c r="R757" s="13"/>
    </x:row>
    <x:row r="758" ht="15" hidden="0" customHeight="1">
      <x:c r="A758" s="2" t="str">
        <x:v>S25|500284799</x:v>
      </x:c>
      <x:c r="B758" s="2" t="str">
        <x:v>S25</x:v>
      </x:c>
      <x:c r="C758" s="2" t="str">
        <x:v>500284799</x:v>
      </x:c>
      <x:c r="D758" s="2" t="n">
        <x:v>2</x:v>
      </x:c>
      <x:c r="E758" s="9"/>
      <x:c r="F758" s="2" t="n">
        <x:f>IF(E758="",D758,IF(E758="U","U",IF(AND(ISNUMBER(E758),E758&gt;=0,E758&lt;=3,INT(E758)=E758),E758,"Invalid")))</x:f>
        <x:v>2</x:v>
      </x:c>
      <x:c r="G758" s="2" t="n">
        <x:f>IF(ISNUMBER(F758),1,0)</x:f>
        <x:v>1</x:v>
      </x:c>
      <x:c r="H758" s="2" t="n">
        <x:f>IF(ISNUMBER(F758),IF(F758&gt;=2,1,0),0)</x:f>
        <x:v>1</x:v>
      </x:c>
      <x:c r="I758" s="11" t="n">
        <x:f>IF(ISNUMBER(F758),2^F758-1,0)</x:f>
        <x:v>3</x:v>
      </x:c>
      <x:c r="J758" s="2" t="str">
        <x:v>Extension pre-run 600</x:v>
      </x:c>
      <x:c r="K758" s="10" t="n">
        <x:v>3800</x:v>
      </x:c>
      <x:c r="L758" s="10" t="n">
        <x:v>3</x:v>
      </x:c>
      <x:c r="M758" s="10" t="n">
        <x:v>990</x:v>
      </x:c>
      <x:c r="N758" s="2" t="str">
        <x:v>D18</x:v>
      </x:c>
      <x:c r="O758" s="2" t="str">
        <x:v>hdb flat</x:v>
      </x:c>
      <x:c r="P758" s="2" t="str">
        <x:v>https://www.propertyguru.com.sg/listing/hdb-for-rent-494j-tampines-street-45-500284799</x:v>
      </x:c>
      <x:c r="Q758" s="12" t="str">
        <x:v>Pre-registered source-rubric-v1; grade applied before outputs.</x:v>
      </x:c>
      <x:c r="R758" s="13"/>
    </x:row>
    <x:row r="759" ht="15" hidden="0" customHeight="1">
      <x:c r="A759" s="2" t="str">
        <x:v>S25|500284803</x:v>
      </x:c>
      <x:c r="B759" s="2" t="str">
        <x:v>S25</x:v>
      </x:c>
      <x:c r="C759" s="2" t="str">
        <x:v>500284803</x:v>
      </x:c>
      <x:c r="D759" s="2" t="n">
        <x:v>1</x:v>
      </x:c>
      <x:c r="E759" s="9"/>
      <x:c r="F759" s="2" t="n">
        <x:f>IF(E759="",D759,IF(E759="U","U",IF(AND(ISNUMBER(E759),E759&gt;=0,E759&lt;=3,INT(E759)=E759),E759,"Invalid")))</x:f>
        <x:v>1</x:v>
      </x:c>
      <x:c r="G759" s="2" t="n">
        <x:f>IF(ISNUMBER(F759),1,0)</x:f>
        <x:v>1</x:v>
      </x:c>
      <x:c r="H759" s="2" t="n">
        <x:f>IF(ISNUMBER(F759),IF(F759&gt;=2,1,0),0)</x:f>
        <x:v>0</x:v>
      </x:c>
      <x:c r="I759" s="11" t="n">
        <x:f>IF(ISNUMBER(F759),2^F759-1,0)</x:f>
        <x:v>1</x:v>
      </x:c>
      <x:c r="J759" s="2" t="str">
        <x:v>Extension pre-run 600</x:v>
      </x:c>
      <x:c r="K759" s="10" t="n">
        <x:v>3700</x:v>
      </x:c>
      <x:c r="L759" s="10" t="n">
        <x:v>3</x:v>
      </x:c>
      <x:c r="M759" s="10" t="n">
        <x:v>1119</x:v>
      </x:c>
      <x:c r="N759" s="2" t="str">
        <x:v>D22</x:v>
      </x:c>
      <x:c r="O759" s="2" t="str">
        <x:v>hdb flat</x:v>
      </x:c>
      <x:c r="P759" s="2" t="str">
        <x:v>https://www.propertyguru.com.sg/listing/hdb-for-rent-856-jurong-west-street-81-500284803</x:v>
      </x:c>
      <x:c r="Q759" s="12" t="str">
        <x:v>Pre-registered source-rubric-v1; grade applied before outputs.</x:v>
      </x:c>
      <x:c r="R759" s="13"/>
    </x:row>
    <x:row r="760" ht="15" hidden="0" customHeight="1">
      <x:c r="A760" s="2" t="str">
        <x:v>S25|500020165</x:v>
      </x:c>
      <x:c r="B760" s="2" t="str">
        <x:v>S25</x:v>
      </x:c>
      <x:c r="C760" s="2" t="str">
        <x:v>500020165</x:v>
      </x:c>
      <x:c r="D760" s="2" t="n">
        <x:v>1</x:v>
      </x:c>
      <x:c r="E760" s="9"/>
      <x:c r="F760" s="2" t="n">
        <x:f>IF(E760="",D760,IF(E760="U","U",IF(AND(ISNUMBER(E760),E760&gt;=0,E760&lt;=3,INT(E760)=E760),E760,"Invalid")))</x:f>
        <x:v>1</x:v>
      </x:c>
      <x:c r="G760" s="2" t="n">
        <x:f>IF(ISNUMBER(F760),1,0)</x:f>
        <x:v>1</x:v>
      </x:c>
      <x:c r="H760" s="2" t="n">
        <x:f>IF(ISNUMBER(F760),IF(F760&gt;=2,1,0),0)</x:f>
        <x:v>0</x:v>
      </x:c>
      <x:c r="I760" s="11" t="n">
        <x:f>IF(ISNUMBER(F760),2^F760-1,0)</x:f>
        <x:v>1</x:v>
      </x:c>
      <x:c r="J760" s="2" t="str">
        <x:v>Extension pre-run 600</x:v>
      </x:c>
      <x:c r="K760" s="10" t="n">
        <x:v>3450</x:v>
      </x:c>
      <x:c r="L760" s="10" t="n">
        <x:v>3</x:v>
      </x:c>
      <x:c r="M760" s="10" t="n">
        <x:v>1109</x:v>
      </x:c>
      <x:c r="N760" s="2" t="str">
        <x:v>D23</x:v>
      </x:c>
      <x:c r="O760" s="2" t="str">
        <x:v>hdb flat</x:v>
      </x:c>
      <x:c r="P760" s="2" t="str">
        <x:v>https://www.propertyguru.com.sg/listing/hdb-for-rent-401-choa-chu-kang-avenue-3-500020165</x:v>
      </x:c>
      <x:c r="Q760" s="12" t="str">
        <x:v>Pre-registered source-rubric-v1; grade applied before outputs.</x:v>
      </x:c>
      <x:c r="R760" s="13"/>
    </x:row>
    <x:row r="761" ht="15" hidden="0" customHeight="1">
      <x:c r="A761" s="2" t="str">
        <x:v>S25|500165416</x:v>
      </x:c>
      <x:c r="B761" s="2" t="str">
        <x:v>S25</x:v>
      </x:c>
      <x:c r="C761" s="2" t="str">
        <x:v>500165416</x:v>
      </x:c>
      <x:c r="D761" s="2" t="n">
        <x:v>1</x:v>
      </x:c>
      <x:c r="E761" s="9"/>
      <x:c r="F761" s="2" t="n">
        <x:f>IF(E761="",D761,IF(E761="U","U",IF(AND(ISNUMBER(E761),E761&gt;=0,E761&lt;=3,INT(E761)=E761),E761,"Invalid")))</x:f>
        <x:v>1</x:v>
      </x:c>
      <x:c r="G761" s="2" t="n">
        <x:f>IF(ISNUMBER(F761),1,0)</x:f>
        <x:v>1</x:v>
      </x:c>
      <x:c r="H761" s="2" t="n">
        <x:f>IF(ISNUMBER(F761),IF(F761&gt;=2,1,0),0)</x:f>
        <x:v>0</x:v>
      </x:c>
      <x:c r="I761" s="11" t="n">
        <x:f>IF(ISNUMBER(F761),2^F761-1,0)</x:f>
        <x:v>1</x:v>
      </x:c>
      <x:c r="J761" s="2" t="str">
        <x:v>Extension pre-run 600</x:v>
      </x:c>
      <x:c r="K761" s="10" t="n">
        <x:v>3600</x:v>
      </x:c>
      <x:c r="L761" s="10" t="n">
        <x:v>3</x:v>
      </x:c>
      <x:c r="M761" s="10" t="n">
        <x:v>1119</x:v>
      </x:c>
      <x:c r="N761" s="2" t="str">
        <x:v>D23</x:v>
      </x:c>
      <x:c r="O761" s="2" t="str">
        <x:v>hdb flat</x:v>
      </x:c>
      <x:c r="P761" s="2" t="str">
        <x:v>https://www.propertyguru.com.sg/listing/hdb-for-rent-223-choa-chu-kang-central-500165416</x:v>
      </x:c>
      <x:c r="Q761" s="12" t="str">
        <x:v>Pre-registered source-rubric-v1; grade applied before outputs.</x:v>
      </x:c>
      <x:c r="R761" s="13"/>
    </x:row>
    <x:row r="762" ht="15" hidden="0" customHeight="1">
      <x:c r="A762" s="2" t="str">
        <x:v>S25|20258396</x:v>
      </x:c>
      <x:c r="B762" s="2" t="str">
        <x:v>S25</x:v>
      </x:c>
      <x:c r="C762" s="2" t="str">
        <x:v>20258396</x:v>
      </x:c>
      <x:c r="D762" s="2" t="n">
        <x:v>1</x:v>
      </x:c>
      <x:c r="E762" s="9"/>
      <x:c r="F762" s="2" t="n">
        <x:f>IF(E762="",D762,IF(E762="U","U",IF(AND(ISNUMBER(E762),E762&gt;=0,E762&lt;=3,INT(E762)=E762),E762,"Invalid")))</x:f>
        <x:v>1</x:v>
      </x:c>
      <x:c r="G762" s="2" t="n">
        <x:f>IF(ISNUMBER(F762),1,0)</x:f>
        <x:v>1</x:v>
      </x:c>
      <x:c r="H762" s="2" t="n">
        <x:f>IF(ISNUMBER(F762),IF(F762&gt;=2,1,0),0)</x:f>
        <x:v>0</x:v>
      </x:c>
      <x:c r="I762" s="11" t="n">
        <x:f>IF(ISNUMBER(F762),2^F762-1,0)</x:f>
        <x:v>1</x:v>
      </x:c>
      <x:c r="J762" s="2" t="str">
        <x:v>Extension pre-run 600</x:v>
      </x:c>
      <x:c r="K762" s="10" t="n">
        <x:v>3300</x:v>
      </x:c>
      <x:c r="L762" s="10" t="n">
        <x:v>3</x:v>
      </x:c>
      <x:c r="M762" s="10" t="n">
        <x:v>721</x:v>
      </x:c>
      <x:c r="N762" s="2" t="str">
        <x:v>D12</x:v>
      </x:c>
      <x:c r="O762" s="2" t="str">
        <x:v>hdb flat</x:v>
      </x:c>
      <x:c r="P762" s="2" t="str">
        <x:v>https://www.propertyguru.com.sg/listing/hdb-for-rent-17-lorong-7-toa-payoh-20258396</x:v>
      </x:c>
      <x:c r="Q762" s="12" t="str">
        <x:v>Pre-registered source-rubric-v1; grade applied before outputs.</x:v>
      </x:c>
      <x:c r="R762" s="13"/>
    </x:row>
    <x:row r="763" ht="15" hidden="0" customHeight="1">
      <x:c r="A763" s="2" t="str">
        <x:v>S25|500236697</x:v>
      </x:c>
      <x:c r="B763" s="2" t="str">
        <x:v>S25</x:v>
      </x:c>
      <x:c r="C763" s="2" t="str">
        <x:v>500236697</x:v>
      </x:c>
      <x:c r="D763" s="2" t="n">
        <x:v>1</x:v>
      </x:c>
      <x:c r="E763" s="9"/>
      <x:c r="F763" s="2" t="n">
        <x:f>IF(E763="",D763,IF(E763="U","U",IF(AND(ISNUMBER(E763),E763&gt;=0,E763&lt;=3,INT(E763)=E763),E763,"Invalid")))</x:f>
        <x:v>1</x:v>
      </x:c>
      <x:c r="G763" s="2" t="n">
        <x:f>IF(ISNUMBER(F763),1,0)</x:f>
        <x:v>1</x:v>
      </x:c>
      <x:c r="H763" s="2" t="n">
        <x:f>IF(ISNUMBER(F763),IF(F763&gt;=2,1,0),0)</x:f>
        <x:v>0</x:v>
      </x:c>
      <x:c r="I763" s="11" t="n">
        <x:f>IF(ISNUMBER(F763),2^F763-1,0)</x:f>
        <x:v>1</x:v>
      </x:c>
      <x:c r="J763" s="2" t="str">
        <x:v>Extension pre-run 600</x:v>
      </x:c>
      <x:c r="K763" s="10" t="n">
        <x:v>3600</x:v>
      </x:c>
      <x:c r="L763" s="10" t="n">
        <x:v>3</x:v>
      </x:c>
      <x:c r="M763" s="10" t="n">
        <x:v>1421</x:v>
      </x:c>
      <x:c r="N763" s="2" t="str">
        <x:v>D25</x:v>
      </x:c>
      <x:c r="O763" s="2" t="str">
        <x:v>hdb flat</x:v>
      </x:c>
      <x:c r="P763" s="2" t="str">
        <x:v>https://www.propertyguru.com.sg/listing/hdb-for-rent-844-woodlands-avenue-4-500236697</x:v>
      </x:c>
      <x:c r="Q763" s="12" t="str">
        <x:v>Pre-registered source-rubric-v1; grade applied before outputs.</x:v>
      </x:c>
      <x:c r="R763" s="13"/>
    </x:row>
    <x:row r="764" ht="15" hidden="0" customHeight="1">
      <x:c r="A764" s="2" t="str">
        <x:v>S25|500257911</x:v>
      </x:c>
      <x:c r="B764" s="2" t="str">
        <x:v>S25</x:v>
      </x:c>
      <x:c r="C764" s="2" t="str">
        <x:v>500257911</x:v>
      </x:c>
      <x:c r="D764" s="2" t="n">
        <x:v>1</x:v>
      </x:c>
      <x:c r="E764" s="9"/>
      <x:c r="F764" s="2" t="n">
        <x:f>IF(E764="",D764,IF(E764="U","U",IF(AND(ISNUMBER(E764),E764&gt;=0,E764&lt;=3,INT(E764)=E764),E764,"Invalid")))</x:f>
        <x:v>1</x:v>
      </x:c>
      <x:c r="G764" s="2" t="n">
        <x:f>IF(ISNUMBER(F764),1,0)</x:f>
        <x:v>1</x:v>
      </x:c>
      <x:c r="H764" s="2" t="n">
        <x:f>IF(ISNUMBER(F764),IF(F764&gt;=2,1,0),0)</x:f>
        <x:v>0</x:v>
      </x:c>
      <x:c r="I764" s="11" t="n">
        <x:f>IF(ISNUMBER(F764),2^F764-1,0)</x:f>
        <x:v>1</x:v>
      </x:c>
      <x:c r="J764" s="2" t="str">
        <x:v>Extension pre-run 600</x:v>
      </x:c>
      <x:c r="K764" s="10" t="n">
        <x:v>3500</x:v>
      </x:c>
      <x:c r="L764" s="10" t="n">
        <x:v>3</x:v>
      </x:c>
      <x:c r="M764" s="10" t="n">
        <x:v>990</x:v>
      </x:c>
      <x:c r="N764" s="2" t="str">
        <x:v>D23</x:v>
      </x:c>
      <x:c r="O764" s="2" t="str">
        <x:v>hdb flat</x:v>
      </x:c>
      <x:c r="P764" s="2" t="str">
        <x:v>https://www.propertyguru.com.sg/listing/hdb-for-rent-391-bukit-batok-west-avenue-5-500257911</x:v>
      </x:c>
      <x:c r="Q764" s="12" t="str">
        <x:v>Pre-registered source-rubric-v1; grade applied before outputs.</x:v>
      </x:c>
      <x:c r="R764" s="13"/>
    </x:row>
    <x:row r="765" ht="15" hidden="0" customHeight="1">
      <x:c r="A765" s="2" t="str">
        <x:v>S25|500256014</x:v>
      </x:c>
      <x:c r="B765" s="2" t="str">
        <x:v>S25</x:v>
      </x:c>
      <x:c r="C765" s="2" t="str">
        <x:v>500256014</x:v>
      </x:c>
      <x:c r="D765" s="2" t="n">
        <x:v>0</x:v>
      </x:c>
      <x:c r="E765" s="9"/>
      <x:c r="F765" s="2" t="n">
        <x:f>IF(E765="",D765,IF(E765="U","U",IF(AND(ISNUMBER(E765),E765&gt;=0,E765&lt;=3,INT(E765)=E765),E765,"Invalid")))</x:f>
        <x:v>0</x:v>
      </x:c>
      <x:c r="G765" s="2" t="n">
        <x:f>IF(ISNUMBER(F765),1,0)</x:f>
        <x:v>1</x:v>
      </x:c>
      <x:c r="H765" s="2" t="n">
        <x:f>IF(ISNUMBER(F765),IF(F765&gt;=2,1,0),0)</x:f>
        <x:v>0</x:v>
      </x:c>
      <x:c r="I765" s="11" t="n">
        <x:f>IF(ISNUMBER(F765),2^F765-1,0)</x:f>
        <x:v>0</x:v>
      </x:c>
      <x:c r="J765" s="2" t="str">
        <x:v>Extension pre-run 600</x:v>
      </x:c>
      <x:c r="K765" s="10" t="n">
        <x:v>4500</x:v>
      </x:c>
      <x:c r="L765" s="10" t="n">
        <x:v>3</x:v>
      </x:c>
      <x:c r="M765" s="10" t="n">
        <x:v>1184</x:v>
      </x:c>
      <x:c r="N765" s="2" t="str">
        <x:v>D12</x:v>
      </x:c>
      <x:c r="O765" s="2" t="str">
        <x:v>hdb flat</x:v>
      </x:c>
      <x:c r="P765" s="2" t="str">
        <x:v>https://www.propertyguru.com.sg/listing/hdb-for-rent-144-lorong-2-toa-payoh-500256014</x:v>
      </x:c>
      <x:c r="Q765" s="12" t="str">
        <x:v>Pre-registered source-rubric-v1; grade applied before outputs.</x:v>
      </x:c>
      <x:c r="R765" s="13"/>
    </x:row>
    <x:row r="766" ht="15" hidden="0" customHeight="1">
      <x:c r="A766" s="2" t="str">
        <x:v>S25|500271631</x:v>
      </x:c>
      <x:c r="B766" s="2" t="str">
        <x:v>S25</x:v>
      </x:c>
      <x:c r="C766" s="2" t="str">
        <x:v>500271631</x:v>
      </x:c>
      <x:c r="D766" s="2" t="n">
        <x:v>0</x:v>
      </x:c>
      <x:c r="E766" s="9"/>
      <x:c r="F766" s="2" t="n">
        <x:f>IF(E766="",D766,IF(E766="U","U",IF(AND(ISNUMBER(E766),E766&gt;=0,E766&lt;=3,INT(E766)=E766),E766,"Invalid")))</x:f>
        <x:v>0</x:v>
      </x:c>
      <x:c r="G766" s="2" t="n">
        <x:f>IF(ISNUMBER(F766),1,0)</x:f>
        <x:v>1</x:v>
      </x:c>
      <x:c r="H766" s="2" t="n">
        <x:f>IF(ISNUMBER(F766),IF(F766&gt;=2,1,0),0)</x:f>
        <x:v>0</x:v>
      </x:c>
      <x:c r="I766" s="11" t="n">
        <x:f>IF(ISNUMBER(F766),2^F766-1,0)</x:f>
        <x:v>0</x:v>
      </x:c>
      <x:c r="J766" s="2" t="str">
        <x:v>Extension pre-run 600</x:v>
      </x:c>
      <x:c r="K766" s="10" t="n">
        <x:v>4100</x:v>
      </x:c>
      <x:c r="L766" s="10" t="n">
        <x:v>2</x:v>
      </x:c>
      <x:c r="M766" s="10" t="n">
        <x:v>818</x:v>
      </x:c>
      <x:c r="N766" s="2" t="str">
        <x:v>D15</x:v>
      </x:c>
      <x:c r="O766" s="2" t="str">
        <x:v>condominium</x:v>
      </x:c>
      <x:c r="P766" s="2" t="str">
        <x:v>https://www.propertyguru.com.sg/listing/for-rent-flamingo-valley-500271631</x:v>
      </x:c>
      <x:c r="Q766" s="12" t="str">
        <x:v>Pre-registered source-rubric-v1; grade applied before outputs.</x:v>
      </x:c>
      <x:c r="R766" s="13"/>
    </x:row>
    <x:row r="767" ht="15" hidden="0" customHeight="1">
      <x:c r="A767" s="2" t="str">
        <x:v>S25|25347568</x:v>
      </x:c>
      <x:c r="B767" s="2" t="str">
        <x:v>S25</x:v>
      </x:c>
      <x:c r="C767" s="2" t="str">
        <x:v>25347568</x:v>
      </x:c>
      <x:c r="D767" s="2" t="n">
        <x:v>0</x:v>
      </x:c>
      <x:c r="E767" s="9"/>
      <x:c r="F767" s="2" t="n">
        <x:f>IF(E767="",D767,IF(E767="U","U",IF(AND(ISNUMBER(E767),E767&gt;=0,E767&lt;=3,INT(E767)=E767),E767,"Invalid")))</x:f>
        <x:v>0</x:v>
      </x:c>
      <x:c r="G767" s="2" t="n">
        <x:f>IF(ISNUMBER(F767),1,0)</x:f>
        <x:v>1</x:v>
      </x:c>
      <x:c r="H767" s="2" t="n">
        <x:f>IF(ISNUMBER(F767),IF(F767&gt;=2,1,0),0)</x:f>
        <x:v>0</x:v>
      </x:c>
      <x:c r="I767" s="11" t="n">
        <x:f>IF(ISNUMBER(F767),2^F767-1,0)</x:f>
        <x:v>0</x:v>
      </x:c>
      <x:c r="J767" s="2" t="str">
        <x:v>Extension pre-run 600</x:v>
      </x:c>
      <x:c r="K767" s="10" t="n">
        <x:v>1310</x:v>
      </x:c>
      <x:c r="L767" s="10" t="n">
        <x:v>0</x:v>
      </x:c>
      <x:c r="M767" s="10"/>
      <x:c r="N767" s="2" t="str">
        <x:v>D05</x:v>
      </x:c>
      <x:c r="O767" s="2" t="str">
        <x:v>apartment</x:v>
      </x:c>
      <x:c r="P767" s="2" t="str">
        <x:v>https://www.propertyguru.com.sg/listing/for-rent-the-rochester-residences-25347568</x:v>
      </x:c>
      <x:c r="Q767" s="12" t="str">
        <x:v>Pre-registered source-rubric-v1; grade applied before outputs.</x:v>
      </x:c>
      <x:c r="R767" s="13"/>
    </x:row>
    <x:row r="768" ht="15" hidden="0" customHeight="1">
      <x:c r="A768" s="2" t="str">
        <x:v>S25|500282722</x:v>
      </x:c>
      <x:c r="B768" s="2" t="str">
        <x:v>S25</x:v>
      </x:c>
      <x:c r="C768" s="2" t="str">
        <x:v>500282722</x:v>
      </x:c>
      <x:c r="D768" s="2" t="n">
        <x:v>0</x:v>
      </x:c>
      <x:c r="E768" s="9"/>
      <x:c r="F768" s="2" t="n">
        <x:f>IF(E768="",D768,IF(E768="U","U",IF(AND(ISNUMBER(E768),E768&gt;=0,E768&lt;=3,INT(E768)=E768),E768,"Invalid")))</x:f>
        <x:v>0</x:v>
      </x:c>
      <x:c r="G768" s="2" t="n">
        <x:f>IF(ISNUMBER(F768),1,0)</x:f>
        <x:v>1</x:v>
      </x:c>
      <x:c r="H768" s="2" t="n">
        <x:f>IF(ISNUMBER(F768),IF(F768&gt;=2,1,0),0)</x:f>
        <x:v>0</x:v>
      </x:c>
      <x:c r="I768" s="11" t="n">
        <x:f>IF(ISNUMBER(F768),2^F768-1,0)</x:f>
        <x:v>0</x:v>
      </x:c>
      <x:c r="J768" s="2" t="str">
        <x:v>Extension pre-run 600</x:v>
      </x:c>
      <x:c r="K768" s="10" t="n">
        <x:v>4000</x:v>
      </x:c>
      <x:c r="L768" s="10" t="n">
        <x:v>1</x:v>
      </x:c>
      <x:c r="M768" s="10" t="n">
        <x:v>592</x:v>
      </x:c>
      <x:c r="N768" s="2" t="str">
        <x:v>D05</x:v>
      </x:c>
      <x:c r="O768" s="2" t="str">
        <x:v>apartment</x:v>
      </x:c>
      <x:c r="P768" s="2" t="str">
        <x:v>https://www.propertyguru.com.sg/listing/for-rent-one-north-residences-500282722</x:v>
      </x:c>
      <x:c r="Q768" s="12" t="str">
        <x:v>Pre-registered source-rubric-v1; grade applied before outputs.</x:v>
      </x:c>
      <x:c r="R768" s="13"/>
    </x:row>
    <x:row r="769" ht="15" hidden="0" customHeight="1">
      <x:c r="A769" s="2" t="str">
        <x:v>S25|24915699</x:v>
      </x:c>
      <x:c r="B769" s="2" t="str">
        <x:v>S25</x:v>
      </x:c>
      <x:c r="C769" s="2" t="str">
        <x:v>24915699</x:v>
      </x:c>
      <x:c r="D769" s="2" t="n">
        <x:v>0</x:v>
      </x:c>
      <x:c r="E769" s="9"/>
      <x:c r="F769" s="2" t="n">
        <x:f>IF(E769="",D769,IF(E769="U","U",IF(AND(ISNUMBER(E769),E769&gt;=0,E769&lt;=3,INT(E769)=E769),E769,"Invalid")))</x:f>
        <x:v>0</x:v>
      </x:c>
      <x:c r="G769" s="2" t="n">
        <x:f>IF(ISNUMBER(F769),1,0)</x:f>
        <x:v>1</x:v>
      </x:c>
      <x:c r="H769" s="2" t="n">
        <x:f>IF(ISNUMBER(F769),IF(F769&gt;=2,1,0),0)</x:f>
        <x:v>0</x:v>
      </x:c>
      <x:c r="I769" s="11" t="n">
        <x:f>IF(ISNUMBER(F769),2^F769-1,0)</x:f>
        <x:v>0</x:v>
      </x:c>
      <x:c r="J769" s="2" t="str">
        <x:v>Extension pre-run 600</x:v>
      </x:c>
      <x:c r="K769" s="10" t="n">
        <x:v>3400</x:v>
      </x:c>
      <x:c r="L769" s="10" t="n">
        <x:v>1</x:v>
      </x:c>
      <x:c r="M769" s="10" t="n">
        <x:v>355</x:v>
      </x:c>
      <x:c r="N769" s="2" t="str">
        <x:v>D09</x:v>
      </x:c>
      <x:c r="O769" s="2" t="str">
        <x:v>condominium</x:v>
      </x:c>
      <x:c r="P769" s="2" t="str">
        <x:v>https://www.propertyguru.com.sg/listing/for-rent-espada-24915699</x:v>
      </x:c>
      <x:c r="Q769" s="12" t="str">
        <x:v>Pre-registered source-rubric-v1; grade applied before outputs.</x:v>
      </x:c>
      <x:c r="R769" s="13"/>
    </x:row>
    <x:row r="770" ht="15" hidden="0" customHeight="1">
      <x:c r="A770" s="2" t="str">
        <x:v>S25|500276343</x:v>
      </x:c>
      <x:c r="B770" s="2" t="str">
        <x:v>S25</x:v>
      </x:c>
      <x:c r="C770" s="2" t="str">
        <x:v>500276343</x:v>
      </x:c>
      <x:c r="D770" s="2" t="n">
        <x:v>0</x:v>
      </x:c>
      <x:c r="E770" s="9"/>
      <x:c r="F770" s="2" t="n">
        <x:f>IF(E770="",D770,IF(E770="U","U",IF(AND(ISNUMBER(E770),E770&gt;=0,E770&lt;=3,INT(E770)=E770),E770,"Invalid")))</x:f>
        <x:v>0</x:v>
      </x:c>
      <x:c r="G770" s="2" t="n">
        <x:f>IF(ISNUMBER(F770),1,0)</x:f>
        <x:v>1</x:v>
      </x:c>
      <x:c r="H770" s="2" t="n">
        <x:f>IF(ISNUMBER(F770),IF(F770&gt;=2,1,0),0)</x:f>
        <x:v>0</x:v>
      </x:c>
      <x:c r="I770" s="11" t="n">
        <x:f>IF(ISNUMBER(F770),2^F770-1,0)</x:f>
        <x:v>0</x:v>
      </x:c>
      <x:c r="J770" s="2" t="str">
        <x:v>Extension pre-run 600</x:v>
      </x:c>
      <x:c r="K770" s="10" t="n">
        <x:v>900</x:v>
      </x:c>
      <x:c r="L770" s="10" t="n">
        <x:v>0</x:v>
      </x:c>
      <x:c r="M770" s="10"/>
      <x:c r="N770" s="2" t="str">
        <x:v>D19</x:v>
      </x:c>
      <x:c r="O770" s="2" t="str">
        <x:v>hdb flat</x:v>
      </x:c>
      <x:c r="P770" s="2" t="str">
        <x:v>https://www.propertyguru.com.sg/listing/hdb-for-rent-323c-sengkang-east-way-500276343</x:v>
      </x:c>
      <x:c r="Q770" s="12" t="str">
        <x:v>Pre-registered source-rubric-v1; grade applied before outputs.</x:v>
      </x:c>
      <x:c r="R770" s="13"/>
    </x:row>
    <x:row r="771" ht="15" hidden="0" customHeight="1">
      <x:c r="A771" s="2" t="str">
        <x:v>S25|500272910</x:v>
      </x:c>
      <x:c r="B771" s="2" t="str">
        <x:v>S25</x:v>
      </x:c>
      <x:c r="C771" s="2" t="str">
        <x:v>500272910</x:v>
      </x:c>
      <x:c r="D771" s="2" t="n">
        <x:v>0</x:v>
      </x:c>
      <x:c r="E771" s="9"/>
      <x:c r="F771" s="2" t="n">
        <x:f>IF(E771="",D771,IF(E771="U","U",IF(AND(ISNUMBER(E771),E771&gt;=0,E771&lt;=3,INT(E771)=E771),E771,"Invalid")))</x:f>
        <x:v>0</x:v>
      </x:c>
      <x:c r="G771" s="2" t="n">
        <x:f>IF(ISNUMBER(F771),1,0)</x:f>
        <x:v>1</x:v>
      </x:c>
      <x:c r="H771" s="2" t="n">
        <x:f>IF(ISNUMBER(F771),IF(F771&gt;=2,1,0),0)</x:f>
        <x:v>0</x:v>
      </x:c>
      <x:c r="I771" s="11" t="n">
        <x:f>IF(ISNUMBER(F771),2^F771-1,0)</x:f>
        <x:v>0</x:v>
      </x:c>
      <x:c r="J771" s="2" t="str">
        <x:v>Extension pre-run 600</x:v>
      </x:c>
      <x:c r="K771" s="10" t="n">
        <x:v>1700</x:v>
      </x:c>
      <x:c r="L771" s="10" t="n">
        <x:v>0</x:v>
      </x:c>
      <x:c r="M771" s="10"/>
      <x:c r="N771" s="2" t="str">
        <x:v>D16</x:v>
      </x:c>
      <x:c r="O771" s="2" t="str">
        <x:v>hdb flat</x:v>
      </x:c>
      <x:c r="P771" s="2" t="str">
        <x:v>https://www.propertyguru.com.sg/listing/hdb-for-rent-505-bedok-north-avenue-3-500272910</x:v>
      </x:c>
      <x:c r="Q771" s="12" t="str">
        <x:v>Pre-registered source-rubric-v1; grade applied before outputs.</x:v>
      </x:c>
      <x:c r="R771" s="13"/>
    </x:row>
    <x:row r="772" ht="15" hidden="0" customHeight="1">
      <x:c r="A772" s="2" t="str">
        <x:v>S25|500035142</x:v>
      </x:c>
      <x:c r="B772" s="2" t="str">
        <x:v>S25</x:v>
      </x:c>
      <x:c r="C772" s="2" t="str">
        <x:v>500035142</x:v>
      </x:c>
      <x:c r="D772" s="2" t="n">
        <x:v>0</x:v>
      </x:c>
      <x:c r="E772" s="9"/>
      <x:c r="F772" s="2" t="n">
        <x:f>IF(E772="",D772,IF(E772="U","U",IF(AND(ISNUMBER(E772),E772&gt;=0,E772&lt;=3,INT(E772)=E772),E772,"Invalid")))</x:f>
        <x:v>0</x:v>
      </x:c>
      <x:c r="G772" s="2" t="n">
        <x:f>IF(ISNUMBER(F772),1,0)</x:f>
        <x:v>1</x:v>
      </x:c>
      <x:c r="H772" s="2" t="n">
        <x:f>IF(ISNUMBER(F772),IF(F772&gt;=2,1,0),0)</x:f>
        <x:v>0</x:v>
      </x:c>
      <x:c r="I772" s="11" t="n">
        <x:f>IF(ISNUMBER(F772),2^F772-1,0)</x:f>
        <x:v>0</x:v>
      </x:c>
      <x:c r="J772" s="2" t="str">
        <x:v>Extension pre-run 600</x:v>
      </x:c>
      <x:c r="K772" s="10" t="n">
        <x:v>19800</x:v>
      </x:c>
      <x:c r="L772" s="10" t="n">
        <x:v>5</x:v>
      </x:c>
      <x:c r="M772" s="10" t="n">
        <x:v>3650</x:v>
      </x:c>
      <x:c r="N772" s="2" t="str">
        <x:v>D10</x:v>
      </x:c>
      <x:c r="O772" s="2" t="str">
        <x:v>condominium</x:v>
      </x:c>
      <x:c r="P772" s="2" t="str">
        <x:v>https://www.propertyguru.com.sg/listing/for-rent-regency-park-500035142</x:v>
      </x:c>
      <x:c r="Q772" s="12" t="str">
        <x:v>Pre-registered source-rubric-v1; grade applied before outputs.</x:v>
      </x:c>
      <x:c r="R772" s="13"/>
    </x:row>
    <x:row r="773" ht="15" hidden="0" customHeight="1">
      <x:c r="A773" s="2" t="str">
        <x:v>S25|500269938</x:v>
      </x:c>
      <x:c r="B773" s="2" t="str">
        <x:v>S25</x:v>
      </x:c>
      <x:c r="C773" s="2" t="str">
        <x:v>500269938</x:v>
      </x:c>
      <x:c r="D773" s="2" t="str">
        <x:v>U</x:v>
      </x:c>
      <x:c r="E773" s="9"/>
      <x:c r="F773" s="2" t="str">
        <x:f>IF(E773="",D773,IF(E773="U","U",IF(AND(ISNUMBER(E773),E773&gt;=0,E773&lt;=3,INT(E773)=E773),E773,"Invalid")))</x:f>
        <x:v>U</x:v>
      </x:c>
      <x:c r="G773" s="2" t="n">
        <x:f>IF(ISNUMBER(F773),1,0)</x:f>
        <x:v>0</x:v>
      </x:c>
      <x:c r="H773" s="2" t="n">
        <x:f>IF(ISNUMBER(F773),IF(F773&gt;=2,1,0),0)</x:f>
        <x:v>0</x:v>
      </x:c>
      <x:c r="I773" s="11" t="n">
        <x:f>IF(ISNUMBER(F773),2^F773-1,0)</x:f>
        <x:v>0</x:v>
      </x:c>
      <x:c r="J773" s="2" t="str">
        <x:v>Extension pre-run 600</x:v>
      </x:c>
      <x:c r="K773" s="10" t="n">
        <x:v>1750</x:v>
      </x:c>
      <x:c r="L773" s="10"/>
      <x:c r="M773" s="10" t="n">
        <x:v>204</x:v>
      </x:c>
      <x:c r="N773" s="2" t="str">
        <x:v>D19</x:v>
      </x:c>
      <x:c r="O773" s="2" t="str">
        <x:v>hdb flat</x:v>
      </x:c>
      <x:c r="P773" s="2" t="str">
        <x:v>https://www.propertyguru.com.sg/listing/hdb-for-rent-250d-compassvale-street-500269938</x:v>
      </x:c>
      <x:c r="Q773" s="12" t="str">
        <x:v>Pre-registered source-rubric-v1; grade applied before outputs.</x:v>
      </x:c>
      <x:c r="R773" s="13"/>
    </x:row>
    <x:row r="774" ht="15" hidden="0" customHeight="1">
      <x:c r="A774" s="2" t="str">
        <x:v>S25|24536936</x:v>
      </x:c>
      <x:c r="B774" s="2" t="str">
        <x:v>S25</x:v>
      </x:c>
      <x:c r="C774" s="2" t="str">
        <x:v>24536936</x:v>
      </x:c>
      <x:c r="D774" s="2" t="str">
        <x:v>U</x:v>
      </x:c>
      <x:c r="E774" s="9"/>
      <x:c r="F774" s="2" t="str">
        <x:f>IF(E774="",D774,IF(E774="U","U",IF(AND(ISNUMBER(E774),E774&gt;=0,E774&lt;=3,INT(E774)=E774),E774,"Invalid")))</x:f>
        <x:v>U</x:v>
      </x:c>
      <x:c r="G774" s="2" t="n">
        <x:f>IF(ISNUMBER(F774),1,0)</x:f>
        <x:v>0</x:v>
      </x:c>
      <x:c r="H774" s="2" t="n">
        <x:f>IF(ISNUMBER(F774),IF(F774&gt;=2,1,0),0)</x:f>
        <x:v>0</x:v>
      </x:c>
      <x:c r="I774" s="11" t="n">
        <x:f>IF(ISNUMBER(F774),2^F774-1,0)</x:f>
        <x:v>0</x:v>
      </x:c>
      <x:c r="J774" s="2" t="str">
        <x:v>Extension pre-run 600</x:v>
      </x:c>
      <x:c r="K774" s="10" t="n">
        <x:v>1900</x:v>
      </x:c>
      <x:c r="L774" s="10"/>
      <x:c r="M774" s="10" t="n">
        <x:v>160</x:v>
      </x:c>
      <x:c r="N774" s="2" t="str">
        <x:v>D20</x:v>
      </x:c>
      <x:c r="O774" s="2" t="str">
        <x:v>hdb flat</x:v>
      </x:c>
      <x:c r="P774" s="2" t="str">
        <x:v>https://www.propertyguru.com.sg/listing/hdb-for-rent-531-ang-mo-kio-avenue-10-24536936</x:v>
      </x:c>
      <x:c r="Q774" s="12" t="str">
        <x:v>Pre-registered source-rubric-v1; grade applied before outputs.</x:v>
      </x:c>
      <x:c r="R774" s="13"/>
    </x:row>
    <x:row r="775" ht="15" hidden="0" customHeight="1">
      <x:c r="A775" s="2" t="str">
        <x:v>S26|500262756</x:v>
      </x:c>
      <x:c r="B775" s="2" t="str">
        <x:v>S26</x:v>
      </x:c>
      <x:c r="C775" s="2" t="str">
        <x:v>500262756</x:v>
      </x:c>
      <x:c r="D775" s="2" t="n">
        <x:v>2</x:v>
      </x:c>
      <x:c r="E775" s="9"/>
      <x:c r="F775" s="2" t="n">
        <x:f>IF(E775="",D775,IF(E775="U","U",IF(AND(ISNUMBER(E775),E775&gt;=0,E775&lt;=3,INT(E775)=E775),E775,"Invalid")))</x:f>
        <x:v>2</x:v>
      </x:c>
      <x:c r="G775" s="2" t="n">
        <x:f>IF(ISNUMBER(F775),1,0)</x:f>
        <x:v>1</x:v>
      </x:c>
      <x:c r="H775" s="2" t="n">
        <x:f>IF(ISNUMBER(F775),IF(F775&gt;=2,1,0),0)</x:f>
        <x:v>1</x:v>
      </x:c>
      <x:c r="I775" s="11" t="n">
        <x:f>IF(ISNUMBER(F775),2^F775-1,0)</x:f>
        <x:v>3</x:v>
      </x:c>
      <x:c r="J775" s="2" t="str">
        <x:v>Extension pre-run 600</x:v>
      </x:c>
      <x:c r="K775" s="10" t="n">
        <x:v>3000</x:v>
      </x:c>
      <x:c r="L775" s="10" t="n">
        <x:v>2</x:v>
      </x:c>
      <x:c r="M775" s="10" t="n">
        <x:v>699</x:v>
      </x:c>
      <x:c r="N775" s="2" t="str">
        <x:v>D05</x:v>
      </x:c>
      <x:c r="O775" s="2" t="str">
        <x:v>hdb flat</x:v>
      </x:c>
      <x:c r="P775" s="2" t="str">
        <x:v>https://www.propertyguru.com.sg/listing/hdb-for-rent-2-dover-road-500262756</x:v>
      </x:c>
      <x:c r="Q775" s="12" t="str">
        <x:v>Pre-registered source-rubric-v1; grade applied before outputs.</x:v>
      </x:c>
      <x:c r="R775" s="13"/>
    </x:row>
    <x:row r="776" ht="15" hidden="0" customHeight="1">
      <x:c r="A776" s="2" t="str">
        <x:v>S26|500267173</x:v>
      </x:c>
      <x:c r="B776" s="2" t="str">
        <x:v>S26</x:v>
      </x:c>
      <x:c r="C776" s="2" t="str">
        <x:v>500267173</x:v>
      </x:c>
      <x:c r="D776" s="2" t="n">
        <x:v>2</x:v>
      </x:c>
      <x:c r="E776" s="9"/>
      <x:c r="F776" s="2" t="n">
        <x:f>IF(E776="",D776,IF(E776="U","U",IF(AND(ISNUMBER(E776),E776&gt;=0,E776&lt;=3,INT(E776)=E776),E776,"Invalid")))</x:f>
        <x:v>2</x:v>
      </x:c>
      <x:c r="G776" s="2" t="n">
        <x:f>IF(ISNUMBER(F776),1,0)</x:f>
        <x:v>1</x:v>
      </x:c>
      <x:c r="H776" s="2" t="n">
        <x:f>IF(ISNUMBER(F776),IF(F776&gt;=2,1,0),0)</x:f>
        <x:v>1</x:v>
      </x:c>
      <x:c r="I776" s="11" t="n">
        <x:f>IF(ISNUMBER(F776),2^F776-1,0)</x:f>
        <x:v>3</x:v>
      </x:c>
      <x:c r="J776" s="2" t="str">
        <x:v>Extension pre-run 600</x:v>
      </x:c>
      <x:c r="K776" s="10" t="n">
        <x:v>3000</x:v>
      </x:c>
      <x:c r="L776" s="10" t="n">
        <x:v>2</x:v>
      </x:c>
      <x:c r="M776" s="10" t="n">
        <x:v>721</x:v>
      </x:c>
      <x:c r="N776" s="2" t="str">
        <x:v>D05</x:v>
      </x:c>
      <x:c r="O776" s="2" t="str">
        <x:v>hdb flat</x:v>
      </x:c>
      <x:c r="P776" s="2" t="str">
        <x:v>https://www.propertyguru.com.sg/listing/hdb-for-rent-306-clementi-avenue-4-500267173</x:v>
      </x:c>
      <x:c r="Q776" s="12" t="str">
        <x:v>Pre-registered source-rubric-v1; grade applied before outputs.</x:v>
      </x:c>
      <x:c r="R776" s="13"/>
    </x:row>
    <x:row r="777" ht="15" hidden="0" customHeight="1">
      <x:c r="A777" s="2" t="str">
        <x:v>S26|20617351</x:v>
      </x:c>
      <x:c r="B777" s="2" t="str">
        <x:v>S26</x:v>
      </x:c>
      <x:c r="C777" s="2" t="str">
        <x:v>20617351</x:v>
      </x:c>
      <x:c r="D777" s="2" t="n">
        <x:v>2</x:v>
      </x:c>
      <x:c r="E777" s="9"/>
      <x:c r="F777" s="2" t="n">
        <x:f>IF(E777="",D777,IF(E777="U","U",IF(AND(ISNUMBER(E777),E777&gt;=0,E777&lt;=3,INT(E777)=E777),E777,"Invalid")))</x:f>
        <x:v>2</x:v>
      </x:c>
      <x:c r="G777" s="2" t="n">
        <x:f>IF(ISNUMBER(F777),1,0)</x:f>
        <x:v>1</x:v>
      </x:c>
      <x:c r="H777" s="2" t="n">
        <x:f>IF(ISNUMBER(F777),IF(F777&gt;=2,1,0),0)</x:f>
        <x:v>1</x:v>
      </x:c>
      <x:c r="I777" s="11" t="n">
        <x:f>IF(ISNUMBER(F777),2^F777-1,0)</x:f>
        <x:v>3</x:v>
      </x:c>
      <x:c r="J777" s="2" t="str">
        <x:v>Extension pre-run 600</x:v>
      </x:c>
      <x:c r="K777" s="10" t="n">
        <x:v>3000</x:v>
      </x:c>
      <x:c r="L777" s="10" t="n">
        <x:v>2</x:v>
      </x:c>
      <x:c r="M777" s="10" t="n">
        <x:v>700</x:v>
      </x:c>
      <x:c r="N777" s="2" t="str">
        <x:v>D05</x:v>
      </x:c>
      <x:c r="O777" s="2" t="str">
        <x:v>hdb flat</x:v>
      </x:c>
      <x:c r="P777" s="2" t="str">
        <x:v>https://www.propertyguru.com.sg/listing/hdb-for-rent-354-clementi-avenue-2-20617351</x:v>
      </x:c>
      <x:c r="Q777" s="12" t="str">
        <x:v>Pre-registered source-rubric-v1; grade applied before outputs.</x:v>
      </x:c>
      <x:c r="R777" s="13"/>
    </x:row>
    <x:row r="778" ht="15" hidden="0" customHeight="1">
      <x:c r="A778" s="2" t="str">
        <x:v>S26|25224990</x:v>
      </x:c>
      <x:c r="B778" s="2" t="str">
        <x:v>S26</x:v>
      </x:c>
      <x:c r="C778" s="2" t="str">
        <x:v>25224990</x:v>
      </x:c>
      <x:c r="D778" s="2" t="n">
        <x:v>1</x:v>
      </x:c>
      <x:c r="E778" s="9"/>
      <x:c r="F778" s="2" t="n">
        <x:f>IF(E778="",D778,IF(E778="U","U",IF(AND(ISNUMBER(E778),E778&gt;=0,E778&lt;=3,INT(E778)=E778),E778,"Invalid")))</x:f>
        <x:v>1</x:v>
      </x:c>
      <x:c r="G778" s="2" t="n">
        <x:f>IF(ISNUMBER(F778),1,0)</x:f>
        <x:v>1</x:v>
      </x:c>
      <x:c r="H778" s="2" t="n">
        <x:f>IF(ISNUMBER(F778),IF(F778&gt;=2,1,0),0)</x:f>
        <x:v>0</x:v>
      </x:c>
      <x:c r="I778" s="11" t="n">
        <x:f>IF(ISNUMBER(F778),2^F778-1,0)</x:f>
        <x:v>1</x:v>
      </x:c>
      <x:c r="J778" s="2" t="str">
        <x:v>Extension pre-run 600</x:v>
      </x:c>
      <x:c r="K778" s="10" t="n">
        <x:v>3500</x:v>
      </x:c>
      <x:c r="L778" s="10" t="n">
        <x:v>2</x:v>
      </x:c>
      <x:c r="M778" s="10" t="n">
        <x:v>721</x:v>
      </x:c>
      <x:c r="N778" s="2" t="str">
        <x:v>D05</x:v>
      </x:c>
      <x:c r="O778" s="2" t="str">
        <x:v>hdb flat</x:v>
      </x:c>
      <x:c r="P778" s="2" t="str">
        <x:v>https://www.propertyguru.com.sg/listing/hdb-for-rent-608-clementi-west-street-1-25224990</x:v>
      </x:c>
      <x:c r="Q778" s="12" t="str">
        <x:v>Pre-registered source-rubric-v1; grade applied before outputs.</x:v>
      </x:c>
      <x:c r="R778" s="13"/>
    </x:row>
    <x:row r="779" ht="15" hidden="0" customHeight="1">
      <x:c r="A779" s="2" t="str">
        <x:v>S26|6995669</x:v>
      </x:c>
      <x:c r="B779" s="2" t="str">
        <x:v>S26</x:v>
      </x:c>
      <x:c r="C779" s="2" t="str">
        <x:v>6995669</x:v>
      </x:c>
      <x:c r="D779" s="2" t="n">
        <x:v>1</x:v>
      </x:c>
      <x:c r="E779" s="9"/>
      <x:c r="F779" s="2" t="n">
        <x:f>IF(E779="",D779,IF(E779="U","U",IF(AND(ISNUMBER(E779),E779&gt;=0,E779&lt;=3,INT(E779)=E779),E779,"Invalid")))</x:f>
        <x:v>1</x:v>
      </x:c>
      <x:c r="G779" s="2" t="n">
        <x:f>IF(ISNUMBER(F779),1,0)</x:f>
        <x:v>1</x:v>
      </x:c>
      <x:c r="H779" s="2" t="n">
        <x:f>IF(ISNUMBER(F779),IF(F779&gt;=2,1,0),0)</x:f>
        <x:v>0</x:v>
      </x:c>
      <x:c r="I779" s="11" t="n">
        <x:f>IF(ISNUMBER(F779),2^F779-1,0)</x:f>
        <x:v>1</x:v>
      </x:c>
      <x:c r="J779" s="2" t="str">
        <x:v>Extension pre-run 600</x:v>
      </x:c>
      <x:c r="K779" s="10" t="n">
        <x:v>3500</x:v>
      </x:c>
      <x:c r="L779" s="10" t="n">
        <x:v>2</x:v>
      </x:c>
      <x:c r="M779" s="10" t="n">
        <x:v>706</x:v>
      </x:c>
      <x:c r="N779" s="2" t="str">
        <x:v>D05</x:v>
      </x:c>
      <x:c r="O779" s="2" t="str">
        <x:v>hdb flat</x:v>
      </x:c>
      <x:c r="P779" s="2" t="str">
        <x:v>https://www.propertyguru.com.sg/listing/hdb-for-rent-509-west-coast-drive-6995669</x:v>
      </x:c>
      <x:c r="Q779" s="12" t="str">
        <x:v>Pre-registered source-rubric-v1; grade applied before outputs.</x:v>
      </x:c>
      <x:c r="R779" s="13"/>
    </x:row>
    <x:row r="780" ht="15" hidden="0" customHeight="1">
      <x:c r="A780" s="2" t="str">
        <x:v>S26|500282878</x:v>
      </x:c>
      <x:c r="B780" s="2" t="str">
        <x:v>S26</x:v>
      </x:c>
      <x:c r="C780" s="2" t="str">
        <x:v>500282878</x:v>
      </x:c>
      <x:c r="D780" s="2" t="n">
        <x:v>1</x:v>
      </x:c>
      <x:c r="E780" s="9"/>
      <x:c r="F780" s="2" t="n">
        <x:f>IF(E780="",D780,IF(E780="U","U",IF(AND(ISNUMBER(E780),E780&gt;=0,E780&lt;=3,INT(E780)=E780),E780,"Invalid")))</x:f>
        <x:v>1</x:v>
      </x:c>
      <x:c r="G780" s="2" t="n">
        <x:f>IF(ISNUMBER(F780),1,0)</x:f>
        <x:v>1</x:v>
      </x:c>
      <x:c r="H780" s="2" t="n">
        <x:f>IF(ISNUMBER(F780),IF(F780&gt;=2,1,0),0)</x:f>
        <x:v>0</x:v>
      </x:c>
      <x:c r="I780" s="11" t="n">
        <x:f>IF(ISNUMBER(F780),2^F780-1,0)</x:f>
        <x:v>1</x:v>
      </x:c>
      <x:c r="J780" s="2" t="str">
        <x:v>Extension pre-run 600</x:v>
      </x:c>
      <x:c r="K780" s="10" t="n">
        <x:v>3200</x:v>
      </x:c>
      <x:c r="L780" s="10" t="n">
        <x:v>2</x:v>
      </x:c>
      <x:c r="M780" s="10" t="n">
        <x:v>721</x:v>
      </x:c>
      <x:c r="N780" s="2" t="str">
        <x:v>D05</x:v>
      </x:c>
      <x:c r="O780" s="2" t="str">
        <x:v>hdb flat</x:v>
      </x:c>
      <x:c r="P780" s="2" t="str">
        <x:v>https://www.propertyguru.com.sg/listing/hdb-for-rent-329-clementi-avenue-2-500282878</x:v>
      </x:c>
      <x:c r="Q780" s="12" t="str">
        <x:v>Pre-registered source-rubric-v1; grade applied before outputs.</x:v>
      </x:c>
      <x:c r="R780" s="13"/>
    </x:row>
    <x:row r="781" ht="15" hidden="0" customHeight="1">
      <x:c r="A781" s="2" t="str">
        <x:v>S26|500137450</x:v>
      </x:c>
      <x:c r="B781" s="2" t="str">
        <x:v>S26</x:v>
      </x:c>
      <x:c r="C781" s="2" t="str">
        <x:v>500137450</x:v>
      </x:c>
      <x:c r="D781" s="2" t="n">
        <x:v>1</x:v>
      </x:c>
      <x:c r="E781" s="9"/>
      <x:c r="F781" s="2" t="n">
        <x:f>IF(E781="",D781,IF(E781="U","U",IF(AND(ISNUMBER(E781),E781&gt;=0,E781&lt;=3,INT(E781)=E781),E781,"Invalid")))</x:f>
        <x:v>1</x:v>
      </x:c>
      <x:c r="G781" s="2" t="n">
        <x:f>IF(ISNUMBER(F781),1,0)</x:f>
        <x:v>1</x:v>
      </x:c>
      <x:c r="H781" s="2" t="n">
        <x:f>IF(ISNUMBER(F781),IF(F781&gt;=2,1,0),0)</x:f>
        <x:v>0</x:v>
      </x:c>
      <x:c r="I781" s="11" t="n">
        <x:f>IF(ISNUMBER(F781),2^F781-1,0)</x:f>
        <x:v>1</x:v>
      </x:c>
      <x:c r="J781" s="2" t="str">
        <x:v>Extension pre-run 600</x:v>
      </x:c>
      <x:c r="K781" s="10" t="n">
        <x:v>3400</x:v>
      </x:c>
      <x:c r="L781" s="10" t="n">
        <x:v>2</x:v>
      </x:c>
      <x:c r="M781" s="10" t="n">
        <x:v>721</x:v>
      </x:c>
      <x:c r="N781" s="2" t="str">
        <x:v>D05</x:v>
      </x:c>
      <x:c r="O781" s="2" t="str">
        <x:v>hdb flat</x:v>
      </x:c>
      <x:c r="P781" s="2" t="str">
        <x:v>https://www.propertyguru.com.sg/listing/hdb-for-rent-306-clementi-avenue-4-500137450</x:v>
      </x:c>
      <x:c r="Q781" s="12" t="str">
        <x:v>Pre-registered source-rubric-v1; grade applied before outputs.</x:v>
      </x:c>
      <x:c r="R781" s="13"/>
    </x:row>
    <x:row r="782" ht="15" hidden="0" customHeight="1">
      <x:c r="A782" s="2" t="str">
        <x:v>S26|500266415</x:v>
      </x:c>
      <x:c r="B782" s="2" t="str">
        <x:v>S26</x:v>
      </x:c>
      <x:c r="C782" s="2" t="str">
        <x:v>500266415</x:v>
      </x:c>
      <x:c r="D782" s="2" t="n">
        <x:v>1</x:v>
      </x:c>
      <x:c r="E782" s="9"/>
      <x:c r="F782" s="2" t="n">
        <x:f>IF(E782="",D782,IF(E782="U","U",IF(AND(ISNUMBER(E782),E782&gt;=0,E782&lt;=3,INT(E782)=E782),E782,"Invalid")))</x:f>
        <x:v>1</x:v>
      </x:c>
      <x:c r="G782" s="2" t="n">
        <x:f>IF(ISNUMBER(F782),1,0)</x:f>
        <x:v>1</x:v>
      </x:c>
      <x:c r="H782" s="2" t="n">
        <x:f>IF(ISNUMBER(F782),IF(F782&gt;=2,1,0),0)</x:f>
        <x:v>0</x:v>
      </x:c>
      <x:c r="I782" s="11" t="n">
        <x:f>IF(ISNUMBER(F782),2^F782-1,0)</x:f>
        <x:v>1</x:v>
      </x:c>
      <x:c r="J782" s="2" t="str">
        <x:v>Extension pre-run 600</x:v>
      </x:c>
      <x:c r="K782" s="10" t="n">
        <x:v>3300</x:v>
      </x:c>
      <x:c r="L782" s="10" t="n">
        <x:v>2</x:v>
      </x:c>
      <x:c r="M782" s="10" t="n">
        <x:v>980</x:v>
      </x:c>
      <x:c r="N782" s="2" t="str">
        <x:v>D05</x:v>
      </x:c>
      <x:c r="O782" s="2" t="str">
        <x:v>hdb flat</x:v>
      </x:c>
      <x:c r="P782" s="2" t="str">
        <x:v>https://www.propertyguru.com.sg/listing/hdb-for-rent-511-west-coast-drive-500266415</x:v>
      </x:c>
      <x:c r="Q782" s="12" t="str">
        <x:v>Pre-registered source-rubric-v1; grade applied before outputs.</x:v>
      </x:c>
      <x:c r="R782" s="13"/>
    </x:row>
    <x:row r="783" ht="15" hidden="0" customHeight="1">
      <x:c r="A783" s="2" t="str">
        <x:v>S26|500280325</x:v>
      </x:c>
      <x:c r="B783" s="2" t="str">
        <x:v>S26</x:v>
      </x:c>
      <x:c r="C783" s="2" t="str">
        <x:v>500280325</x:v>
      </x:c>
      <x:c r="D783" s="2" t="n">
        <x:v>1</x:v>
      </x:c>
      <x:c r="E783" s="9"/>
      <x:c r="F783" s="2" t="n">
        <x:f>IF(E783="",D783,IF(E783="U","U",IF(AND(ISNUMBER(E783),E783&gt;=0,E783&lt;=3,INT(E783)=E783),E783,"Invalid")))</x:f>
        <x:v>1</x:v>
      </x:c>
      <x:c r="G783" s="2" t="n">
        <x:f>IF(ISNUMBER(F783),1,0)</x:f>
        <x:v>1</x:v>
      </x:c>
      <x:c r="H783" s="2" t="n">
        <x:f>IF(ISNUMBER(F783),IF(F783&gt;=2,1,0),0)</x:f>
        <x:v>0</x:v>
      </x:c>
      <x:c r="I783" s="11" t="n">
        <x:f>IF(ISNUMBER(F783),2^F783-1,0)</x:f>
        <x:v>1</x:v>
      </x:c>
      <x:c r="J783" s="2" t="str">
        <x:v>Extension pre-run 600</x:v>
      </x:c>
      <x:c r="K783" s="10" t="n">
        <x:v>3300</x:v>
      </x:c>
      <x:c r="L783" s="10" t="n">
        <x:v>2</x:v>
      </x:c>
      <x:c r="M783" s="10" t="n">
        <x:v>732</x:v>
      </x:c>
      <x:c r="N783" s="2" t="str">
        <x:v>D05</x:v>
      </x:c>
      <x:c r="O783" s="2" t="str">
        <x:v>hdb flat</x:v>
      </x:c>
      <x:c r="P783" s="2" t="str">
        <x:v>https://www.propertyguru.com.sg/listing/hdb-for-rent-715-clementi-west-street-2-500280325</x:v>
      </x:c>
      <x:c r="Q783" s="12" t="str">
        <x:v>Pre-registered source-rubric-v1; grade applied before outputs.</x:v>
      </x:c>
      <x:c r="R783" s="13"/>
    </x:row>
    <x:row r="784" ht="15" hidden="0" customHeight="1">
      <x:c r="A784" s="2" t="str">
        <x:v>S26|25140406</x:v>
      </x:c>
      <x:c r="B784" s="2" t="str">
        <x:v>S26</x:v>
      </x:c>
      <x:c r="C784" s="2" t="str">
        <x:v>25140406</x:v>
      </x:c>
      <x:c r="D784" s="2" t="n">
        <x:v>0</x:v>
      </x:c>
      <x:c r="E784" s="9"/>
      <x:c r="F784" s="2" t="n">
        <x:f>IF(E784="",D784,IF(E784="U","U",IF(AND(ISNUMBER(E784),E784&gt;=0,E784&lt;=3,INT(E784)=E784),E784,"Invalid")))</x:f>
        <x:v>0</x:v>
      </x:c>
      <x:c r="G784" s="2" t="n">
        <x:f>IF(ISNUMBER(F784),1,0)</x:f>
        <x:v>1</x:v>
      </x:c>
      <x:c r="H784" s="2" t="n">
        <x:f>IF(ISNUMBER(F784),IF(F784&gt;=2,1,0),0)</x:f>
        <x:v>0</x:v>
      </x:c>
      <x:c r="I784" s="11" t="n">
        <x:f>IF(ISNUMBER(F784),2^F784-1,0)</x:f>
        <x:v>0</x:v>
      </x:c>
      <x:c r="J784" s="2" t="str">
        <x:v>Extension pre-run 600</x:v>
      </x:c>
      <x:c r="K784" s="10" t="n">
        <x:v>10200</x:v>
      </x:c>
      <x:c r="L784" s="10" t="n">
        <x:v>4</x:v>
      </x:c>
      <x:c r="M784" s="10" t="n">
        <x:v>2837</x:v>
      </x:c>
      <x:c r="N784" s="2" t="str">
        <x:v>D21</x:v>
      </x:c>
      <x:c r="O784" s="2" t="str">
        <x:v>semi-detached house</x:v>
      </x:c>
      <x:c r="P784" s="2" t="str">
        <x:v>https://www.propertyguru.com.sg/listing/for-rent-the-mondrian-25140406</x:v>
      </x:c>
      <x:c r="Q784" s="12" t="str">
        <x:v>Pre-registered source-rubric-v1; grade applied before outputs.</x:v>
      </x:c>
      <x:c r="R784" s="13"/>
    </x:row>
    <x:row r="785" ht="15" hidden="0" customHeight="1">
      <x:c r="A785" s="2" t="str">
        <x:v>S26|500270188</x:v>
      </x:c>
      <x:c r="B785" s="2" t="str">
        <x:v>S26</x:v>
      </x:c>
      <x:c r="C785" s="2" t="str">
        <x:v>500270188</x:v>
      </x:c>
      <x:c r="D785" s="2" t="n">
        <x:v>0</x:v>
      </x:c>
      <x:c r="E785" s="9"/>
      <x:c r="F785" s="2" t="n">
        <x:f>IF(E785="",D785,IF(E785="U","U",IF(AND(ISNUMBER(E785),E785&gt;=0,E785&lt;=3,INT(E785)=E785),E785,"Invalid")))</x:f>
        <x:v>0</x:v>
      </x:c>
      <x:c r="G785" s="2" t="n">
        <x:f>IF(ISNUMBER(F785),1,0)</x:f>
        <x:v>1</x:v>
      </x:c>
      <x:c r="H785" s="2" t="n">
        <x:f>IF(ISNUMBER(F785),IF(F785&gt;=2,1,0),0)</x:f>
        <x:v>0</x:v>
      </x:c>
      <x:c r="I785" s="11" t="n">
        <x:f>IF(ISNUMBER(F785),2^F785-1,0)</x:f>
        <x:v>0</x:v>
      </x:c>
      <x:c r="J785" s="2" t="str">
        <x:v>Extension pre-run 600</x:v>
      </x:c>
      <x:c r="K785" s="10" t="n">
        <x:v>7988</x:v>
      </x:c>
      <x:c r="L785" s="10" t="n">
        <x:v>3</x:v>
      </x:c>
      <x:c r="M785" s="10" t="n">
        <x:v>1119</x:v>
      </x:c>
      <x:c r="N785" s="2" t="str">
        <x:v>D15</x:v>
      </x:c>
      <x:c r="O785" s="2" t="str">
        <x:v>condominium</x:v>
      </x:c>
      <x:c r="P785" s="2" t="str">
        <x:v>https://www.propertyguru.com.sg/listing/for-rent-grand-dunman-500270188</x:v>
      </x:c>
      <x:c r="Q785" s="12" t="str">
        <x:v>Pre-registered source-rubric-v1; grade applied before outputs.</x:v>
      </x:c>
      <x:c r="R785" s="13"/>
    </x:row>
    <x:row r="786" ht="15" hidden="0" customHeight="1">
      <x:c r="A786" s="2" t="str">
        <x:v>S26|25328337</x:v>
      </x:c>
      <x:c r="B786" s="2" t="str">
        <x:v>S26</x:v>
      </x:c>
      <x:c r="C786" s="2" t="str">
        <x:v>25328337</x:v>
      </x:c>
      <x:c r="D786" s="2" t="n">
        <x:v>0</x:v>
      </x:c>
      <x:c r="E786" s="9"/>
      <x:c r="F786" s="2" t="n">
        <x:f>IF(E786="",D786,IF(E786="U","U",IF(AND(ISNUMBER(E786),E786&gt;=0,E786&lt;=3,INT(E786)=E786),E786,"Invalid")))</x:f>
        <x:v>0</x:v>
      </x:c>
      <x:c r="G786" s="2" t="n">
        <x:f>IF(ISNUMBER(F786),1,0)</x:f>
        <x:v>1</x:v>
      </x:c>
      <x:c r="H786" s="2" t="n">
        <x:f>IF(ISNUMBER(F786),IF(F786&gt;=2,1,0),0)</x:f>
        <x:v>0</x:v>
      </x:c>
      <x:c r="I786" s="11" t="n">
        <x:f>IF(ISNUMBER(F786),2^F786-1,0)</x:f>
        <x:v>0</x:v>
      </x:c>
      <x:c r="J786" s="2" t="str">
        <x:v>Extension pre-run 600</x:v>
      </x:c>
      <x:c r="K786" s="10" t="n">
        <x:v>3999</x:v>
      </x:c>
      <x:c r="L786" s="10" t="n">
        <x:v>1</x:v>
      </x:c>
      <x:c r="M786" s="10" t="n">
        <x:v>484</x:v>
      </x:c>
      <x:c r="N786" s="2" t="str">
        <x:v>D21</x:v>
      </x:c>
      <x:c r="O786" s="2" t="str">
        <x:v>condominium</x:v>
      </x:c>
      <x:c r="P786" s="2" t="str">
        <x:v>https://www.propertyguru.com.sg/listing/for-rent-forett-at-bukit-timah-25328337</x:v>
      </x:c>
      <x:c r="Q786" s="12" t="str">
        <x:v>Pre-registered source-rubric-v1; grade applied before outputs.</x:v>
      </x:c>
      <x:c r="R786" s="13"/>
    </x:row>
    <x:row r="787" ht="15" hidden="0" customHeight="1">
      <x:c r="A787" s="2" t="str">
        <x:v>S26|25326625</x:v>
      </x:c>
      <x:c r="B787" s="2" t="str">
        <x:v>S26</x:v>
      </x:c>
      <x:c r="C787" s="2" t="str">
        <x:v>25326625</x:v>
      </x:c>
      <x:c r="D787" s="2" t="n">
        <x:v>0</x:v>
      </x:c>
      <x:c r="E787" s="9"/>
      <x:c r="F787" s="2" t="n">
        <x:f>IF(E787="",D787,IF(E787="U","U",IF(AND(ISNUMBER(E787),E787&gt;=0,E787&lt;=3,INT(E787)=E787),E787,"Invalid")))</x:f>
        <x:v>0</x:v>
      </x:c>
      <x:c r="G787" s="2" t="n">
        <x:f>IF(ISNUMBER(F787),1,0)</x:f>
        <x:v>1</x:v>
      </x:c>
      <x:c r="H787" s="2" t="n">
        <x:f>IF(ISNUMBER(F787),IF(F787&gt;=2,1,0),0)</x:f>
        <x:v>0</x:v>
      </x:c>
      <x:c r="I787" s="11" t="n">
        <x:f>IF(ISNUMBER(F787),2^F787-1,0)</x:f>
        <x:v>0</x:v>
      </x:c>
      <x:c r="J787" s="2" t="str">
        <x:v>Extension pre-run 600</x:v>
      </x:c>
      <x:c r="K787" s="10" t="n">
        <x:v>3400</x:v>
      </x:c>
      <x:c r="L787" s="10" t="n">
        <x:v>1</x:v>
      </x:c>
      <x:c r="M787" s="10" t="n">
        <x:v>646</x:v>
      </x:c>
      <x:c r="N787" s="2" t="str">
        <x:v>D15</x:v>
      </x:c>
      <x:c r="O787" s="2" t="str">
        <x:v>apartment</x:v>
      </x:c>
      <x:c r="P787" s="2" t="str">
        <x:v>https://www.propertyguru.com.sg/listing/for-rent-callidora-ville-25326625</x:v>
      </x:c>
      <x:c r="Q787" s="12" t="str">
        <x:v>Pre-registered source-rubric-v1; grade applied before outputs.</x:v>
      </x:c>
      <x:c r="R787" s="13"/>
    </x:row>
    <x:row r="788" ht="15" hidden="0" customHeight="1">
      <x:c r="A788" s="2" t="str">
        <x:v>S26|500275920</x:v>
      </x:c>
      <x:c r="B788" s="2" t="str">
        <x:v>S26</x:v>
      </x:c>
      <x:c r="C788" s="2" t="str">
        <x:v>500275920</x:v>
      </x:c>
      <x:c r="D788" s="2" t="n">
        <x:v>0</x:v>
      </x:c>
      <x:c r="E788" s="9"/>
      <x:c r="F788" s="2" t="n">
        <x:f>IF(E788="",D788,IF(E788="U","U",IF(AND(ISNUMBER(E788),E788&gt;=0,E788&lt;=3,INT(E788)=E788),E788,"Invalid")))</x:f>
        <x:v>0</x:v>
      </x:c>
      <x:c r="G788" s="2" t="n">
        <x:f>IF(ISNUMBER(F788),1,0)</x:f>
        <x:v>1</x:v>
      </x:c>
      <x:c r="H788" s="2" t="n">
        <x:f>IF(ISNUMBER(F788),IF(F788&gt;=2,1,0),0)</x:f>
        <x:v>0</x:v>
      </x:c>
      <x:c r="I788" s="11" t="n">
        <x:f>IF(ISNUMBER(F788),2^F788-1,0)</x:f>
        <x:v>0</x:v>
      </x:c>
      <x:c r="J788" s="2" t="str">
        <x:v>Extension pre-run 600</x:v>
      </x:c>
      <x:c r="K788" s="10" t="n">
        <x:v>800</x:v>
      </x:c>
      <x:c r="L788" s="10" t="n">
        <x:v>0</x:v>
      </x:c>
      <x:c r="M788" s="10"/>
      <x:c r="N788" s="2" t="str">
        <x:v>D27</x:v>
      </x:c>
      <x:c r="O788" s="2" t="str">
        <x:v>hdb flat</x:v>
      </x:c>
      <x:c r="P788" s="2" t="str">
        <x:v>https://www.propertyguru.com.sg/listing/hdb-for-rent-491-admiralty-link-500275920</x:v>
      </x:c>
      <x:c r="Q788" s="12" t="str">
        <x:v>Pre-registered source-rubric-v1; grade applied before outputs.</x:v>
      </x:c>
      <x:c r="R788" s="13"/>
    </x:row>
    <x:row r="789" ht="15" hidden="0" customHeight="1">
      <x:c r="A789" s="2" t="str">
        <x:v>S26|23562227</x:v>
      </x:c>
      <x:c r="B789" s="2" t="str">
        <x:v>S26</x:v>
      </x:c>
      <x:c r="C789" s="2" t="str">
        <x:v>23562227</x:v>
      </x:c>
      <x:c r="D789" s="2" t="n">
        <x:v>0</x:v>
      </x:c>
      <x:c r="E789" s="9"/>
      <x:c r="F789" s="2" t="n">
        <x:f>IF(E789="",D789,IF(E789="U","U",IF(AND(ISNUMBER(E789),E789&gt;=0,E789&lt;=3,INT(E789)=E789),E789,"Invalid")))</x:f>
        <x:v>0</x:v>
      </x:c>
      <x:c r="G789" s="2" t="n">
        <x:f>IF(ISNUMBER(F789),1,0)</x:f>
        <x:v>1</x:v>
      </x:c>
      <x:c r="H789" s="2" t="n">
        <x:f>IF(ISNUMBER(F789),IF(F789&gt;=2,1,0),0)</x:f>
        <x:v>0</x:v>
      </x:c>
      <x:c r="I789" s="11" t="n">
        <x:f>IF(ISNUMBER(F789),2^F789-1,0)</x:f>
        <x:v>0</x:v>
      </x:c>
      <x:c r="J789" s="2" t="str">
        <x:v>Extension pre-run 600</x:v>
      </x:c>
      <x:c r="K789" s="10" t="n">
        <x:v>15000</x:v>
      </x:c>
      <x:c r="L789" s="10" t="n">
        <x:v>5</x:v>
      </x:c>
      <x:c r="M789" s="10" t="n">
        <x:v>2400</x:v>
      </x:c>
      <x:c r="N789" s="2" t="str">
        <x:v>D09</x:v>
      </x:c>
      <x:c r="O789" s="2" t="str">
        <x:v>condominium</x:v>
      </x:c>
      <x:c r="P789" s="2" t="str">
        <x:v>https://www.propertyguru.com.sg/listing/for-rent-the-trillium-23562227</x:v>
      </x:c>
      <x:c r="Q789" s="12" t="str">
        <x:v>Pre-registered source-rubric-v1; grade applied before outputs.</x:v>
      </x:c>
      <x:c r="R789" s="13"/>
    </x:row>
    <x:row r="790" ht="15" hidden="0" customHeight="1">
      <x:c r="A790" s="2" t="str">
        <x:v>S26|25347615</x:v>
      </x:c>
      <x:c r="B790" s="2" t="str">
        <x:v>S26</x:v>
      </x:c>
      <x:c r="C790" s="2" t="str">
        <x:v>25347615</x:v>
      </x:c>
      <x:c r="D790" s="2" t="n">
        <x:v>0</x:v>
      </x:c>
      <x:c r="E790" s="9"/>
      <x:c r="F790" s="2" t="n">
        <x:f>IF(E790="",D790,IF(E790="U","U",IF(AND(ISNUMBER(E790),E790&gt;=0,E790&lt;=3,INT(E790)=E790),E790,"Invalid")))</x:f>
        <x:v>0</x:v>
      </x:c>
      <x:c r="G790" s="2" t="n">
        <x:f>IF(ISNUMBER(F790),1,0)</x:f>
        <x:v>1</x:v>
      </x:c>
      <x:c r="H790" s="2" t="n">
        <x:f>IF(ISNUMBER(F790),IF(F790&gt;=2,1,0),0)</x:f>
        <x:v>0</x:v>
      </x:c>
      <x:c r="I790" s="11" t="n">
        <x:f>IF(ISNUMBER(F790),2^F790-1,0)</x:f>
        <x:v>0</x:v>
      </x:c>
      <x:c r="J790" s="2" t="str">
        <x:v>Extension pre-run 600</x:v>
      </x:c>
      <x:c r="K790" s="10" t="n">
        <x:v>4000</x:v>
      </x:c>
      <x:c r="L790" s="10" t="n">
        <x:v>3</x:v>
      </x:c>
      <x:c r="M790" s="10" t="n">
        <x:v>904</x:v>
      </x:c>
      <x:c r="N790" s="2" t="str">
        <x:v>D19</x:v>
      </x:c>
      <x:c r="O790" s="2" t="str">
        <x:v>condominium</x:v>
      </x:c>
      <x:c r="P790" s="2" t="str">
        <x:v>https://www.propertyguru.com.sg/listing/for-rent-riversound-residence-25347615</x:v>
      </x:c>
      <x:c r="Q790" s="12" t="str">
        <x:v>Pre-registered source-rubric-v1; grade applied before outputs.</x:v>
      </x:c>
      <x:c r="R790" s="13"/>
    </x:row>
    <x:row r="791" ht="15" hidden="0" customHeight="1">
      <x:c r="A791" s="2" t="str">
        <x:v>S26|500240849</x:v>
      </x:c>
      <x:c r="B791" s="2" t="str">
        <x:v>S26</x:v>
      </x:c>
      <x:c r="C791" s="2" t="str">
        <x:v>500240849</x:v>
      </x:c>
      <x:c r="D791" s="2" t="n">
        <x:v>0</x:v>
      </x:c>
      <x:c r="E791" s="9"/>
      <x:c r="F791" s="2" t="n">
        <x:f>IF(E791="",D791,IF(E791="U","U",IF(AND(ISNUMBER(E791),E791&gt;=0,E791&lt;=3,INT(E791)=E791),E791,"Invalid")))</x:f>
        <x:v>0</x:v>
      </x:c>
      <x:c r="G791" s="2" t="n">
        <x:f>IF(ISNUMBER(F791),1,0)</x:f>
        <x:v>1</x:v>
      </x:c>
      <x:c r="H791" s="2" t="n">
        <x:f>IF(ISNUMBER(F791),IF(F791&gt;=2,1,0),0)</x:f>
        <x:v>0</x:v>
      </x:c>
      <x:c r="I791" s="11" t="n">
        <x:f>IF(ISNUMBER(F791),2^F791-1,0)</x:f>
        <x:v>0</x:v>
      </x:c>
      <x:c r="J791" s="2" t="str">
        <x:v>Extension pre-run 600</x:v>
      </x:c>
      <x:c r="K791" s="10" t="n">
        <x:v>1500</x:v>
      </x:c>
      <x:c r="L791" s="10" t="n">
        <x:v>0</x:v>
      </x:c>
      <x:c r="M791" s="10"/>
      <x:c r="N791" s="2" t="str">
        <x:v>D16</x:v>
      </x:c>
      <x:c r="O791" s="2" t="str">
        <x:v>hdb flat</x:v>
      </x:c>
      <x:c r="P791" s="2" t="str">
        <x:v>https://www.propertyguru.com.sg/listing/hdb-for-rent-742-bedok-reservoir-road-500240849</x:v>
      </x:c>
      <x:c r="Q791" s="12" t="str">
        <x:v>Pre-registered source-rubric-v1; grade applied before outputs.</x:v>
      </x:c>
      <x:c r="R791" s="13"/>
    </x:row>
    <x:row r="792" ht="15" hidden="0" customHeight="1">
      <x:c r="A792" s="2" t="str">
        <x:v>S26|60100685</x:v>
      </x:c>
      <x:c r="B792" s="2" t="str">
        <x:v>S26</x:v>
      </x:c>
      <x:c r="C792" s="2" t="str">
        <x:v>60100685</x:v>
      </x:c>
      <x:c r="D792" s="2" t="str">
        <x:v>U</x:v>
      </x:c>
      <x:c r="E792" s="9"/>
      <x:c r="F792" s="2" t="str">
        <x:f>IF(E792="",D792,IF(E792="U","U",IF(AND(ISNUMBER(E792),E792&gt;=0,E792&lt;=3,INT(E792)=E792),E792,"Invalid")))</x:f>
        <x:v>U</x:v>
      </x:c>
      <x:c r="G792" s="2" t="n">
        <x:f>IF(ISNUMBER(F792),1,0)</x:f>
        <x:v>0</x:v>
      </x:c>
      <x:c r="H792" s="2" t="n">
        <x:f>IF(ISNUMBER(F792),IF(F792&gt;=2,1,0),0)</x:f>
        <x:v>0</x:v>
      </x:c>
      <x:c r="I792" s="11" t="n">
        <x:f>IF(ISNUMBER(F792),2^F792-1,0)</x:f>
        <x:v>0</x:v>
      </x:c>
      <x:c r="J792" s="2" t="str">
        <x:v>Extension pre-run 600</x:v>
      </x:c>
      <x:c r="K792" s="10" t="n">
        <x:v>2800</x:v>
      </x:c>
      <x:c r="L792" s="10"/>
      <x:c r="M792" s="10" t="n">
        <x:v>300</x:v>
      </x:c>
      <x:c r="N792" s="2" t="str">
        <x:v>D05</x:v>
      </x:c>
      <x:c r="O792" s="2" t="str">
        <x:v>terraced house</x:v>
      </x:c>
      <x:c r="P792" s="2" t="str">
        <x:v>https://www.propertyguru.com.sg/listing/for-rent-406f-pasir-panjang-road-60100685</x:v>
      </x:c>
      <x:c r="Q792" s="12" t="str">
        <x:v>Pre-registered source-rubric-v1; grade applied before outputs.</x:v>
      </x:c>
      <x:c r="R792" s="13"/>
    </x:row>
    <x:row r="793" ht="15" hidden="0" customHeight="1">
      <x:c r="A793" s="2" t="str">
        <x:v>S26|20283326</x:v>
      </x:c>
      <x:c r="B793" s="2" t="str">
        <x:v>S26</x:v>
      </x:c>
      <x:c r="C793" s="2" t="str">
        <x:v>20283326</x:v>
      </x:c>
      <x:c r="D793" s="2" t="str">
        <x:v>U</x:v>
      </x:c>
      <x:c r="E793" s="9"/>
      <x:c r="F793" s="2" t="str">
        <x:f>IF(E793="",D793,IF(E793="U","U",IF(AND(ISNUMBER(E793),E793&gt;=0,E793&lt;=3,INT(E793)=E793),E793,"Invalid")))</x:f>
        <x:v>U</x:v>
      </x:c>
      <x:c r="G793" s="2" t="n">
        <x:f>IF(ISNUMBER(F793),1,0)</x:f>
        <x:v>0</x:v>
      </x:c>
      <x:c r="H793" s="2" t="n">
        <x:f>IF(ISNUMBER(F793),IF(F793&gt;=2,1,0),0)</x:f>
        <x:v>0</x:v>
      </x:c>
      <x:c r="I793" s="11" t="n">
        <x:f>IF(ISNUMBER(F793),2^F793-1,0)</x:f>
        <x:v>0</x:v>
      </x:c>
      <x:c r="J793" s="2" t="str">
        <x:v>Extension pre-run 600</x:v>
      </x:c>
      <x:c r="K793" s="10" t="n">
        <x:v>3200</x:v>
      </x:c>
      <x:c r="L793" s="10"/>
      <x:c r="M793" s="10" t="n">
        <x:v>463</x:v>
      </x:c>
      <x:c r="N793" s="2" t="str">
        <x:v>D05</x:v>
      </x:c>
      <x:c r="O793" s="2" t="str">
        <x:v>apartment</x:v>
      </x:c>
      <x:c r="P793" s="2" t="str">
        <x:v>https://www.propertyguru.com.sg/listing/for-rent-newest-20283326</x:v>
      </x:c>
      <x:c r="Q793" s="12" t="str">
        <x:v>Pre-registered source-rubric-v1; grade applied before outputs.</x:v>
      </x:c>
      <x:c r="R793" s="13"/>
    </x:row>
    <x:row r="794" ht="15" hidden="0" customHeight="1">
      <x:c r="A794" s="2" t="str">
        <x:v>S26|25329390</x:v>
      </x:c>
      <x:c r="B794" s="2" t="str">
        <x:v>S26</x:v>
      </x:c>
      <x:c r="C794" s="2" t="str">
        <x:v>25329390</x:v>
      </x:c>
      <x:c r="D794" s="2" t="n">
        <x:v>0</x:v>
      </x:c>
      <x:c r="E794" s="9"/>
      <x:c r="F794" s="2" t="n">
        <x:f>IF(E794="",D794,IF(E794="U","U",IF(AND(ISNUMBER(E794),E794&gt;=0,E794&lt;=3,INT(E794)=E794),E794,"Invalid")))</x:f>
        <x:v>0</x:v>
      </x:c>
      <x:c r="G794" s="2" t="n">
        <x:f>IF(ISNUMBER(F794),1,0)</x:f>
        <x:v>1</x:v>
      </x:c>
      <x:c r="H794" s="2" t="n">
        <x:f>IF(ISNUMBER(F794),IF(F794&gt;=2,1,0),0)</x:f>
        <x:v>0</x:v>
      </x:c>
      <x:c r="I794" s="11" t="n">
        <x:f>IF(ISNUMBER(F794),2^F794-1,0)</x:f>
        <x:v>0</x:v>
      </x:c>
      <x:c r="J794" s="2" t="str">
        <x:v>Extension pre-run 600</x:v>
      </x:c>
      <x:c r="K794" s="10" t="n">
        <x:v>900</x:v>
      </x:c>
      <x:c r="L794" s="10" t="n">
        <x:v>0</x:v>
      </x:c>
      <x:c r="M794" s="10"/>
      <x:c r="N794" s="2" t="str">
        <x:v>D20</x:v>
      </x:c>
      <x:c r="O794" s="2" t="str">
        <x:v>hdb flat</x:v>
      </x:c>
      <x:c r="P794" s="2" t="str">
        <x:v>https://www.propertyguru.com.sg/listing/hdb-for-rent-586-ang-mo-kio-avenue-3-25329390</x:v>
      </x:c>
      <x:c r="Q794" s="12" t="str">
        <x:v>Pre-registered source-rubric-v1; grade applied before outputs.</x:v>
      </x:c>
      <x:c r="R794" s="13"/>
    </x:row>
    <x:row r="795" ht="15" hidden="0" customHeight="1">
      <x:c r="A795" s="2" t="str">
        <x:v>S26|21283882</x:v>
      </x:c>
      <x:c r="B795" s="2" t="str">
        <x:v>S26</x:v>
      </x:c>
      <x:c r="C795" s="2" t="str">
        <x:v>21283882</x:v>
      </x:c>
      <x:c r="D795" s="2" t="n">
        <x:v>0</x:v>
      </x:c>
      <x:c r="E795" s="9"/>
      <x:c r="F795" s="2" t="n">
        <x:f>IF(E795="",D795,IF(E795="U","U",IF(AND(ISNUMBER(E795),E795&gt;=0,E795&lt;=3,INT(E795)=E795),E795,"Invalid")))</x:f>
        <x:v>0</x:v>
      </x:c>
      <x:c r="G795" s="2" t="n">
        <x:f>IF(ISNUMBER(F795),1,0)</x:f>
        <x:v>1</x:v>
      </x:c>
      <x:c r="H795" s="2" t="n">
        <x:f>IF(ISNUMBER(F795),IF(F795&gt;=2,1,0),0)</x:f>
        <x:v>0</x:v>
      </x:c>
      <x:c r="I795" s="11" t="n">
        <x:f>IF(ISNUMBER(F795),2^F795-1,0)</x:f>
        <x:v>0</x:v>
      </x:c>
      <x:c r="J795" s="2" t="str">
        <x:v>Extension pre-run 600</x:v>
      </x:c>
      <x:c r="K795" s="10" t="n">
        <x:v>4200</x:v>
      </x:c>
      <x:c r="L795" s="10" t="n">
        <x:v>1</x:v>
      </x:c>
      <x:c r="M795" s="10" t="n">
        <x:v>571</x:v>
      </x:c>
      <x:c r="N795" s="2" t="str">
        <x:v>D09</x:v>
      </x:c>
      <x:c r="O795" s="2" t="str">
        <x:v>condominium</x:v>
      </x:c>
      <x:c r="P795" s="2" t="str">
        <x:v>https://www.propertyguru.com.sg/listing/for-rent-sophia-hills-21283882</x:v>
      </x:c>
      <x:c r="Q795" s="12" t="str">
        <x:v>Pre-registered source-rubric-v1; grade applied before outputs.</x:v>
      </x:c>
      <x:c r="R795" s="13"/>
    </x:row>
    <x:row r="796" ht="15" hidden="0" customHeight="1">
      <x:c r="A796" s="2" t="str">
        <x:v>S26|500283381</x:v>
      </x:c>
      <x:c r="B796" s="2" t="str">
        <x:v>S26</x:v>
      </x:c>
      <x:c r="C796" s="2" t="str">
        <x:v>500283381</x:v>
      </x:c>
      <x:c r="D796" s="2" t="n">
        <x:v>0</x:v>
      </x:c>
      <x:c r="E796" s="9"/>
      <x:c r="F796" s="2" t="n">
        <x:f>IF(E796="",D796,IF(E796="U","U",IF(AND(ISNUMBER(E796),E796&gt;=0,E796&lt;=3,INT(E796)=E796),E796,"Invalid")))</x:f>
        <x:v>0</x:v>
      </x:c>
      <x:c r="G796" s="2" t="n">
        <x:f>IF(ISNUMBER(F796),1,0)</x:f>
        <x:v>1</x:v>
      </x:c>
      <x:c r="H796" s="2" t="n">
        <x:f>IF(ISNUMBER(F796),IF(F796&gt;=2,1,0),0)</x:f>
        <x:v>0</x:v>
      </x:c>
      <x:c r="I796" s="11" t="n">
        <x:f>IF(ISNUMBER(F796),2^F796-1,0)</x:f>
        <x:v>0</x:v>
      </x:c>
      <x:c r="J796" s="2" t="str">
        <x:v>Extension pre-run 600</x:v>
      </x:c>
      <x:c r="K796" s="10" t="n">
        <x:v>3499</x:v>
      </x:c>
      <x:c r="L796" s="10" t="n">
        <x:v>3</x:v>
      </x:c>
      <x:c r="M796" s="10" t="n">
        <x:v>1001</x:v>
      </x:c>
      <x:c r="N796" s="2" t="str">
        <x:v>D19</x:v>
      </x:c>
      <x:c r="O796" s="2" t="str">
        <x:v>hdb flat</x:v>
      </x:c>
      <x:c r="P796" s="2" t="str">
        <x:v>https://www.propertyguru.com.sg/listing/hdb-for-rent-305d-punggol-drive-500283381</x:v>
      </x:c>
      <x:c r="Q796" s="12" t="str">
        <x:v>Pre-registered source-rubric-v1; grade applied before outputs.</x:v>
      </x:c>
      <x:c r="R796" s="13"/>
    </x:row>
    <x:row r="797" ht="15" hidden="0" customHeight="1">
      <x:c r="A797" s="2" t="str">
        <x:v>S26|500240652</x:v>
      </x:c>
      <x:c r="B797" s="2" t="str">
        <x:v>S26</x:v>
      </x:c>
      <x:c r="C797" s="2" t="str">
        <x:v>500240652</x:v>
      </x:c>
      <x:c r="D797" s="2" t="n">
        <x:v>0</x:v>
      </x:c>
      <x:c r="E797" s="9"/>
      <x:c r="F797" s="2" t="n">
        <x:f>IF(E797="",D797,IF(E797="U","U",IF(AND(ISNUMBER(E797),E797&gt;=0,E797&lt;=3,INT(E797)=E797),E797,"Invalid")))</x:f>
        <x:v>0</x:v>
      </x:c>
      <x:c r="G797" s="2" t="n">
        <x:f>IF(ISNUMBER(F797),1,0)</x:f>
        <x:v>1</x:v>
      </x:c>
      <x:c r="H797" s="2" t="n">
        <x:f>IF(ISNUMBER(F797),IF(F797&gt;=2,1,0),0)</x:f>
        <x:v>0</x:v>
      </x:c>
      <x:c r="I797" s="11" t="n">
        <x:f>IF(ISNUMBER(F797),2^F797-1,0)</x:f>
        <x:v>0</x:v>
      </x:c>
      <x:c r="J797" s="2" t="str">
        <x:v>Extension pre-run 600</x:v>
      </x:c>
      <x:c r="K797" s="10" t="n">
        <x:v>2400</x:v>
      </x:c>
      <x:c r="L797" s="10"/>
      <x:c r="M797" s="10" t="n">
        <x:v>250</x:v>
      </x:c>
      <x:c r="N797" s="2" t="str">
        <x:v>D15</x:v>
      </x:c>
      <x:c r="O797" s="2" t="str">
        <x:v>walk-up apartment</x:v>
      </x:c>
      <x:c r="P797" s="2" t="str">
        <x:v>https://www.propertyguru.com.sg/listing/for-rent-trendy-studios-joo-chiat-500240652</x:v>
      </x:c>
      <x:c r="Q797" s="12" t="str">
        <x:v>Pre-registered source-rubric-v1; grade applied before outputs.</x:v>
      </x:c>
      <x:c r="R797" s="13"/>
    </x:row>
    <x:row r="798" ht="15" hidden="0" customHeight="1">
      <x:c r="A798" s="2" t="str">
        <x:v>S26|25588242</x:v>
      </x:c>
      <x:c r="B798" s="2" t="str">
        <x:v>S26</x:v>
      </x:c>
      <x:c r="C798" s="2" t="str">
        <x:v>25588242</x:v>
      </x:c>
      <x:c r="D798" s="2" t="n">
        <x:v>0</x:v>
      </x:c>
      <x:c r="E798" s="9"/>
      <x:c r="F798" s="2" t="n">
        <x:f>IF(E798="",D798,IF(E798="U","U",IF(AND(ISNUMBER(E798),E798&gt;=0,E798&lt;=3,INT(E798)=E798),E798,"Invalid")))</x:f>
        <x:v>0</x:v>
      </x:c>
      <x:c r="G798" s="2" t="n">
        <x:f>IF(ISNUMBER(F798),1,0)</x:f>
        <x:v>1</x:v>
      </x:c>
      <x:c r="H798" s="2" t="n">
        <x:f>IF(ISNUMBER(F798),IF(F798&gt;=2,1,0),0)</x:f>
        <x:v>0</x:v>
      </x:c>
      <x:c r="I798" s="11" t="n">
        <x:f>IF(ISNUMBER(F798),2^F798-1,0)</x:f>
        <x:v>0</x:v>
      </x:c>
      <x:c r="J798" s="2" t="str">
        <x:v>Extension pre-run 600</x:v>
      </x:c>
      <x:c r="K798" s="10" t="n">
        <x:v>3000</x:v>
      </x:c>
      <x:c r="L798" s="10" t="n">
        <x:v>1</x:v>
      </x:c>
      <x:c r="M798" s="10" t="n">
        <x:v>506</x:v>
      </x:c>
      <x:c r="N798" s="2" t="str">
        <x:v>D28</x:v>
      </x:c>
      <x:c r="O798" s="2" t="str">
        <x:v>condominium</x:v>
      </x:c>
      <x:c r="P798" s="2" t="str">
        <x:v>https://www.propertyguru.com.sg/listing/for-rent-parc-botannia-25588242</x:v>
      </x:c>
      <x:c r="Q798" s="12" t="str">
        <x:v>Pre-registered source-rubric-v1; grade applied before outputs.</x:v>
      </x:c>
      <x:c r="R798" s="13"/>
    </x:row>
    <x:row r="799" ht="15" hidden="0" customHeight="1">
      <x:c r="A799" s="2" t="str">
        <x:v>S26|25176379</x:v>
      </x:c>
      <x:c r="B799" s="2" t="str">
        <x:v>S26</x:v>
      </x:c>
      <x:c r="C799" s="2" t="str">
        <x:v>25176379</x:v>
      </x:c>
      <x:c r="D799" s="2" t="n">
        <x:v>0</x:v>
      </x:c>
      <x:c r="E799" s="9"/>
      <x:c r="F799" s="2" t="n">
        <x:f>IF(E799="",D799,IF(E799="U","U",IF(AND(ISNUMBER(E799),E799&gt;=0,E799&lt;=3,INT(E799)=E799),E799,"Invalid")))</x:f>
        <x:v>0</x:v>
      </x:c>
      <x:c r="G799" s="2" t="n">
        <x:f>IF(ISNUMBER(F799),1,0)</x:f>
        <x:v>1</x:v>
      </x:c>
      <x:c r="H799" s="2" t="n">
        <x:f>IF(ISNUMBER(F799),IF(F799&gt;=2,1,0),0)</x:f>
        <x:v>0</x:v>
      </x:c>
      <x:c r="I799" s="11" t="n">
        <x:f>IF(ISNUMBER(F799),2^F799-1,0)</x:f>
        <x:v>0</x:v>
      </x:c>
      <x:c r="J799" s="2" t="str">
        <x:v>Extension pre-run 600</x:v>
      </x:c>
      <x:c r="K799" s="10" t="n">
        <x:v>550</x:v>
      </x:c>
      <x:c r="L799" s="10" t="n">
        <x:v>0</x:v>
      </x:c>
      <x:c r="M799" s="10"/>
      <x:c r="N799" s="2" t="str">
        <x:v>D18</x:v>
      </x:c>
      <x:c r="O799" s="2" t="str">
        <x:v>hdb flat</x:v>
      </x:c>
      <x:c r="P799" s="2" t="str">
        <x:v>https://www.propertyguru.com.sg/listing/hdb-for-rent-144-pasir-ris-street-11-25176379</x:v>
      </x:c>
      <x:c r="Q799" s="12" t="str">
        <x:v>Pre-registered source-rubric-v1; grade applied before outputs.</x:v>
      </x:c>
      <x:c r="R799" s="13"/>
    </x:row>
    <x:row r="800" ht="15" hidden="0" customHeight="1">
      <x:c r="A800" s="2" t="str">
        <x:v>S26|23211904</x:v>
      </x:c>
      <x:c r="B800" s="2" t="str">
        <x:v>S26</x:v>
      </x:c>
      <x:c r="C800" s="2" t="str">
        <x:v>23211904</x:v>
      </x:c>
      <x:c r="D800" s="2" t="n">
        <x:v>0</x:v>
      </x:c>
      <x:c r="E800" s="9"/>
      <x:c r="F800" s="2" t="n">
        <x:f>IF(E800="",D800,IF(E800="U","U",IF(AND(ISNUMBER(E800),E800&gt;=0,E800&lt;=3,INT(E800)=E800),E800,"Invalid")))</x:f>
        <x:v>0</x:v>
      </x:c>
      <x:c r="G800" s="2" t="n">
        <x:f>IF(ISNUMBER(F800),1,0)</x:f>
        <x:v>1</x:v>
      </x:c>
      <x:c r="H800" s="2" t="n">
        <x:f>IF(ISNUMBER(F800),IF(F800&gt;=2,1,0),0)</x:f>
        <x:v>0</x:v>
      </x:c>
      <x:c r="I800" s="11" t="n">
        <x:f>IF(ISNUMBER(F800),2^F800-1,0)</x:f>
        <x:v>0</x:v>
      </x:c>
      <x:c r="J800" s="2" t="str">
        <x:v>Extension pre-run 600</x:v>
      </x:c>
      <x:c r="K800" s="10" t="n">
        <x:v>2100</x:v>
      </x:c>
      <x:c r="L800" s="10" t="n">
        <x:v>0</x:v>
      </x:c>
      <x:c r="M800" s="10"/>
      <x:c r="N800" s="2" t="str">
        <x:v>D02</x:v>
      </x:c>
      <x:c r="O800" s="2" t="str">
        <x:v>hdb flat</x:v>
      </x:c>
      <x:c r="P800" s="2" t="str">
        <x:v>https://www.propertyguru.com.sg/listing/hdb-for-rent-pinnacle-duxton-23211904</x:v>
      </x:c>
      <x:c r="Q800" s="12" t="str">
        <x:v>Pre-registered source-rubric-v1; grade applied before outputs.</x:v>
      </x:c>
      <x:c r="R800" s="13"/>
    </x:row>
    <x:row r="801" ht="15" hidden="0" customHeight="1">
      <x:c r="A801" s="2" t="str">
        <x:v>S26|500272771</x:v>
      </x:c>
      <x:c r="B801" s="2" t="str">
        <x:v>S26</x:v>
      </x:c>
      <x:c r="C801" s="2" t="str">
        <x:v>500272771</x:v>
      </x:c>
      <x:c r="D801" s="2" t="n">
        <x:v>0</x:v>
      </x:c>
      <x:c r="E801" s="9"/>
      <x:c r="F801" s="2" t="n">
        <x:f>IF(E801="",D801,IF(E801="U","U",IF(AND(ISNUMBER(E801),E801&gt;=0,E801&lt;=3,INT(E801)=E801),E801,"Invalid")))</x:f>
        <x:v>0</x:v>
      </x:c>
      <x:c r="G801" s="2" t="n">
        <x:f>IF(ISNUMBER(F801),1,0)</x:f>
        <x:v>1</x:v>
      </x:c>
      <x:c r="H801" s="2" t="n">
        <x:f>IF(ISNUMBER(F801),IF(F801&gt;=2,1,0),0)</x:f>
        <x:v>0</x:v>
      </x:c>
      <x:c r="I801" s="11" t="n">
        <x:f>IF(ISNUMBER(F801),2^F801-1,0)</x:f>
        <x:v>0</x:v>
      </x:c>
      <x:c r="J801" s="2" t="str">
        <x:v>Extension pre-run 600</x:v>
      </x:c>
      <x:c r="K801" s="10" t="n">
        <x:v>850</x:v>
      </x:c>
      <x:c r="L801" s="10" t="n">
        <x:v>0</x:v>
      </x:c>
      <x:c r="M801" s="10"/>
      <x:c r="N801" s="2" t="str">
        <x:v>D22</x:v>
      </x:c>
      <x:c r="O801" s="2" t="str">
        <x:v>hdb flat</x:v>
      </x:c>
      <x:c r="P801" s="2" t="str">
        <x:v>https://www.propertyguru.com.sg/listing/hdb-for-rent-988a-jurong-west-street-93-500272771</x:v>
      </x:c>
      <x:c r="Q801" s="12" t="str">
        <x:v>Pre-registered source-rubric-v1; grade applied before outputs.</x:v>
      </x:c>
      <x:c r="R801" s="13"/>
    </x:row>
    <x:row r="802" ht="15" hidden="0" customHeight="1">
      <x:c r="A802" s="2" t="str">
        <x:v>S26|500271893</x:v>
      </x:c>
      <x:c r="B802" s="2" t="str">
        <x:v>S26</x:v>
      </x:c>
      <x:c r="C802" s="2" t="str">
        <x:v>500271893</x:v>
      </x:c>
      <x:c r="D802" s="2" t="n">
        <x:v>0</x:v>
      </x:c>
      <x:c r="E802" s="9"/>
      <x:c r="F802" s="2" t="n">
        <x:f>IF(E802="",D802,IF(E802="U","U",IF(AND(ISNUMBER(E802),E802&gt;=0,E802&lt;=3,INT(E802)=E802),E802,"Invalid")))</x:f>
        <x:v>0</x:v>
      </x:c>
      <x:c r="G802" s="2" t="n">
        <x:f>IF(ISNUMBER(F802),1,0)</x:f>
        <x:v>1</x:v>
      </x:c>
      <x:c r="H802" s="2" t="n">
        <x:f>IF(ISNUMBER(F802),IF(F802&gt;=2,1,0),0)</x:f>
        <x:v>0</x:v>
      </x:c>
      <x:c r="I802" s="11" t="n">
        <x:f>IF(ISNUMBER(F802),2^F802-1,0)</x:f>
        <x:v>0</x:v>
      </x:c>
      <x:c r="J802" s="2" t="str">
        <x:v>Extension pre-run 600</x:v>
      </x:c>
      <x:c r="K802" s="10" t="n">
        <x:v>1300</x:v>
      </x:c>
      <x:c r="L802" s="10" t="n">
        <x:v>0</x:v>
      </x:c>
      <x:c r="M802" s="10"/>
      <x:c r="N802" s="2" t="str">
        <x:v>D18</x:v>
      </x:c>
      <x:c r="O802" s="2" t="str">
        <x:v>condominium</x:v>
      </x:c>
      <x:c r="P802" s="2" t="str">
        <x:v>https://www.propertyguru.com.sg/listing/for-rent-treasure-at-tampines-500271893</x:v>
      </x:c>
      <x:c r="Q802" s="12" t="str">
        <x:v>Pre-registered source-rubric-v1; grade applied before outputs.</x:v>
      </x:c>
      <x:c r="R802" s="13"/>
    </x:row>
    <x:row r="803" ht="15" hidden="0" customHeight="1">
      <x:c r="A803" s="2" t="str">
        <x:v>S26|25620824</x:v>
      </x:c>
      <x:c r="B803" s="2" t="str">
        <x:v>S26</x:v>
      </x:c>
      <x:c r="C803" s="2" t="str">
        <x:v>25620824</x:v>
      </x:c>
      <x:c r="D803" s="2" t="n">
        <x:v>0</x:v>
      </x:c>
      <x:c r="E803" s="9"/>
      <x:c r="F803" s="2" t="n">
        <x:f>IF(E803="",D803,IF(E803="U","U",IF(AND(ISNUMBER(E803),E803&gt;=0,E803&lt;=3,INT(E803)=E803),E803,"Invalid")))</x:f>
        <x:v>0</x:v>
      </x:c>
      <x:c r="G803" s="2" t="n">
        <x:f>IF(ISNUMBER(F803),1,0)</x:f>
        <x:v>1</x:v>
      </x:c>
      <x:c r="H803" s="2" t="n">
        <x:f>IF(ISNUMBER(F803),IF(F803&gt;=2,1,0),0)</x:f>
        <x:v>0</x:v>
      </x:c>
      <x:c r="I803" s="11" t="n">
        <x:f>IF(ISNUMBER(F803),2^F803-1,0)</x:f>
        <x:v>0</x:v>
      </x:c>
      <x:c r="J803" s="2" t="str">
        <x:v>Extension pre-run 600</x:v>
      </x:c>
      <x:c r="K803" s="10" t="n">
        <x:v>1200</x:v>
      </x:c>
      <x:c r="L803" s="10" t="n">
        <x:v>0</x:v>
      </x:c>
      <x:c r="M803" s="10"/>
      <x:c r="N803" s="2" t="str">
        <x:v>D16</x:v>
      </x:c>
      <x:c r="O803" s="2" t="str">
        <x:v>hdb flat</x:v>
      </x:c>
      <x:c r="P803" s="2" t="str">
        <x:v>https://www.propertyguru.com.sg/listing/hdb-for-rent-539-bedok-north-street-3-25620824</x:v>
      </x:c>
      <x:c r="Q803" s="12" t="str">
        <x:v>Pre-registered source-rubric-v1; grade applied before outputs.</x:v>
      </x:c>
      <x:c r="R803" s="13"/>
    </x:row>
    <x:row r="804" ht="15" hidden="0" customHeight="1">
      <x:c r="A804" s="2" t="str">
        <x:v>S26|500268429</x:v>
      </x:c>
      <x:c r="B804" s="2" t="str">
        <x:v>S26</x:v>
      </x:c>
      <x:c r="C804" s="2" t="str">
        <x:v>500268429</x:v>
      </x:c>
      <x:c r="D804" s="2" t="n">
        <x:v>0</x:v>
      </x:c>
      <x:c r="E804" s="9"/>
      <x:c r="F804" s="2" t="n">
        <x:f>IF(E804="",D804,IF(E804="U","U",IF(AND(ISNUMBER(E804),E804&gt;=0,E804&lt;=3,INT(E804)=E804),E804,"Invalid")))</x:f>
        <x:v>0</x:v>
      </x:c>
      <x:c r="G804" s="2" t="n">
        <x:f>IF(ISNUMBER(F804),1,0)</x:f>
        <x:v>1</x:v>
      </x:c>
      <x:c r="H804" s="2" t="n">
        <x:f>IF(ISNUMBER(F804),IF(F804&gt;=2,1,0),0)</x:f>
        <x:v>0</x:v>
      </x:c>
      <x:c r="I804" s="11" t="n">
        <x:f>IF(ISNUMBER(F804),2^F804-1,0)</x:f>
        <x:v>0</x:v>
      </x:c>
      <x:c r="J804" s="2" t="str">
        <x:v>Extension pre-run 600</x:v>
      </x:c>
      <x:c r="K804" s="10" t="n">
        <x:v>4700</x:v>
      </x:c>
      <x:c r="L804" s="10" t="n">
        <x:v>2</x:v>
      </x:c>
      <x:c r="M804" s="10" t="n">
        <x:v>893</x:v>
      </x:c>
      <x:c r="N804" s="2" t="str">
        <x:v>D03</x:v>
      </x:c>
      <x:c r="O804" s="2" t="str">
        <x:v>hdb flat</x:v>
      </x:c>
      <x:c r="P804" s="2" t="str">
        <x:v>https://www.propertyguru.com.sg/listing/hdb-for-rent-88-dawson-road-500268429</x:v>
      </x:c>
      <x:c r="Q804" s="12" t="str">
        <x:v>Pre-registered source-rubric-v1; grade applied before outputs.</x:v>
      </x:c>
      <x:c r="R804" s="13"/>
    </x:row>
    <x:row r="805" ht="15" hidden="0" customHeight="1">
      <x:c r="A805" s="2" t="str">
        <x:v>S27|23082800</x:v>
      </x:c>
      <x:c r="B805" s="2" t="str">
        <x:v>S27</x:v>
      </x:c>
      <x:c r="C805" s="2" t="str">
        <x:v>23082800</x:v>
      </x:c>
      <x:c r="D805" s="2" t="n">
        <x:v>3</x:v>
      </x:c>
      <x:c r="E805" s="9"/>
      <x:c r="F805" s="2" t="n">
        <x:f>IF(E805="",D805,IF(E805="U","U",IF(AND(ISNUMBER(E805),E805&gt;=0,E805&lt;=3,INT(E805)=E805),E805,"Invalid")))</x:f>
        <x:v>3</x:v>
      </x:c>
      <x:c r="G805" s="2" t="n">
        <x:f>IF(ISNUMBER(F805),1,0)</x:f>
        <x:v>1</x:v>
      </x:c>
      <x:c r="H805" s="2" t="n">
        <x:f>IF(ISNUMBER(F805),IF(F805&gt;=2,1,0),0)</x:f>
        <x:v>1</x:v>
      </x:c>
      <x:c r="I805" s="11" t="n">
        <x:f>IF(ISNUMBER(F805),2^F805-1,0)</x:f>
        <x:v>7</x:v>
      </x:c>
      <x:c r="J805" s="2" t="str">
        <x:v>Extension pre-run 600</x:v>
      </x:c>
      <x:c r="K805" s="10" t="n">
        <x:v>4400</x:v>
      </x:c>
      <x:c r="L805" s="10" t="n">
        <x:v>3</x:v>
      </x:c>
      <x:c r="M805" s="10" t="n">
        <x:v>1184</x:v>
      </x:c>
      <x:c r="N805" s="2" t="str">
        <x:v>D03</x:v>
      </x:c>
      <x:c r="O805" s="2" t="str">
        <x:v>hdb flat</x:v>
      </x:c>
      <x:c r="P805" s="2" t="str">
        <x:v>https://www.propertyguru.com.sg/listing/hdb-for-rent-25b-jalan-membina-23082800</x:v>
      </x:c>
      <x:c r="Q805" s="12" t="str">
        <x:v>Pre-registered source-rubric-v1; grade applied before outputs.</x:v>
      </x:c>
      <x:c r="R805" s="13"/>
    </x:row>
    <x:row r="806" ht="15" hidden="0" customHeight="1">
      <x:c r="A806" s="2" t="str">
        <x:v>S27|500269131</x:v>
      </x:c>
      <x:c r="B806" s="2" t="str">
        <x:v>S27</x:v>
      </x:c>
      <x:c r="C806" s="2" t="str">
        <x:v>500269131</x:v>
      </x:c>
      <x:c r="D806" s="2" t="n">
        <x:v>3</x:v>
      </x:c>
      <x:c r="E806" s="9"/>
      <x:c r="F806" s="2" t="n">
        <x:f>IF(E806="",D806,IF(E806="U","U",IF(AND(ISNUMBER(E806),E806&gt;=0,E806&lt;=3,INT(E806)=E806),E806,"Invalid")))</x:f>
        <x:v>3</x:v>
      </x:c>
      <x:c r="G806" s="2" t="n">
        <x:f>IF(ISNUMBER(F806),1,0)</x:f>
        <x:v>1</x:v>
      </x:c>
      <x:c r="H806" s="2" t="n">
        <x:f>IF(ISNUMBER(F806),IF(F806&gt;=2,1,0),0)</x:f>
        <x:v>1</x:v>
      </x:c>
      <x:c r="I806" s="11" t="n">
        <x:f>IF(ISNUMBER(F806),2^F806-1,0)</x:f>
        <x:v>7</x:v>
      </x:c>
      <x:c r="J806" s="2" t="str">
        <x:v>Extension pre-run 600</x:v>
      </x:c>
      <x:c r="K806" s="10" t="n">
        <x:v>4500</x:v>
      </x:c>
      <x:c r="L806" s="10" t="n">
        <x:v>3</x:v>
      </x:c>
      <x:c r="M806" s="10" t="n">
        <x:v>1001</x:v>
      </x:c>
      <x:c r="N806" s="2" t="str">
        <x:v>D03</x:v>
      </x:c>
      <x:c r="O806" s="2" t="str">
        <x:v>hdb flat</x:v>
      </x:c>
      <x:c r="P806" s="2" t="str">
        <x:v>https://www.propertyguru.com.sg/listing/hdb-for-rent-148-silat-avenue-500269131</x:v>
      </x:c>
      <x:c r="Q806" s="12" t="str">
        <x:v>Pre-registered source-rubric-v1; grade applied before outputs.</x:v>
      </x:c>
      <x:c r="R806" s="13"/>
    </x:row>
    <x:row r="807" ht="15" hidden="0" customHeight="1">
      <x:c r="A807" s="2" t="str">
        <x:v>S27|12885293</x:v>
      </x:c>
      <x:c r="B807" s="2" t="str">
        <x:v>S27</x:v>
      </x:c>
      <x:c r="C807" s="2" t="str">
        <x:v>12885293</x:v>
      </x:c>
      <x:c r="D807" s="2" t="n">
        <x:v>3</x:v>
      </x:c>
      <x:c r="E807" s="9"/>
      <x:c r="F807" s="2" t="n">
        <x:f>IF(E807="",D807,IF(E807="U","U",IF(AND(ISNUMBER(E807),E807&gt;=0,E807&lt;=3,INT(E807)=E807),E807,"Invalid")))</x:f>
        <x:v>3</x:v>
      </x:c>
      <x:c r="G807" s="2" t="n">
        <x:f>IF(ISNUMBER(F807),1,0)</x:f>
        <x:v>1</x:v>
      </x:c>
      <x:c r="H807" s="2" t="n">
        <x:f>IF(ISNUMBER(F807),IF(F807&gt;=2,1,0),0)</x:f>
        <x:v>1</x:v>
      </x:c>
      <x:c r="I807" s="11" t="n">
        <x:f>IF(ISNUMBER(F807),2^F807-1,0)</x:f>
        <x:v>7</x:v>
      </x:c>
      <x:c r="J807" s="2" t="str">
        <x:v>Extension pre-run 600</x:v>
      </x:c>
      <x:c r="K807" s="10" t="n">
        <x:v>4000</x:v>
      </x:c>
      <x:c r="L807" s="10" t="n">
        <x:v>2</x:v>
      </x:c>
      <x:c r="M807" s="10" t="n">
        <x:v>1000</x:v>
      </x:c>
      <x:c r="N807" s="2" t="str">
        <x:v>D05</x:v>
      </x:c>
      <x:c r="O807" s="2" t="str">
        <x:v>hdb flat</x:v>
      </x:c>
      <x:c r="P807" s="2" t="str">
        <x:v>https://www.propertyguru.com.sg/listing/hdb-for-rent-17-dover-crescent-12885293</x:v>
      </x:c>
      <x:c r="Q807" s="12" t="str">
        <x:v>Pre-registered source-rubric-v1; grade applied before outputs.</x:v>
      </x:c>
      <x:c r="R807" s="13"/>
    </x:row>
    <x:row r="808" ht="15" hidden="0" customHeight="1">
      <x:c r="A808" s="2" t="str">
        <x:v>S27|23440735</x:v>
      </x:c>
      <x:c r="B808" s="2" t="str">
        <x:v>S27</x:v>
      </x:c>
      <x:c r="C808" s="2" t="str">
        <x:v>23440735</x:v>
      </x:c>
      <x:c r="D808" s="2" t="n">
        <x:v>3</x:v>
      </x:c>
      <x:c r="E808" s="9"/>
      <x:c r="F808" s="2" t="n">
        <x:f>IF(E808="",D808,IF(E808="U","U",IF(AND(ISNUMBER(E808),E808&gt;=0,E808&lt;=3,INT(E808)=E808),E808,"Invalid")))</x:f>
        <x:v>3</x:v>
      </x:c>
      <x:c r="G808" s="2" t="n">
        <x:f>IF(ISNUMBER(F808),1,0)</x:f>
        <x:v>1</x:v>
      </x:c>
      <x:c r="H808" s="2" t="n">
        <x:f>IF(ISNUMBER(F808),IF(F808&gt;=2,1,0),0)</x:f>
        <x:v>1</x:v>
      </x:c>
      <x:c r="I808" s="11" t="n">
        <x:f>IF(ISNUMBER(F808),2^F808-1,0)</x:f>
        <x:v>7</x:v>
      </x:c>
      <x:c r="J808" s="2" t="str">
        <x:v>Extension pre-run 600</x:v>
      </x:c>
      <x:c r="K808" s="10" t="n">
        <x:v>4500</x:v>
      </x:c>
      <x:c r="L808" s="10" t="n">
        <x:v>2</x:v>
      </x:c>
      <x:c r="M808" s="10" t="n">
        <x:v>969</x:v>
      </x:c>
      <x:c r="N808" s="2" t="str">
        <x:v>D05</x:v>
      </x:c>
      <x:c r="O808" s="2" t="str">
        <x:v>condominium</x:v>
      </x:c>
      <x:c r="P808" s="2" t="str">
        <x:v>https://www.propertyguru.com.sg/listing/for-rent-dover-parkview-23440735</x:v>
      </x:c>
      <x:c r="Q808" s="12" t="str">
        <x:v>Pre-registered source-rubric-v1; grade applied before outputs.</x:v>
      </x:c>
      <x:c r="R808" s="13"/>
    </x:row>
    <x:row r="809" ht="15" hidden="0" customHeight="1">
      <x:c r="A809" s="2" t="str">
        <x:v>S27|500229761</x:v>
      </x:c>
      <x:c r="B809" s="2" t="str">
        <x:v>S27</x:v>
      </x:c>
      <x:c r="C809" s="2" t="str">
        <x:v>500229761</x:v>
      </x:c>
      <x:c r="D809" s="2" t="n">
        <x:v>3</x:v>
      </x:c>
      <x:c r="E809" s="9"/>
      <x:c r="F809" s="2" t="n">
        <x:f>IF(E809="",D809,IF(E809="U","U",IF(AND(ISNUMBER(E809),E809&gt;=0,E809&lt;=3,INT(E809)=E809),E809,"Invalid")))</x:f>
        <x:v>3</x:v>
      </x:c>
      <x:c r="G809" s="2" t="n">
        <x:f>IF(ISNUMBER(F809),1,0)</x:f>
        <x:v>1</x:v>
      </x:c>
      <x:c r="H809" s="2" t="n">
        <x:f>IF(ISNUMBER(F809),IF(F809&gt;=2,1,0),0)</x:f>
        <x:v>1</x:v>
      </x:c>
      <x:c r="I809" s="11" t="n">
        <x:f>IF(ISNUMBER(F809),2^F809-1,0)</x:f>
        <x:v>7</x:v>
      </x:c>
      <x:c r="J809" s="2" t="str">
        <x:v>Extension pre-run 600</x:v>
      </x:c>
      <x:c r="K809" s="10" t="n">
        <x:v>4200</x:v>
      </x:c>
      <x:c r="L809" s="10" t="n">
        <x:v>2</x:v>
      </x:c>
      <x:c r="M809" s="10" t="n">
        <x:v>1033</x:v>
      </x:c>
      <x:c r="N809" s="2" t="str">
        <x:v>D05</x:v>
      </x:c>
      <x:c r="O809" s="2" t="str">
        <x:v>condominium</x:v>
      </x:c>
      <x:c r="P809" s="2" t="str">
        <x:v>https://www.propertyguru.com.sg/listing/for-rent-faber-crest-500229761</x:v>
      </x:c>
      <x:c r="Q809" s="12" t="str">
        <x:v>Pre-registered source-rubric-v1; grade applied before outputs.</x:v>
      </x:c>
      <x:c r="R809" s="13"/>
    </x:row>
    <x:row r="810" ht="15" hidden="0" customHeight="1">
      <x:c r="A810" s="2" t="str">
        <x:v>S27|24200926</x:v>
      </x:c>
      <x:c r="B810" s="2" t="str">
        <x:v>S27</x:v>
      </x:c>
      <x:c r="C810" s="2" t="str">
        <x:v>24200926</x:v>
      </x:c>
      <x:c r="D810" s="2" t="n">
        <x:v>3</x:v>
      </x:c>
      <x:c r="E810" s="9"/>
      <x:c r="F810" s="2" t="n">
        <x:f>IF(E810="",D810,IF(E810="U","U",IF(AND(ISNUMBER(E810),E810&gt;=0,E810&lt;=3,INT(E810)=E810),E810,"Invalid")))</x:f>
        <x:v>3</x:v>
      </x:c>
      <x:c r="G810" s="2" t="n">
        <x:f>IF(ISNUMBER(F810),1,0)</x:f>
        <x:v>1</x:v>
      </x:c>
      <x:c r="H810" s="2" t="n">
        <x:f>IF(ISNUMBER(F810),IF(F810&gt;=2,1,0),0)</x:f>
        <x:v>1</x:v>
      </x:c>
      <x:c r="I810" s="11" t="n">
        <x:f>IF(ISNUMBER(F810),2^F810-1,0)</x:f>
        <x:v>7</x:v>
      </x:c>
      <x:c r="J810" s="2" t="str">
        <x:v>Extension pre-run 600</x:v>
      </x:c>
      <x:c r="K810" s="10" t="n">
        <x:v>4500</x:v>
      </x:c>
      <x:c r="L810" s="10" t="n">
        <x:v>3</x:v>
      </x:c>
      <x:c r="M810" s="10" t="n">
        <x:v>1001</x:v>
      </x:c>
      <x:c r="N810" s="2" t="str">
        <x:v>D03</x:v>
      </x:c>
      <x:c r="O810" s="2" t="str">
        <x:v>apartment</x:v>
      </x:c>
      <x:c r="P810" s="2" t="str">
        <x:v>https://www.propertyguru.com.sg/listing/for-rent-kai-fook-mansion-24200926</x:v>
      </x:c>
      <x:c r="Q810" s="12" t="str">
        <x:v>Pre-registered source-rubric-v1; grade applied before outputs.</x:v>
      </x:c>
      <x:c r="R810" s="13"/>
    </x:row>
    <x:row r="811" ht="15" hidden="0" customHeight="1">
      <x:c r="A811" s="2" t="str">
        <x:v>S27|500277486</x:v>
      </x:c>
      <x:c r="B811" s="2" t="str">
        <x:v>S27</x:v>
      </x:c>
      <x:c r="C811" s="2" t="str">
        <x:v>500277486</x:v>
      </x:c>
      <x:c r="D811" s="2" t="n">
        <x:v>2</x:v>
      </x:c>
      <x:c r="E811" s="9"/>
      <x:c r="F811" s="2" t="n">
        <x:f>IF(E811="",D811,IF(E811="U","U",IF(AND(ISNUMBER(E811),E811&gt;=0,E811&lt;=3,INT(E811)=E811),E811,"Invalid")))</x:f>
        <x:v>2</x:v>
      </x:c>
      <x:c r="G811" s="2" t="n">
        <x:f>IF(ISNUMBER(F811),1,0)</x:f>
        <x:v>1</x:v>
      </x:c>
      <x:c r="H811" s="2" t="n">
        <x:f>IF(ISNUMBER(F811),IF(F811&gt;=2,1,0),0)</x:f>
        <x:v>1</x:v>
      </x:c>
      <x:c r="I811" s="11" t="n">
        <x:f>IF(ISNUMBER(F811),2^F811-1,0)</x:f>
        <x:v>3</x:v>
      </x:c>
      <x:c r="J811" s="2" t="str">
        <x:v>Extension pre-run 600</x:v>
      </x:c>
      <x:c r="K811" s="10" t="n">
        <x:v>4000</x:v>
      </x:c>
      <x:c r="L811" s="10" t="n">
        <x:v>2</x:v>
      </x:c>
      <x:c r="M811" s="10" t="n">
        <x:v>700</x:v>
      </x:c>
      <x:c r="N811" s="2" t="str">
        <x:v>D03</x:v>
      </x:c>
      <x:c r="O811" s="2" t="str">
        <x:v>hdb flat</x:v>
      </x:c>
      <x:c r="P811" s="2" t="str">
        <x:v>https://www.propertyguru.com.sg/listing/hdb-for-rent-37-jalan-rumah-tinggi-500277486</x:v>
      </x:c>
      <x:c r="Q811" s="12" t="str">
        <x:v>Pre-registered source-rubric-v1; grade applied before outputs.</x:v>
      </x:c>
      <x:c r="R811" s="13"/>
    </x:row>
    <x:row r="812" ht="15" hidden="0" customHeight="1">
      <x:c r="A812" s="2" t="str">
        <x:v>S27|60107518</x:v>
      </x:c>
      <x:c r="B812" s="2" t="str">
        <x:v>S27</x:v>
      </x:c>
      <x:c r="C812" s="2" t="str">
        <x:v>60107518</x:v>
      </x:c>
      <x:c r="D812" s="2" t="n">
        <x:v>2</x:v>
      </x:c>
      <x:c r="E812" s="9"/>
      <x:c r="F812" s="2" t="n">
        <x:f>IF(E812="",D812,IF(E812="U","U",IF(AND(ISNUMBER(E812),E812&gt;=0,E812&lt;=3,INT(E812)=E812),E812,"Invalid")))</x:f>
        <x:v>2</x:v>
      </x:c>
      <x:c r="G812" s="2" t="n">
        <x:f>IF(ISNUMBER(F812),1,0)</x:f>
        <x:v>1</x:v>
      </x:c>
      <x:c r="H812" s="2" t="n">
        <x:f>IF(ISNUMBER(F812),IF(F812&gt;=2,1,0),0)</x:f>
        <x:v>1</x:v>
      </x:c>
      <x:c r="I812" s="11" t="n">
        <x:f>IF(ISNUMBER(F812),2^F812-1,0)</x:f>
        <x:v>3</x:v>
      </x:c>
      <x:c r="J812" s="2" t="str">
        <x:v>Extension pre-run 600</x:v>
      </x:c>
      <x:c r="K812" s="10" t="n">
        <x:v>3400</x:v>
      </x:c>
      <x:c r="L812" s="10" t="n">
        <x:v>2</x:v>
      </x:c>
      <x:c r="M812" s="10" t="n">
        <x:v>646</x:v>
      </x:c>
      <x:c r="N812" s="2" t="str">
        <x:v>D03</x:v>
      </x:c>
      <x:c r="O812" s="2" t="str">
        <x:v>hdb flat</x:v>
      </x:c>
      <x:c r="P812" s="2" t="str">
        <x:v>https://www.propertyguru.com.sg/listing/hdb-for-rent-169-stirling-road-60107518</x:v>
      </x:c>
      <x:c r="Q812" s="12" t="str">
        <x:v>Pre-registered source-rubric-v1; grade applied before outputs.</x:v>
      </x:c>
      <x:c r="R812" s="13"/>
    </x:row>
    <x:row r="813" ht="15" hidden="0" customHeight="1">
      <x:c r="A813" s="2" t="str">
        <x:v>S27|25099392</x:v>
      </x:c>
      <x:c r="B813" s="2" t="str">
        <x:v>S27</x:v>
      </x:c>
      <x:c r="C813" s="2" t="str">
        <x:v>25099392</x:v>
      </x:c>
      <x:c r="D813" s="2" t="n">
        <x:v>2</x:v>
      </x:c>
      <x:c r="E813" s="9"/>
      <x:c r="F813" s="2" t="n">
        <x:f>IF(E813="",D813,IF(E813="U","U",IF(AND(ISNUMBER(E813),E813&gt;=0,E813&lt;=3,INT(E813)=E813),E813,"Invalid")))</x:f>
        <x:v>2</x:v>
      </x:c>
      <x:c r="G813" s="2" t="n">
        <x:f>IF(ISNUMBER(F813),1,0)</x:f>
        <x:v>1</x:v>
      </x:c>
      <x:c r="H813" s="2" t="n">
        <x:f>IF(ISNUMBER(F813),IF(F813&gt;=2,1,0),0)</x:f>
        <x:v>1</x:v>
      </x:c>
      <x:c r="I813" s="11" t="n">
        <x:f>IF(ISNUMBER(F813),2^F813-1,0)</x:f>
        <x:v>3</x:v>
      </x:c>
      <x:c r="J813" s="2" t="str">
        <x:v>Extension pre-run 600</x:v>
      </x:c>
      <x:c r="K813" s="10" t="n">
        <x:v>4500</x:v>
      </x:c>
      <x:c r="L813" s="10" t="n">
        <x:v>2</x:v>
      </x:c>
      <x:c r="M813" s="10" t="n">
        <x:v>635</x:v>
      </x:c>
      <x:c r="N813" s="2" t="str">
        <x:v>D05</x:v>
      </x:c>
      <x:c r="O813" s="2" t="str">
        <x:v>condominium</x:v>
      </x:c>
      <x:c r="P813" s="2" t="str">
        <x:v>https://www.propertyguru.com.sg/listing/for-rent-the-clement-canopy-25099392</x:v>
      </x:c>
      <x:c r="Q813" s="12" t="str">
        <x:v>Pre-registered source-rubric-v1; grade applied before outputs.</x:v>
      </x:c>
      <x:c r="R813" s="13"/>
    </x:row>
    <x:row r="814" ht="15" hidden="0" customHeight="1">
      <x:c r="A814" s="2" t="str">
        <x:v>S27|500288411</x:v>
      </x:c>
      <x:c r="B814" s="2" t="str">
        <x:v>S27</x:v>
      </x:c>
      <x:c r="C814" s="2" t="str">
        <x:v>500288411</x:v>
      </x:c>
      <x:c r="D814" s="2" t="n">
        <x:v>2</x:v>
      </x:c>
      <x:c r="E814" s="9"/>
      <x:c r="F814" s="2" t="n">
        <x:f>IF(E814="",D814,IF(E814="U","U",IF(AND(ISNUMBER(E814),E814&gt;=0,E814&lt;=3,INT(E814)=E814),E814,"Invalid")))</x:f>
        <x:v>2</x:v>
      </x:c>
      <x:c r="G814" s="2" t="n">
        <x:f>IF(ISNUMBER(F814),1,0)</x:f>
        <x:v>1</x:v>
      </x:c>
      <x:c r="H814" s="2" t="n">
        <x:f>IF(ISNUMBER(F814),IF(F814&gt;=2,1,0),0)</x:f>
        <x:v>1</x:v>
      </x:c>
      <x:c r="I814" s="11" t="n">
        <x:f>IF(ISNUMBER(F814),2^F814-1,0)</x:f>
        <x:v>3</x:v>
      </x:c>
      <x:c r="J814" s="2" t="str">
        <x:v>Extension pre-run 600</x:v>
      </x:c>
      <x:c r="K814" s="10" t="n">
        <x:v>4000</x:v>
      </x:c>
      <x:c r="L814" s="10" t="n">
        <x:v>2</x:v>
      </x:c>
      <x:c r="M814" s="10" t="n">
        <x:v>657</x:v>
      </x:c>
      <x:c r="N814" s="2" t="str">
        <x:v>D05</x:v>
      </x:c>
      <x:c r="O814" s="2" t="str">
        <x:v>hdb flat</x:v>
      </x:c>
      <x:c r="P814" s="2" t="str">
        <x:v>https://www.propertyguru.com.sg/listing/hdb-for-rent-366-clementi-avenue-2-500288411</x:v>
      </x:c>
      <x:c r="Q814" s="12" t="str">
        <x:v>Pre-registered source-rubric-v1; grade applied before outputs.</x:v>
      </x:c>
      <x:c r="R814" s="13"/>
    </x:row>
    <x:row r="815" ht="15" hidden="0" customHeight="1">
      <x:c r="A815" s="2" t="str">
        <x:v>S27|500287131</x:v>
      </x:c>
      <x:c r="B815" s="2" t="str">
        <x:v>S27</x:v>
      </x:c>
      <x:c r="C815" s="2" t="str">
        <x:v>500287131</x:v>
      </x:c>
      <x:c r="D815" s="2" t="n">
        <x:v>2</x:v>
      </x:c>
      <x:c r="E815" s="9"/>
      <x:c r="F815" s="2" t="n">
        <x:f>IF(E815="",D815,IF(E815="U","U",IF(AND(ISNUMBER(E815),E815&gt;=0,E815&lt;=3,INT(E815)=E815),E815,"Invalid")))</x:f>
        <x:v>2</x:v>
      </x:c>
      <x:c r="G815" s="2" t="n">
        <x:f>IF(ISNUMBER(F815),1,0)</x:f>
        <x:v>1</x:v>
      </x:c>
      <x:c r="H815" s="2" t="n">
        <x:f>IF(ISNUMBER(F815),IF(F815&gt;=2,1,0),0)</x:f>
        <x:v>1</x:v>
      </x:c>
      <x:c r="I815" s="11" t="n">
        <x:f>IF(ISNUMBER(F815),2^F815-1,0)</x:f>
        <x:v>3</x:v>
      </x:c>
      <x:c r="J815" s="2" t="str">
        <x:v>Extension pre-run 600</x:v>
      </x:c>
      <x:c r="K815" s="10" t="n">
        <x:v>4200</x:v>
      </x:c>
      <x:c r="L815" s="10" t="n">
        <x:v>2</x:v>
      </x:c>
      <x:c r="M815" s="10" t="n">
        <x:v>646</x:v>
      </x:c>
      <x:c r="N815" s="2" t="str">
        <x:v>D05</x:v>
      </x:c>
      <x:c r="O815" s="2" t="str">
        <x:v>condominium</x:v>
      </x:c>
      <x:c r="P815" s="2" t="str">
        <x:v>https://www.propertyguru.com.sg/listing/for-rent-parc-riviera-500287131</x:v>
      </x:c>
      <x:c r="Q815" s="12" t="str">
        <x:v>Pre-registered source-rubric-v1; grade applied before outputs.</x:v>
      </x:c>
      <x:c r="R815" s="13"/>
    </x:row>
    <x:row r="816" ht="15" hidden="0" customHeight="1">
      <x:c r="A816" s="2" t="str">
        <x:v>S27|25353089</x:v>
      </x:c>
      <x:c r="B816" s="2" t="str">
        <x:v>S27</x:v>
      </x:c>
      <x:c r="C816" s="2" t="str">
        <x:v>25353089</x:v>
      </x:c>
      <x:c r="D816" s="2" t="n">
        <x:v>2</x:v>
      </x:c>
      <x:c r="E816" s="9"/>
      <x:c r="F816" s="2" t="n">
        <x:f>IF(E816="",D816,IF(E816="U","U",IF(AND(ISNUMBER(E816),E816&gt;=0,E816&lt;=3,INT(E816)=E816),E816,"Invalid")))</x:f>
        <x:v>2</x:v>
      </x:c>
      <x:c r="G816" s="2" t="n">
        <x:f>IF(ISNUMBER(F816),1,0)</x:f>
        <x:v>1</x:v>
      </x:c>
      <x:c r="H816" s="2" t="n">
        <x:f>IF(ISNUMBER(F816),IF(F816&gt;=2,1,0),0)</x:f>
        <x:v>1</x:v>
      </x:c>
      <x:c r="I816" s="11" t="n">
        <x:f>IF(ISNUMBER(F816),2^F816-1,0)</x:f>
        <x:v>3</x:v>
      </x:c>
      <x:c r="J816" s="2" t="str">
        <x:v>Extension pre-run 600</x:v>
      </x:c>
      <x:c r="K816" s="10" t="n">
        <x:v>4100</x:v>
      </x:c>
      <x:c r="L816" s="10" t="n">
        <x:v>2</x:v>
      </x:c>
      <x:c r="M816" s="10" t="n">
        <x:v>657</x:v>
      </x:c>
      <x:c r="N816" s="2" t="str">
        <x:v>D03</x:v>
      </x:c>
      <x:c r="O816" s="2" t="str">
        <x:v>condominium</x:v>
      </x:c>
      <x:c r="P816" s="2" t="str">
        <x:v>https://www.propertyguru.com.sg/listing/for-rent-avenue-south-residence-25353089</x:v>
      </x:c>
      <x:c r="Q816" s="12" t="str">
        <x:v>Pre-registered source-rubric-v1; grade applied before outputs.</x:v>
      </x:c>
      <x:c r="R816" s="13"/>
    </x:row>
    <x:row r="817" ht="15" hidden="0" customHeight="1">
      <x:c r="A817" s="2" t="str">
        <x:v>S27|500154790</x:v>
      </x:c>
      <x:c r="B817" s="2" t="str">
        <x:v>S27</x:v>
      </x:c>
      <x:c r="C817" s="2" t="str">
        <x:v>500154790</x:v>
      </x:c>
      <x:c r="D817" s="2" t="n">
        <x:v>2</x:v>
      </x:c>
      <x:c r="E817" s="9"/>
      <x:c r="F817" s="2" t="n">
        <x:f>IF(E817="",D817,IF(E817="U","U",IF(AND(ISNUMBER(E817),E817&gt;=0,E817&lt;=3,INT(E817)=E817),E817,"Invalid")))</x:f>
        <x:v>2</x:v>
      </x:c>
      <x:c r="G817" s="2" t="n">
        <x:f>IF(ISNUMBER(F817),1,0)</x:f>
        <x:v>1</x:v>
      </x:c>
      <x:c r="H817" s="2" t="n">
        <x:f>IF(ISNUMBER(F817),IF(F817&gt;=2,1,0),0)</x:f>
        <x:v>1</x:v>
      </x:c>
      <x:c r="I817" s="11" t="n">
        <x:f>IF(ISNUMBER(F817),2^F817-1,0)</x:f>
        <x:v>3</x:v>
      </x:c>
      <x:c r="J817" s="2" t="str">
        <x:v>Extension pre-run 600</x:v>
      </x:c>
      <x:c r="K817" s="10" t="n">
        <x:v>3500</x:v>
      </x:c>
      <x:c r="L817" s="10" t="n">
        <x:v>3</x:v>
      </x:c>
      <x:c r="M817" s="10" t="n">
        <x:v>800</x:v>
      </x:c>
      <x:c r="N817" s="2" t="str">
        <x:v>D03</x:v>
      </x:c>
      <x:c r="O817" s="2" t="str">
        <x:v>hdb flat</x:v>
      </x:c>
      <x:c r="P817" s="2" t="str">
        <x:v>https://www.propertyguru.com.sg/listing/hdb-for-rent-37-jalan-rumah-tinggi-500154790</x:v>
      </x:c>
      <x:c r="Q817" s="12" t="str">
        <x:v>Pre-registered source-rubric-v1; grade applied before outputs.</x:v>
      </x:c>
      <x:c r="R817" s="13"/>
    </x:row>
    <x:row r="818" ht="15" hidden="0" customHeight="1">
      <x:c r="A818" s="2" t="str">
        <x:v>S27|60207298</x:v>
      </x:c>
      <x:c r="B818" s="2" t="str">
        <x:v>S27</x:v>
      </x:c>
      <x:c r="C818" s="2" t="str">
        <x:v>60207298</x:v>
      </x:c>
      <x:c r="D818" s="2" t="n">
        <x:v>2</x:v>
      </x:c>
      <x:c r="E818" s="9"/>
      <x:c r="F818" s="2" t="n">
        <x:f>IF(E818="",D818,IF(E818="U","U",IF(AND(ISNUMBER(E818),E818&gt;=0,E818&lt;=3,INT(E818)=E818),E818,"Invalid")))</x:f>
        <x:v>2</x:v>
      </x:c>
      <x:c r="G818" s="2" t="n">
        <x:f>IF(ISNUMBER(F818),1,0)</x:f>
        <x:v>1</x:v>
      </x:c>
      <x:c r="H818" s="2" t="n">
        <x:f>IF(ISNUMBER(F818),IF(F818&gt;=2,1,0),0)</x:f>
        <x:v>1</x:v>
      </x:c>
      <x:c r="I818" s="11" t="n">
        <x:f>IF(ISNUMBER(F818),2^F818-1,0)</x:f>
        <x:v>3</x:v>
      </x:c>
      <x:c r="J818" s="2" t="str">
        <x:v>Extension pre-run 600</x:v>
      </x:c>
      <x:c r="K818" s="10" t="n">
        <x:v>3500</x:v>
      </x:c>
      <x:c r="L818" s="10" t="n">
        <x:v>2</x:v>
      </x:c>
      <x:c r="M818" s="10" t="n">
        <x:v>600</x:v>
      </x:c>
      <x:c r="N818" s="2" t="str">
        <x:v>D03</x:v>
      </x:c>
      <x:c r="O818" s="2" t="str">
        <x:v>hdb flat</x:v>
      </x:c>
      <x:c r="P818" s="2" t="str">
        <x:v>https://www.propertyguru.com.sg/listing/hdb-for-rent-146-jalan-bukit-merah-60207298</x:v>
      </x:c>
      <x:c r="Q818" s="12" t="str">
        <x:v>Pre-registered source-rubric-v1; grade applied before outputs.</x:v>
      </x:c>
      <x:c r="R818" s="13"/>
    </x:row>
    <x:row r="819" ht="15" hidden="0" customHeight="1">
      <x:c r="A819" s="2" t="str">
        <x:v>S27|500171785</x:v>
      </x:c>
      <x:c r="B819" s="2" t="str">
        <x:v>S27</x:v>
      </x:c>
      <x:c r="C819" s="2" t="str">
        <x:v>500171785</x:v>
      </x:c>
      <x:c r="D819" s="2" t="n">
        <x:v>1</x:v>
      </x:c>
      <x:c r="E819" s="9"/>
      <x:c r="F819" s="2" t="n">
        <x:f>IF(E819="",D819,IF(E819="U","U",IF(AND(ISNUMBER(E819),E819&gt;=0,E819&lt;=3,INT(E819)=E819),E819,"Invalid")))</x:f>
        <x:v>1</x:v>
      </x:c>
      <x:c r="G819" s="2" t="n">
        <x:f>IF(ISNUMBER(F819),1,0)</x:f>
        <x:v>1</x:v>
      </x:c>
      <x:c r="H819" s="2" t="n">
        <x:f>IF(ISNUMBER(F819),IF(F819&gt;=2,1,0),0)</x:f>
        <x:v>0</x:v>
      </x:c>
      <x:c r="I819" s="11" t="n">
        <x:f>IF(ISNUMBER(F819),2^F819-1,0)</x:f>
        <x:v>1</x:v>
      </x:c>
      <x:c r="J819" s="2" t="str">
        <x:v>Extension pre-run 600</x:v>
      </x:c>
      <x:c r="K819" s="10" t="n">
        <x:v>3900</x:v>
      </x:c>
      <x:c r="L819" s="10" t="n">
        <x:v>3</x:v>
      </x:c>
      <x:c r="M819" s="10" t="n">
        <x:v>1378</x:v>
      </x:c>
      <x:c r="N819" s="2" t="str">
        <x:v>D19</x:v>
      </x:c>
      <x:c r="O819" s="2" t="str">
        <x:v>hdb flat</x:v>
      </x:c>
      <x:c r="P819" s="2" t="str">
        <x:v>https://www.propertyguru.com.sg/listing/hdb-for-rent-184-edgefield-plains-500171785</x:v>
      </x:c>
      <x:c r="Q819" s="12" t="str">
        <x:v>Pre-registered source-rubric-v1; grade applied before outputs.</x:v>
      </x:c>
      <x:c r="R819" s="13"/>
    </x:row>
    <x:row r="820" ht="15" hidden="0" customHeight="1">
      <x:c r="A820" s="2" t="str">
        <x:v>S27|18779137</x:v>
      </x:c>
      <x:c r="B820" s="2" t="str">
        <x:v>S27</x:v>
      </x:c>
      <x:c r="C820" s="2" t="str">
        <x:v>18779137</x:v>
      </x:c>
      <x:c r="D820" s="2" t="n">
        <x:v>1</x:v>
      </x:c>
      <x:c r="E820" s="9"/>
      <x:c r="F820" s="2" t="n">
        <x:f>IF(E820="",D820,IF(E820="U","U",IF(AND(ISNUMBER(E820),E820&gt;=0,E820&lt;=3,INT(E820)=E820),E820,"Invalid")))</x:f>
        <x:v>1</x:v>
      </x:c>
      <x:c r="G820" s="2" t="n">
        <x:f>IF(ISNUMBER(F820),1,0)</x:f>
        <x:v>1</x:v>
      </x:c>
      <x:c r="H820" s="2" t="n">
        <x:f>IF(ISNUMBER(F820),IF(F820&gt;=2,1,0),0)</x:f>
        <x:v>0</x:v>
      </x:c>
      <x:c r="I820" s="11" t="n">
        <x:f>IF(ISNUMBER(F820),2^F820-1,0)</x:f>
        <x:v>1</x:v>
      </x:c>
      <x:c r="J820" s="2" t="str">
        <x:v>Extension pre-run 600</x:v>
      </x:c>
      <x:c r="K820" s="10" t="n">
        <x:v>4200</x:v>
      </x:c>
      <x:c r="L820" s="10" t="n">
        <x:v>2</x:v>
      </x:c>
      <x:c r="M820" s="10" t="n">
        <x:v>1012</x:v>
      </x:c>
      <x:c r="N820" s="2" t="str">
        <x:v>D13</x:v>
      </x:c>
      <x:c r="O820" s="2" t="str">
        <x:v>condominium</x:v>
      </x:c>
      <x:c r="P820" s="2" t="str">
        <x:v>https://www.propertyguru.com.sg/listing/for-rent-euro-asia-park-18779137</x:v>
      </x:c>
      <x:c r="Q820" s="12" t="str">
        <x:v>Pre-registered source-rubric-v1; grade applied before outputs.</x:v>
      </x:c>
      <x:c r="R820" s="13"/>
    </x:row>
    <x:row r="821" ht="15" hidden="0" customHeight="1">
      <x:c r="A821" s="2" t="str">
        <x:v>S27|19653696</x:v>
      </x:c>
      <x:c r="B821" s="2" t="str">
        <x:v>S27</x:v>
      </x:c>
      <x:c r="C821" s="2" t="str">
        <x:v>19653696</x:v>
      </x:c>
      <x:c r="D821" s="2" t="n">
        <x:v>1</x:v>
      </x:c>
      <x:c r="E821" s="9"/>
      <x:c r="F821" s="2" t="n">
        <x:f>IF(E821="",D821,IF(E821="U","U",IF(AND(ISNUMBER(E821),E821&gt;=0,E821&lt;=3,INT(E821)=E821),E821,"Invalid")))</x:f>
        <x:v>1</x:v>
      </x:c>
      <x:c r="G821" s="2" t="n">
        <x:f>IF(ISNUMBER(F821),1,0)</x:f>
        <x:v>1</x:v>
      </x:c>
      <x:c r="H821" s="2" t="n">
        <x:f>IF(ISNUMBER(F821),IF(F821&gt;=2,1,0),0)</x:f>
        <x:v>0</x:v>
      </x:c>
      <x:c r="I821" s="11" t="n">
        <x:f>IF(ISNUMBER(F821),2^F821-1,0)</x:f>
        <x:v>1</x:v>
      </x:c>
      <x:c r="J821" s="2" t="str">
        <x:v>Extension pre-run 600</x:v>
      </x:c>
      <x:c r="K821" s="10" t="n">
        <x:v>3300</x:v>
      </x:c>
      <x:c r="L821" s="10" t="n">
        <x:v>3</x:v>
      </x:c>
      <x:c r="M821" s="10" t="n">
        <x:v>1044</x:v>
      </x:c>
      <x:c r="N821" s="2" t="str">
        <x:v>D27</x:v>
      </x:c>
      <x:c r="O821" s="2" t="str">
        <x:v>hdb flat</x:v>
      </x:c>
      <x:c r="P821" s="2" t="str">
        <x:v>https://www.propertyguru.com.sg/listing/hdb-for-rent-225-yishun-street-21-19653696</x:v>
      </x:c>
      <x:c r="Q821" s="12" t="str">
        <x:v>Pre-registered source-rubric-v1; grade applied before outputs.</x:v>
      </x:c>
      <x:c r="R821" s="13"/>
    </x:row>
    <x:row r="822" ht="15" hidden="0" customHeight="1">
      <x:c r="A822" s="2" t="str">
        <x:v>S27|23809136</x:v>
      </x:c>
      <x:c r="B822" s="2" t="str">
        <x:v>S27</x:v>
      </x:c>
      <x:c r="C822" s="2" t="str">
        <x:v>23809136</x:v>
      </x:c>
      <x:c r="D822" s="2" t="n">
        <x:v>1</x:v>
      </x:c>
      <x:c r="E822" s="9"/>
      <x:c r="F822" s="2" t="n">
        <x:f>IF(E822="",D822,IF(E822="U","U",IF(AND(ISNUMBER(E822),E822&gt;=0,E822&lt;=3,INT(E822)=E822),E822,"Invalid")))</x:f>
        <x:v>1</x:v>
      </x:c>
      <x:c r="G822" s="2" t="n">
        <x:f>IF(ISNUMBER(F822),1,0)</x:f>
        <x:v>1</x:v>
      </x:c>
      <x:c r="H822" s="2" t="n">
        <x:f>IF(ISNUMBER(F822),IF(F822&gt;=2,1,0),0)</x:f>
        <x:v>0</x:v>
      </x:c>
      <x:c r="I822" s="11" t="n">
        <x:f>IF(ISNUMBER(F822),2^F822-1,0)</x:f>
        <x:v>1</x:v>
      </x:c>
      <x:c r="J822" s="2" t="str">
        <x:v>Extension pre-run 600</x:v>
      </x:c>
      <x:c r="K822" s="10" t="n">
        <x:v>4000</x:v>
      </x:c>
      <x:c r="L822" s="10" t="n">
        <x:v>3</x:v>
      </x:c>
      <x:c r="M822" s="10" t="n">
        <x:v>1291</x:v>
      </x:c>
      <x:c r="N822" s="2" t="str">
        <x:v>D22</x:v>
      </x:c>
      <x:c r="O822" s="2" t="str">
        <x:v>hdb flat</x:v>
      </x:c>
      <x:c r="P822" s="2" t="str">
        <x:v>https://www.propertyguru.com.sg/listing/hdb-for-rent-750-jurong-west-street-73-23809136</x:v>
      </x:c>
      <x:c r="Q822" s="12" t="str">
        <x:v>Pre-registered source-rubric-v1; grade applied before outputs.</x:v>
      </x:c>
      <x:c r="R822" s="13"/>
    </x:row>
    <x:row r="823" ht="15" hidden="0" customHeight="1">
      <x:c r="A823" s="2" t="str">
        <x:v>S27|25189603</x:v>
      </x:c>
      <x:c r="B823" s="2" t="str">
        <x:v>S27</x:v>
      </x:c>
      <x:c r="C823" s="2" t="str">
        <x:v>25189603</x:v>
      </x:c>
      <x:c r="D823" s="2" t="n">
        <x:v>1</x:v>
      </x:c>
      <x:c r="E823" s="9"/>
      <x:c r="F823" s="2" t="n">
        <x:f>IF(E823="",D823,IF(E823="U","U",IF(AND(ISNUMBER(E823),E823&gt;=0,E823&lt;=3,INT(E823)=E823),E823,"Invalid")))</x:f>
        <x:v>1</x:v>
      </x:c>
      <x:c r="G823" s="2" t="n">
        <x:f>IF(ISNUMBER(F823),1,0)</x:f>
        <x:v>1</x:v>
      </x:c>
      <x:c r="H823" s="2" t="n">
        <x:f>IF(ISNUMBER(F823),IF(F823&gt;=2,1,0),0)</x:f>
        <x:v>0</x:v>
      </x:c>
      <x:c r="I823" s="11" t="n">
        <x:f>IF(ISNUMBER(F823),2^F823-1,0)</x:f>
        <x:v>1</x:v>
      </x:c>
      <x:c r="J823" s="2" t="str">
        <x:v>Extension pre-run 600</x:v>
      </x:c>
      <x:c r="K823" s="10" t="n">
        <x:v>4300</x:v>
      </x:c>
      <x:c r="L823" s="10" t="n">
        <x:v>3</x:v>
      </x:c>
      <x:c r="M823" s="10" t="n">
        <x:v>1066</x:v>
      </x:c>
      <x:c r="N823" s="2" t="str">
        <x:v>D27</x:v>
      </x:c>
      <x:c r="O823" s="2" t="str">
        <x:v>executive condominium</x:v>
      </x:c>
      <x:c r="P823" s="2" t="str">
        <x:v>https://www.propertyguru.com.sg/listing/for-rent-parc-life-25189603</x:v>
      </x:c>
      <x:c r="Q823" s="12" t="str">
        <x:v>Pre-registered source-rubric-v1; grade applied before outputs.</x:v>
      </x:c>
      <x:c r="R823" s="13"/>
    </x:row>
    <x:row r="824" ht="15" hidden="0" customHeight="1">
      <x:c r="A824" s="2" t="str">
        <x:v>S27|500264343</x:v>
      </x:c>
      <x:c r="B824" s="2" t="str">
        <x:v>S27</x:v>
      </x:c>
      <x:c r="C824" s="2" t="str">
        <x:v>500264343</x:v>
      </x:c>
      <x:c r="D824" s="2" t="n">
        <x:v>1</x:v>
      </x:c>
      <x:c r="E824" s="9"/>
      <x:c r="F824" s="2" t="n">
        <x:f>IF(E824="",D824,IF(E824="U","U",IF(AND(ISNUMBER(E824),E824&gt;=0,E824&lt;=3,INT(E824)=E824),E824,"Invalid")))</x:f>
        <x:v>1</x:v>
      </x:c>
      <x:c r="G824" s="2" t="n">
        <x:f>IF(ISNUMBER(F824),1,0)</x:f>
        <x:v>1</x:v>
      </x:c>
      <x:c r="H824" s="2" t="n">
        <x:f>IF(ISNUMBER(F824),IF(F824&gt;=2,1,0),0)</x:f>
        <x:v>0</x:v>
      </x:c>
      <x:c r="I824" s="11" t="n">
        <x:f>IF(ISNUMBER(F824),2^F824-1,0)</x:f>
        <x:v>1</x:v>
      </x:c>
      <x:c r="J824" s="2" t="str">
        <x:v>Extension pre-run 600</x:v>
      </x:c>
      <x:c r="K824" s="10" t="n">
        <x:v>3900</x:v>
      </x:c>
      <x:c r="L824" s="10" t="n">
        <x:v>2</x:v>
      </x:c>
      <x:c r="M824" s="10" t="n">
        <x:v>1012</x:v>
      </x:c>
      <x:c r="N824" s="2" t="str">
        <x:v>D19</x:v>
      </x:c>
      <x:c r="O824" s="2" t="str">
        <x:v>hdb flat</x:v>
      </x:c>
      <x:c r="P824" s="2" t="str">
        <x:v>https://www.propertyguru.com.sg/listing/hdb-for-rent-408c-northshore-drive-500264343</x:v>
      </x:c>
      <x:c r="Q824" s="12" t="str">
        <x:v>Pre-registered source-rubric-v1; grade applied before outputs.</x:v>
      </x:c>
      <x:c r="R824" s="13"/>
    </x:row>
    <x:row r="825" ht="15" hidden="0" customHeight="1">
      <x:c r="A825" s="2" t="str">
        <x:v>S27|25434921</x:v>
      </x:c>
      <x:c r="B825" s="2" t="str">
        <x:v>S27</x:v>
      </x:c>
      <x:c r="C825" s="2" t="str">
        <x:v>25434921</x:v>
      </x:c>
      <x:c r="D825" s="2" t="n">
        <x:v>0</x:v>
      </x:c>
      <x:c r="E825" s="9"/>
      <x:c r="F825" s="2" t="n">
        <x:f>IF(E825="",D825,IF(E825="U","U",IF(AND(ISNUMBER(E825),E825&gt;=0,E825&lt;=3,INT(E825)=E825),E825,"Invalid")))</x:f>
        <x:v>0</x:v>
      </x:c>
      <x:c r="G825" s="2" t="n">
        <x:f>IF(ISNUMBER(F825),1,0)</x:f>
        <x:v>1</x:v>
      </x:c>
      <x:c r="H825" s="2" t="n">
        <x:f>IF(ISNUMBER(F825),IF(F825&gt;=2,1,0),0)</x:f>
        <x:v>0</x:v>
      </x:c>
      <x:c r="I825" s="11" t="n">
        <x:f>IF(ISNUMBER(F825),2^F825-1,0)</x:f>
        <x:v>0</x:v>
      </x:c>
      <x:c r="J825" s="2" t="str">
        <x:v>Extension pre-run 600</x:v>
      </x:c>
      <x:c r="K825" s="10" t="n">
        <x:v>1000</x:v>
      </x:c>
      <x:c r="L825" s="10" t="n">
        <x:v>0</x:v>
      </x:c>
      <x:c r="M825" s="10"/>
      <x:c r="N825" s="2" t="str">
        <x:v>D26</x:v>
      </x:c>
      <x:c r="O825" s="2" t="str">
        <x:v>condominium</x:v>
      </x:c>
      <x:c r="P825" s="2" t="str">
        <x:v>https://www.propertyguru.com.sg/listing/for-rent-castle-green-25434921</x:v>
      </x:c>
      <x:c r="Q825" s="12" t="str">
        <x:v>Pre-registered source-rubric-v1; grade applied before outputs.</x:v>
      </x:c>
      <x:c r="R825" s="13"/>
    </x:row>
    <x:row r="826" ht="15" hidden="0" customHeight="1">
      <x:c r="A826" s="2" t="str">
        <x:v>S27|500263275</x:v>
      </x:c>
      <x:c r="B826" s="2" t="str">
        <x:v>S27</x:v>
      </x:c>
      <x:c r="C826" s="2" t="str">
        <x:v>500263275</x:v>
      </x:c>
      <x:c r="D826" s="2" t="n">
        <x:v>0</x:v>
      </x:c>
      <x:c r="E826" s="9"/>
      <x:c r="F826" s="2" t="n">
        <x:f>IF(E826="",D826,IF(E826="U","U",IF(AND(ISNUMBER(E826),E826&gt;=0,E826&lt;=3,INT(E826)=E826),E826,"Invalid")))</x:f>
        <x:v>0</x:v>
      </x:c>
      <x:c r="G826" s="2" t="n">
        <x:f>IF(ISNUMBER(F826),1,0)</x:f>
        <x:v>1</x:v>
      </x:c>
      <x:c r="H826" s="2" t="n">
        <x:f>IF(ISNUMBER(F826),IF(F826&gt;=2,1,0),0)</x:f>
        <x:v>0</x:v>
      </x:c>
      <x:c r="I826" s="11" t="n">
        <x:f>IF(ISNUMBER(F826),2^F826-1,0)</x:f>
        <x:v>0</x:v>
      </x:c>
      <x:c r="J826" s="2" t="str">
        <x:v>Extension pre-run 600</x:v>
      </x:c>
      <x:c r="K826" s="10" t="n">
        <x:v>7500</x:v>
      </x:c>
      <x:c r="L826" s="10" t="n">
        <x:v>5</x:v>
      </x:c>
      <x:c r="M826" s="10" t="n">
        <x:v>4800</x:v>
      </x:c>
      <x:c r="N826" s="2" t="str">
        <x:v>D26</x:v>
      </x:c>
      <x:c r="O826" s="2" t="str">
        <x:v>semi-detached house</x:v>
      </x:c>
      <x:c r="P826" s="2" t="str">
        <x:v>https://www.propertyguru.com.sg/listing/for-rent-springleaf-garden-500263275</x:v>
      </x:c>
      <x:c r="Q826" s="12" t="str">
        <x:v>Pre-registered source-rubric-v1; grade applied before outputs.</x:v>
      </x:c>
      <x:c r="R826" s="13"/>
    </x:row>
    <x:row r="827" ht="15" hidden="0" customHeight="1">
      <x:c r="A827" s="2" t="str">
        <x:v>S27|500272166</x:v>
      </x:c>
      <x:c r="B827" s="2" t="str">
        <x:v>S27</x:v>
      </x:c>
      <x:c r="C827" s="2" t="str">
        <x:v>500272166</x:v>
      </x:c>
      <x:c r="D827" s="2" t="n">
        <x:v>0</x:v>
      </x:c>
      <x:c r="E827" s="9"/>
      <x:c r="F827" s="2" t="n">
        <x:f>IF(E827="",D827,IF(E827="U","U",IF(AND(ISNUMBER(E827),E827&gt;=0,E827&lt;=3,INT(E827)=E827),E827,"Invalid")))</x:f>
        <x:v>0</x:v>
      </x:c>
      <x:c r="G827" s="2" t="n">
        <x:f>IF(ISNUMBER(F827),1,0)</x:f>
        <x:v>1</x:v>
      </x:c>
      <x:c r="H827" s="2" t="n">
        <x:f>IF(ISNUMBER(F827),IF(F827&gt;=2,1,0),0)</x:f>
        <x:v>0</x:v>
      </x:c>
      <x:c r="I827" s="11" t="n">
        <x:f>IF(ISNUMBER(F827),2^F827-1,0)</x:f>
        <x:v>0</x:v>
      </x:c>
      <x:c r="J827" s="2" t="str">
        <x:v>Extension pre-run 600</x:v>
      </x:c>
      <x:c r="K827" s="10" t="n">
        <x:v>1800</x:v>
      </x:c>
      <x:c r="L827" s="10" t="n">
        <x:v>0</x:v>
      </x:c>
      <x:c r="M827" s="10"/>
      <x:c r="N827" s="2" t="str">
        <x:v>D12</x:v>
      </x:c>
      <x:c r="O827" s="2" t="str">
        <x:v>hdb flat</x:v>
      </x:c>
      <x:c r="P827" s="2" t="str">
        <x:v>https://www.propertyguru.com.sg/listing/hdb-for-rent-98-whampoa-drive-500272166</x:v>
      </x:c>
      <x:c r="Q827" s="12" t="str">
        <x:v>Pre-registered source-rubric-v1; grade applied before outputs.</x:v>
      </x:c>
      <x:c r="R827" s="13"/>
    </x:row>
    <x:row r="828" ht="15" hidden="0" customHeight="1">
      <x:c r="A828" s="2" t="str">
        <x:v>S27|500179807</x:v>
      </x:c>
      <x:c r="B828" s="2" t="str">
        <x:v>S27</x:v>
      </x:c>
      <x:c r="C828" s="2" t="str">
        <x:v>500179807</x:v>
      </x:c>
      <x:c r="D828" s="2" t="n">
        <x:v>0</x:v>
      </x:c>
      <x:c r="E828" s="9"/>
      <x:c r="F828" s="2" t="n">
        <x:f>IF(E828="",D828,IF(E828="U","U",IF(AND(ISNUMBER(E828),E828&gt;=0,E828&lt;=3,INT(E828)=E828),E828,"Invalid")))</x:f>
        <x:v>0</x:v>
      </x:c>
      <x:c r="G828" s="2" t="n">
        <x:f>IF(ISNUMBER(F828),1,0)</x:f>
        <x:v>1</x:v>
      </x:c>
      <x:c r="H828" s="2" t="n">
        <x:f>IF(ISNUMBER(F828),IF(F828&gt;=2,1,0),0)</x:f>
        <x:v>0</x:v>
      </x:c>
      <x:c r="I828" s="11" t="n">
        <x:f>IF(ISNUMBER(F828),2^F828-1,0)</x:f>
        <x:v>0</x:v>
      </x:c>
      <x:c r="J828" s="2" t="str">
        <x:v>Extension pre-run 600</x:v>
      </x:c>
      <x:c r="K828" s="10" t="n">
        <x:v>1100</x:v>
      </x:c>
      <x:c r="L828" s="10" t="n">
        <x:v>0</x:v>
      </x:c>
      <x:c r="M828" s="10"/>
      <x:c r="N828" s="2" t="str">
        <x:v>D22</x:v>
      </x:c>
      <x:c r="O828" s="2" t="str">
        <x:v>hdb flat</x:v>
      </x:c>
      <x:c r="P828" s="2" t="str">
        <x:v>https://www.propertyguru.com.sg/listing/hdb-for-rent-859-jurong-west-street-81-500179807</x:v>
      </x:c>
      <x:c r="Q828" s="12" t="str">
        <x:v>Pre-registered source-rubric-v1; grade applied before outputs.</x:v>
      </x:c>
      <x:c r="R828" s="13"/>
    </x:row>
    <x:row r="829" ht="15" hidden="0" customHeight="1">
      <x:c r="A829" s="2" t="str">
        <x:v>S27|500279377</x:v>
      </x:c>
      <x:c r="B829" s="2" t="str">
        <x:v>S27</x:v>
      </x:c>
      <x:c r="C829" s="2" t="str">
        <x:v>500279377</x:v>
      </x:c>
      <x:c r="D829" s="2" t="n">
        <x:v>0</x:v>
      </x:c>
      <x:c r="E829" s="9"/>
      <x:c r="F829" s="2" t="n">
        <x:f>IF(E829="",D829,IF(E829="U","U",IF(AND(ISNUMBER(E829),E829&gt;=0,E829&lt;=3,INT(E829)=E829),E829,"Invalid")))</x:f>
        <x:v>0</x:v>
      </x:c>
      <x:c r="G829" s="2" t="n">
        <x:f>IF(ISNUMBER(F829),1,0)</x:f>
        <x:v>1</x:v>
      </x:c>
      <x:c r="H829" s="2" t="n">
        <x:f>IF(ISNUMBER(F829),IF(F829&gt;=2,1,0),0)</x:f>
        <x:v>0</x:v>
      </x:c>
      <x:c r="I829" s="11" t="n">
        <x:f>IF(ISNUMBER(F829),2^F829-1,0)</x:f>
        <x:v>0</x:v>
      </x:c>
      <x:c r="J829" s="2" t="str">
        <x:v>Extension pre-run 600</x:v>
      </x:c>
      <x:c r="K829" s="10" t="n">
        <x:v>3300</x:v>
      </x:c>
      <x:c r="L829" s="10" t="n">
        <x:v>1</x:v>
      </x:c>
      <x:c r="M829" s="10" t="n">
        <x:v>667</x:v>
      </x:c>
      <x:c r="N829" s="2" t="str">
        <x:v>D16</x:v>
      </x:c>
      <x:c r="O829" s="2" t="str">
        <x:v>condominium</x:v>
      </x:c>
      <x:c r="P829" s="2" t="str">
        <x:v>https://www.propertyguru.com.sg/listing/for-rent-archipelago-500279377</x:v>
      </x:c>
      <x:c r="Q829" s="12" t="str">
        <x:v>Pre-registered source-rubric-v1; grade applied before outputs.</x:v>
      </x:c>
      <x:c r="R829" s="13"/>
    </x:row>
    <x:row r="830" ht="15" hidden="0" customHeight="1">
      <x:c r="A830" s="2" t="str">
        <x:v>S27|25273765</x:v>
      </x:c>
      <x:c r="B830" s="2" t="str">
        <x:v>S27</x:v>
      </x:c>
      <x:c r="C830" s="2" t="str">
        <x:v>25273765</x:v>
      </x:c>
      <x:c r="D830" s="2" t="n">
        <x:v>0</x:v>
      </x:c>
      <x:c r="E830" s="9"/>
      <x:c r="F830" s="2" t="n">
        <x:f>IF(E830="",D830,IF(E830="U","U",IF(AND(ISNUMBER(E830),E830&gt;=0,E830&lt;=3,INT(E830)=E830),E830,"Invalid")))</x:f>
        <x:v>0</x:v>
      </x:c>
      <x:c r="G830" s="2" t="n">
        <x:f>IF(ISNUMBER(F830),1,0)</x:f>
        <x:v>1</x:v>
      </x:c>
      <x:c r="H830" s="2" t="n">
        <x:f>IF(ISNUMBER(F830),IF(F830&gt;=2,1,0),0)</x:f>
        <x:v>0</x:v>
      </x:c>
      <x:c r="I830" s="11" t="n">
        <x:f>IF(ISNUMBER(F830),2^F830-1,0)</x:f>
        <x:v>0</x:v>
      </x:c>
      <x:c r="J830" s="2" t="str">
        <x:v>Extension pre-run 600</x:v>
      </x:c>
      <x:c r="K830" s="10" t="n">
        <x:v>1800</x:v>
      </x:c>
      <x:c r="L830" s="10" t="n">
        <x:v>0</x:v>
      </x:c>
      <x:c r="M830" s="10"/>
      <x:c r="N830" s="2" t="str">
        <x:v>D11</x:v>
      </x:c>
      <x:c r="O830" s="2" t="str">
        <x:v>condominium</x:v>
      </x:c>
      <x:c r="P830" s="2" t="str">
        <x:v>https://www.propertyguru.com.sg/listing/for-rent-novena-regency-25273765</x:v>
      </x:c>
      <x:c r="Q830" s="12" t="str">
        <x:v>Pre-registered source-rubric-v1; grade applied before outputs.</x:v>
      </x:c>
      <x:c r="R830" s="13"/>
    </x:row>
    <x:row r="831" ht="15" hidden="0" customHeight="1">
      <x:c r="A831" s="2" t="str">
        <x:v>S27|500165477</x:v>
      </x:c>
      <x:c r="B831" s="2" t="str">
        <x:v>S27</x:v>
      </x:c>
      <x:c r="C831" s="2" t="str">
        <x:v>500165477</x:v>
      </x:c>
      <x:c r="D831" s="2" t="n">
        <x:v>0</x:v>
      </x:c>
      <x:c r="E831" s="9"/>
      <x:c r="F831" s="2" t="n">
        <x:f>IF(E831="",D831,IF(E831="U","U",IF(AND(ISNUMBER(E831),E831&gt;=0,E831&lt;=3,INT(E831)=E831),E831,"Invalid")))</x:f>
        <x:v>0</x:v>
      </x:c>
      <x:c r="G831" s="2" t="n">
        <x:f>IF(ISNUMBER(F831),1,0)</x:f>
        <x:v>1</x:v>
      </x:c>
      <x:c r="H831" s="2" t="n">
        <x:f>IF(ISNUMBER(F831),IF(F831&gt;=2,1,0),0)</x:f>
        <x:v>0</x:v>
      </x:c>
      <x:c r="I831" s="11" t="n">
        <x:f>IF(ISNUMBER(F831),2^F831-1,0)</x:f>
        <x:v>0</x:v>
      </x:c>
      <x:c r="J831" s="2" t="str">
        <x:v>Extension pre-run 600</x:v>
      </x:c>
      <x:c r="K831" s="10" t="n">
        <x:v>1500</x:v>
      </x:c>
      <x:c r="L831" s="10" t="n">
        <x:v>0</x:v>
      </x:c>
      <x:c r="M831" s="10"/>
      <x:c r="N831" s="2" t="str">
        <x:v>D13</x:v>
      </x:c>
      <x:c r="O831" s="2" t="str">
        <x:v>hdb flat</x:v>
      </x:c>
      <x:c r="P831" s="2" t="str">
        <x:v>https://www.propertyguru.com.sg/listing/hdb-for-rent-143-potong-pasir-avenue-2-500165477</x:v>
      </x:c>
      <x:c r="Q831" s="12" t="str">
        <x:v>Pre-registered source-rubric-v1; grade applied before outputs.</x:v>
      </x:c>
      <x:c r="R831" s="13"/>
    </x:row>
    <x:row r="832" ht="15" hidden="0" customHeight="1">
      <x:c r="A832" s="2" t="str">
        <x:v>S27|23022271</x:v>
      </x:c>
      <x:c r="B832" s="2" t="str">
        <x:v>S27</x:v>
      </x:c>
      <x:c r="C832" s="2" t="str">
        <x:v>23022271</x:v>
      </x:c>
      <x:c r="D832" s="2" t="n">
        <x:v>0</x:v>
      </x:c>
      <x:c r="E832" s="9"/>
      <x:c r="F832" s="2" t="n">
        <x:f>IF(E832="",D832,IF(E832="U","U",IF(AND(ISNUMBER(E832),E832&gt;=0,E832&lt;=3,INT(E832)=E832),E832,"Invalid")))</x:f>
        <x:v>0</x:v>
      </x:c>
      <x:c r="G832" s="2" t="n">
        <x:f>IF(ISNUMBER(F832),1,0)</x:f>
        <x:v>1</x:v>
      </x:c>
      <x:c r="H832" s="2" t="n">
        <x:f>IF(ISNUMBER(F832),IF(F832&gt;=2,1,0),0)</x:f>
        <x:v>0</x:v>
      </x:c>
      <x:c r="I832" s="11" t="n">
        <x:f>IF(ISNUMBER(F832),2^F832-1,0)</x:f>
        <x:v>0</x:v>
      </x:c>
      <x:c r="J832" s="2" t="str">
        <x:v>Extension pre-run 600</x:v>
      </x:c>
      <x:c r="K832" s="10" t="n">
        <x:v>16000</x:v>
      </x:c>
      <x:c r="L832" s="10" t="n">
        <x:v>3</x:v>
      </x:c>
      <x:c r="M832" s="10" t="n">
        <x:v>2756</x:v>
      </x:c>
      <x:c r="N832" s="2" t="str">
        <x:v>D09</x:v>
      </x:c>
      <x:c r="O832" s="2" t="str">
        <x:v>apartment</x:v>
      </x:c>
      <x:c r="P832" s="2" t="str">
        <x:v>https://www.propertyguru.com.sg/listing/for-rent-reignwood-hamilton-scotts-23022271</x:v>
      </x:c>
      <x:c r="Q832" s="12" t="str">
        <x:v>Pre-registered source-rubric-v1; grade applied before outputs.</x:v>
      </x:c>
      <x:c r="R832" s="13"/>
    </x:row>
    <x:row r="833" ht="15" hidden="0" customHeight="1">
      <x:c r="A833" s="2" t="str">
        <x:v>S27|500199880</x:v>
      </x:c>
      <x:c r="B833" s="2" t="str">
        <x:v>S27</x:v>
      </x:c>
      <x:c r="C833" s="2" t="str">
        <x:v>500199880</x:v>
      </x:c>
      <x:c r="D833" s="2" t="str">
        <x:v>U</x:v>
      </x:c>
      <x:c r="E833" s="9"/>
      <x:c r="F833" s="2" t="str">
        <x:f>IF(E833="",D833,IF(E833="U","U",IF(AND(ISNUMBER(E833),E833&gt;=0,E833&lt;=3,INT(E833)=E833),E833,"Invalid")))</x:f>
        <x:v>U</x:v>
      </x:c>
      <x:c r="G833" s="2" t="n">
        <x:f>IF(ISNUMBER(F833),1,0)</x:f>
        <x:v>0</x:v>
      </x:c>
      <x:c r="H833" s="2" t="n">
        <x:f>IF(ISNUMBER(F833),IF(F833&gt;=2,1,0),0)</x:f>
        <x:v>0</x:v>
      </x:c>
      <x:c r="I833" s="11" t="n">
        <x:f>IF(ISNUMBER(F833),2^F833-1,0)</x:f>
        <x:v>0</x:v>
      </x:c>
      <x:c r="J833" s="2" t="str">
        <x:v>Extension pre-run 600</x:v>
      </x:c>
      <x:c r="K833" s="10" t="n">
        <x:v>2200</x:v>
      </x:c>
      <x:c r="L833" s="10"/>
      <x:c r="M833" s="10" t="n">
        <x:v>150</x:v>
      </x:c>
      <x:c r="N833" s="2" t="str">
        <x:v>D08</x:v>
      </x:c>
      <x:c r="O833" s="2" t="str">
        <x:v>walk-up apartment</x:v>
      </x:c>
      <x:c r="P833" s="2" t="str">
        <x:v>https://www.propertyguru.com.sg/listing/for-rent-coliwoo-450-serangoon-road-central-studio-with-easy-mrt-access-500199880</x:v>
      </x:c>
      <x:c r="Q833" s="12" t="str">
        <x:v>Pre-registered source-rubric-v1; grade applied before outputs.</x:v>
      </x:c>
      <x:c r="R833" s="13"/>
    </x:row>
    <x:row r="834" ht="15" hidden="0" customHeight="1">
      <x:c r="A834" s="2" t="str">
        <x:v>S27|500186292</x:v>
      </x:c>
      <x:c r="B834" s="2" t="str">
        <x:v>S27</x:v>
      </x:c>
      <x:c r="C834" s="2" t="str">
        <x:v>500186292</x:v>
      </x:c>
      <x:c r="D834" s="2" t="str">
        <x:v>U</x:v>
      </x:c>
      <x:c r="E834" s="9"/>
      <x:c r="F834" s="2" t="str">
        <x:f>IF(E834="",D834,IF(E834="U","U",IF(AND(ISNUMBER(E834),E834&gt;=0,E834&lt;=3,INT(E834)=E834),E834,"Invalid")))</x:f>
        <x:v>U</x:v>
      </x:c>
      <x:c r="G834" s="2" t="n">
        <x:f>IF(ISNUMBER(F834),1,0)</x:f>
        <x:v>0</x:v>
      </x:c>
      <x:c r="H834" s="2" t="n">
        <x:f>IF(ISNUMBER(F834),IF(F834&gt;=2,1,0),0)</x:f>
        <x:v>0</x:v>
      </x:c>
      <x:c r="I834" s="11" t="n">
        <x:f>IF(ISNUMBER(F834),2^F834-1,0)</x:f>
        <x:v>0</x:v>
      </x:c>
      <x:c r="J834" s="2" t="str">
        <x:v>Extension pre-run 600</x:v>
      </x:c>
      <x:c r="K834" s="10" t="n">
        <x:v>2900</x:v>
      </x:c>
      <x:c r="L834" s="10"/>
      <x:c r="M834" s="10" t="n">
        <x:v>161</x:v>
      </x:c>
      <x:c r="N834" s="2" t="str">
        <x:v>D08</x:v>
      </x:c>
      <x:c r="O834" s="2" t="str">
        <x:v>apartment</x:v>
      </x:c>
      <x:c r="P834" s="2" t="str">
        <x:v>https://www.propertyguru.com.sg/listing/for-rent-lyf-farrer-park-singapore-2-perumal-road-01-01-singapore-218773-500186292</x:v>
      </x:c>
      <x:c r="Q834" s="12" t="str">
        <x:v>Pre-registered source-rubric-v1; grade applied before outputs.</x:v>
      </x:c>
      <x:c r="R834" s="13"/>
    </x:row>
    <x:row r="835" ht="15" hidden="0" customHeight="1">
      <x:c r="A835" s="2" t="str">
        <x:v>S28|24981163</x:v>
      </x:c>
      <x:c r="B835" s="2" t="str">
        <x:v>S28</x:v>
      </x:c>
      <x:c r="C835" s="2" t="str">
        <x:v>24981163</x:v>
      </x:c>
      <x:c r="D835" s="2" t="n">
        <x:v>3</x:v>
      </x:c>
      <x:c r="E835" s="9"/>
      <x:c r="F835" s="2" t="n">
        <x:f>IF(E835="",D835,IF(E835="U","U",IF(AND(ISNUMBER(E835),E835&gt;=0,E835&lt;=3,INT(E835)=E835),E835,"Invalid")))</x:f>
        <x:v>3</x:v>
      </x:c>
      <x:c r="G835" s="2" t="n">
        <x:f>IF(ISNUMBER(F835),1,0)</x:f>
        <x:v>1</x:v>
      </x:c>
      <x:c r="H835" s="2" t="n">
        <x:f>IF(ISNUMBER(F835),IF(F835&gt;=2,1,0),0)</x:f>
        <x:v>1</x:v>
      </x:c>
      <x:c r="I835" s="11" t="n">
        <x:f>IF(ISNUMBER(F835),2^F835-1,0)</x:f>
        <x:v>7</x:v>
      </x:c>
      <x:c r="J835" s="2" t="str">
        <x:v>Extension pre-run 600</x:v>
      </x:c>
      <x:c r="K835" s="10" t="n">
        <x:v>3800</x:v>
      </x:c>
      <x:c r="L835" s="10" t="n">
        <x:v>3</x:v>
      </x:c>
      <x:c r="M835" s="10" t="n">
        <x:v>1012</x:v>
      </x:c>
      <x:c r="N835" s="2" t="str">
        <x:v>D05</x:v>
      </x:c>
      <x:c r="O835" s="2" t="str">
        <x:v>hdb flat</x:v>
      </x:c>
      <x:c r="P835" s="2" t="str">
        <x:v>https://www.propertyguru.com.sg/listing/hdb-for-rent-381-clementi-avenue-5-24981163</x:v>
      </x:c>
      <x:c r="Q835" s="12" t="str">
        <x:v>Pre-registered source-rubric-v1; grade applied before outputs.</x:v>
      </x:c>
      <x:c r="R835" s="13"/>
    </x:row>
    <x:row r="836" ht="15" hidden="0" customHeight="1">
      <x:c r="A836" s="2" t="str">
        <x:v>S28|500164225</x:v>
      </x:c>
      <x:c r="B836" s="2" t="str">
        <x:v>S28</x:v>
      </x:c>
      <x:c r="C836" s="2" t="str">
        <x:v>500164225</x:v>
      </x:c>
      <x:c r="D836" s="2" t="n">
        <x:v>3</x:v>
      </x:c>
      <x:c r="E836" s="9"/>
      <x:c r="F836" s="2" t="n">
        <x:f>IF(E836="",D836,IF(E836="U","U",IF(AND(ISNUMBER(E836),E836&gt;=0,E836&lt;=3,INT(E836)=E836),E836,"Invalid")))</x:f>
        <x:v>3</x:v>
      </x:c>
      <x:c r="G836" s="2" t="n">
        <x:f>IF(ISNUMBER(F836),1,0)</x:f>
        <x:v>1</x:v>
      </x:c>
      <x:c r="H836" s="2" t="n">
        <x:f>IF(ISNUMBER(F836),IF(F836&gt;=2,1,0),0)</x:f>
        <x:v>1</x:v>
      </x:c>
      <x:c r="I836" s="11" t="n">
        <x:f>IF(ISNUMBER(F836),2^F836-1,0)</x:f>
        <x:v>7</x:v>
      </x:c>
      <x:c r="J836" s="2" t="str">
        <x:v>Extension pre-run 600</x:v>
      </x:c>
      <x:c r="K836" s="10" t="n">
        <x:v>3999</x:v>
      </x:c>
      <x:c r="L836" s="10" t="n">
        <x:v>3</x:v>
      </x:c>
      <x:c r="M836" s="10" t="n">
        <x:v>1238</x:v>
      </x:c>
      <x:c r="N836" s="2" t="str">
        <x:v>D05</x:v>
      </x:c>
      <x:c r="O836" s="2" t="str">
        <x:v>hdb flat</x:v>
      </x:c>
      <x:c r="P836" s="2" t="str">
        <x:v>https://www.propertyguru.com.sg/listing/hdb-for-rent-604-clementi-west-street-1-500164225</x:v>
      </x:c>
      <x:c r="Q836" s="12" t="str">
        <x:v>Pre-registered source-rubric-v1; grade applied before outputs.</x:v>
      </x:c>
      <x:c r="R836" s="13"/>
    </x:row>
    <x:row r="837" ht="15" hidden="0" customHeight="1">
      <x:c r="A837" s="2" t="str">
        <x:v>S28|22773305</x:v>
      </x:c>
      <x:c r="B837" s="2" t="str">
        <x:v>S28</x:v>
      </x:c>
      <x:c r="C837" s="2" t="str">
        <x:v>22773305</x:v>
      </x:c>
      <x:c r="D837" s="2" t="n">
        <x:v>3</x:v>
      </x:c>
      <x:c r="E837" s="9"/>
      <x:c r="F837" s="2" t="n">
        <x:f>IF(E837="",D837,IF(E837="U","U",IF(AND(ISNUMBER(E837),E837&gt;=0,E837&lt;=3,INT(E837)=E837),E837,"Invalid")))</x:f>
        <x:v>3</x:v>
      </x:c>
      <x:c r="G837" s="2" t="n">
        <x:f>IF(ISNUMBER(F837),1,0)</x:f>
        <x:v>1</x:v>
      </x:c>
      <x:c r="H837" s="2" t="n">
        <x:f>IF(ISNUMBER(F837),IF(F837&gt;=2,1,0),0)</x:f>
        <x:v>1</x:v>
      </x:c>
      <x:c r="I837" s="11" t="n">
        <x:f>IF(ISNUMBER(F837),2^F837-1,0)</x:f>
        <x:v>7</x:v>
      </x:c>
      <x:c r="J837" s="2" t="str">
        <x:v>Extension pre-run 600</x:v>
      </x:c>
      <x:c r="K837" s="10" t="n">
        <x:v>4500</x:v>
      </x:c>
      <x:c r="L837" s="10" t="n">
        <x:v>3</x:v>
      </x:c>
      <x:c r="M837" s="10" t="n">
        <x:v>1259</x:v>
      </x:c>
      <x:c r="N837" s="2" t="str">
        <x:v>D05</x:v>
      </x:c>
      <x:c r="O837" s="2" t="str">
        <x:v>hdb flat</x:v>
      </x:c>
      <x:c r="P837" s="2" t="str">
        <x:v>https://www.propertyguru.com.sg/listing/hdb-for-rent-355-clementi-avenue-2-22773305</x:v>
      </x:c>
      <x:c r="Q837" s="12" t="str">
        <x:v>Pre-registered source-rubric-v1; grade applied before outputs.</x:v>
      </x:c>
      <x:c r="R837" s="13"/>
    </x:row>
    <x:row r="838" ht="15" hidden="0" customHeight="1">
      <x:c r="A838" s="2" t="str">
        <x:v>S28|19221832</x:v>
      </x:c>
      <x:c r="B838" s="2" t="str">
        <x:v>S28</x:v>
      </x:c>
      <x:c r="C838" s="2" t="str">
        <x:v>19221832</x:v>
      </x:c>
      <x:c r="D838" s="2" t="n">
        <x:v>3</x:v>
      </x:c>
      <x:c r="E838" s="9"/>
      <x:c r="F838" s="2" t="n">
        <x:f>IF(E838="",D838,IF(E838="U","U",IF(AND(ISNUMBER(E838),E838&gt;=0,E838&lt;=3,INT(E838)=E838),E838,"Invalid")))</x:f>
        <x:v>3</x:v>
      </x:c>
      <x:c r="G838" s="2" t="n">
        <x:f>IF(ISNUMBER(F838),1,0)</x:f>
        <x:v>1</x:v>
      </x:c>
      <x:c r="H838" s="2" t="n">
        <x:f>IF(ISNUMBER(F838),IF(F838&gt;=2,1,0),0)</x:f>
        <x:v>1</x:v>
      </x:c>
      <x:c r="I838" s="11" t="n">
        <x:f>IF(ISNUMBER(F838),2^F838-1,0)</x:f>
        <x:v>7</x:v>
      </x:c>
      <x:c r="J838" s="2" t="str">
        <x:v>Extension pre-run 600</x:v>
      </x:c>
      <x:c r="K838" s="10" t="n">
        <x:v>4200</x:v>
      </x:c>
      <x:c r="L838" s="10" t="n">
        <x:v>3</x:v>
      </x:c>
      <x:c r="M838" s="10" t="n">
        <x:v>1184</x:v>
      </x:c>
      <x:c r="N838" s="2" t="str">
        <x:v>D05</x:v>
      </x:c>
      <x:c r="O838" s="2" t="str">
        <x:v>hdb flat</x:v>
      </x:c>
      <x:c r="P838" s="2" t="str">
        <x:v>https://www.propertyguru.com.sg/listing/hdb-for-rent-458-clementi-avenue-3-19221832</x:v>
      </x:c>
      <x:c r="Q838" s="12" t="str">
        <x:v>Pre-registered source-rubric-v1; grade applied before outputs.</x:v>
      </x:c>
      <x:c r="R838" s="13"/>
    </x:row>
    <x:row r="839" ht="15" hidden="0" customHeight="1">
      <x:c r="A839" s="2" t="str">
        <x:v>S28|500264910</x:v>
      </x:c>
      <x:c r="B839" s="2" t="str">
        <x:v>S28</x:v>
      </x:c>
      <x:c r="C839" s="2" t="str">
        <x:v>500264910</x:v>
      </x:c>
      <x:c r="D839" s="2" t="n">
        <x:v>3</x:v>
      </x:c>
      <x:c r="E839" s="9"/>
      <x:c r="F839" s="2" t="n">
        <x:f>IF(E839="",D839,IF(E839="U","U",IF(AND(ISNUMBER(E839),E839&gt;=0,E839&lt;=3,INT(E839)=E839),E839,"Invalid")))</x:f>
        <x:v>3</x:v>
      </x:c>
      <x:c r="G839" s="2" t="n">
        <x:f>IF(ISNUMBER(F839),1,0)</x:f>
        <x:v>1</x:v>
      </x:c>
      <x:c r="H839" s="2" t="n">
        <x:f>IF(ISNUMBER(F839),IF(F839&gt;=2,1,0),0)</x:f>
        <x:v>1</x:v>
      </x:c>
      <x:c r="I839" s="11" t="n">
        <x:f>IF(ISNUMBER(F839),2^F839-1,0)</x:f>
        <x:v>7</x:v>
      </x:c>
      <x:c r="J839" s="2" t="str">
        <x:v>Extension pre-run 600</x:v>
      </x:c>
      <x:c r="K839" s="10" t="n">
        <x:v>4500</x:v>
      </x:c>
      <x:c r="L839" s="10" t="n">
        <x:v>3</x:v>
      </x:c>
      <x:c r="M839" s="10" t="n">
        <x:v>1001</x:v>
      </x:c>
      <x:c r="N839" s="2" t="str">
        <x:v>D05</x:v>
      </x:c>
      <x:c r="O839" s="2" t="str">
        <x:v>hdb flat</x:v>
      </x:c>
      <x:c r="P839" s="2" t="str">
        <x:v>https://www.propertyguru.com.sg/listing/hdb-for-rent-375-clementi-avenue-4-500264910</x:v>
      </x:c>
      <x:c r="Q839" s="12" t="str">
        <x:v>Pre-registered source-rubric-v1; grade applied before outputs.</x:v>
      </x:c>
      <x:c r="R839" s="13"/>
    </x:row>
    <x:row r="840" ht="15" hidden="0" customHeight="1">
      <x:c r="A840" s="2" t="str">
        <x:v>S28|21759366</x:v>
      </x:c>
      <x:c r="B840" s="2" t="str">
        <x:v>S28</x:v>
      </x:c>
      <x:c r="C840" s="2" t="str">
        <x:v>21759366</x:v>
      </x:c>
      <x:c r="D840" s="2" t="n">
        <x:v>3</x:v>
      </x:c>
      <x:c r="E840" s="9"/>
      <x:c r="F840" s="2" t="n">
        <x:f>IF(E840="",D840,IF(E840="U","U",IF(AND(ISNUMBER(E840),E840&gt;=0,E840&lt;=3,INT(E840)=E840),E840,"Invalid")))</x:f>
        <x:v>3</x:v>
      </x:c>
      <x:c r="G840" s="2" t="n">
        <x:f>IF(ISNUMBER(F840),1,0)</x:f>
        <x:v>1</x:v>
      </x:c>
      <x:c r="H840" s="2" t="n">
        <x:f>IF(ISNUMBER(F840),IF(F840&gt;=2,1,0),0)</x:f>
        <x:v>1</x:v>
      </x:c>
      <x:c r="I840" s="11" t="n">
        <x:f>IF(ISNUMBER(F840),2^F840-1,0)</x:f>
        <x:v>7</x:v>
      </x:c>
      <x:c r="J840" s="2" t="str">
        <x:v>Extension pre-run 600</x:v>
      </x:c>
      <x:c r="K840" s="10" t="n">
        <x:v>4500</x:v>
      </x:c>
      <x:c r="L840" s="10" t="n">
        <x:v>3</x:v>
      </x:c>
      <x:c r="M840" s="10" t="n">
        <x:v>1260</x:v>
      </x:c>
      <x:c r="N840" s="2" t="str">
        <x:v>D03</x:v>
      </x:c>
      <x:c r="O840" s="2" t="str">
        <x:v>hdb flat</x:v>
      </x:c>
      <x:c r="P840" s="2" t="str">
        <x:v>https://www.propertyguru.com.sg/listing/hdb-for-rent-117-bukit-merah-central-21759366</x:v>
      </x:c>
      <x:c r="Q840" s="12" t="str">
        <x:v>Pre-registered source-rubric-v1; grade applied before outputs.</x:v>
      </x:c>
      <x:c r="R840" s="13"/>
    </x:row>
    <x:row r="841" ht="15" hidden="0" customHeight="1">
      <x:c r="A841" s="2" t="str">
        <x:v>S28|24158537</x:v>
      </x:c>
      <x:c r="B841" s="2" t="str">
        <x:v>S28</x:v>
      </x:c>
      <x:c r="C841" s="2" t="str">
        <x:v>24158537</x:v>
      </x:c>
      <x:c r="D841" s="2" t="n">
        <x:v>2</x:v>
      </x:c>
      <x:c r="E841" s="9"/>
      <x:c r="F841" s="2" t="n">
        <x:f>IF(E841="",D841,IF(E841="U","U",IF(AND(ISNUMBER(E841),E841&gt;=0,E841&lt;=3,INT(E841)=E841),E841,"Invalid")))</x:f>
        <x:v>2</x:v>
      </x:c>
      <x:c r="G841" s="2" t="n">
        <x:f>IF(ISNUMBER(F841),1,0)</x:f>
        <x:v>1</x:v>
      </x:c>
      <x:c r="H841" s="2" t="n">
        <x:f>IF(ISNUMBER(F841),IF(F841&gt;=2,1,0),0)</x:f>
        <x:v>1</x:v>
      </x:c>
      <x:c r="I841" s="11" t="n">
        <x:f>IF(ISNUMBER(F841),2^F841-1,0)</x:f>
        <x:v>3</x:v>
      </x:c>
      <x:c r="J841" s="2" t="str">
        <x:v>Extension pre-run 600</x:v>
      </x:c>
      <x:c r="K841" s="10" t="n">
        <x:v>3650</x:v>
      </x:c>
      <x:c r="L841" s="10" t="n">
        <x:v>3</x:v>
      </x:c>
      <x:c r="M841" s="10" t="n">
        <x:v>1189</x:v>
      </x:c>
      <x:c r="N841" s="2" t="str">
        <x:v>D19</x:v>
      </x:c>
      <x:c r="O841" s="2" t="str">
        <x:v>hdb flat</x:v>
      </x:c>
      <x:c r="P841" s="2" t="str">
        <x:v>https://www.propertyguru.com.sg/listing/hdb-for-rent-102d-punggol-field-24158537</x:v>
      </x:c>
      <x:c r="Q841" s="12" t="str">
        <x:v>Pre-registered source-rubric-v1; grade applied before outputs.</x:v>
      </x:c>
      <x:c r="R841" s="13"/>
    </x:row>
    <x:row r="842" ht="15" hidden="0" customHeight="1">
      <x:c r="A842" s="2" t="str">
        <x:v>S28|500250444</x:v>
      </x:c>
      <x:c r="B842" s="2" t="str">
        <x:v>S28</x:v>
      </x:c>
      <x:c r="C842" s="2" t="str">
        <x:v>500250444</x:v>
      </x:c>
      <x:c r="D842" s="2" t="n">
        <x:v>2</x:v>
      </x:c>
      <x:c r="E842" s="9"/>
      <x:c r="F842" s="2" t="n">
        <x:f>IF(E842="",D842,IF(E842="U","U",IF(AND(ISNUMBER(E842),E842&gt;=0,E842&lt;=3,INT(E842)=E842),E842,"Invalid")))</x:f>
        <x:v>2</x:v>
      </x:c>
      <x:c r="G842" s="2" t="n">
        <x:f>IF(ISNUMBER(F842),1,0)</x:f>
        <x:v>1</x:v>
      </x:c>
      <x:c r="H842" s="2" t="n">
        <x:f>IF(ISNUMBER(F842),IF(F842&gt;=2,1,0),0)</x:f>
        <x:v>1</x:v>
      </x:c>
      <x:c r="I842" s="11" t="n">
        <x:f>IF(ISNUMBER(F842),2^F842-1,0)</x:f>
        <x:v>3</x:v>
      </x:c>
      <x:c r="J842" s="2" t="str">
        <x:v>Extension pre-run 600</x:v>
      </x:c>
      <x:c r="K842" s="10" t="n">
        <x:v>3800</x:v>
      </x:c>
      <x:c r="L842" s="10" t="n">
        <x:v>3</x:v>
      </x:c>
      <x:c r="M842" s="10" t="n">
        <x:v>1076</x:v>
      </x:c>
      <x:c r="N842" s="2" t="str">
        <x:v>D20</x:v>
      </x:c>
      <x:c r="O842" s="2" t="str">
        <x:v>hdb flat</x:v>
      </x:c>
      <x:c r="P842" s="2" t="str">
        <x:v>https://www.propertyguru.com.sg/listing/hdb-for-rent-448-bright-hill-drive-500250444</x:v>
      </x:c>
      <x:c r="Q842" s="12" t="str">
        <x:v>Pre-registered source-rubric-v1; grade applied before outputs.</x:v>
      </x:c>
      <x:c r="R842" s="13"/>
    </x:row>
    <x:row r="843" ht="15" hidden="0" customHeight="1">
      <x:c r="A843" s="2" t="str">
        <x:v>S28|25630963</x:v>
      </x:c>
      <x:c r="B843" s="2" t="str">
        <x:v>S28</x:v>
      </x:c>
      <x:c r="C843" s="2" t="str">
        <x:v>25630963</x:v>
      </x:c>
      <x:c r="D843" s="2" t="n">
        <x:v>2</x:v>
      </x:c>
      <x:c r="E843" s="9"/>
      <x:c r="F843" s="2" t="n">
        <x:f>IF(E843="",D843,IF(E843="U","U",IF(AND(ISNUMBER(E843),E843&gt;=0,E843&lt;=3,INT(E843)=E843),E843,"Invalid")))</x:f>
        <x:v>2</x:v>
      </x:c>
      <x:c r="G843" s="2" t="n">
        <x:f>IF(ISNUMBER(F843),1,0)</x:f>
        <x:v>1</x:v>
      </x:c>
      <x:c r="H843" s="2" t="n">
        <x:f>IF(ISNUMBER(F843),IF(F843&gt;=2,1,0),0)</x:f>
        <x:v>1</x:v>
      </x:c>
      <x:c r="I843" s="11" t="n">
        <x:f>IF(ISNUMBER(F843),2^F843-1,0)</x:f>
        <x:v>3</x:v>
      </x:c>
      <x:c r="J843" s="2" t="str">
        <x:v>Extension pre-run 600</x:v>
      </x:c>
      <x:c r="K843" s="10" t="n">
        <x:v>3800</x:v>
      </x:c>
      <x:c r="L843" s="10" t="n">
        <x:v>3</x:v>
      </x:c>
      <x:c r="M843" s="10" t="n">
        <x:v>1001</x:v>
      </x:c>
      <x:c r="N843" s="2" t="str">
        <x:v>D23</x:v>
      </x:c>
      <x:c r="O843" s="2" t="str">
        <x:v>hdb flat</x:v>
      </x:c>
      <x:c r="P843" s="2" t="str">
        <x:v>https://www.propertyguru.com.sg/listing/hdb-for-rent-215-bukit-batok-street-21-25630963</x:v>
      </x:c>
      <x:c r="Q843" s="12" t="str">
        <x:v>Pre-registered source-rubric-v1; grade applied before outputs.</x:v>
      </x:c>
      <x:c r="R843" s="13"/>
    </x:row>
    <x:row r="844" ht="15" hidden="0" customHeight="1">
      <x:c r="A844" s="2" t="str">
        <x:v>S28|500283989</x:v>
      </x:c>
      <x:c r="B844" s="2" t="str">
        <x:v>S28</x:v>
      </x:c>
      <x:c r="C844" s="2" t="str">
        <x:v>500283989</x:v>
      </x:c>
      <x:c r="D844" s="2" t="n">
        <x:v>2</x:v>
      </x:c>
      <x:c r="E844" s="9"/>
      <x:c r="F844" s="2" t="n">
        <x:f>IF(E844="",D844,IF(E844="U","U",IF(AND(ISNUMBER(E844),E844&gt;=0,E844&lt;=3,INT(E844)=E844),E844,"Invalid")))</x:f>
        <x:v>2</x:v>
      </x:c>
      <x:c r="G844" s="2" t="n">
        <x:f>IF(ISNUMBER(F844),1,0)</x:f>
        <x:v>1</x:v>
      </x:c>
      <x:c r="H844" s="2" t="n">
        <x:f>IF(ISNUMBER(F844),IF(F844&gt;=2,1,0),0)</x:f>
        <x:v>1</x:v>
      </x:c>
      <x:c r="I844" s="11" t="n">
        <x:f>IF(ISNUMBER(F844),2^F844-1,0)</x:f>
        <x:v>3</x:v>
      </x:c>
      <x:c r="J844" s="2" t="str">
        <x:v>Extension pre-run 600</x:v>
      </x:c>
      <x:c r="K844" s="10" t="n">
        <x:v>4200</x:v>
      </x:c>
      <x:c r="L844" s="10" t="n">
        <x:v>3</x:v>
      </x:c>
      <x:c r="M844" s="10" t="n">
        <x:v>1066</x:v>
      </x:c>
      <x:c r="N844" s="2" t="str">
        <x:v>D23</x:v>
      </x:c>
      <x:c r="O844" s="2" t="str">
        <x:v>condominium</x:v>
      </x:c>
      <x:c r="P844" s="2" t="str">
        <x:v>https://www.propertyguru.com.sg/listing/for-rent-inz-residence-500283989</x:v>
      </x:c>
      <x:c r="Q844" s="12" t="str">
        <x:v>Pre-registered source-rubric-v1; grade applied before outputs.</x:v>
      </x:c>
      <x:c r="R844" s="13"/>
    </x:row>
    <x:row r="845" ht="15" hidden="0" customHeight="1">
      <x:c r="A845" s="2" t="str">
        <x:v>S28|60034654</x:v>
      </x:c>
      <x:c r="B845" s="2" t="str">
        <x:v>S28</x:v>
      </x:c>
      <x:c r="C845" s="2" t="str">
        <x:v>60034654</x:v>
      </x:c>
      <x:c r="D845" s="2" t="n">
        <x:v>2</x:v>
      </x:c>
      <x:c r="E845" s="9"/>
      <x:c r="F845" s="2" t="n">
        <x:f>IF(E845="",D845,IF(E845="U","U",IF(AND(ISNUMBER(E845),E845&gt;=0,E845&lt;=3,INT(E845)=E845),E845,"Invalid")))</x:f>
        <x:v>2</x:v>
      </x:c>
      <x:c r="G845" s="2" t="n">
        <x:f>IF(ISNUMBER(F845),1,0)</x:f>
        <x:v>1</x:v>
      </x:c>
      <x:c r="H845" s="2" t="n">
        <x:f>IF(ISNUMBER(F845),IF(F845&gt;=2,1,0),0)</x:f>
        <x:v>1</x:v>
      </x:c>
      <x:c r="I845" s="11" t="n">
        <x:f>IF(ISNUMBER(F845),2^F845-1,0)</x:f>
        <x:v>3</x:v>
      </x:c>
      <x:c r="J845" s="2" t="str">
        <x:v>Extension pre-run 600</x:v>
      </x:c>
      <x:c r="K845" s="10" t="n">
        <x:v>3700</x:v>
      </x:c>
      <x:c r="L845" s="10" t="n">
        <x:v>3</x:v>
      </x:c>
      <x:c r="M845" s="10" t="n">
        <x:v>1044</x:v>
      </x:c>
      <x:c r="N845" s="2" t="str">
        <x:v>D19</x:v>
      </x:c>
      <x:c r="O845" s="2" t="str">
        <x:v>hdb flat</x:v>
      </x:c>
      <x:c r="P845" s="2" t="str">
        <x:v>https://www.propertyguru.com.sg/listing/hdb-for-rent-272b-punggol-walk-60034654</x:v>
      </x:c>
      <x:c r="Q845" s="12" t="str">
        <x:v>Pre-registered source-rubric-v1; grade applied before outputs.</x:v>
      </x:c>
      <x:c r="R845" s="13"/>
    </x:row>
    <x:row r="846" ht="15" hidden="0" customHeight="1">
      <x:c r="A846" s="2" t="str">
        <x:v>S28|500232312</x:v>
      </x:c>
      <x:c r="B846" s="2" t="str">
        <x:v>S28</x:v>
      </x:c>
      <x:c r="C846" s="2" t="str">
        <x:v>500232312</x:v>
      </x:c>
      <x:c r="D846" s="2" t="n">
        <x:v>2</x:v>
      </x:c>
      <x:c r="E846" s="9"/>
      <x:c r="F846" s="2" t="n">
        <x:f>IF(E846="",D846,IF(E846="U","U",IF(AND(ISNUMBER(E846),E846&gt;=0,E846&lt;=3,INT(E846)=E846),E846,"Invalid")))</x:f>
        <x:v>2</x:v>
      </x:c>
      <x:c r="G846" s="2" t="n">
        <x:f>IF(ISNUMBER(F846),1,0)</x:f>
        <x:v>1</x:v>
      </x:c>
      <x:c r="H846" s="2" t="n">
        <x:f>IF(ISNUMBER(F846),IF(F846&gt;=2,1,0),0)</x:f>
        <x:v>1</x:v>
      </x:c>
      <x:c r="I846" s="11" t="n">
        <x:f>IF(ISNUMBER(F846),2^F846-1,0)</x:f>
        <x:v>3</x:v>
      </x:c>
      <x:c r="J846" s="2" t="str">
        <x:v>Extension pre-run 600</x:v>
      </x:c>
      <x:c r="K846" s="10" t="n">
        <x:v>4000</x:v>
      </x:c>
      <x:c r="L846" s="10" t="n">
        <x:v>3</x:v>
      </x:c>
      <x:c r="M846" s="10" t="n">
        <x:v>1227</x:v>
      </x:c>
      <x:c r="N846" s="2" t="str">
        <x:v>D27</x:v>
      </x:c>
      <x:c r="O846" s="2" t="str">
        <x:v>condominium</x:v>
      </x:c>
      <x:c r="P846" s="2" t="str">
        <x:v>https://www.propertyguru.com.sg/listing/for-rent-lilydale-500232312</x:v>
      </x:c>
      <x:c r="Q846" s="12" t="str">
        <x:v>Pre-registered source-rubric-v1; grade applied before outputs.</x:v>
      </x:c>
      <x:c r="R846" s="13"/>
    </x:row>
    <x:row r="847" ht="15" hidden="0" customHeight="1">
      <x:c r="A847" s="2" t="str">
        <x:v>S28|24628640</x:v>
      </x:c>
      <x:c r="B847" s="2" t="str">
        <x:v>S28</x:v>
      </x:c>
      <x:c r="C847" s="2" t="str">
        <x:v>24628640</x:v>
      </x:c>
      <x:c r="D847" s="2" t="n">
        <x:v>2</x:v>
      </x:c>
      <x:c r="E847" s="9"/>
      <x:c r="F847" s="2" t="n">
        <x:f>IF(E847="",D847,IF(E847="U","U",IF(AND(ISNUMBER(E847),E847&gt;=0,E847&lt;=3,INT(E847)=E847),E847,"Invalid")))</x:f>
        <x:v>2</x:v>
      </x:c>
      <x:c r="G847" s="2" t="n">
        <x:f>IF(ISNUMBER(F847),1,0)</x:f>
        <x:v>1</x:v>
      </x:c>
      <x:c r="H847" s="2" t="n">
        <x:f>IF(ISNUMBER(F847),IF(F847&gt;=2,1,0),0)</x:f>
        <x:v>1</x:v>
      </x:c>
      <x:c r="I847" s="11" t="n">
        <x:f>IF(ISNUMBER(F847),2^F847-1,0)</x:f>
        <x:v>3</x:v>
      </x:c>
      <x:c r="J847" s="2" t="str">
        <x:v>Extension pre-run 600</x:v>
      </x:c>
      <x:c r="K847" s="10" t="n">
        <x:v>3400</x:v>
      </x:c>
      <x:c r="L847" s="10" t="n">
        <x:v>3</x:v>
      </x:c>
      <x:c r="M847" s="10" t="n">
        <x:v>1108</x:v>
      </x:c>
      <x:c r="N847" s="2" t="str">
        <x:v>D23</x:v>
      </x:c>
      <x:c r="O847" s="2" t="str">
        <x:v>hdb flat</x:v>
      </x:c>
      <x:c r="P847" s="2" t="str">
        <x:v>https://www.propertyguru.com.sg/listing/hdb-for-rent-616-choa-chu-kang-street-62-24628640</x:v>
      </x:c>
      <x:c r="Q847" s="12" t="str">
        <x:v>Pre-registered source-rubric-v1; grade applied before outputs.</x:v>
      </x:c>
      <x:c r="R847" s="13"/>
    </x:row>
    <x:row r="848" ht="15" hidden="0" customHeight="1">
      <x:c r="A848" s="2" t="str">
        <x:v>S28|11620862</x:v>
      </x:c>
      <x:c r="B848" s="2" t="str">
        <x:v>S28</x:v>
      </x:c>
      <x:c r="C848" s="2" t="str">
        <x:v>11620862</x:v>
      </x:c>
      <x:c r="D848" s="2" t="n">
        <x:v>2</x:v>
      </x:c>
      <x:c r="E848" s="9"/>
      <x:c r="F848" s="2" t="n">
        <x:f>IF(E848="",D848,IF(E848="U","U",IF(AND(ISNUMBER(E848),E848&gt;=0,E848&lt;=3,INT(E848)=E848),E848,"Invalid")))</x:f>
        <x:v>2</x:v>
      </x:c>
      <x:c r="G848" s="2" t="n">
        <x:f>IF(ISNUMBER(F848),1,0)</x:f>
        <x:v>1</x:v>
      </x:c>
      <x:c r="H848" s="2" t="n">
        <x:f>IF(ISNUMBER(F848),IF(F848&gt;=2,1,0),0)</x:f>
        <x:v>1</x:v>
      </x:c>
      <x:c r="I848" s="11" t="n">
        <x:f>IF(ISNUMBER(F848),2^F848-1,0)</x:f>
        <x:v>3</x:v>
      </x:c>
      <x:c r="J848" s="2" t="str">
        <x:v>Extension pre-run 600</x:v>
      </x:c>
      <x:c r="K848" s="10" t="n">
        <x:v>3600</x:v>
      </x:c>
      <x:c r="L848" s="10" t="n">
        <x:v>3</x:v>
      </x:c>
      <x:c r="M848" s="10" t="n">
        <x:v>1302</x:v>
      </x:c>
      <x:c r="N848" s="2" t="str">
        <x:v>D27</x:v>
      </x:c>
      <x:c r="O848" s="2" t="str">
        <x:v>hdb flat</x:v>
      </x:c>
      <x:c r="P848" s="2" t="str">
        <x:v>https://www.propertyguru.com.sg/listing/hdb-for-rent-289-yishun-avenue-6-11620862</x:v>
      </x:c>
      <x:c r="Q848" s="12" t="str">
        <x:v>Pre-registered source-rubric-v1; grade applied before outputs.</x:v>
      </x:c>
      <x:c r="R848" s="13"/>
    </x:row>
    <x:row r="849" ht="15" hidden="0" customHeight="1">
      <x:c r="A849" s="2" t="str">
        <x:v>S28|23164345</x:v>
      </x:c>
      <x:c r="B849" s="2" t="str">
        <x:v>S28</x:v>
      </x:c>
      <x:c r="C849" s="2" t="str">
        <x:v>23164345</x:v>
      </x:c>
      <x:c r="D849" s="2" t="n">
        <x:v>1</x:v>
      </x:c>
      <x:c r="E849" s="9"/>
      <x:c r="F849" s="2" t="n">
        <x:f>IF(E849="",D849,IF(E849="U","U",IF(AND(ISNUMBER(E849),E849&gt;=0,E849&lt;=3,INT(E849)=E849),E849,"Invalid")))</x:f>
        <x:v>1</x:v>
      </x:c>
      <x:c r="G849" s="2" t="n">
        <x:f>IF(ISNUMBER(F849),1,0)</x:f>
        <x:v>1</x:v>
      </x:c>
      <x:c r="H849" s="2" t="n">
        <x:f>IF(ISNUMBER(F849),IF(F849&gt;=2,1,0),0)</x:f>
        <x:v>0</x:v>
      </x:c>
      <x:c r="I849" s="11" t="n">
        <x:f>IF(ISNUMBER(F849),2^F849-1,0)</x:f>
        <x:v>1</x:v>
      </x:c>
      <x:c r="J849" s="2" t="str">
        <x:v>Extension pre-run 600</x:v>
      </x:c>
      <x:c r="K849" s="10" t="n">
        <x:v>3100</x:v>
      </x:c>
      <x:c r="L849" s="10" t="n">
        <x:v>2</x:v>
      </x:c>
      <x:c r="M849" s="10" t="n">
        <x:v>807</x:v>
      </x:c>
      <x:c r="N849" s="2" t="str">
        <x:v>D20</x:v>
      </x:c>
      <x:c r="O849" s="2" t="str">
        <x:v>hdb flat</x:v>
      </x:c>
      <x:c r="P849" s="2" t="str">
        <x:v>https://www.propertyguru.com.sg/listing/hdb-for-rent-646-ang-mo-kio-avenue-6-23164345</x:v>
      </x:c>
      <x:c r="Q849" s="12" t="str">
        <x:v>Pre-registered source-rubric-v1; grade applied before outputs.</x:v>
      </x:c>
      <x:c r="R849" s="13"/>
    </x:row>
    <x:row r="850" ht="15" hidden="0" customHeight="1">
      <x:c r="A850" s="2" t="str">
        <x:v>S28|25635390</x:v>
      </x:c>
      <x:c r="B850" s="2" t="str">
        <x:v>S28</x:v>
      </x:c>
      <x:c r="C850" s="2" t="str">
        <x:v>25635390</x:v>
      </x:c>
      <x:c r="D850" s="2" t="n">
        <x:v>1</x:v>
      </x:c>
      <x:c r="E850" s="9"/>
      <x:c r="F850" s="2" t="n">
        <x:f>IF(E850="",D850,IF(E850="U","U",IF(AND(ISNUMBER(E850),E850&gt;=0,E850&lt;=3,INT(E850)=E850),E850,"Invalid")))</x:f>
        <x:v>1</x:v>
      </x:c>
      <x:c r="G850" s="2" t="n">
        <x:f>IF(ISNUMBER(F850),1,0)</x:f>
        <x:v>1</x:v>
      </x:c>
      <x:c r="H850" s="2" t="n">
        <x:f>IF(ISNUMBER(F850),IF(F850&gt;=2,1,0),0)</x:f>
        <x:v>0</x:v>
      </x:c>
      <x:c r="I850" s="11" t="n">
        <x:f>IF(ISNUMBER(F850),2^F850-1,0)</x:f>
        <x:v>1</x:v>
      </x:c>
      <x:c r="J850" s="2" t="str">
        <x:v>Extension pre-run 600</x:v>
      </x:c>
      <x:c r="K850" s="10" t="n">
        <x:v>3200</x:v>
      </x:c>
      <x:c r="L850" s="10" t="n">
        <x:v>2</x:v>
      </x:c>
      <x:c r="M850" s="10" t="n">
        <x:v>689</x:v>
      </x:c>
      <x:c r="N850" s="2" t="str">
        <x:v>D23</x:v>
      </x:c>
      <x:c r="O850" s="2" t="str">
        <x:v>hdb flat</x:v>
      </x:c>
      <x:c r="P850" s="2" t="str">
        <x:v>https://www.propertyguru.com.sg/listing/hdb-for-rent-374-bukit-batok-street-31-25635390</x:v>
      </x:c>
      <x:c r="Q850" s="12" t="str">
        <x:v>Pre-registered source-rubric-v1; grade applied before outputs.</x:v>
      </x:c>
      <x:c r="R850" s="13"/>
    </x:row>
    <x:row r="851" ht="15" hidden="0" customHeight="1">
      <x:c r="A851" s="2" t="str">
        <x:v>S28|500079320</x:v>
      </x:c>
      <x:c r="B851" s="2" t="str">
        <x:v>S28</x:v>
      </x:c>
      <x:c r="C851" s="2" t="str">
        <x:v>500079320</x:v>
      </x:c>
      <x:c r="D851" s="2" t="n">
        <x:v>1</x:v>
      </x:c>
      <x:c r="E851" s="9"/>
      <x:c r="F851" s="2" t="n">
        <x:f>IF(E851="",D851,IF(E851="U","U",IF(AND(ISNUMBER(E851),E851&gt;=0,E851&lt;=3,INT(E851)=E851),E851,"Invalid")))</x:f>
        <x:v>1</x:v>
      </x:c>
      <x:c r="G851" s="2" t="n">
        <x:f>IF(ISNUMBER(F851),1,0)</x:f>
        <x:v>1</x:v>
      </x:c>
      <x:c r="H851" s="2" t="n">
        <x:f>IF(ISNUMBER(F851),IF(F851&gt;=2,1,0),0)</x:f>
        <x:v>0</x:v>
      </x:c>
      <x:c r="I851" s="11" t="n">
        <x:f>IF(ISNUMBER(F851),2^F851-1,0)</x:f>
        <x:v>1</x:v>
      </x:c>
      <x:c r="J851" s="2" t="str">
        <x:v>Extension pre-run 600</x:v>
      </x:c>
      <x:c r="K851" s="10" t="n">
        <x:v>4200</x:v>
      </x:c>
      <x:c r="L851" s="10" t="n">
        <x:v>2</x:v>
      </x:c>
      <x:c r="M851" s="10" t="n">
        <x:v>840</x:v>
      </x:c>
      <x:c r="N851" s="2" t="str">
        <x:v>D15</x:v>
      </x:c>
      <x:c r="O851" s="2" t="str">
        <x:v>condominium</x:v>
      </x:c>
      <x:c r="P851" s="2" t="str">
        <x:v>https://www.propertyguru.com.sg/listing/for-rent-flamingo-valley-500079320</x:v>
      </x:c>
      <x:c r="Q851" s="12" t="str">
        <x:v>Pre-registered source-rubric-v1; grade applied before outputs.</x:v>
      </x:c>
      <x:c r="R851" s="13"/>
    </x:row>
    <x:row r="852" ht="15" hidden="0" customHeight="1">
      <x:c r="A852" s="2" t="str">
        <x:v>S28|500256005</x:v>
      </x:c>
      <x:c r="B852" s="2" t="str">
        <x:v>S28</x:v>
      </x:c>
      <x:c r="C852" s="2" t="str">
        <x:v>500256005</x:v>
      </x:c>
      <x:c r="D852" s="2" t="n">
        <x:v>1</x:v>
      </x:c>
      <x:c r="E852" s="9"/>
      <x:c r="F852" s="2" t="n">
        <x:f>IF(E852="",D852,IF(E852="U","U",IF(AND(ISNUMBER(E852),E852&gt;=0,E852&lt;=3,INT(E852)=E852),E852,"Invalid")))</x:f>
        <x:v>1</x:v>
      </x:c>
      <x:c r="G852" s="2" t="n">
        <x:f>IF(ISNUMBER(F852),1,0)</x:f>
        <x:v>1</x:v>
      </x:c>
      <x:c r="H852" s="2" t="n">
        <x:f>IF(ISNUMBER(F852),IF(F852&gt;=2,1,0),0)</x:f>
        <x:v>0</x:v>
      </x:c>
      <x:c r="I852" s="11" t="n">
        <x:f>IF(ISNUMBER(F852),2^F852-1,0)</x:f>
        <x:v>1</x:v>
      </x:c>
      <x:c r="J852" s="2" t="str">
        <x:v>Extension pre-run 600</x:v>
      </x:c>
      <x:c r="K852" s="10" t="n">
        <x:v>3100</x:v>
      </x:c>
      <x:c r="L852" s="10" t="n">
        <x:v>2</x:v>
      </x:c>
      <x:c r="M852" s="10" t="n">
        <x:v>67</x:v>
      </x:c>
      <x:c r="N852" s="2" t="str">
        <x:v>D05</x:v>
      </x:c>
      <x:c r="O852" s="2" t="str">
        <x:v>hdb flat</x:v>
      </x:c>
      <x:c r="P852" s="2" t="str">
        <x:v>https://www.propertyguru.com.sg/listing/hdb-for-rent-351-clementi-avenue-2-500256005</x:v>
      </x:c>
      <x:c r="Q852" s="12" t="str">
        <x:v>Pre-registered source-rubric-v1; grade applied before outputs.</x:v>
      </x:c>
      <x:c r="R852" s="13"/>
    </x:row>
    <x:row r="853" ht="15" hidden="0" customHeight="1">
      <x:c r="A853" s="2" t="str">
        <x:v>S28|24900042</x:v>
      </x:c>
      <x:c r="B853" s="2" t="str">
        <x:v>S28</x:v>
      </x:c>
      <x:c r="C853" s="2" t="str">
        <x:v>24900042</x:v>
      </x:c>
      <x:c r="D853" s="2" t="n">
        <x:v>1</x:v>
      </x:c>
      <x:c r="E853" s="9"/>
      <x:c r="F853" s="2" t="n">
        <x:f>IF(E853="",D853,IF(E853="U","U",IF(AND(ISNUMBER(E853),E853&gt;=0,E853&lt;=3,INT(E853)=E853),E853,"Invalid")))</x:f>
        <x:v>1</x:v>
      </x:c>
      <x:c r="G853" s="2" t="n">
        <x:f>IF(ISNUMBER(F853),1,0)</x:f>
        <x:v>1</x:v>
      </x:c>
      <x:c r="H853" s="2" t="n">
        <x:f>IF(ISNUMBER(F853),IF(F853&gt;=2,1,0),0)</x:f>
        <x:v>0</x:v>
      </x:c>
      <x:c r="I853" s="11" t="n">
        <x:f>IF(ISNUMBER(F853),2^F853-1,0)</x:f>
        <x:v>1</x:v>
      </x:c>
      <x:c r="J853" s="2" t="str">
        <x:v>Extension pre-run 600</x:v>
      </x:c>
      <x:c r="K853" s="10" t="n">
        <x:v>3200</x:v>
      </x:c>
      <x:c r="L853" s="10" t="n">
        <x:v>2</x:v>
      </x:c>
      <x:c r="M853" s="10" t="n">
        <x:v>721</x:v>
      </x:c>
      <x:c r="N853" s="2" t="str">
        <x:v>D23</x:v>
      </x:c>
      <x:c r="O853" s="2" t="str">
        <x:v>hdb flat</x:v>
      </x:c>
      <x:c r="P853" s="2" t="str">
        <x:v>https://www.propertyguru.com.sg/listing/hdb-for-rent-238-bukit-batok-east-avenue-5-24900042</x:v>
      </x:c>
      <x:c r="Q853" s="12" t="str">
        <x:v>Pre-registered source-rubric-v1; grade applied before outputs.</x:v>
      </x:c>
      <x:c r="R853" s="13"/>
    </x:row>
    <x:row r="854" ht="15" hidden="0" customHeight="1">
      <x:c r="A854" s="2" t="str">
        <x:v>S28|21896740</x:v>
      </x:c>
      <x:c r="B854" s="2" t="str">
        <x:v>S28</x:v>
      </x:c>
      <x:c r="C854" s="2" t="str">
        <x:v>21896740</x:v>
      </x:c>
      <x:c r="D854" s="2" t="n">
        <x:v>1</x:v>
      </x:c>
      <x:c r="E854" s="9"/>
      <x:c r="F854" s="2" t="n">
        <x:f>IF(E854="",D854,IF(E854="U","U",IF(AND(ISNUMBER(E854),E854&gt;=0,E854&lt;=3,INT(E854)=E854),E854,"Invalid")))</x:f>
        <x:v>1</x:v>
      </x:c>
      <x:c r="G854" s="2" t="n">
        <x:f>IF(ISNUMBER(F854),1,0)</x:f>
        <x:v>1</x:v>
      </x:c>
      <x:c r="H854" s="2" t="n">
        <x:f>IF(ISNUMBER(F854),IF(F854&gt;=2,1,0),0)</x:f>
        <x:v>0</x:v>
      </x:c>
      <x:c r="I854" s="11" t="n">
        <x:f>IF(ISNUMBER(F854),2^F854-1,0)</x:f>
        <x:v>1</x:v>
      </x:c>
      <x:c r="J854" s="2" t="str">
        <x:v>Extension pre-run 600</x:v>
      </x:c>
      <x:c r="K854" s="10" t="n">
        <x:v>4300</x:v>
      </x:c>
      <x:c r="L854" s="10" t="n">
        <x:v>3</x:v>
      </x:c>
      <x:c r="M854" s="10" t="n">
        <x:v>850</x:v>
      </x:c>
      <x:c r="N854" s="2" t="str">
        <x:v>D16</x:v>
      </x:c>
      <x:c r="O854" s="2" t="str">
        <x:v>condominium</x:v>
      </x:c>
      <x:c r="P854" s="2" t="str">
        <x:v>https://www.propertyguru.com.sg/listing/for-rent-urban-vista-21896740</x:v>
      </x:c>
      <x:c r="Q854" s="12" t="str">
        <x:v>Pre-registered source-rubric-v1; grade applied before outputs.</x:v>
      </x:c>
      <x:c r="R854" s="13"/>
    </x:row>
    <x:row r="855" ht="15" hidden="0" customHeight="1">
      <x:c r="A855" s="2" t="str">
        <x:v>S28|24340984</x:v>
      </x:c>
      <x:c r="B855" s="2" t="str">
        <x:v>S28</x:v>
      </x:c>
      <x:c r="C855" s="2" t="str">
        <x:v>24340984</x:v>
      </x:c>
      <x:c r="D855" s="2" t="n">
        <x:v>0</x:v>
      </x:c>
      <x:c r="E855" s="9"/>
      <x:c r="F855" s="2" t="n">
        <x:f>IF(E855="",D855,IF(E855="U","U",IF(AND(ISNUMBER(E855),E855&gt;=0,E855&lt;=3,INT(E855)=E855),E855,"Invalid")))</x:f>
        <x:v>0</x:v>
      </x:c>
      <x:c r="G855" s="2" t="n">
        <x:f>IF(ISNUMBER(F855),1,0)</x:f>
        <x:v>1</x:v>
      </x:c>
      <x:c r="H855" s="2" t="n">
        <x:f>IF(ISNUMBER(F855),IF(F855&gt;=2,1,0),0)</x:f>
        <x:v>0</x:v>
      </x:c>
      <x:c r="I855" s="11" t="n">
        <x:f>IF(ISNUMBER(F855),2^F855-1,0)</x:f>
        <x:v>0</x:v>
      </x:c>
      <x:c r="J855" s="2" t="str">
        <x:v>Extension pre-run 600</x:v>
      </x:c>
      <x:c r="K855" s="10" t="n">
        <x:v>4999</x:v>
      </x:c>
      <x:c r="L855" s="10" t="n">
        <x:v>2</x:v>
      </x:c>
      <x:c r="M855" s="10" t="n">
        <x:v>1184</x:v>
      </x:c>
      <x:c r="N855" s="2" t="str">
        <x:v>D16</x:v>
      </x:c>
      <x:c r="O855" s="2" t="str">
        <x:v>condominium</x:v>
      </x:c>
      <x:c r="P855" s="2" t="str">
        <x:v>https://www.propertyguru.com.sg/listing/for-rent-laguna-green-24340984</x:v>
      </x:c>
      <x:c r="Q855" s="12" t="str">
        <x:v>Pre-registered source-rubric-v1; grade applied before outputs.</x:v>
      </x:c>
      <x:c r="R855" s="13"/>
    </x:row>
    <x:row r="856" ht="15" hidden="0" customHeight="1">
      <x:c r="A856" s="2" t="str">
        <x:v>S28|500059523</x:v>
      </x:c>
      <x:c r="B856" s="2" t="str">
        <x:v>S28</x:v>
      </x:c>
      <x:c r="C856" s="2" t="str">
        <x:v>500059523</x:v>
      </x:c>
      <x:c r="D856" s="2" t="n">
        <x:v>0</x:v>
      </x:c>
      <x:c r="E856" s="9"/>
      <x:c r="F856" s="2" t="n">
        <x:f>IF(E856="",D856,IF(E856="U","U",IF(AND(ISNUMBER(E856),E856&gt;=0,E856&lt;=3,INT(E856)=E856),E856,"Invalid")))</x:f>
        <x:v>0</x:v>
      </x:c>
      <x:c r="G856" s="2" t="n">
        <x:f>IF(ISNUMBER(F856),1,0)</x:f>
        <x:v>1</x:v>
      </x:c>
      <x:c r="H856" s="2" t="n">
        <x:f>IF(ISNUMBER(F856),IF(F856&gt;=2,1,0),0)</x:f>
        <x:v>0</x:v>
      </x:c>
      <x:c r="I856" s="11" t="n">
        <x:f>IF(ISNUMBER(F856),2^F856-1,0)</x:f>
        <x:v>0</x:v>
      </x:c>
      <x:c r="J856" s="2" t="str">
        <x:v>Extension pre-run 600</x:v>
      </x:c>
      <x:c r="K856" s="10" t="n">
        <x:v>9000</x:v>
      </x:c>
      <x:c r="L856" s="10" t="n">
        <x:v>3</x:v>
      </x:c>
      <x:c r="M856" s="10" t="n">
        <x:v>2422</x:v>
      </x:c>
      <x:c r="N856" s="2" t="str">
        <x:v>D10</x:v>
      </x:c>
      <x:c r="O856" s="2" t="str">
        <x:v>apartment</x:v>
      </x:c>
      <x:c r="P856" s="2" t="str">
        <x:v>https://www.propertyguru.com.sg/listing/for-rent-orange-regency-500059523</x:v>
      </x:c>
      <x:c r="Q856" s="12" t="str">
        <x:v>Pre-registered source-rubric-v1; grade applied before outputs.</x:v>
      </x:c>
      <x:c r="R856" s="13"/>
    </x:row>
    <x:row r="857" ht="15" hidden="0" customHeight="1">
      <x:c r="A857" s="2" t="str">
        <x:v>S28|24396514</x:v>
      </x:c>
      <x:c r="B857" s="2" t="str">
        <x:v>S28</x:v>
      </x:c>
      <x:c r="C857" s="2" t="str">
        <x:v>24396514</x:v>
      </x:c>
      <x:c r="D857" s="2" t="n">
        <x:v>0</x:v>
      </x:c>
      <x:c r="E857" s="9"/>
      <x:c r="F857" s="2" t="n">
        <x:f>IF(E857="",D857,IF(E857="U","U",IF(AND(ISNUMBER(E857),E857&gt;=0,E857&lt;=3,INT(E857)=E857),E857,"Invalid")))</x:f>
        <x:v>0</x:v>
      </x:c>
      <x:c r="G857" s="2" t="n">
        <x:f>IF(ISNUMBER(F857),1,0)</x:f>
        <x:v>1</x:v>
      </x:c>
      <x:c r="H857" s="2" t="n">
        <x:f>IF(ISNUMBER(F857),IF(F857&gt;=2,1,0),0)</x:f>
        <x:v>0</x:v>
      </x:c>
      <x:c r="I857" s="11" t="n">
        <x:f>IF(ISNUMBER(F857),2^F857-1,0)</x:f>
        <x:v>0</x:v>
      </x:c>
      <x:c r="J857" s="2" t="str">
        <x:v>Extension pre-run 600</x:v>
      </x:c>
      <x:c r="K857" s="10" t="n">
        <x:v>1950</x:v>
      </x:c>
      <x:c r="L857" s="10" t="n">
        <x:v>0</x:v>
      </x:c>
      <x:c r="M857" s="10"/>
      <x:c r="N857" s="2" t="str">
        <x:v>D19</x:v>
      </x:c>
      <x:c r="O857" s="2" t="str">
        <x:v>condominium</x:v>
      </x:c>
      <x:c r="P857" s="2" t="str">
        <x:v>https://www.propertyguru.com.sg/listing/for-rent-compass-heights-24396514</x:v>
      </x:c>
      <x:c r="Q857" s="12" t="str">
        <x:v>Pre-registered source-rubric-v1; grade applied before outputs.</x:v>
      </x:c>
      <x:c r="R857" s="13"/>
    </x:row>
    <x:row r="858" ht="15" hidden="0" customHeight="1">
      <x:c r="A858" s="2" t="str">
        <x:v>S28|60228061</x:v>
      </x:c>
      <x:c r="B858" s="2" t="str">
        <x:v>S28</x:v>
      </x:c>
      <x:c r="C858" s="2" t="str">
        <x:v>60228061</x:v>
      </x:c>
      <x:c r="D858" s="2" t="n">
        <x:v>0</x:v>
      </x:c>
      <x:c r="E858" s="9"/>
      <x:c r="F858" s="2" t="n">
        <x:f>IF(E858="",D858,IF(E858="U","U",IF(AND(ISNUMBER(E858),E858&gt;=0,E858&lt;=3,INT(E858)=E858),E858,"Invalid")))</x:f>
        <x:v>0</x:v>
      </x:c>
      <x:c r="G858" s="2" t="n">
        <x:f>IF(ISNUMBER(F858),1,0)</x:f>
        <x:v>1</x:v>
      </x:c>
      <x:c r="H858" s="2" t="n">
        <x:f>IF(ISNUMBER(F858),IF(F858&gt;=2,1,0),0)</x:f>
        <x:v>0</x:v>
      </x:c>
      <x:c r="I858" s="11" t="n">
        <x:f>IF(ISNUMBER(F858),2^F858-1,0)</x:f>
        <x:v>0</x:v>
      </x:c>
      <x:c r="J858" s="2" t="str">
        <x:v>Extension pre-run 600</x:v>
      </x:c>
      <x:c r="K858" s="10" t="n">
        <x:v>18000</x:v>
      </x:c>
      <x:c r="L858" s="10" t="n">
        <x:v>5</x:v>
      </x:c>
      <x:c r="M858" s="10" t="n">
        <x:v>7382</x:v>
      </x:c>
      <x:c r="N858" s="2" t="str">
        <x:v>D11</x:v>
      </x:c>
      <x:c r="O858" s="2" t="str">
        <x:v>detached house</x:v>
      </x:c>
      <x:c r="P858" s="2" t="str">
        <x:v>https://www.propertyguru.com.sg/listing/for-rent-gentle-villas-60228061</x:v>
      </x:c>
      <x:c r="Q858" s="12" t="str">
        <x:v>Pre-registered source-rubric-v1; grade applied before outputs.</x:v>
      </x:c>
      <x:c r="R858" s="13"/>
    </x:row>
    <x:row r="859" ht="15" hidden="0" customHeight="1">
      <x:c r="A859" s="2" t="str">
        <x:v>S28|25294548</x:v>
      </x:c>
      <x:c r="B859" s="2" t="str">
        <x:v>S28</x:v>
      </x:c>
      <x:c r="C859" s="2" t="str">
        <x:v>25294548</x:v>
      </x:c>
      <x:c r="D859" s="2" t="n">
        <x:v>0</x:v>
      </x:c>
      <x:c r="E859" s="9"/>
      <x:c r="F859" s="2" t="n">
        <x:f>IF(E859="",D859,IF(E859="U","U",IF(AND(ISNUMBER(E859),E859&gt;=0,E859&lt;=3,INT(E859)=E859),E859,"Invalid")))</x:f>
        <x:v>0</x:v>
      </x:c>
      <x:c r="G859" s="2" t="n">
        <x:f>IF(ISNUMBER(F859),1,0)</x:f>
        <x:v>1</x:v>
      </x:c>
      <x:c r="H859" s="2" t="n">
        <x:f>IF(ISNUMBER(F859),IF(F859&gt;=2,1,0),0)</x:f>
        <x:v>0</x:v>
      </x:c>
      <x:c r="I859" s="11" t="n">
        <x:f>IF(ISNUMBER(F859),2^F859-1,0)</x:f>
        <x:v>0</x:v>
      </x:c>
      <x:c r="J859" s="2" t="str">
        <x:v>Extension pre-run 600</x:v>
      </x:c>
      <x:c r="K859" s="10" t="n">
        <x:v>6100</x:v>
      </x:c>
      <x:c r="L859" s="10" t="n">
        <x:v>4</x:v>
      </x:c>
      <x:c r="M859" s="10" t="n">
        <x:v>1432</x:v>
      </x:c>
      <x:c r="N859" s="2" t="str">
        <x:v>D18</x:v>
      </x:c>
      <x:c r="O859" s="2" t="str">
        <x:v>condominium</x:v>
      </x:c>
      <x:c r="P859" s="2" t="str">
        <x:v>https://www.propertyguru.com.sg/listing/for-rent-d-nest-25294548</x:v>
      </x:c>
      <x:c r="Q859" s="12" t="str">
        <x:v>Pre-registered source-rubric-v1; grade applied before outputs.</x:v>
      </x:c>
      <x:c r="R859" s="13"/>
    </x:row>
    <x:row r="860" ht="15" hidden="0" customHeight="1">
      <x:c r="A860" s="2" t="str">
        <x:v>S28|500236992</x:v>
      </x:c>
      <x:c r="B860" s="2" t="str">
        <x:v>S28</x:v>
      </x:c>
      <x:c r="C860" s="2" t="str">
        <x:v>500236992</x:v>
      </x:c>
      <x:c r="D860" s="2" t="n">
        <x:v>0</x:v>
      </x:c>
      <x:c r="E860" s="9"/>
      <x:c r="F860" s="2" t="n">
        <x:f>IF(E860="",D860,IF(E860="U","U",IF(AND(ISNUMBER(E860),E860&gt;=0,E860&lt;=3,INT(E860)=E860),E860,"Invalid")))</x:f>
        <x:v>0</x:v>
      </x:c>
      <x:c r="G860" s="2" t="n">
        <x:f>IF(ISNUMBER(F860),1,0)</x:f>
        <x:v>1</x:v>
      </x:c>
      <x:c r="H860" s="2" t="n">
        <x:f>IF(ISNUMBER(F860),IF(F860&gt;=2,1,0),0)</x:f>
        <x:v>0</x:v>
      </x:c>
      <x:c r="I860" s="11" t="n">
        <x:f>IF(ISNUMBER(F860),2^F860-1,0)</x:f>
        <x:v>0</x:v>
      </x:c>
      <x:c r="J860" s="2" t="str">
        <x:v>Extension pre-run 600</x:v>
      </x:c>
      <x:c r="K860" s="10" t="n">
        <x:v>1200</x:v>
      </x:c>
      <x:c r="L860" s="10" t="n">
        <x:v>0</x:v>
      </x:c>
      <x:c r="M860" s="10"/>
      <x:c r="N860" s="2" t="str">
        <x:v>D23</x:v>
      </x:c>
      <x:c r="O860" s="2" t="str">
        <x:v>condominium</x:v>
      </x:c>
      <x:c r="P860" s="2" t="str">
        <x:v>https://www.propertyguru.com.sg/listing/for-rent-the-quintet-500236992</x:v>
      </x:c>
      <x:c r="Q860" s="12" t="str">
        <x:v>Pre-registered source-rubric-v1; grade applied before outputs.</x:v>
      </x:c>
      <x:c r="R860" s="13"/>
    </x:row>
    <x:row r="861" ht="15" hidden="0" customHeight="1">
      <x:c r="A861" s="2" t="str">
        <x:v>S28|23151690</x:v>
      </x:c>
      <x:c r="B861" s="2" t="str">
        <x:v>S28</x:v>
      </x:c>
      <x:c r="C861" s="2" t="str">
        <x:v>23151690</x:v>
      </x:c>
      <x:c r="D861" s="2" t="n">
        <x:v>0</x:v>
      </x:c>
      <x:c r="E861" s="9"/>
      <x:c r="F861" s="2" t="n">
        <x:f>IF(E861="",D861,IF(E861="U","U",IF(AND(ISNUMBER(E861),E861&gt;=0,E861&lt;=3,INT(E861)=E861),E861,"Invalid")))</x:f>
        <x:v>0</x:v>
      </x:c>
      <x:c r="G861" s="2" t="n">
        <x:f>IF(ISNUMBER(F861),1,0)</x:f>
        <x:v>1</x:v>
      </x:c>
      <x:c r="H861" s="2" t="n">
        <x:f>IF(ISNUMBER(F861),IF(F861&gt;=2,1,0),0)</x:f>
        <x:v>0</x:v>
      </x:c>
      <x:c r="I861" s="11" t="n">
        <x:f>IF(ISNUMBER(F861),2^F861-1,0)</x:f>
        <x:v>0</x:v>
      </x:c>
      <x:c r="J861" s="2" t="str">
        <x:v>Extension pre-run 600</x:v>
      </x:c>
      <x:c r="K861" s="10" t="n">
        <x:v>1250</x:v>
      </x:c>
      <x:c r="L861" s="10" t="n">
        <x:v>0</x:v>
      </x:c>
      <x:c r="M861" s="10"/>
      <x:c r="N861" s="2" t="str">
        <x:v>D20</x:v>
      </x:c>
      <x:c r="O861" s="2" t="str">
        <x:v>hdb flat</x:v>
      </x:c>
      <x:c r="P861" s="2" t="str">
        <x:v>https://www.propertyguru.com.sg/listing/hdb-for-rent-425-ang-mo-kio-avenue-3-23151690</x:v>
      </x:c>
      <x:c r="Q861" s="12" t="str">
        <x:v>Pre-registered source-rubric-v1; grade applied before outputs.</x:v>
      </x:c>
      <x:c r="R861" s="13"/>
    </x:row>
    <x:row r="862" ht="15" hidden="0" customHeight="1">
      <x:c r="A862" s="2" t="str">
        <x:v>S28|25346986</x:v>
      </x:c>
      <x:c r="B862" s="2" t="str">
        <x:v>S28</x:v>
      </x:c>
      <x:c r="C862" s="2" t="str">
        <x:v>25346986</x:v>
      </x:c>
      <x:c r="D862" s="2" t="n">
        <x:v>0</x:v>
      </x:c>
      <x:c r="E862" s="9"/>
      <x:c r="F862" s="2" t="n">
        <x:f>IF(E862="",D862,IF(E862="U","U",IF(AND(ISNUMBER(E862),E862&gt;=0,E862&lt;=3,INT(E862)=E862),E862,"Invalid")))</x:f>
        <x:v>0</x:v>
      </x:c>
      <x:c r="G862" s="2" t="n">
        <x:f>IF(ISNUMBER(F862),1,0)</x:f>
        <x:v>1</x:v>
      </x:c>
      <x:c r="H862" s="2" t="n">
        <x:f>IF(ISNUMBER(F862),IF(F862&gt;=2,1,0),0)</x:f>
        <x:v>0</x:v>
      </x:c>
      <x:c r="I862" s="11" t="n">
        <x:f>IF(ISNUMBER(F862),2^F862-1,0)</x:f>
        <x:v>0</x:v>
      </x:c>
      <x:c r="J862" s="2" t="str">
        <x:v>Extension pre-run 600</x:v>
      </x:c>
      <x:c r="K862" s="10" t="n">
        <x:v>5500</x:v>
      </x:c>
      <x:c r="L862" s="10" t="n">
        <x:v>2</x:v>
      </x:c>
      <x:c r="M862" s="10" t="n">
        <x:v>732</x:v>
      </x:c>
      <x:c r="N862" s="2" t="str">
        <x:v>D02</x:v>
      </x:c>
      <x:c r="O862" s="2" t="str">
        <x:v>apartment</x:v>
      </x:c>
      <x:c r="P862" s="2" t="str">
        <x:v>https://www.propertyguru.com.sg/listing/for-rent-craig-place-25346986</x:v>
      </x:c>
      <x:c r="Q862" s="12" t="str">
        <x:v>Pre-registered source-rubric-v1; grade applied before outputs.</x:v>
      </x:c>
      <x:c r="R862" s="13"/>
    </x:row>
    <x:row r="863" ht="15" hidden="0" customHeight="1">
      <x:c r="A863" s="2" t="str">
        <x:v>S28|500262688</x:v>
      </x:c>
      <x:c r="B863" s="2" t="str">
        <x:v>S28</x:v>
      </x:c>
      <x:c r="C863" s="2" t="str">
        <x:v>500262688</x:v>
      </x:c>
      <x:c r="D863" s="2" t="str">
        <x:v>U</x:v>
      </x:c>
      <x:c r="E863" s="9"/>
      <x:c r="F863" s="2" t="str">
        <x:f>IF(E863="",D863,IF(E863="U","U",IF(AND(ISNUMBER(E863),E863&gt;=0,E863&lt;=3,INT(E863)=E863),E863,"Invalid")))</x:f>
        <x:v>U</x:v>
      </x:c>
      <x:c r="G863" s="2" t="n">
        <x:f>IF(ISNUMBER(F863),1,0)</x:f>
        <x:v>0</x:v>
      </x:c>
      <x:c r="H863" s="2" t="n">
        <x:f>IF(ISNUMBER(F863),IF(F863&gt;=2,1,0),0)</x:f>
        <x:v>0</x:v>
      </x:c>
      <x:c r="I863" s="11" t="n">
        <x:f>IF(ISNUMBER(F863),2^F863-1,0)</x:f>
        <x:v>0</x:v>
      </x:c>
      <x:c r="J863" s="2" t="str">
        <x:v>Extension pre-run 600</x:v>
      </x:c>
      <x:c r="K863" s="10" t="n">
        <x:v>3100</x:v>
      </x:c>
      <x:c r="L863" s="10"/>
      <x:c r="M863" s="10" t="n">
        <x:v>300</x:v>
      </x:c>
      <x:c r="N863" s="2" t="str">
        <x:v>D15</x:v>
      </x:c>
      <x:c r="O863" s="2" t="str">
        <x:v>condominium</x:v>
      </x:c>
      <x:c r="P863" s="2" t="str">
        <x:v>https://www.propertyguru.com.sg/listing/for-rent-grand-dunman-500262688</x:v>
      </x:c>
      <x:c r="Q863" s="12" t="str">
        <x:v>Pre-registered source-rubric-v1; grade applied before outputs.</x:v>
      </x:c>
      <x:c r="R863" s="13"/>
    </x:row>
    <x:row r="864" ht="15" hidden="0" customHeight="1">
      <x:c r="A864" s="2" t="str">
        <x:v>S28|500278035</x:v>
      </x:c>
      <x:c r="B864" s="2" t="str">
        <x:v>S28</x:v>
      </x:c>
      <x:c r="C864" s="2" t="str">
        <x:v>500278035</x:v>
      </x:c>
      <x:c r="D864" s="2" t="str">
        <x:v>U</x:v>
      </x:c>
      <x:c r="E864" s="9"/>
      <x:c r="F864" s="2" t="str">
        <x:f>IF(E864="",D864,IF(E864="U","U",IF(AND(ISNUMBER(E864),E864&gt;=0,E864&lt;=3,INT(E864)=E864),E864,"Invalid")))</x:f>
        <x:v>U</x:v>
      </x:c>
      <x:c r="G864" s="2" t="n">
        <x:f>IF(ISNUMBER(F864),1,0)</x:f>
        <x:v>0</x:v>
      </x:c>
      <x:c r="H864" s="2" t="n">
        <x:f>IF(ISNUMBER(F864),IF(F864&gt;=2,1,0),0)</x:f>
        <x:v>0</x:v>
      </x:c>
      <x:c r="I864" s="11" t="n">
        <x:f>IF(ISNUMBER(F864),2^F864-1,0)</x:f>
        <x:v>0</x:v>
      </x:c>
      <x:c r="J864" s="2" t="str">
        <x:v>Extension pre-run 600</x:v>
      </x:c>
      <x:c r="K864" s="10" t="n">
        <x:v>2600</x:v>
      </x:c>
      <x:c r="L864" s="10"/>
      <x:c r="M864" s="10" t="n">
        <x:v>300</x:v>
      </x:c>
      <x:c r="N864" s="2" t="str">
        <x:v>D18</x:v>
      </x:c>
      <x:c r="O864" s="2" t="str">
        <x:v>condominium</x:v>
      </x:c>
      <x:c r="P864" s="2" t="str">
        <x:v>https://www.propertyguru.com.sg/listing/for-rent-coco-palms-500278035</x:v>
      </x:c>
      <x:c r="Q864" s="12" t="str">
        <x:v>Pre-registered source-rubric-v1; grade applied before outputs.</x:v>
      </x:c>
      <x:c r="R864" s="13"/>
    </x:row>
    <x:row r="865" ht="15" hidden="0" customHeight="1">
      <x:c r="A865" s="2" t="str">
        <x:v>S29|500269618</x:v>
      </x:c>
      <x:c r="B865" s="2" t="str">
        <x:v>S29</x:v>
      </x:c>
      <x:c r="C865" s="2" t="str">
        <x:v>500269618</x:v>
      </x:c>
      <x:c r="D865" s="2" t="n">
        <x:v>3</x:v>
      </x:c>
      <x:c r="E865" s="9"/>
      <x:c r="F865" s="2" t="n">
        <x:f>IF(E865="",D865,IF(E865="U","U",IF(AND(ISNUMBER(E865),E865&gt;=0,E865&lt;=3,INT(E865)=E865),E865,"Invalid")))</x:f>
        <x:v>3</x:v>
      </x:c>
      <x:c r="G865" s="2" t="n">
        <x:f>IF(ISNUMBER(F865),1,0)</x:f>
        <x:v>1</x:v>
      </x:c>
      <x:c r="H865" s="2" t="n">
        <x:f>IF(ISNUMBER(F865),IF(F865&gt;=2,1,0),0)</x:f>
        <x:v>1</x:v>
      </x:c>
      <x:c r="I865" s="11" t="n">
        <x:f>IF(ISNUMBER(F865),2^F865-1,0)</x:f>
        <x:v>7</x:v>
      </x:c>
      <x:c r="J865" s="2" t="str">
        <x:v>Extension pre-run 600</x:v>
      </x:c>
      <x:c r="K865" s="10" t="n">
        <x:v>1100</x:v>
      </x:c>
      <x:c r="L865" s="10" t="n">
        <x:v>3</x:v>
      </x:c>
      <x:c r="M865" s="10" t="n">
        <x:v>947</x:v>
      </x:c>
      <x:c r="N865" s="2" t="str">
        <x:v>D20</x:v>
      </x:c>
      <x:c r="O865" s="2" t="str">
        <x:v>hdb flat</x:v>
      </x:c>
      <x:c r="P865" s="2" t="str">
        <x:v>https://www.propertyguru.com.sg/listing/hdb-for-rent-25-sin-ming-road-500269618</x:v>
      </x:c>
      <x:c r="Q865" s="12" t="str">
        <x:v>Pre-registered source-rubric-v1; grade applied before outputs.</x:v>
      </x:c>
      <x:c r="R865" s="13"/>
    </x:row>
    <x:row r="866" ht="15" hidden="0" customHeight="1">
      <x:c r="A866" s="2" t="str">
        <x:v>S29|25342943</x:v>
      </x:c>
      <x:c r="B866" s="2" t="str">
        <x:v>S29</x:v>
      </x:c>
      <x:c r="C866" s="2" t="str">
        <x:v>25342943</x:v>
      </x:c>
      <x:c r="D866" s="2" t="n">
        <x:v>3</x:v>
      </x:c>
      <x:c r="E866" s="9"/>
      <x:c r="F866" s="2" t="n">
        <x:f>IF(E866="",D866,IF(E866="U","U",IF(AND(ISNUMBER(E866),E866&gt;=0,E866&lt;=3,INT(E866)=E866),E866,"Invalid")))</x:f>
        <x:v>3</x:v>
      </x:c>
      <x:c r="G866" s="2" t="n">
        <x:f>IF(ISNUMBER(F866),1,0)</x:f>
        <x:v>1</x:v>
      </x:c>
      <x:c r="H866" s="2" t="n">
        <x:f>IF(ISNUMBER(F866),IF(F866&gt;=2,1,0),0)</x:f>
        <x:v>1</x:v>
      </x:c>
      <x:c r="I866" s="11" t="n">
        <x:f>IF(ISNUMBER(F866),2^F866-1,0)</x:f>
        <x:v>7</x:v>
      </x:c>
      <x:c r="J866" s="2" t="str">
        <x:v>Extension pre-run 600</x:v>
      </x:c>
      <x:c r="K866" s="10" t="n">
        <x:v>2600</x:v>
      </x:c>
      <x:c r="L866" s="10" t="n">
        <x:v>2</x:v>
      </x:c>
      <x:c r="M866" s="10" t="n">
        <x:v>1100</x:v>
      </x:c>
      <x:c r="N866" s="2" t="str">
        <x:v>D23</x:v>
      </x:c>
      <x:c r="O866" s="2" t="str">
        <x:v>hdb flat</x:v>
      </x:c>
      <x:c r="P866" s="2" t="str">
        <x:v>https://www.propertyguru.com.sg/listing/hdb-for-rent-220-choa-chu-kang-central-25342943</x:v>
      </x:c>
      <x:c r="Q866" s="12" t="str">
        <x:v>Pre-registered source-rubric-v1; grade applied before outputs.</x:v>
      </x:c>
      <x:c r="R866" s="13"/>
    </x:row>
    <x:row r="867" ht="15" hidden="0" customHeight="1">
      <x:c r="A867" s="2" t="str">
        <x:v>S29|500281545</x:v>
      </x:c>
      <x:c r="B867" s="2" t="str">
        <x:v>S29</x:v>
      </x:c>
      <x:c r="C867" s="2" t="str">
        <x:v>500281545</x:v>
      </x:c>
      <x:c r="D867" s="2" t="n">
        <x:v>3</x:v>
      </x:c>
      <x:c r="E867" s="9"/>
      <x:c r="F867" s="2" t="n">
        <x:f>IF(E867="",D867,IF(E867="U","U",IF(AND(ISNUMBER(E867),E867&gt;=0,E867&lt;=3,INT(E867)=E867),E867,"Invalid")))</x:f>
        <x:v>3</x:v>
      </x:c>
      <x:c r="G867" s="2" t="n">
        <x:f>IF(ISNUMBER(F867),1,0)</x:f>
        <x:v>1</x:v>
      </x:c>
      <x:c r="H867" s="2" t="n">
        <x:f>IF(ISNUMBER(F867),IF(F867&gt;=2,1,0),0)</x:f>
        <x:v>1</x:v>
      </x:c>
      <x:c r="I867" s="11" t="n">
        <x:f>IF(ISNUMBER(F867),2^F867-1,0)</x:f>
        <x:v>7</x:v>
      </x:c>
      <x:c r="J867" s="2" t="str">
        <x:v>Extension pre-run 600</x:v>
      </x:c>
      <x:c r="K867" s="10" t="n">
        <x:v>700</x:v>
      </x:c>
      <x:c r="L867" s="10" t="n">
        <x:v>3</x:v>
      </x:c>
      <x:c r="M867" s="10" t="n">
        <x:v>904</x:v>
      </x:c>
      <x:c r="N867" s="2" t="str">
        <x:v>D18</x:v>
      </x:c>
      <x:c r="O867" s="2" t="str">
        <x:v>hdb flat</x:v>
      </x:c>
      <x:c r="P867" s="2" t="str">
        <x:v>https://www.propertyguru.com.sg/listing/hdb-for-rent-832-tampines-street-82-500281545</x:v>
      </x:c>
      <x:c r="Q867" s="12" t="str">
        <x:v>Pre-registered source-rubric-v1; grade applied before outputs.</x:v>
      </x:c>
      <x:c r="R867" s="13"/>
    </x:row>
    <x:row r="868" ht="15" hidden="0" customHeight="1">
      <x:c r="A868" s="2" t="str">
        <x:v>S29|500273673</x:v>
      </x:c>
      <x:c r="B868" s="2" t="str">
        <x:v>S29</x:v>
      </x:c>
      <x:c r="C868" s="2" t="str">
        <x:v>500273673</x:v>
      </x:c>
      <x:c r="D868" s="2" t="n">
        <x:v>2</x:v>
      </x:c>
      <x:c r="E868" s="9"/>
      <x:c r="F868" s="2" t="n">
        <x:f>IF(E868="",D868,IF(E868="U","U",IF(AND(ISNUMBER(E868),E868&gt;=0,E868&lt;=3,INT(E868)=E868),E868,"Invalid")))</x:f>
        <x:v>2</x:v>
      </x:c>
      <x:c r="G868" s="2" t="n">
        <x:f>IF(ISNUMBER(F868),1,0)</x:f>
        <x:v>1</x:v>
      </x:c>
      <x:c r="H868" s="2" t="n">
        <x:f>IF(ISNUMBER(F868),IF(F868&gt;=2,1,0),0)</x:f>
        <x:v>1</x:v>
      </x:c>
      <x:c r="I868" s="11" t="n">
        <x:f>IF(ISNUMBER(F868),2^F868-1,0)</x:f>
        <x:v>3</x:v>
      </x:c>
      <x:c r="J868" s="2" t="str">
        <x:v>Extension pre-run 600</x:v>
      </x:c>
      <x:c r="K868" s="10" t="n">
        <x:v>2800</x:v>
      </x:c>
      <x:c r="L868" s="10" t="n">
        <x:v>2</x:v>
      </x:c>
      <x:c r="M868" s="10" t="n">
        <x:v>700</x:v>
      </x:c>
      <x:c r="N868" s="2" t="str">
        <x:v>D19</x:v>
      </x:c>
      <x:c r="O868" s="2" t="str">
        <x:v>hdb flat</x:v>
      </x:c>
      <x:c r="P868" s="2" t="str">
        <x:v>https://www.propertyguru.com.sg/listing/hdb-for-rent-637b-punggol-drive-500273673</x:v>
      </x:c>
      <x:c r="Q868" s="12" t="str">
        <x:v>Pre-registered source-rubric-v1; grade applied before outputs.</x:v>
      </x:c>
      <x:c r="R868" s="13"/>
    </x:row>
    <x:row r="869" ht="15" hidden="0" customHeight="1">
      <x:c r="A869" s="2" t="str">
        <x:v>S29|60060332</x:v>
      </x:c>
      <x:c r="B869" s="2" t="str">
        <x:v>S29</x:v>
      </x:c>
      <x:c r="C869" s="2" t="str">
        <x:v>60060332</x:v>
      </x:c>
      <x:c r="D869" s="2" t="n">
        <x:v>2</x:v>
      </x:c>
      <x:c r="E869" s="9"/>
      <x:c r="F869" s="2" t="n">
        <x:f>IF(E869="",D869,IF(E869="U","U",IF(AND(ISNUMBER(E869),E869&gt;=0,E869&lt;=3,INT(E869)=E869),E869,"Invalid")))</x:f>
        <x:v>2</x:v>
      </x:c>
      <x:c r="G869" s="2" t="n">
        <x:f>IF(ISNUMBER(F869),1,0)</x:f>
        <x:v>1</x:v>
      </x:c>
      <x:c r="H869" s="2" t="n">
        <x:f>IF(ISNUMBER(F869),IF(F869&gt;=2,1,0),0)</x:f>
        <x:v>1</x:v>
      </x:c>
      <x:c r="I869" s="11" t="n">
        <x:f>IF(ISNUMBER(F869),2^F869-1,0)</x:f>
        <x:v>3</x:v>
      </x:c>
      <x:c r="J869" s="2" t="str">
        <x:v>Extension pre-run 600</x:v>
      </x:c>
      <x:c r="K869" s="10" t="n">
        <x:v>2400</x:v>
      </x:c>
      <x:c r="L869" s="10" t="n">
        <x:v>2</x:v>
      </x:c>
      <x:c r="M869" s="10" t="n">
        <x:v>800</x:v>
      </x:c>
      <x:c r="N869" s="2" t="str">
        <x:v>D19</x:v>
      </x:c>
      <x:c r="O869" s="2" t="str">
        <x:v>hdb flat</x:v>
      </x:c>
      <x:c r="P869" s="2" t="str">
        <x:v>https://www.propertyguru.com.sg/listing/hdb-for-rent-239-hougang-street-22-60060332</x:v>
      </x:c>
      <x:c r="Q869" s="12" t="str">
        <x:v>Pre-registered source-rubric-v1; grade applied before outputs.</x:v>
      </x:c>
      <x:c r="R869" s="13"/>
    </x:row>
    <x:row r="870" ht="15" hidden="0" customHeight="1">
      <x:c r="A870" s="2" t="str">
        <x:v>S29|500249442</x:v>
      </x:c>
      <x:c r="B870" s="2" t="str">
        <x:v>S29</x:v>
      </x:c>
      <x:c r="C870" s="2" t="str">
        <x:v>500249442</x:v>
      </x:c>
      <x:c r="D870" s="2" t="n">
        <x:v>2</x:v>
      </x:c>
      <x:c r="E870" s="9"/>
      <x:c r="F870" s="2" t="n">
        <x:f>IF(E870="",D870,IF(E870="U","U",IF(AND(ISNUMBER(E870),E870&gt;=0,E870&lt;=3,INT(E870)=E870),E870,"Invalid")))</x:f>
        <x:v>2</x:v>
      </x:c>
      <x:c r="G870" s="2" t="n">
        <x:f>IF(ISNUMBER(F870),1,0)</x:f>
        <x:v>1</x:v>
      </x:c>
      <x:c r="H870" s="2" t="n">
        <x:f>IF(ISNUMBER(F870),IF(F870&gt;=2,1,0),0)</x:f>
        <x:v>1</x:v>
      </x:c>
      <x:c r="I870" s="11" t="n">
        <x:f>IF(ISNUMBER(F870),2^F870-1,0)</x:f>
        <x:v>3</x:v>
      </x:c>
      <x:c r="J870" s="2" t="str">
        <x:v>Extension pre-run 600</x:v>
      </x:c>
      <x:c r="K870" s="10" t="n">
        <x:v>2500</x:v>
      </x:c>
      <x:c r="L870" s="10" t="n">
        <x:v>2</x:v>
      </x:c>
      <x:c r="M870" s="10" t="n">
        <x:v>721</x:v>
      </x:c>
      <x:c r="N870" s="2" t="str">
        <x:v>D19</x:v>
      </x:c>
      <x:c r="O870" s="2" t="str">
        <x:v>hdb flat</x:v>
      </x:c>
      <x:c r="P870" s="2" t="str">
        <x:v>https://www.propertyguru.com.sg/listing/hdb-for-rent-309-hougang-avenue-5-500249442</x:v>
      </x:c>
      <x:c r="Q870" s="12" t="str">
        <x:v>Pre-registered source-rubric-v1; grade applied before outputs.</x:v>
      </x:c>
      <x:c r="R870" s="13"/>
    </x:row>
    <x:row r="871" ht="15" hidden="0" customHeight="1">
      <x:c r="A871" s="2" t="str">
        <x:v>S29|60102446</x:v>
      </x:c>
      <x:c r="B871" s="2" t="str">
        <x:v>S29</x:v>
      </x:c>
      <x:c r="C871" s="2" t="str">
        <x:v>60102446</x:v>
      </x:c>
      <x:c r="D871" s="2" t="n">
        <x:v>2</x:v>
      </x:c>
      <x:c r="E871" s="9"/>
      <x:c r="F871" s="2" t="n">
        <x:f>IF(E871="",D871,IF(E871="U","U",IF(AND(ISNUMBER(E871),E871&gt;=0,E871&lt;=3,INT(E871)=E871),E871,"Invalid")))</x:f>
        <x:v>2</x:v>
      </x:c>
      <x:c r="G871" s="2" t="n">
        <x:f>IF(ISNUMBER(F871),1,0)</x:f>
        <x:v>1</x:v>
      </x:c>
      <x:c r="H871" s="2" t="n">
        <x:f>IF(ISNUMBER(F871),IF(F871&gt;=2,1,0),0)</x:f>
        <x:v>1</x:v>
      </x:c>
      <x:c r="I871" s="11" t="n">
        <x:f>IF(ISNUMBER(F871),2^F871-1,0)</x:f>
        <x:v>3</x:v>
      </x:c>
      <x:c r="J871" s="2" t="str">
        <x:v>Extension pre-run 600</x:v>
      </x:c>
      <x:c r="K871" s="10" t="n">
        <x:v>2250</x:v>
      </x:c>
      <x:c r="L871" s="10" t="n">
        <x:v>2</x:v>
      </x:c>
      <x:c r="M871" s="10" t="n">
        <x:v>600</x:v>
      </x:c>
      <x:c r="N871" s="2" t="str">
        <x:v>D20</x:v>
      </x:c>
      <x:c r="O871" s="2" t="str">
        <x:v>hdb flat</x:v>
      </x:c>
      <x:c r="P871" s="2" t="str">
        <x:v>https://www.propertyguru.com.sg/listing/hdb-for-rent-137-bishan-street-12-60102446</x:v>
      </x:c>
      <x:c r="Q871" s="12" t="str">
        <x:v>Pre-registered source-rubric-v1; grade applied before outputs.</x:v>
      </x:c>
      <x:c r="R871" s="13"/>
    </x:row>
    <x:row r="872" ht="15" hidden="0" customHeight="1">
      <x:c r="A872" s="2" t="str">
        <x:v>S29|20160391</x:v>
      </x:c>
      <x:c r="B872" s="2" t="str">
        <x:v>S29</x:v>
      </x:c>
      <x:c r="C872" s="2" t="str">
        <x:v>20160391</x:v>
      </x:c>
      <x:c r="D872" s="2" t="n">
        <x:v>2</x:v>
      </x:c>
      <x:c r="E872" s="9"/>
      <x:c r="F872" s="2" t="n">
        <x:f>IF(E872="",D872,IF(E872="U","U",IF(AND(ISNUMBER(E872),E872&gt;=0,E872&lt;=3,INT(E872)=E872),E872,"Invalid")))</x:f>
        <x:v>2</x:v>
      </x:c>
      <x:c r="G872" s="2" t="n">
        <x:f>IF(ISNUMBER(F872),1,0)</x:f>
        <x:v>1</x:v>
      </x:c>
      <x:c r="H872" s="2" t="n">
        <x:f>IF(ISNUMBER(F872),IF(F872&gt;=2,1,0),0)</x:f>
        <x:v>1</x:v>
      </x:c>
      <x:c r="I872" s="11" t="n">
        <x:f>IF(ISNUMBER(F872),2^F872-1,0)</x:f>
        <x:v>3</x:v>
      </x:c>
      <x:c r="J872" s="2" t="str">
        <x:v>Extension pre-run 600</x:v>
      </x:c>
      <x:c r="K872" s="10" t="n">
        <x:v>2800</x:v>
      </x:c>
      <x:c r="L872" s="10" t="n">
        <x:v>2</x:v>
      </x:c>
      <x:c r="M872" s="10" t="n">
        <x:v>731</x:v>
      </x:c>
      <x:c r="N872" s="2" t="str">
        <x:v>D20</x:v>
      </x:c>
      <x:c r="O872" s="2" t="str">
        <x:v>hdb flat</x:v>
      </x:c>
      <x:c r="P872" s="2" t="str">
        <x:v>https://www.propertyguru.com.sg/listing/hdb-for-rent-22-sin-ming-road-20160391</x:v>
      </x:c>
      <x:c r="Q872" s="12" t="str">
        <x:v>Pre-registered source-rubric-v1; grade applied before outputs.</x:v>
      </x:c>
      <x:c r="R872" s="13"/>
    </x:row>
    <x:row r="873" ht="15" hidden="0" customHeight="1">
      <x:c r="A873" s="2" t="str">
        <x:v>S29|500273341</x:v>
      </x:c>
      <x:c r="B873" s="2" t="str">
        <x:v>S29</x:v>
      </x:c>
      <x:c r="C873" s="2" t="str">
        <x:v>500273341</x:v>
      </x:c>
      <x:c r="D873" s="2" t="n">
        <x:v>2</x:v>
      </x:c>
      <x:c r="E873" s="9"/>
      <x:c r="F873" s="2" t="n">
        <x:f>IF(E873="",D873,IF(E873="U","U",IF(AND(ISNUMBER(E873),E873&gt;=0,E873&lt;=3,INT(E873)=E873),E873,"Invalid")))</x:f>
        <x:v>2</x:v>
      </x:c>
      <x:c r="G873" s="2" t="n">
        <x:f>IF(ISNUMBER(F873),1,0)</x:f>
        <x:v>1</x:v>
      </x:c>
      <x:c r="H873" s="2" t="n">
        <x:f>IF(ISNUMBER(F873),IF(F873&gt;=2,1,0),0)</x:f>
        <x:v>1</x:v>
      </x:c>
      <x:c r="I873" s="11" t="n">
        <x:f>IF(ISNUMBER(F873),2^F873-1,0)</x:f>
        <x:v>3</x:v>
      </x:c>
      <x:c r="J873" s="2" t="str">
        <x:v>Extension pre-run 600</x:v>
      </x:c>
      <x:c r="K873" s="10" t="n">
        <x:v>2700</x:v>
      </x:c>
      <x:c r="L873" s="10" t="n">
        <x:v>2</x:v>
      </x:c>
      <x:c r="M873" s="10" t="n">
        <x:v>742</x:v>
      </x:c>
      <x:c r="N873" s="2" t="str">
        <x:v>D20</x:v>
      </x:c>
      <x:c r="O873" s="2" t="str">
        <x:v>hdb flat</x:v>
      </x:c>
      <x:c r="P873" s="2" t="str">
        <x:v>https://www.propertyguru.com.sg/listing/hdb-for-rent-125-ang-mo-kio-avenue-6-500273341</x:v>
      </x:c>
      <x:c r="Q873" s="12" t="str">
        <x:v>Pre-registered source-rubric-v1; grade applied before outputs.</x:v>
      </x:c>
      <x:c r="R873" s="13"/>
    </x:row>
    <x:row r="874" ht="15" hidden="0" customHeight="1">
      <x:c r="A874" s="2" t="str">
        <x:v>S29|500282928</x:v>
      </x:c>
      <x:c r="B874" s="2" t="str">
        <x:v>S29</x:v>
      </x:c>
      <x:c r="C874" s="2" t="str">
        <x:v>500282928</x:v>
      </x:c>
      <x:c r="D874" s="2" t="n">
        <x:v>2</x:v>
      </x:c>
      <x:c r="E874" s="9"/>
      <x:c r="F874" s="2" t="n">
        <x:f>IF(E874="",D874,IF(E874="U","U",IF(AND(ISNUMBER(E874),E874&gt;=0,E874&lt;=3,INT(E874)=E874),E874,"Invalid")))</x:f>
        <x:v>2</x:v>
      </x:c>
      <x:c r="G874" s="2" t="n">
        <x:f>IF(ISNUMBER(F874),1,0)</x:f>
        <x:v>1</x:v>
      </x:c>
      <x:c r="H874" s="2" t="n">
        <x:f>IF(ISNUMBER(F874),IF(F874&gt;=2,1,0),0)</x:f>
        <x:v>1</x:v>
      </x:c>
      <x:c r="I874" s="11" t="n">
        <x:f>IF(ISNUMBER(F874),2^F874-1,0)</x:f>
        <x:v>3</x:v>
      </x:c>
      <x:c r="J874" s="2" t="str">
        <x:v>Extension pre-run 600</x:v>
      </x:c>
      <x:c r="K874" s="10" t="n">
        <x:v>2688</x:v>
      </x:c>
      <x:c r="L874" s="10" t="n">
        <x:v>2</x:v>
      </x:c>
      <x:c r="M874" s="10" t="n">
        <x:v>732</x:v>
      </x:c>
      <x:c r="N874" s="2" t="str">
        <x:v>D20</x:v>
      </x:c>
      <x:c r="O874" s="2" t="str">
        <x:v>hdb flat</x:v>
      </x:c>
      <x:c r="P874" s="2" t="str">
        <x:v>https://www.propertyguru.com.sg/listing/hdb-for-rent-523-ang-mo-kio-avenue-5-500282928</x:v>
      </x:c>
      <x:c r="Q874" s="12" t="str">
        <x:v>Pre-registered source-rubric-v1; grade applied before outputs.</x:v>
      </x:c>
      <x:c r="R874" s="13"/>
    </x:row>
    <x:row r="875" ht="15" hidden="0" customHeight="1">
      <x:c r="A875" s="2" t="str">
        <x:v>S29|24123060</x:v>
      </x:c>
      <x:c r="B875" s="2" t="str">
        <x:v>S29</x:v>
      </x:c>
      <x:c r="C875" s="2" t="str">
        <x:v>24123060</x:v>
      </x:c>
      <x:c r="D875" s="2" t="n">
        <x:v>2</x:v>
      </x:c>
      <x:c r="E875" s="9"/>
      <x:c r="F875" s="2" t="n">
        <x:f>IF(E875="",D875,IF(E875="U","U",IF(AND(ISNUMBER(E875),E875&gt;=0,E875&lt;=3,INT(E875)=E875),E875,"Invalid")))</x:f>
        <x:v>2</x:v>
      </x:c>
      <x:c r="G875" s="2" t="n">
        <x:f>IF(ISNUMBER(F875),1,0)</x:f>
        <x:v>1</x:v>
      </x:c>
      <x:c r="H875" s="2" t="n">
        <x:f>IF(ISNUMBER(F875),IF(F875&gt;=2,1,0),0)</x:f>
        <x:v>1</x:v>
      </x:c>
      <x:c r="I875" s="11" t="n">
        <x:f>IF(ISNUMBER(F875),2^F875-1,0)</x:f>
        <x:v>3</x:v>
      </x:c>
      <x:c r="J875" s="2" t="str">
        <x:v>Extension pre-run 600</x:v>
      </x:c>
      <x:c r="K875" s="10" t="n">
        <x:v>2800</x:v>
      </x:c>
      <x:c r="L875" s="10" t="n">
        <x:v>2</x:v>
      </x:c>
      <x:c r="M875" s="10" t="n">
        <x:v>721</x:v>
      </x:c>
      <x:c r="N875" s="2" t="str">
        <x:v>D19</x:v>
      </x:c>
      <x:c r="O875" s="2" t="str">
        <x:v>hdb flat</x:v>
      </x:c>
      <x:c r="P875" s="2" t="str">
        <x:v>https://www.propertyguru.com.sg/listing/hdb-for-rent-120b-punggol-edge-24123060</x:v>
      </x:c>
      <x:c r="Q875" s="12" t="str">
        <x:v>Pre-registered source-rubric-v1; grade applied before outputs.</x:v>
      </x:c>
      <x:c r="R875" s="13"/>
    </x:row>
    <x:row r="876" ht="15" hidden="0" customHeight="1">
      <x:c r="A876" s="2" t="str">
        <x:v>S29|500276899</x:v>
      </x:c>
      <x:c r="B876" s="2" t="str">
        <x:v>S29</x:v>
      </x:c>
      <x:c r="C876" s="2" t="str">
        <x:v>500276899</x:v>
      </x:c>
      <x:c r="D876" s="2" t="n">
        <x:v>1</x:v>
      </x:c>
      <x:c r="E876" s="9"/>
      <x:c r="F876" s="2" t="n">
        <x:f>IF(E876="",D876,IF(E876="U","U",IF(AND(ISNUMBER(E876),E876&gt;=0,E876&lt;=3,INT(E876)=E876),E876,"Invalid")))</x:f>
        <x:v>1</x:v>
      </x:c>
      <x:c r="G876" s="2" t="n">
        <x:f>IF(ISNUMBER(F876),1,0)</x:f>
        <x:v>1</x:v>
      </x:c>
      <x:c r="H876" s="2" t="n">
        <x:f>IF(ISNUMBER(F876),IF(F876&gt;=2,1,0),0)</x:f>
        <x:v>0</x:v>
      </x:c>
      <x:c r="I876" s="11" t="n">
        <x:f>IF(ISNUMBER(F876),2^F876-1,0)</x:f>
        <x:v>1</x:v>
      </x:c>
      <x:c r="J876" s="2" t="str">
        <x:v>Extension pre-run 600</x:v>
      </x:c>
      <x:c r="K876" s="10" t="n">
        <x:v>3300</x:v>
      </x:c>
      <x:c r="L876" s="10" t="n">
        <x:v>2</x:v>
      </x:c>
      <x:c r="M876" s="10" t="n">
        <x:v>883</x:v>
      </x:c>
      <x:c r="N876" s="2" t="str">
        <x:v>D20</x:v>
      </x:c>
      <x:c r="O876" s="2" t="str">
        <x:v>hdb flat</x:v>
      </x:c>
      <x:c r="P876" s="2" t="str">
        <x:v>https://www.propertyguru.com.sg/listing/hdb-for-rent-225-ang-mo-kio-avenue-1-500276899</x:v>
      </x:c>
      <x:c r="Q876" s="12" t="str">
        <x:v>Pre-registered source-rubric-v1; grade applied before outputs.</x:v>
      </x:c>
      <x:c r="R876" s="13"/>
    </x:row>
    <x:row r="877" ht="15" hidden="0" customHeight="1">
      <x:c r="A877" s="2" t="str">
        <x:v>S29|60208813</x:v>
      </x:c>
      <x:c r="B877" s="2" t="str">
        <x:v>S29</x:v>
      </x:c>
      <x:c r="C877" s="2" t="str">
        <x:v>60208813</x:v>
      </x:c>
      <x:c r="D877" s="2" t="n">
        <x:v>1</x:v>
      </x:c>
      <x:c r="E877" s="9"/>
      <x:c r="F877" s="2" t="n">
        <x:f>IF(E877="",D877,IF(E877="U","U",IF(AND(ISNUMBER(E877),E877&gt;=0,E877&lt;=3,INT(E877)=E877),E877,"Invalid")))</x:f>
        <x:v>1</x:v>
      </x:c>
      <x:c r="G877" s="2" t="n">
        <x:f>IF(ISNUMBER(F877),1,0)</x:f>
        <x:v>1</x:v>
      </x:c>
      <x:c r="H877" s="2" t="n">
        <x:f>IF(ISNUMBER(F877),IF(F877&gt;=2,1,0),0)</x:f>
        <x:v>0</x:v>
      </x:c>
      <x:c r="I877" s="11" t="n">
        <x:f>IF(ISNUMBER(F877),2^F877-1,0)</x:f>
        <x:v>1</x:v>
      </x:c>
      <x:c r="J877" s="2" t="str">
        <x:v>Extension pre-run 600</x:v>
      </x:c>
      <x:c r="K877" s="10" t="n">
        <x:v>3500</x:v>
      </x:c>
      <x:c r="L877" s="10" t="n">
        <x:v>3</x:v>
      </x:c>
      <x:c r="M877" s="10" t="n">
        <x:v>1184</x:v>
      </x:c>
      <x:c r="N877" s="2" t="str">
        <x:v>D19</x:v>
      </x:c>
      <x:c r="O877" s="2" t="str">
        <x:v>hdb flat</x:v>
      </x:c>
      <x:c r="P877" s="2" t="str">
        <x:v>https://www.propertyguru.com.sg/listing/hdb-for-rent-145-rivervale-drive-60208813</x:v>
      </x:c>
      <x:c r="Q877" s="12" t="str">
        <x:v>Pre-registered source-rubric-v1; grade applied before outputs.</x:v>
      </x:c>
      <x:c r="R877" s="13"/>
    </x:row>
    <x:row r="878" ht="15" hidden="0" customHeight="1">
      <x:c r="A878" s="2" t="str">
        <x:v>S29|24955873</x:v>
      </x:c>
      <x:c r="B878" s="2" t="str">
        <x:v>S29</x:v>
      </x:c>
      <x:c r="C878" s="2" t="str">
        <x:v>24955873</x:v>
      </x:c>
      <x:c r="D878" s="2" t="n">
        <x:v>1</x:v>
      </x:c>
      <x:c r="E878" s="9"/>
      <x:c r="F878" s="2" t="n">
        <x:f>IF(E878="",D878,IF(E878="U","U",IF(AND(ISNUMBER(E878),E878&gt;=0,E878&lt;=3,INT(E878)=E878),E878,"Invalid")))</x:f>
        <x:v>1</x:v>
      </x:c>
      <x:c r="G878" s="2" t="n">
        <x:f>IF(ISNUMBER(F878),1,0)</x:f>
        <x:v>1</x:v>
      </x:c>
      <x:c r="H878" s="2" t="n">
        <x:f>IF(ISNUMBER(F878),IF(F878&gt;=2,1,0),0)</x:f>
        <x:v>0</x:v>
      </x:c>
      <x:c r="I878" s="11" t="n">
        <x:f>IF(ISNUMBER(F878),2^F878-1,0)</x:f>
        <x:v>1</x:v>
      </x:c>
      <x:c r="J878" s="2" t="str">
        <x:v>Extension pre-run 600</x:v>
      </x:c>
      <x:c r="K878" s="10" t="n">
        <x:v>3900</x:v>
      </x:c>
      <x:c r="L878" s="10" t="n">
        <x:v>3</x:v>
      </x:c>
      <x:c r="M878" s="10" t="n">
        <x:v>1300</x:v>
      </x:c>
      <x:c r="N878" s="2" t="str">
        <x:v>D18</x:v>
      </x:c>
      <x:c r="O878" s="2" t="str">
        <x:v>hdb flat</x:v>
      </x:c>
      <x:c r="P878" s="2" t="str">
        <x:v>https://www.propertyguru.com.sg/listing/hdb-for-rent-230-tampines-street-24-24955873</x:v>
      </x:c>
      <x:c r="Q878" s="12" t="str">
        <x:v>Pre-registered source-rubric-v1; grade applied before outputs.</x:v>
      </x:c>
      <x:c r="R878" s="13"/>
    </x:row>
    <x:row r="879" ht="15" hidden="0" customHeight="1">
      <x:c r="A879" s="2" t="str">
        <x:v>S29|500194095</x:v>
      </x:c>
      <x:c r="B879" s="2" t="str">
        <x:v>S29</x:v>
      </x:c>
      <x:c r="C879" s="2" t="str">
        <x:v>500194095</x:v>
      </x:c>
      <x:c r="D879" s="2" t="n">
        <x:v>1</x:v>
      </x:c>
      <x:c r="E879" s="9"/>
      <x:c r="F879" s="2" t="n">
        <x:f>IF(E879="",D879,IF(E879="U","U",IF(AND(ISNUMBER(E879),E879&gt;=0,E879&lt;=3,INT(E879)=E879),E879,"Invalid")))</x:f>
        <x:v>1</x:v>
      </x:c>
      <x:c r="G879" s="2" t="n">
        <x:f>IF(ISNUMBER(F879),1,0)</x:f>
        <x:v>1</x:v>
      </x:c>
      <x:c r="H879" s="2" t="n">
        <x:f>IF(ISNUMBER(F879),IF(F879&gt;=2,1,0),0)</x:f>
        <x:v>0</x:v>
      </x:c>
      <x:c r="I879" s="11" t="n">
        <x:f>IF(ISNUMBER(F879),2^F879-1,0)</x:f>
        <x:v>1</x:v>
      </x:c>
      <x:c r="J879" s="2" t="str">
        <x:v>Extension pre-run 600</x:v>
      </x:c>
      <x:c r="K879" s="10" t="n">
        <x:v>3999</x:v>
      </x:c>
      <x:c r="L879" s="10" t="n">
        <x:v>4</x:v>
      </x:c>
      <x:c r="M879" s="10" t="n">
        <x:v>1346</x:v>
      </x:c>
      <x:c r="N879" s="2" t="str">
        <x:v>D18</x:v>
      </x:c>
      <x:c r="O879" s="2" t="str">
        <x:v>hdb flat</x:v>
      </x:c>
      <x:c r="P879" s="2" t="str">
        <x:v>https://www.propertyguru.com.sg/listing/hdb-for-rent-741-pasir-ris-street-71-500194095</x:v>
      </x:c>
      <x:c r="Q879" s="12" t="str">
        <x:v>Pre-registered source-rubric-v1; grade applied before outputs.</x:v>
      </x:c>
      <x:c r="R879" s="13"/>
    </x:row>
    <x:row r="880" ht="15" hidden="0" customHeight="1">
      <x:c r="A880" s="2" t="str">
        <x:v>S29|500286986</x:v>
      </x:c>
      <x:c r="B880" s="2" t="str">
        <x:v>S29</x:v>
      </x:c>
      <x:c r="C880" s="2" t="str">
        <x:v>500286986</x:v>
      </x:c>
      <x:c r="D880" s="2" t="n">
        <x:v>1</x:v>
      </x:c>
      <x:c r="E880" s="9"/>
      <x:c r="F880" s="2" t="n">
        <x:f>IF(E880="",D880,IF(E880="U","U",IF(AND(ISNUMBER(E880),E880&gt;=0,E880&lt;=3,INT(E880)=E880),E880,"Invalid")))</x:f>
        <x:v>1</x:v>
      </x:c>
      <x:c r="G880" s="2" t="n">
        <x:f>IF(ISNUMBER(F880),1,0)</x:f>
        <x:v>1</x:v>
      </x:c>
      <x:c r="H880" s="2" t="n">
        <x:f>IF(ISNUMBER(F880),IF(F880&gt;=2,1,0),0)</x:f>
        <x:v>0</x:v>
      </x:c>
      <x:c r="I880" s="11" t="n">
        <x:f>IF(ISNUMBER(F880),2^F880-1,0)</x:f>
        <x:v>1</x:v>
      </x:c>
      <x:c r="J880" s="2" t="str">
        <x:v>Extension pre-run 600</x:v>
      </x:c>
      <x:c r="K880" s="10" t="n">
        <x:v>3850</x:v>
      </x:c>
      <x:c r="L880" s="10" t="n">
        <x:v>3</x:v>
      </x:c>
      <x:c r="M880" s="10" t="n">
        <x:v>1130</x:v>
      </x:c>
      <x:c r="N880" s="2" t="str">
        <x:v>D18</x:v>
      </x:c>
      <x:c r="O880" s="2" t="str">
        <x:v>hdb flat</x:v>
      </x:c>
      <x:c r="P880" s="2" t="str">
        <x:v>https://www.propertyguru.com.sg/listing/hdb-for-rent-237-tampines-street-21-500286986</x:v>
      </x:c>
      <x:c r="Q880" s="12" t="str">
        <x:v>Pre-registered source-rubric-v1; grade applied before outputs.</x:v>
      </x:c>
      <x:c r="R880" s="13"/>
    </x:row>
    <x:row r="881" ht="15" hidden="0" customHeight="1">
      <x:c r="A881" s="2" t="str">
        <x:v>S29|500250939</x:v>
      </x:c>
      <x:c r="B881" s="2" t="str">
        <x:v>S29</x:v>
      </x:c>
      <x:c r="C881" s="2" t="str">
        <x:v>500250939</x:v>
      </x:c>
      <x:c r="D881" s="2" t="n">
        <x:v>1</x:v>
      </x:c>
      <x:c r="E881" s="9"/>
      <x:c r="F881" s="2" t="n">
        <x:f>IF(E881="",D881,IF(E881="U","U",IF(AND(ISNUMBER(E881),E881&gt;=0,E881&lt;=3,INT(E881)=E881),E881,"Invalid")))</x:f>
        <x:v>1</x:v>
      </x:c>
      <x:c r="G881" s="2" t="n">
        <x:f>IF(ISNUMBER(F881),1,0)</x:f>
        <x:v>1</x:v>
      </x:c>
      <x:c r="H881" s="2" t="n">
        <x:f>IF(ISNUMBER(F881),IF(F881&gt;=2,1,0),0)</x:f>
        <x:v>0</x:v>
      </x:c>
      <x:c r="I881" s="11" t="n">
        <x:f>IF(ISNUMBER(F881),2^F881-1,0)</x:f>
        <x:v>1</x:v>
      </x:c>
      <x:c r="J881" s="2" t="str">
        <x:v>Extension pre-run 600</x:v>
      </x:c>
      <x:c r="K881" s="10" t="n">
        <x:v>3400</x:v>
      </x:c>
      <x:c r="L881" s="10" t="n">
        <x:v>3</x:v>
      </x:c>
      <x:c r="M881" s="10" t="n">
        <x:v>915</x:v>
      </x:c>
      <x:c r="N881" s="2" t="str">
        <x:v>D23</x:v>
      </x:c>
      <x:c r="O881" s="2" t="str">
        <x:v>hdb flat</x:v>
      </x:c>
      <x:c r="P881" s="2" t="str">
        <x:v>https://www.propertyguru.com.sg/listing/hdb-for-rent-413-bukit-batok-west-avenue-4-500250939</x:v>
      </x:c>
      <x:c r="Q881" s="12" t="str">
        <x:v>Pre-registered source-rubric-v1; grade applied before outputs.</x:v>
      </x:c>
      <x:c r="R881" s="13"/>
    </x:row>
    <x:row r="882" ht="15" hidden="0" customHeight="1">
      <x:c r="A882" s="2" t="str">
        <x:v>S29|500108268</x:v>
      </x:c>
      <x:c r="B882" s="2" t="str">
        <x:v>S29</x:v>
      </x:c>
      <x:c r="C882" s="2" t="str">
        <x:v>500108268</x:v>
      </x:c>
      <x:c r="D882" s="2" t="n">
        <x:v>0</x:v>
      </x:c>
      <x:c r="E882" s="9"/>
      <x:c r="F882" s="2" t="n">
        <x:f>IF(E882="",D882,IF(E882="U","U",IF(AND(ISNUMBER(E882),E882&gt;=0,E882&lt;=3,INT(E882)=E882),E882,"Invalid")))</x:f>
        <x:v>0</x:v>
      </x:c>
      <x:c r="G882" s="2" t="n">
        <x:f>IF(ISNUMBER(F882),1,0)</x:f>
        <x:v>1</x:v>
      </x:c>
      <x:c r="H882" s="2" t="n">
        <x:f>IF(ISNUMBER(F882),IF(F882&gt;=2,1,0),0)</x:f>
        <x:v>0</x:v>
      </x:c>
      <x:c r="I882" s="11" t="n">
        <x:f>IF(ISNUMBER(F882),2^F882-1,0)</x:f>
        <x:v>0</x:v>
      </x:c>
      <x:c r="J882" s="2" t="str">
        <x:v>Extension pre-run 600</x:v>
      </x:c>
      <x:c r="K882" s="10" t="n">
        <x:v>3200</x:v>
      </x:c>
      <x:c r="L882" s="10"/>
      <x:c r="M882" s="10" t="n">
        <x:v>125</x:v>
      </x:c>
      <x:c r="N882" s="2" t="str">
        <x:v>D10</x:v>
      </x:c>
      <x:c r="O882" s="2" t="str">
        <x:v>apartment</x:v>
      </x:c>
      <x:c r="P882" s="2" t="str">
        <x:v>https://www.propertyguru.com.sg/listing/for-rent-river-valley-288-500108268</x:v>
      </x:c>
      <x:c r="Q882" s="12" t="str">
        <x:v>Pre-registered source-rubric-v1; grade applied before outputs.</x:v>
      </x:c>
      <x:c r="R882" s="13"/>
    </x:row>
    <x:row r="883" ht="15" hidden="0" customHeight="1">
      <x:c r="A883" s="2" t="str">
        <x:v>S29|60151196</x:v>
      </x:c>
      <x:c r="B883" s="2" t="str">
        <x:v>S29</x:v>
      </x:c>
      <x:c r="C883" s="2" t="str">
        <x:v>60151196</x:v>
      </x:c>
      <x:c r="D883" s="2" t="n">
        <x:v>0</x:v>
      </x:c>
      <x:c r="E883" s="9"/>
      <x:c r="F883" s="2" t="n">
        <x:f>IF(E883="",D883,IF(E883="U","U",IF(AND(ISNUMBER(E883),E883&gt;=0,E883&lt;=3,INT(E883)=E883),E883,"Invalid")))</x:f>
        <x:v>0</x:v>
      </x:c>
      <x:c r="G883" s="2" t="n">
        <x:f>IF(ISNUMBER(F883),1,0)</x:f>
        <x:v>1</x:v>
      </x:c>
      <x:c r="H883" s="2" t="n">
        <x:f>IF(ISNUMBER(F883),IF(F883&gt;=2,1,0),0)</x:f>
        <x:v>0</x:v>
      </x:c>
      <x:c r="I883" s="11" t="n">
        <x:f>IF(ISNUMBER(F883),2^F883-1,0)</x:f>
        <x:v>0</x:v>
      </x:c>
      <x:c r="J883" s="2" t="str">
        <x:v>Extension pre-run 600</x:v>
      </x:c>
      <x:c r="K883" s="10" t="n">
        <x:v>1500</x:v>
      </x:c>
      <x:c r="L883" s="10" t="n">
        <x:v>0</x:v>
      </x:c>
      <x:c r="M883" s="10"/>
      <x:c r="N883" s="2" t="str">
        <x:v>D21</x:v>
      </x:c>
      <x:c r="O883" s="2" t="str">
        <x:v>condominium</x:v>
      </x:c>
      <x:c r="P883" s="2" t="str">
        <x:v>https://www.propertyguru.com.sg/listing/for-rent-maple-woods-60151196</x:v>
      </x:c>
      <x:c r="Q883" s="12" t="str">
        <x:v>Pre-registered source-rubric-v1; grade applied before outputs.</x:v>
      </x:c>
      <x:c r="R883" s="13"/>
    </x:row>
    <x:row r="884" ht="15" hidden="0" customHeight="1">
      <x:c r="A884" s="2" t="str">
        <x:v>S29|24689233</x:v>
      </x:c>
      <x:c r="B884" s="2" t="str">
        <x:v>S29</x:v>
      </x:c>
      <x:c r="C884" s="2" t="str">
        <x:v>24689233</x:v>
      </x:c>
      <x:c r="D884" s="2" t="n">
        <x:v>0</x:v>
      </x:c>
      <x:c r="E884" s="9"/>
      <x:c r="F884" s="2" t="n">
        <x:f>IF(E884="",D884,IF(E884="U","U",IF(AND(ISNUMBER(E884),E884&gt;=0,E884&lt;=3,INT(E884)=E884),E884,"Invalid")))</x:f>
        <x:v>0</x:v>
      </x:c>
      <x:c r="G884" s="2" t="n">
        <x:f>IF(ISNUMBER(F884),1,0)</x:f>
        <x:v>1</x:v>
      </x:c>
      <x:c r="H884" s="2" t="n">
        <x:f>IF(ISNUMBER(F884),IF(F884&gt;=2,1,0),0)</x:f>
        <x:v>0</x:v>
      </x:c>
      <x:c r="I884" s="11" t="n">
        <x:f>IF(ISNUMBER(F884),2^F884-1,0)</x:f>
        <x:v>0</x:v>
      </x:c>
      <x:c r="J884" s="2" t="str">
        <x:v>Extension pre-run 600</x:v>
      </x:c>
      <x:c r="K884" s="10" t="n">
        <x:v>15800</x:v>
      </x:c>
      <x:c r="L884" s="10" t="n">
        <x:v>4</x:v>
      </x:c>
      <x:c r="M884" s="10" t="n">
        <x:v>3500</x:v>
      </x:c>
      <x:c r="N884" s="2" t="str">
        <x:v>D10</x:v>
      </x:c>
      <x:c r="O884" s="2" t="str">
        <x:v>condominium</x:v>
      </x:c>
      <x:c r="P884" s="2" t="str">
        <x:v>https://www.propertyguru.com.sg/listing/for-rent-gardenville-24689233</x:v>
      </x:c>
      <x:c r="Q884" s="12" t="str">
        <x:v>Pre-registered source-rubric-v1; grade applied before outputs.</x:v>
      </x:c>
      <x:c r="R884" s="13"/>
    </x:row>
    <x:row r="885" ht="15" hidden="0" customHeight="1">
      <x:c r="A885" s="2" t="str">
        <x:v>S29|21219457</x:v>
      </x:c>
      <x:c r="B885" s="2" t="str">
        <x:v>S29</x:v>
      </x:c>
      <x:c r="C885" s="2" t="str">
        <x:v>21219457</x:v>
      </x:c>
      <x:c r="D885" s="2" t="n">
        <x:v>0</x:v>
      </x:c>
      <x:c r="E885" s="9"/>
      <x:c r="F885" s="2" t="n">
        <x:f>IF(E885="",D885,IF(E885="U","U",IF(AND(ISNUMBER(E885),E885&gt;=0,E885&lt;=3,INT(E885)=E885),E885,"Invalid")))</x:f>
        <x:v>0</x:v>
      </x:c>
      <x:c r="G885" s="2" t="n">
        <x:f>IF(ISNUMBER(F885),1,0)</x:f>
        <x:v>1</x:v>
      </x:c>
      <x:c r="H885" s="2" t="n">
        <x:f>IF(ISNUMBER(F885),IF(F885&gt;=2,1,0),0)</x:f>
        <x:v>0</x:v>
      </x:c>
      <x:c r="I885" s="11" t="n">
        <x:f>IF(ISNUMBER(F885),2^F885-1,0)</x:f>
        <x:v>0</x:v>
      </x:c>
      <x:c r="J885" s="2" t="str">
        <x:v>Extension pre-run 600</x:v>
      </x:c>
      <x:c r="K885" s="10" t="n">
        <x:v>5000</x:v>
      </x:c>
      <x:c r="L885" s="10" t="n">
        <x:v>2</x:v>
      </x:c>
      <x:c r="M885" s="10" t="n">
        <x:v>731</x:v>
      </x:c>
      <x:c r="N885" s="2" t="str">
        <x:v>D03</x:v>
      </x:c>
      <x:c r="O885" s="2" t="str">
        <x:v>condominium</x:v>
      </x:c>
      <x:c r="P885" s="2" t="str">
        <x:v>https://www.propertyguru.com.sg/listing/for-rent-the-metropolitan-condominium-21219457</x:v>
      </x:c>
      <x:c r="Q885" s="12" t="str">
        <x:v>Pre-registered source-rubric-v1; grade applied before outputs.</x:v>
      </x:c>
      <x:c r="R885" s="13"/>
    </x:row>
    <x:row r="886" ht="15" hidden="0" customHeight="1">
      <x:c r="A886" s="2" t="str">
        <x:v>S29|500283134</x:v>
      </x:c>
      <x:c r="B886" s="2" t="str">
        <x:v>S29</x:v>
      </x:c>
      <x:c r="C886" s="2" t="str">
        <x:v>500283134</x:v>
      </x:c>
      <x:c r="D886" s="2" t="n">
        <x:v>0</x:v>
      </x:c>
      <x:c r="E886" s="9"/>
      <x:c r="F886" s="2" t="n">
        <x:f>IF(E886="",D886,IF(E886="U","U",IF(AND(ISNUMBER(E886),E886&gt;=0,E886&lt;=3,INT(E886)=E886),E886,"Invalid")))</x:f>
        <x:v>0</x:v>
      </x:c>
      <x:c r="G886" s="2" t="n">
        <x:f>IF(ISNUMBER(F886),1,0)</x:f>
        <x:v>1</x:v>
      </x:c>
      <x:c r="H886" s="2" t="n">
        <x:f>IF(ISNUMBER(F886),IF(F886&gt;=2,1,0),0)</x:f>
        <x:v>0</x:v>
      </x:c>
      <x:c r="I886" s="11" t="n">
        <x:f>IF(ISNUMBER(F886),2^F886-1,0)</x:f>
        <x:v>0</x:v>
      </x:c>
      <x:c r="J886" s="2" t="str">
        <x:v>Extension pre-run 600</x:v>
      </x:c>
      <x:c r="K886" s="10" t="n">
        <x:v>9500</x:v>
      </x:c>
      <x:c r="L886" s="10" t="n">
        <x:v>4</x:v>
      </x:c>
      <x:c r="M886" s="10" t="n">
        <x:v>4150</x:v>
      </x:c>
      <x:c r="N886" s="2" t="str">
        <x:v>D19</x:v>
      </x:c>
      <x:c r="O886" s="2" t="str">
        <x:v>terraced house</x:v>
      </x:c>
      <x:c r="P886" s="2" t="str">
        <x:v>https://www.propertyguru.com.sg/listing/for-rent-serangoon-gardens-3-5-storey-terrace-with-lift-500283134</x:v>
      </x:c>
      <x:c r="Q886" s="12" t="str">
        <x:v>Pre-registered source-rubric-v1; grade applied before outputs.</x:v>
      </x:c>
      <x:c r="R886" s="13"/>
    </x:row>
    <x:row r="887" ht="15" hidden="0" customHeight="1">
      <x:c r="A887" s="2" t="str">
        <x:v>S29|21890623</x:v>
      </x:c>
      <x:c r="B887" s="2" t="str">
        <x:v>S29</x:v>
      </x:c>
      <x:c r="C887" s="2" t="str">
        <x:v>21890623</x:v>
      </x:c>
      <x:c r="D887" s="2" t="n">
        <x:v>0</x:v>
      </x:c>
      <x:c r="E887" s="9"/>
      <x:c r="F887" s="2" t="n">
        <x:f>IF(E887="",D887,IF(E887="U","U",IF(AND(ISNUMBER(E887),E887&gt;=0,E887&lt;=3,INT(E887)=E887),E887,"Invalid")))</x:f>
        <x:v>0</x:v>
      </x:c>
      <x:c r="G887" s="2" t="n">
        <x:f>IF(ISNUMBER(F887),1,0)</x:f>
        <x:v>1</x:v>
      </x:c>
      <x:c r="H887" s="2" t="n">
        <x:f>IF(ISNUMBER(F887),IF(F887&gt;=2,1,0),0)</x:f>
        <x:v>0</x:v>
      </x:c>
      <x:c r="I887" s="11" t="n">
        <x:f>IF(ISNUMBER(F887),2^F887-1,0)</x:f>
        <x:v>0</x:v>
      </x:c>
      <x:c r="J887" s="2" t="str">
        <x:v>Extension pre-run 600</x:v>
      </x:c>
      <x:c r="K887" s="10" t="n">
        <x:v>3600</x:v>
      </x:c>
      <x:c r="L887" s="10" t="n">
        <x:v>2</x:v>
      </x:c>
      <x:c r="M887" s="10" t="n">
        <x:v>689</x:v>
      </x:c>
      <x:c r="N887" s="2" t="str">
        <x:v>D12</x:v>
      </x:c>
      <x:c r="O887" s="2" t="str">
        <x:v>condominium</x:v>
      </x:c>
      <x:c r="P887" s="2" t="str">
        <x:v>https://www.propertyguru.com.sg/listing/for-rent-regent-residences-21890623</x:v>
      </x:c>
      <x:c r="Q887" s="12" t="str">
        <x:v>Pre-registered source-rubric-v1; grade applied before outputs.</x:v>
      </x:c>
      <x:c r="R887" s="13"/>
    </x:row>
    <x:row r="888" ht="15" hidden="0" customHeight="1">
      <x:c r="A888" s="2" t="str">
        <x:v>S29|60094852</x:v>
      </x:c>
      <x:c r="B888" s="2" t="str">
        <x:v>S29</x:v>
      </x:c>
      <x:c r="C888" s="2" t="str">
        <x:v>60094852</x:v>
      </x:c>
      <x:c r="D888" s="2" t="n">
        <x:v>0</x:v>
      </x:c>
      <x:c r="E888" s="9"/>
      <x:c r="F888" s="2" t="n">
        <x:f>IF(E888="",D888,IF(E888="U","U",IF(AND(ISNUMBER(E888),E888&gt;=0,E888&lt;=3,INT(E888)=E888),E888,"Invalid")))</x:f>
        <x:v>0</x:v>
      </x:c>
      <x:c r="G888" s="2" t="n">
        <x:f>IF(ISNUMBER(F888),1,0)</x:f>
        <x:v>1</x:v>
      </x:c>
      <x:c r="H888" s="2" t="n">
        <x:f>IF(ISNUMBER(F888),IF(F888&gt;=2,1,0),0)</x:f>
        <x:v>0</x:v>
      </x:c>
      <x:c r="I888" s="11" t="n">
        <x:f>IF(ISNUMBER(F888),2^F888-1,0)</x:f>
        <x:v>0</x:v>
      </x:c>
      <x:c r="J888" s="2" t="str">
        <x:v>Extension pre-run 600</x:v>
      </x:c>
      <x:c r="K888" s="10" t="n">
        <x:v>2500</x:v>
      </x:c>
      <x:c r="L888" s="10" t="n">
        <x:v>1</x:v>
      </x:c>
      <x:c r="M888" s="10" t="n">
        <x:v>870</x:v>
      </x:c>
      <x:c r="N888" s="2" t="str">
        <x:v>D16</x:v>
      </x:c>
      <x:c r="O888" s="2" t="str">
        <x:v>condominium</x:v>
      </x:c>
      <x:c r="P888" s="2" t="str">
        <x:v>https://www.propertyguru.com.sg/listing/for-rent-east-village-60094852</x:v>
      </x:c>
      <x:c r="Q888" s="12" t="str">
        <x:v>Pre-registered source-rubric-v1; grade applied before outputs.</x:v>
      </x:c>
      <x:c r="R888" s="13"/>
    </x:row>
    <x:row r="889" ht="15" hidden="0" customHeight="1">
      <x:c r="A889" s="2" t="str">
        <x:v>S29|500268821</x:v>
      </x:c>
      <x:c r="B889" s="2" t="str">
        <x:v>S29</x:v>
      </x:c>
      <x:c r="C889" s="2" t="str">
        <x:v>500268821</x:v>
      </x:c>
      <x:c r="D889" s="2" t="n">
        <x:v>0</x:v>
      </x:c>
      <x:c r="E889" s="9"/>
      <x:c r="F889" s="2" t="n">
        <x:f>IF(E889="",D889,IF(E889="U","U",IF(AND(ISNUMBER(E889),E889&gt;=0,E889&lt;=3,INT(E889)=E889),E889,"Invalid")))</x:f>
        <x:v>0</x:v>
      </x:c>
      <x:c r="G889" s="2" t="n">
        <x:f>IF(ISNUMBER(F889),1,0)</x:f>
        <x:v>1</x:v>
      </x:c>
      <x:c r="H889" s="2" t="n">
        <x:f>IF(ISNUMBER(F889),IF(F889&gt;=2,1,0),0)</x:f>
        <x:v>0</x:v>
      </x:c>
      <x:c r="I889" s="11" t="n">
        <x:f>IF(ISNUMBER(F889),2^F889-1,0)</x:f>
        <x:v>0</x:v>
      </x:c>
      <x:c r="J889" s="2" t="str">
        <x:v>Extension pre-run 600</x:v>
      </x:c>
      <x:c r="K889" s="10" t="n">
        <x:v>900</x:v>
      </x:c>
      <x:c r="L889" s="10" t="n">
        <x:v>0</x:v>
      </x:c>
      <x:c r="M889" s="10"/>
      <x:c r="N889" s="2" t="str">
        <x:v>D17</x:v>
      </x:c>
      <x:c r="O889" s="2" t="str">
        <x:v>condominium</x:v>
      </x:c>
      <x:c r="P889" s="2" t="str">
        <x:v>https://www.propertyguru.com.sg/listing/for-rent-edelweiss-park-condo-500268821</x:v>
      </x:c>
      <x:c r="Q889" s="12" t="str">
        <x:v>Pre-registered source-rubric-v1; grade applied before outputs.</x:v>
      </x:c>
      <x:c r="R889" s="13"/>
    </x:row>
    <x:row r="890" ht="15" hidden="0" customHeight="1">
      <x:c r="A890" s="2" t="str">
        <x:v>S29|60010461</x:v>
      </x:c>
      <x:c r="B890" s="2" t="str">
        <x:v>S29</x:v>
      </x:c>
      <x:c r="C890" s="2" t="str">
        <x:v>60010461</x:v>
      </x:c>
      <x:c r="D890" s="2" t="str">
        <x:v>U</x:v>
      </x:c>
      <x:c r="E890" s="9"/>
      <x:c r="F890" s="2" t="str">
        <x:f>IF(E890="",D890,IF(E890="U","U",IF(AND(ISNUMBER(E890),E890&gt;=0,E890&lt;=3,INT(E890)=E890),E890,"Invalid")))</x:f>
        <x:v>U</x:v>
      </x:c>
      <x:c r="G890" s="2" t="n">
        <x:f>IF(ISNUMBER(F890),1,0)</x:f>
        <x:v>0</x:v>
      </x:c>
      <x:c r="H890" s="2" t="n">
        <x:f>IF(ISNUMBER(F890),IF(F890&gt;=2,1,0),0)</x:f>
        <x:v>0</x:v>
      </x:c>
      <x:c r="I890" s="11" t="n">
        <x:f>IF(ISNUMBER(F890),2^F890-1,0)</x:f>
        <x:v>0</x:v>
      </x:c>
      <x:c r="J890" s="2" t="str">
        <x:v>Extension pre-run 600</x:v>
      </x:c>
      <x:c r="K890" s="10" t="n">
        <x:v>2200</x:v>
      </x:c>
      <x:c r="L890" s="10"/>
      <x:c r="M890" s="10" t="n">
        <x:v>250</x:v>
      </x:c>
      <x:c r="N890" s="2" t="str">
        <x:v>D19</x:v>
      </x:c>
      <x:c r="O890" s="2" t="str">
        <x:v>apartment</x:v>
      </x:c>
      <x:c r="P890" s="2" t="str">
        <x:v>https://www.propertyguru.com.sg/listing/for-rent-62-boundary-road-60010461</x:v>
      </x:c>
      <x:c r="Q890" s="12" t="str">
        <x:v>Pre-registered source-rubric-v1; grade applied before outputs.</x:v>
      </x:c>
      <x:c r="R890" s="13"/>
    </x:row>
    <x:row r="891" ht="15" hidden="0" customHeight="1">
      <x:c r="A891" s="2" t="str">
        <x:v>S29|500261429</x:v>
      </x:c>
      <x:c r="B891" s="2" t="str">
        <x:v>S29</x:v>
      </x:c>
      <x:c r="C891" s="2" t="str">
        <x:v>500261429</x:v>
      </x:c>
      <x:c r="D891" s="2" t="str">
        <x:v>U</x:v>
      </x:c>
      <x:c r="E891" s="9"/>
      <x:c r="F891" s="2" t="str">
        <x:f>IF(E891="",D891,IF(E891="U","U",IF(AND(ISNUMBER(E891),E891&gt;=0,E891&lt;=3,INT(E891)=E891),E891,"Invalid")))</x:f>
        <x:v>U</x:v>
      </x:c>
      <x:c r="G891" s="2" t="n">
        <x:f>IF(ISNUMBER(F891),1,0)</x:f>
        <x:v>0</x:v>
      </x:c>
      <x:c r="H891" s="2" t="n">
        <x:f>IF(ISNUMBER(F891),IF(F891&gt;=2,1,0),0)</x:f>
        <x:v>0</x:v>
      </x:c>
      <x:c r="I891" s="11" t="n">
        <x:f>IF(ISNUMBER(F891),2^F891-1,0)</x:f>
        <x:v>0</x:v>
      </x:c>
      <x:c r="J891" s="2" t="str">
        <x:v>Extension pre-run 600</x:v>
      </x:c>
      <x:c r="K891" s="10" t="n">
        <x:v>2200</x:v>
      </x:c>
      <x:c r="L891" s="10"/>
      <x:c r="M891" s="10" t="n">
        <x:v>220</x:v>
      </x:c>
      <x:c r="N891" s="2" t="str">
        <x:v>D23</x:v>
      </x:c>
      <x:c r="O891" s="2" t="str">
        <x:v>hdb flat</x:v>
      </x:c>
      <x:c r="P891" s="2" t="str">
        <x:v>https://www.propertyguru.com.sg/listing/hdb-for-rent-204-choa-chu-kang-avenue-1-500261429</x:v>
      </x:c>
      <x:c r="Q891" s="12" t="str">
        <x:v>Pre-registered source-rubric-v1; grade applied before outputs.</x:v>
      </x:c>
      <x:c r="R891" s="13"/>
    </x:row>
    <x:row r="892" ht="15" hidden="0" customHeight="1">
      <x:c r="A892" s="2" t="str">
        <x:v>S29|13847127</x:v>
      </x:c>
      <x:c r="B892" s="2" t="str">
        <x:v>S29</x:v>
      </x:c>
      <x:c r="C892" s="2" t="str">
        <x:v>13847127</x:v>
      </x:c>
      <x:c r="D892" s="2" t="n">
        <x:v>0</x:v>
      </x:c>
      <x:c r="E892" s="9"/>
      <x:c r="F892" s="2" t="n">
        <x:f>IF(E892="",D892,IF(E892="U","U",IF(AND(ISNUMBER(E892),E892&gt;=0,E892&lt;=3,INT(E892)=E892),E892,"Invalid")))</x:f>
        <x:v>0</x:v>
      </x:c>
      <x:c r="G892" s="2" t="n">
        <x:f>IF(ISNUMBER(F892),1,0)</x:f>
        <x:v>1</x:v>
      </x:c>
      <x:c r="H892" s="2" t="n">
        <x:f>IF(ISNUMBER(F892),IF(F892&gt;=2,1,0),0)</x:f>
        <x:v>0</x:v>
      </x:c>
      <x:c r="I892" s="11" t="n">
        <x:f>IF(ISNUMBER(F892),2^F892-1,0)</x:f>
        <x:v>0</x:v>
      </x:c>
      <x:c r="J892" s="2" t="str">
        <x:v>Extension pre-run 600</x:v>
      </x:c>
      <x:c r="K892" s="10" t="n">
        <x:v>1050</x:v>
      </x:c>
      <x:c r="L892" s="10" t="n">
        <x:v>0</x:v>
      </x:c>
      <x:c r="M892" s="10"/>
      <x:c r="N892" s="2" t="str">
        <x:v>D11</x:v>
      </x:c>
      <x:c r="O892" s="2" t="str">
        <x:v>semi-detached house</x:v>
      </x:c>
      <x:c r="P892" s="2" t="str">
        <x:v>https://www.propertyguru.com.sg/listing/for-rent-hillcrest-road-13847127</x:v>
      </x:c>
      <x:c r="Q892" s="12" t="str">
        <x:v>Pre-registered source-rubric-v1; grade applied before outputs.</x:v>
      </x:c>
      <x:c r="R892" s="13"/>
    </x:row>
    <x:row r="893" ht="15" hidden="0" customHeight="1">
      <x:c r="A893" s="2" t="str">
        <x:v>S29|500232638</x:v>
      </x:c>
      <x:c r="B893" s="2" t="str">
        <x:v>S29</x:v>
      </x:c>
      <x:c r="C893" s="2" t="str">
        <x:v>500232638</x:v>
      </x:c>
      <x:c r="D893" s="2" t="n">
        <x:v>0</x:v>
      </x:c>
      <x:c r="E893" s="9"/>
      <x:c r="F893" s="2" t="n">
        <x:f>IF(E893="",D893,IF(E893="U","U",IF(AND(ISNUMBER(E893),E893&gt;=0,E893&lt;=3,INT(E893)=E893),E893,"Invalid")))</x:f>
        <x:v>0</x:v>
      </x:c>
      <x:c r="G893" s="2" t="n">
        <x:f>IF(ISNUMBER(F893),1,0)</x:f>
        <x:v>1</x:v>
      </x:c>
      <x:c r="H893" s="2" t="n">
        <x:f>IF(ISNUMBER(F893),IF(F893&gt;=2,1,0),0)</x:f>
        <x:v>0</x:v>
      </x:c>
      <x:c r="I893" s="11" t="n">
        <x:f>IF(ISNUMBER(F893),2^F893-1,0)</x:f>
        <x:v>0</x:v>
      </x:c>
      <x:c r="J893" s="2" t="str">
        <x:v>Extension pre-run 600</x:v>
      </x:c>
      <x:c r="K893" s="10" t="n">
        <x:v>45000</x:v>
      </x:c>
      <x:c r="L893" s="10" t="n">
        <x:v>4</x:v>
      </x:c>
      <x:c r="M893" s="10" t="n">
        <x:v>3186</x:v>
      </x:c>
      <x:c r="N893" s="2" t="str">
        <x:v>D10</x:v>
      </x:c>
      <x:c r="O893" s="2" t="str">
        <x:v>condominium</x:v>
      </x:c>
      <x:c r="P893" s="2" t="str">
        <x:v>https://www.propertyguru.com.sg/listing/for-rent-ardmore-residence-500232638</x:v>
      </x:c>
      <x:c r="Q893" s="12" t="str">
        <x:v>Pre-registered source-rubric-v1; grade applied before outputs.</x:v>
      </x:c>
      <x:c r="R893" s="13"/>
    </x:row>
    <x:row r="894" ht="15" hidden="0" customHeight="1">
      <x:c r="A894" s="2" t="str">
        <x:v>S29|500158120</x:v>
      </x:c>
      <x:c r="B894" s="2" t="str">
        <x:v>S29</x:v>
      </x:c>
      <x:c r="C894" s="2" t="str">
        <x:v>500158120</x:v>
      </x:c>
      <x:c r="D894" s="2" t="n">
        <x:v>0</x:v>
      </x:c>
      <x:c r="E894" s="9"/>
      <x:c r="F894" s="2" t="n">
        <x:f>IF(E894="",D894,IF(E894="U","U",IF(AND(ISNUMBER(E894),E894&gt;=0,E894&lt;=3,INT(E894)=E894),E894,"Invalid")))</x:f>
        <x:v>0</x:v>
      </x:c>
      <x:c r="G894" s="2" t="n">
        <x:f>IF(ISNUMBER(F894),1,0)</x:f>
        <x:v>1</x:v>
      </x:c>
      <x:c r="H894" s="2" t="n">
        <x:f>IF(ISNUMBER(F894),IF(F894&gt;=2,1,0),0)</x:f>
        <x:v>0</x:v>
      </x:c>
      <x:c r="I894" s="11" t="n">
        <x:f>IF(ISNUMBER(F894),2^F894-1,0)</x:f>
        <x:v>0</x:v>
      </x:c>
      <x:c r="J894" s="2" t="str">
        <x:v>Extension pre-run 600</x:v>
      </x:c>
      <x:c r="K894" s="10" t="n">
        <x:v>1000</x:v>
      </x:c>
      <x:c r="L894" s="10" t="n">
        <x:v>0</x:v>
      </x:c>
      <x:c r="M894" s="10"/>
      <x:c r="N894" s="2" t="str">
        <x:v>D19</x:v>
      </x:c>
      <x:c r="O894" s="2" t="str">
        <x:v>condominium</x:v>
      </x:c>
      <x:c r="P894" s="2" t="str">
        <x:v>https://www.propertyguru.com.sg/listing/for-rent-casa-rosa-500158120</x:v>
      </x:c>
      <x:c r="Q894" s="12" t="str">
        <x:v>Pre-registered source-rubric-v1; grade applied before outputs.</x:v>
      </x:c>
      <x:c r="R894" s="13"/>
    </x:row>
    <x:row r="895" ht="15" hidden="0" customHeight="1">
      <x:c r="A895" s="2" t="str">
        <x:v>S30|24952568</x:v>
      </x:c>
      <x:c r="B895" s="2" t="str">
        <x:v>S30</x:v>
      </x:c>
      <x:c r="C895" s="2" t="str">
        <x:v>24952568</x:v>
      </x:c>
      <x:c r="D895" s="2" t="n">
        <x:v>3</x:v>
      </x:c>
      <x:c r="E895" s="9"/>
      <x:c r="F895" s="2" t="n">
        <x:f>IF(E895="",D895,IF(E895="U","U",IF(AND(ISNUMBER(E895),E895&gt;=0,E895&lt;=3,INT(E895)=E895),E895,"Invalid")))</x:f>
        <x:v>3</x:v>
      </x:c>
      <x:c r="G895" s="2" t="n">
        <x:f>IF(ISNUMBER(F895),1,0)</x:f>
        <x:v>1</x:v>
      </x:c>
      <x:c r="H895" s="2" t="n">
        <x:f>IF(ISNUMBER(F895),IF(F895&gt;=2,1,0),0)</x:f>
        <x:v>1</x:v>
      </x:c>
      <x:c r="I895" s="11" t="n">
        <x:f>IF(ISNUMBER(F895),2^F895-1,0)</x:f>
        <x:v>7</x:v>
      </x:c>
      <x:c r="J895" s="2" t="str">
        <x:v>Extension pre-run 600</x:v>
      </x:c>
      <x:c r="K895" s="10" t="n">
        <x:v>3200</x:v>
      </x:c>
      <x:c r="L895" s="10" t="n">
        <x:v>3</x:v>
      </x:c>
      <x:c r="M895" s="10" t="n">
        <x:v>1335</x:v>
      </x:c>
      <x:c r="N895" s="2" t="str">
        <x:v>D25</x:v>
      </x:c>
      <x:c r="O895" s="2" t="str">
        <x:v>hdb flat</x:v>
      </x:c>
      <x:c r="P895" s="2" t="str">
        <x:v>https://www.propertyguru.com.sg/listing/hdb-for-rent-876-woodlands-avenue-9-24952568</x:v>
      </x:c>
      <x:c r="Q895" s="12" t="str">
        <x:v>Pre-registered source-rubric-v1; grade applied before outputs.</x:v>
      </x:c>
      <x:c r="R895" s="13"/>
    </x:row>
    <x:row r="896" ht="15" hidden="0" customHeight="1">
      <x:c r="A896" s="2" t="str">
        <x:v>S30|25079494</x:v>
      </x:c>
      <x:c r="B896" s="2" t="str">
        <x:v>S30</x:v>
      </x:c>
      <x:c r="C896" s="2" t="str">
        <x:v>25079494</x:v>
      </x:c>
      <x:c r="D896" s="2" t="n">
        <x:v>3</x:v>
      </x:c>
      <x:c r="E896" s="9"/>
      <x:c r="F896" s="2" t="n">
        <x:f>IF(E896="",D896,IF(E896="U","U",IF(AND(ISNUMBER(E896),E896&gt;=0,E896&lt;=3,INT(E896)=E896),E896,"Invalid")))</x:f>
        <x:v>3</x:v>
      </x:c>
      <x:c r="G896" s="2" t="n">
        <x:f>IF(ISNUMBER(F896),1,0)</x:f>
        <x:v>1</x:v>
      </x:c>
      <x:c r="H896" s="2" t="n">
        <x:f>IF(ISNUMBER(F896),IF(F896&gt;=2,1,0),0)</x:f>
        <x:v>1</x:v>
      </x:c>
      <x:c r="I896" s="11" t="n">
        <x:f>IF(ISNUMBER(F896),2^F896-1,0)</x:f>
        <x:v>7</x:v>
      </x:c>
      <x:c r="J896" s="2" t="str">
        <x:v>Extension pre-run 600</x:v>
      </x:c>
      <x:c r="K896" s="10" t="n">
        <x:v>3500</x:v>
      </x:c>
      <x:c r="L896" s="10" t="n">
        <x:v>3</x:v>
      </x:c>
      <x:c r="M896" s="10" t="n">
        <x:v>1302</x:v>
      </x:c>
      <x:c r="N896" s="2" t="str">
        <x:v>D19</x:v>
      </x:c>
      <x:c r="O896" s="2" t="str">
        <x:v>hdb flat</x:v>
      </x:c>
      <x:c r="P896" s="2" t="str">
        <x:v>https://www.propertyguru.com.sg/listing/hdb-for-rent-227d-compassvale-drive-25079494</x:v>
      </x:c>
      <x:c r="Q896" s="12" t="str">
        <x:v>Pre-registered source-rubric-v1; grade applied before outputs.</x:v>
      </x:c>
      <x:c r="R896" s="13"/>
    </x:row>
    <x:row r="897" ht="15" hidden="0" customHeight="1">
      <x:c r="A897" s="2" t="str">
        <x:v>S30|24936141</x:v>
      </x:c>
      <x:c r="B897" s="2" t="str">
        <x:v>S30</x:v>
      </x:c>
      <x:c r="C897" s="2" t="str">
        <x:v>24936141</x:v>
      </x:c>
      <x:c r="D897" s="2" t="n">
        <x:v>3</x:v>
      </x:c>
      <x:c r="E897" s="9"/>
      <x:c r="F897" s="2" t="n">
        <x:f>IF(E897="",D897,IF(E897="U","U",IF(AND(ISNUMBER(E897),E897&gt;=0,E897&lt;=3,INT(E897)=E897),E897,"Invalid")))</x:f>
        <x:v>3</x:v>
      </x:c>
      <x:c r="G897" s="2" t="n">
        <x:f>IF(ISNUMBER(F897),1,0)</x:f>
        <x:v>1</x:v>
      </x:c>
      <x:c r="H897" s="2" t="n">
        <x:f>IF(ISNUMBER(F897),IF(F897&gt;=2,1,0),0)</x:f>
        <x:v>1</x:v>
      </x:c>
      <x:c r="I897" s="11" t="n">
        <x:f>IF(ISNUMBER(F897),2^F897-1,0)</x:f>
        <x:v>7</x:v>
      </x:c>
      <x:c r="J897" s="2" t="str">
        <x:v>Extension pre-run 600</x:v>
      </x:c>
      <x:c r="K897" s="10" t="n">
        <x:v>3500</x:v>
      </x:c>
      <x:c r="L897" s="10" t="n">
        <x:v>3</x:v>
      </x:c>
      <x:c r="M897" s="10" t="n">
        <x:v>1206</x:v>
      </x:c>
      <x:c r="N897" s="2" t="str">
        <x:v>D27</x:v>
      </x:c>
      <x:c r="O897" s="2" t="str">
        <x:v>hdb flat</x:v>
      </x:c>
      <x:c r="P897" s="2" t="str">
        <x:v>https://www.propertyguru.com.sg/listing/hdb-for-rent-431a-yishun-avenue-1-24936141</x:v>
      </x:c>
      <x:c r="Q897" s="12" t="str">
        <x:v>Pre-registered source-rubric-v1; grade applied before outputs.</x:v>
      </x:c>
      <x:c r="R897" s="13"/>
    </x:row>
    <x:row r="898" ht="15" hidden="0" customHeight="1">
      <x:c r="A898" s="2" t="str">
        <x:v>S30|24474262</x:v>
      </x:c>
      <x:c r="B898" s="2" t="str">
        <x:v>S30</x:v>
      </x:c>
      <x:c r="C898" s="2" t="str">
        <x:v>24474262</x:v>
      </x:c>
      <x:c r="D898" s="2" t="n">
        <x:v>3</x:v>
      </x:c>
      <x:c r="E898" s="9"/>
      <x:c r="F898" s="2" t="n">
        <x:f>IF(E898="",D898,IF(E898="U","U",IF(AND(ISNUMBER(E898),E898&gt;=0,E898&lt;=3,INT(E898)=E898),E898,"Invalid")))</x:f>
        <x:v>3</x:v>
      </x:c>
      <x:c r="G898" s="2" t="n">
        <x:f>IF(ISNUMBER(F898),1,0)</x:f>
        <x:v>1</x:v>
      </x:c>
      <x:c r="H898" s="2" t="n">
        <x:f>IF(ISNUMBER(F898),IF(F898&gt;=2,1,0),0)</x:f>
        <x:v>1</x:v>
      </x:c>
      <x:c r="I898" s="11" t="n">
        <x:f>IF(ISNUMBER(F898),2^F898-1,0)</x:f>
        <x:v>7</x:v>
      </x:c>
      <x:c r="J898" s="2" t="str">
        <x:v>Extension pre-run 600</x:v>
      </x:c>
      <x:c r="K898" s="10" t="n">
        <x:v>3200</x:v>
      </x:c>
      <x:c r="L898" s="10" t="n">
        <x:v>3</x:v>
      </x:c>
      <x:c r="M898" s="10" t="n">
        <x:v>1184</x:v>
      </x:c>
      <x:c r="N898" s="2" t="str">
        <x:v>D19</x:v>
      </x:c>
      <x:c r="O898" s="2" t="str">
        <x:v>hdb flat</x:v>
      </x:c>
      <x:c r="P898" s="2" t="str">
        <x:v>https://www.propertyguru.com.sg/listing/hdb-for-rent-183a-rivervale-crescent-24474262</x:v>
      </x:c>
      <x:c r="Q898" s="12" t="str">
        <x:v>Pre-registered source-rubric-v1; grade applied before outputs.</x:v>
      </x:c>
      <x:c r="R898" s="13"/>
    </x:row>
    <x:row r="899" ht="15" hidden="0" customHeight="1">
      <x:c r="A899" s="2" t="str">
        <x:v>S30|21339163</x:v>
      </x:c>
      <x:c r="B899" s="2" t="str">
        <x:v>S30</x:v>
      </x:c>
      <x:c r="C899" s="2" t="str">
        <x:v>21339163</x:v>
      </x:c>
      <x:c r="D899" s="2" t="n">
        <x:v>3</x:v>
      </x:c>
      <x:c r="E899" s="9"/>
      <x:c r="F899" s="2" t="n">
        <x:f>IF(E899="",D899,IF(E899="U","U",IF(AND(ISNUMBER(E899),E899&gt;=0,E899&lt;=3,INT(E899)=E899),E899,"Invalid")))</x:f>
        <x:v>3</x:v>
      </x:c>
      <x:c r="G899" s="2" t="n">
        <x:f>IF(ISNUMBER(F899),1,0)</x:f>
        <x:v>1</x:v>
      </x:c>
      <x:c r="H899" s="2" t="n">
        <x:f>IF(ISNUMBER(F899),IF(F899&gt;=2,1,0),0)</x:f>
        <x:v>1</x:v>
      </x:c>
      <x:c r="I899" s="11" t="n">
        <x:f>IF(ISNUMBER(F899),2^F899-1,0)</x:f>
        <x:v>7</x:v>
      </x:c>
      <x:c r="J899" s="2" t="str">
        <x:v>Extension pre-run 600</x:v>
      </x:c>
      <x:c r="K899" s="10" t="n">
        <x:v>3500</x:v>
      </x:c>
      <x:c r="L899" s="10" t="n">
        <x:v>3</x:v>
      </x:c>
      <x:c r="M899" s="10" t="n">
        <x:v>1118</x:v>
      </x:c>
      <x:c r="N899" s="2" t="str">
        <x:v>D23</x:v>
      </x:c>
      <x:c r="O899" s="2" t="str">
        <x:v>hdb flat</x:v>
      </x:c>
      <x:c r="P899" s="2" t="str">
        <x:v>https://www.propertyguru.com.sg/listing/hdb-for-rent-113-pending-road-21339163</x:v>
      </x:c>
      <x:c r="Q899" s="12" t="str">
        <x:v>Pre-registered source-rubric-v1; grade applied before outputs.</x:v>
      </x:c>
      <x:c r="R899" s="13"/>
    </x:row>
    <x:row r="900" ht="15" hidden="0" customHeight="1">
      <x:c r="A900" s="2" t="str">
        <x:v>S30|20148207</x:v>
      </x:c>
      <x:c r="B900" s="2" t="str">
        <x:v>S30</x:v>
      </x:c>
      <x:c r="C900" s="2" t="str">
        <x:v>20148207</x:v>
      </x:c>
      <x:c r="D900" s="2" t="n">
        <x:v>3</x:v>
      </x:c>
      <x:c r="E900" s="9"/>
      <x:c r="F900" s="2" t="n">
        <x:f>IF(E900="",D900,IF(E900="U","U",IF(AND(ISNUMBER(E900),E900&gt;=0,E900&lt;=3,INT(E900)=E900),E900,"Invalid")))</x:f>
        <x:v>3</x:v>
      </x:c>
      <x:c r="G900" s="2" t="n">
        <x:f>IF(ISNUMBER(F900),1,0)</x:f>
        <x:v>1</x:v>
      </x:c>
      <x:c r="H900" s="2" t="n">
        <x:f>IF(ISNUMBER(F900),IF(F900&gt;=2,1,0),0)</x:f>
        <x:v>1</x:v>
      </x:c>
      <x:c r="I900" s="11" t="n">
        <x:f>IF(ISNUMBER(F900),2^F900-1,0)</x:f>
        <x:v>7</x:v>
      </x:c>
      <x:c r="J900" s="2" t="str">
        <x:v>Extension pre-run 600</x:v>
      </x:c>
      <x:c r="K900" s="10" t="n">
        <x:v>3600</x:v>
      </x:c>
      <x:c r="L900" s="10" t="n">
        <x:v>3</x:v>
      </x:c>
      <x:c r="M900" s="10" t="n">
        <x:v>1345</x:v>
      </x:c>
      <x:c r="N900" s="2" t="str">
        <x:v>D18</x:v>
      </x:c>
      <x:c r="O900" s="2" t="str">
        <x:v>hdb flat</x:v>
      </x:c>
      <x:c r="P900" s="2" t="str">
        <x:v>https://www.propertyguru.com.sg/listing/hdb-for-rent-731-tampines-street-71-20148207</x:v>
      </x:c>
      <x:c r="Q900" s="12" t="str">
        <x:v>Pre-registered source-rubric-v1; grade applied before outputs.</x:v>
      </x:c>
      <x:c r="R900" s="13"/>
    </x:row>
    <x:row r="901" ht="15" hidden="0" customHeight="1">
      <x:c r="A901" s="2" t="str">
        <x:v>S30|500285007</x:v>
      </x:c>
      <x:c r="B901" s="2" t="str">
        <x:v>S30</x:v>
      </x:c>
      <x:c r="C901" s="2" t="str">
        <x:v>500285007</x:v>
      </x:c>
      <x:c r="D901" s="2" t="n">
        <x:v>2</x:v>
      </x:c>
      <x:c r="E901" s="9"/>
      <x:c r="F901" s="2" t="n">
        <x:f>IF(E901="",D901,IF(E901="U","U",IF(AND(ISNUMBER(E901),E901&gt;=0,E901&lt;=3,INT(E901)=E901),E901,"Invalid")))</x:f>
        <x:v>2</x:v>
      </x:c>
      <x:c r="G901" s="2" t="n">
        <x:f>IF(ISNUMBER(F901),1,0)</x:f>
        <x:v>1</x:v>
      </x:c>
      <x:c r="H901" s="2" t="n">
        <x:f>IF(ISNUMBER(F901),IF(F901&gt;=2,1,0),0)</x:f>
        <x:v>1</x:v>
      </x:c>
      <x:c r="I901" s="11" t="n">
        <x:f>IF(ISNUMBER(F901),2^F901-1,0)</x:f>
        <x:v>3</x:v>
      </x:c>
      <x:c r="J901" s="2" t="str">
        <x:v>Extension pre-run 600</x:v>
      </x:c>
      <x:c r="K901" s="10" t="n">
        <x:v>3800</x:v>
      </x:c>
      <x:c r="L901" s="10" t="n">
        <x:v>3</x:v>
      </x:c>
      <x:c r="M901" s="10" t="n">
        <x:v>1119</x:v>
      </x:c>
      <x:c r="N901" s="2" t="str">
        <x:v>D19</x:v>
      </x:c>
      <x:c r="O901" s="2" t="str">
        <x:v>hdb flat</x:v>
      </x:c>
      <x:c r="P901" s="2" t="str">
        <x:v>https://www.propertyguru.com.sg/listing/hdb-for-rent-830-hougang-central-500285007</x:v>
      </x:c>
      <x:c r="Q901" s="12" t="str">
        <x:v>Pre-registered source-rubric-v1; grade applied before outputs.</x:v>
      </x:c>
      <x:c r="R901" s="13"/>
    </x:row>
    <x:row r="902" ht="15" hidden="0" customHeight="1">
      <x:c r="A902" s="2" t="str">
        <x:v>S30|25294214</x:v>
      </x:c>
      <x:c r="B902" s="2" t="str">
        <x:v>S30</x:v>
      </x:c>
      <x:c r="C902" s="2" t="str">
        <x:v>25294214</x:v>
      </x:c>
      <x:c r="D902" s="2" t="n">
        <x:v>2</x:v>
      </x:c>
      <x:c r="E902" s="9"/>
      <x:c r="F902" s="2" t="n">
        <x:f>IF(E902="",D902,IF(E902="U","U",IF(AND(ISNUMBER(E902),E902&gt;=0,E902&lt;=3,INT(E902)=E902),E902,"Invalid")))</x:f>
        <x:v>2</x:v>
      </x:c>
      <x:c r="G902" s="2" t="n">
        <x:f>IF(ISNUMBER(F902),1,0)</x:f>
        <x:v>1</x:v>
      </x:c>
      <x:c r="H902" s="2" t="n">
        <x:f>IF(ISNUMBER(F902),IF(F902&gt;=2,1,0),0)</x:f>
        <x:v>1</x:v>
      </x:c>
      <x:c r="I902" s="11" t="n">
        <x:f>IF(ISNUMBER(F902),2^F902-1,0)</x:f>
        <x:v>3</x:v>
      </x:c>
      <x:c r="J902" s="2" t="str">
        <x:v>Extension pre-run 600</x:v>
      </x:c>
      <x:c r="K902" s="10" t="n">
        <x:v>4600</x:v>
      </x:c>
      <x:c r="L902" s="10" t="n">
        <x:v>3</x:v>
      </x:c>
      <x:c r="M902" s="10" t="n">
        <x:v>1237</x:v>
      </x:c>
      <x:c r="N902" s="2" t="str">
        <x:v>D03</x:v>
      </x:c>
      <x:c r="O902" s="2" t="str">
        <x:v>hdb flat</x:v>
      </x:c>
      <x:c r="P902" s="2" t="str">
        <x:v>https://www.propertyguru.com.sg/listing/hdb-for-rent-2c-boon-tiong-road-25294214</x:v>
      </x:c>
      <x:c r="Q902" s="12" t="str">
        <x:v>Pre-registered source-rubric-v1; grade applied before outputs.</x:v>
      </x:c>
      <x:c r="R902" s="13"/>
    </x:row>
    <x:row r="903" ht="15" hidden="0" customHeight="1">
      <x:c r="A903" s="2" t="str">
        <x:v>S30|24756716</x:v>
      </x:c>
      <x:c r="B903" s="2" t="str">
        <x:v>S30</x:v>
      </x:c>
      <x:c r="C903" s="2" t="str">
        <x:v>24756716</x:v>
      </x:c>
      <x:c r="D903" s="2" t="n">
        <x:v>2</x:v>
      </x:c>
      <x:c r="E903" s="9"/>
      <x:c r="F903" s="2" t="n">
        <x:f>IF(E903="",D903,IF(E903="U","U",IF(AND(ISNUMBER(E903),E903&gt;=0,E903&lt;=3,INT(E903)=E903),E903,"Invalid")))</x:f>
        <x:v>2</x:v>
      </x:c>
      <x:c r="G903" s="2" t="n">
        <x:f>IF(ISNUMBER(F903),1,0)</x:f>
        <x:v>1</x:v>
      </x:c>
      <x:c r="H903" s="2" t="n">
        <x:f>IF(ISNUMBER(F903),IF(F903&gt;=2,1,0),0)</x:f>
        <x:v>1</x:v>
      </x:c>
      <x:c r="I903" s="11" t="n">
        <x:f>IF(ISNUMBER(F903),2^F903-1,0)</x:f>
        <x:v>3</x:v>
      </x:c>
      <x:c r="J903" s="2" t="str">
        <x:v>Extension pre-run 600</x:v>
      </x:c>
      <x:c r="K903" s="10" t="n">
        <x:v>4200</x:v>
      </x:c>
      <x:c r="L903" s="10" t="n">
        <x:v>3</x:v>
      </x:c>
      <x:c r="M903" s="10" t="n">
        <x:v>1109</x:v>
      </x:c>
      <x:c r="N903" s="2" t="str">
        <x:v>D17</x:v>
      </x:c>
      <x:c r="O903" s="2" t="str">
        <x:v>condominium</x:v>
      </x:c>
      <x:c r="P903" s="2" t="str">
        <x:v>https://www.propertyguru.com.sg/listing/for-rent-the-inflora-24756716</x:v>
      </x:c>
      <x:c r="Q903" s="12" t="str">
        <x:v>Pre-registered source-rubric-v1; grade applied before outputs.</x:v>
      </x:c>
      <x:c r="R903" s="13"/>
    </x:row>
    <x:row r="904" ht="15" hidden="0" customHeight="1">
      <x:c r="A904" s="2" t="str">
        <x:v>S30|24147468</x:v>
      </x:c>
      <x:c r="B904" s="2" t="str">
        <x:v>S30</x:v>
      </x:c>
      <x:c r="C904" s="2" t="str">
        <x:v>24147468</x:v>
      </x:c>
      <x:c r="D904" s="2" t="n">
        <x:v>2</x:v>
      </x:c>
      <x:c r="E904" s="9"/>
      <x:c r="F904" s="2" t="n">
        <x:f>IF(E904="",D904,IF(E904="U","U",IF(AND(ISNUMBER(E904),E904&gt;=0,E904&lt;=3,INT(E904)=E904),E904,"Invalid")))</x:f>
        <x:v>2</x:v>
      </x:c>
      <x:c r="G904" s="2" t="n">
        <x:f>IF(ISNUMBER(F904),1,0)</x:f>
        <x:v>1</x:v>
      </x:c>
      <x:c r="H904" s="2" t="n">
        <x:f>IF(ISNUMBER(F904),IF(F904&gt;=2,1,0),0)</x:f>
        <x:v>1</x:v>
      </x:c>
      <x:c r="I904" s="11" t="n">
        <x:f>IF(ISNUMBER(F904),2^F904-1,0)</x:f>
        <x:v>3</x:v>
      </x:c>
      <x:c r="J904" s="2" t="str">
        <x:v>Extension pre-run 600</x:v>
      </x:c>
      <x:c r="K904" s="10" t="n">
        <x:v>4600</x:v>
      </x:c>
      <x:c r="L904" s="10" t="n">
        <x:v>3</x:v>
      </x:c>
      <x:c r="M904" s="10" t="n">
        <x:v>1335</x:v>
      </x:c>
      <x:c r="N904" s="2" t="str">
        <x:v>D27</x:v>
      </x:c>
      <x:c r="O904" s="2" t="str">
        <x:v>condominium</x:v>
      </x:c>
      <x:c r="P904" s="2" t="str">
        <x:v>https://www.propertyguru.com.sg/listing/for-rent-northwood-24147468</x:v>
      </x:c>
      <x:c r="Q904" s="12" t="str">
        <x:v>Pre-registered source-rubric-v1; grade applied before outputs.</x:v>
      </x:c>
      <x:c r="R904" s="13"/>
    </x:row>
    <x:row r="905" ht="15" hidden="0" customHeight="1">
      <x:c r="A905" s="2" t="str">
        <x:v>S30|60088466</x:v>
      </x:c>
      <x:c r="B905" s="2" t="str">
        <x:v>S30</x:v>
      </x:c>
      <x:c r="C905" s="2" t="str">
        <x:v>60088466</x:v>
      </x:c>
      <x:c r="D905" s="2" t="n">
        <x:v>2</x:v>
      </x:c>
      <x:c r="E905" s="9"/>
      <x:c r="F905" s="2" t="n">
        <x:f>IF(E905="",D905,IF(E905="U","U",IF(AND(ISNUMBER(E905),E905&gt;=0,E905&lt;=3,INT(E905)=E905),E905,"Invalid")))</x:f>
        <x:v>2</x:v>
      </x:c>
      <x:c r="G905" s="2" t="n">
        <x:f>IF(ISNUMBER(F905),1,0)</x:f>
        <x:v>1</x:v>
      </x:c>
      <x:c r="H905" s="2" t="n">
        <x:f>IF(ISNUMBER(F905),IF(F905&gt;=2,1,0),0)</x:f>
        <x:v>1</x:v>
      </x:c>
      <x:c r="I905" s="11" t="n">
        <x:f>IF(ISNUMBER(F905),2^F905-1,0)</x:f>
        <x:v>3</x:v>
      </x:c>
      <x:c r="J905" s="2" t="str">
        <x:v>Extension pre-run 600</x:v>
      </x:c>
      <x:c r="K905" s="10" t="n">
        <x:v>3950</x:v>
      </x:c>
      <x:c r="L905" s="10" t="n">
        <x:v>3</x:v>
      </x:c>
      <x:c r="M905" s="10" t="n">
        <x:v>1163</x:v>
      </x:c>
      <x:c r="N905" s="2" t="str">
        <x:v>D16</x:v>
      </x:c>
      <x:c r="O905" s="2" t="str">
        <x:v>condominium</x:v>
      </x:c>
      <x:c r="P905" s="2" t="str">
        <x:v>https://www.propertyguru.com.sg/listing/for-rent-changi-court-60088466</x:v>
      </x:c>
      <x:c r="Q905" s="12" t="str">
        <x:v>Pre-registered source-rubric-v1; grade applied before outputs.</x:v>
      </x:c>
      <x:c r="R905" s="13"/>
    </x:row>
    <x:row r="906" ht="15" hidden="0" customHeight="1">
      <x:c r="A906" s="2" t="str">
        <x:v>S30|500284967</x:v>
      </x:c>
      <x:c r="B906" s="2" t="str">
        <x:v>S30</x:v>
      </x:c>
      <x:c r="C906" s="2" t="str">
        <x:v>500284967</x:v>
      </x:c>
      <x:c r="D906" s="2" t="n">
        <x:v>2</x:v>
      </x:c>
      <x:c r="E906" s="9"/>
      <x:c r="F906" s="2" t="n">
        <x:f>IF(E906="",D906,IF(E906="U","U",IF(AND(ISNUMBER(E906),E906&gt;=0,E906&lt;=3,INT(E906)=E906),E906,"Invalid")))</x:f>
        <x:v>2</x:v>
      </x:c>
      <x:c r="G906" s="2" t="n">
        <x:f>IF(ISNUMBER(F906),1,0)</x:f>
        <x:v>1</x:v>
      </x:c>
      <x:c r="H906" s="2" t="n">
        <x:f>IF(ISNUMBER(F906),IF(F906&gt;=2,1,0),0)</x:f>
        <x:v>1</x:v>
      </x:c>
      <x:c r="I906" s="11" t="n">
        <x:f>IF(ISNUMBER(F906),2^F906-1,0)</x:f>
        <x:v>3</x:v>
      </x:c>
      <x:c r="J906" s="2" t="str">
        <x:v>Extension pre-run 600</x:v>
      </x:c>
      <x:c r="K906" s="10" t="n">
        <x:v>4000</x:v>
      </x:c>
      <x:c r="L906" s="10" t="n">
        <x:v>3</x:v>
      </x:c>
      <x:c r="M906" s="10" t="n">
        <x:v>1119</x:v>
      </x:c>
      <x:c r="N906" s="2" t="str">
        <x:v>D14</x:v>
      </x:c>
      <x:c r="O906" s="2" t="str">
        <x:v>hdb flat</x:v>
      </x:c>
      <x:c r="P906" s="2" t="str">
        <x:v>https://www.propertyguru.com.sg/listing/hdb-for-rent-346-ubi-avenue-1-500284967</x:v>
      </x:c>
      <x:c r="Q906" s="12" t="str">
        <x:v>Pre-registered source-rubric-v1; grade applied before outputs.</x:v>
      </x:c>
      <x:c r="R906" s="13"/>
    </x:row>
    <x:row r="907" ht="15" hidden="0" customHeight="1">
      <x:c r="A907" s="2" t="str">
        <x:v>S30|24955873</x:v>
      </x:c>
      <x:c r="B907" s="2" t="str">
        <x:v>S30</x:v>
      </x:c>
      <x:c r="C907" s="2" t="str">
        <x:v>24955873</x:v>
      </x:c>
      <x:c r="D907" s="2" t="n">
        <x:v>2</x:v>
      </x:c>
      <x:c r="E907" s="9"/>
      <x:c r="F907" s="2" t="n">
        <x:f>IF(E907="",D907,IF(E907="U","U",IF(AND(ISNUMBER(E907),E907&gt;=0,E907&lt;=3,INT(E907)=E907),E907,"Invalid")))</x:f>
        <x:v>2</x:v>
      </x:c>
      <x:c r="G907" s="2" t="n">
        <x:f>IF(ISNUMBER(F907),1,0)</x:f>
        <x:v>1</x:v>
      </x:c>
      <x:c r="H907" s="2" t="n">
        <x:f>IF(ISNUMBER(F907),IF(F907&gt;=2,1,0),0)</x:f>
        <x:v>1</x:v>
      </x:c>
      <x:c r="I907" s="11" t="n">
        <x:f>IF(ISNUMBER(F907),2^F907-1,0)</x:f>
        <x:v>3</x:v>
      </x:c>
      <x:c r="J907" s="2" t="str">
        <x:v>Extension pre-run 600</x:v>
      </x:c>
      <x:c r="K907" s="10" t="n">
        <x:v>3900</x:v>
      </x:c>
      <x:c r="L907" s="10" t="n">
        <x:v>3</x:v>
      </x:c>
      <x:c r="M907" s="10" t="n">
        <x:v>1300</x:v>
      </x:c>
      <x:c r="N907" s="2" t="str">
        <x:v>D18</x:v>
      </x:c>
      <x:c r="O907" s="2" t="str">
        <x:v>hdb flat</x:v>
      </x:c>
      <x:c r="P907" s="2" t="str">
        <x:v>https://www.propertyguru.com.sg/listing/hdb-for-rent-230-tampines-street-24-24955873</x:v>
      </x:c>
      <x:c r="Q907" s="12" t="str">
        <x:v>Pre-registered source-rubric-v1; grade applied before outputs.</x:v>
      </x:c>
      <x:c r="R907" s="13"/>
    </x:row>
    <x:row r="908" ht="15" hidden="0" customHeight="1">
      <x:c r="A908" s="2" t="str">
        <x:v>S30|22773305</x:v>
      </x:c>
      <x:c r="B908" s="2" t="str">
        <x:v>S30</x:v>
      </x:c>
      <x:c r="C908" s="2" t="str">
        <x:v>22773305</x:v>
      </x:c>
      <x:c r="D908" s="2" t="n">
        <x:v>2</x:v>
      </x:c>
      <x:c r="E908" s="9"/>
      <x:c r="F908" s="2" t="n">
        <x:f>IF(E908="",D908,IF(E908="U","U",IF(AND(ISNUMBER(E908),E908&gt;=0,E908&lt;=3,INT(E908)=E908),E908,"Invalid")))</x:f>
        <x:v>2</x:v>
      </x:c>
      <x:c r="G908" s="2" t="n">
        <x:f>IF(ISNUMBER(F908),1,0)</x:f>
        <x:v>1</x:v>
      </x:c>
      <x:c r="H908" s="2" t="n">
        <x:f>IF(ISNUMBER(F908),IF(F908&gt;=2,1,0),0)</x:f>
        <x:v>1</x:v>
      </x:c>
      <x:c r="I908" s="11" t="n">
        <x:f>IF(ISNUMBER(F908),2^F908-1,0)</x:f>
        <x:v>3</x:v>
      </x:c>
      <x:c r="J908" s="2" t="str">
        <x:v>Extension pre-run 600</x:v>
      </x:c>
      <x:c r="K908" s="10" t="n">
        <x:v>4500</x:v>
      </x:c>
      <x:c r="L908" s="10" t="n">
        <x:v>3</x:v>
      </x:c>
      <x:c r="M908" s="10" t="n">
        <x:v>1259</x:v>
      </x:c>
      <x:c r="N908" s="2" t="str">
        <x:v>D05</x:v>
      </x:c>
      <x:c r="O908" s="2" t="str">
        <x:v>hdb flat</x:v>
      </x:c>
      <x:c r="P908" s="2" t="str">
        <x:v>https://www.propertyguru.com.sg/listing/hdb-for-rent-355-clementi-avenue-2-22773305</x:v>
      </x:c>
      <x:c r="Q908" s="12" t="str">
        <x:v>Pre-registered source-rubric-v1; grade applied before outputs.</x:v>
      </x:c>
      <x:c r="R908" s="13"/>
    </x:row>
    <x:row r="909" ht="15" hidden="0" customHeight="1">
      <x:c r="A909" s="2" t="str">
        <x:v>S30|500277373</x:v>
      </x:c>
      <x:c r="B909" s="2" t="str">
        <x:v>S30</x:v>
      </x:c>
      <x:c r="C909" s="2" t="str">
        <x:v>500277373</x:v>
      </x:c>
      <x:c r="D909" s="2" t="n">
        <x:v>1</x:v>
      </x:c>
      <x:c r="E909" s="9"/>
      <x:c r="F909" s="2" t="n">
        <x:f>IF(E909="",D909,IF(E909="U","U",IF(AND(ISNUMBER(E909),E909&gt;=0,E909&lt;=3,INT(E909)=E909),E909,"Invalid")))</x:f>
        <x:v>1</x:v>
      </x:c>
      <x:c r="G909" s="2" t="n">
        <x:f>IF(ISNUMBER(F909),1,0)</x:f>
        <x:v>1</x:v>
      </x:c>
      <x:c r="H909" s="2" t="n">
        <x:f>IF(ISNUMBER(F909),IF(F909&gt;=2,1,0),0)</x:f>
        <x:v>0</x:v>
      </x:c>
      <x:c r="I909" s="11" t="n">
        <x:f>IF(ISNUMBER(F909),2^F909-1,0)</x:f>
        <x:v>1</x:v>
      </x:c>
      <x:c r="J909" s="2" t="str">
        <x:v>Extension pre-run 600</x:v>
      </x:c>
      <x:c r="K909" s="10" t="n">
        <x:v>3500</x:v>
      </x:c>
      <x:c r="L909" s="10" t="n">
        <x:v>3</x:v>
      </x:c>
      <x:c r="M909" s="10" t="n">
        <x:v>1033</x:v>
      </x:c>
      <x:c r="N909" s="2" t="str">
        <x:v>D19</x:v>
      </x:c>
      <x:c r="O909" s="2" t="str">
        <x:v>hdb flat</x:v>
      </x:c>
      <x:c r="P909" s="2" t="str">
        <x:v>https://www.propertyguru.com.sg/listing/hdb-for-rent-248-compassvale-road-500277373</x:v>
      </x:c>
      <x:c r="Q909" s="12" t="str">
        <x:v>Pre-registered source-rubric-v1; grade applied before outputs.</x:v>
      </x:c>
      <x:c r="R909" s="13"/>
    </x:row>
    <x:row r="910" ht="15" hidden="0" customHeight="1">
      <x:c r="A910" s="2" t="str">
        <x:v>S30|23454442</x:v>
      </x:c>
      <x:c r="B910" s="2" t="str">
        <x:v>S30</x:v>
      </x:c>
      <x:c r="C910" s="2" t="str">
        <x:v>23454442</x:v>
      </x:c>
      <x:c r="D910" s="2" t="n">
        <x:v>1</x:v>
      </x:c>
      <x:c r="E910" s="9"/>
      <x:c r="F910" s="2" t="n">
        <x:f>IF(E910="",D910,IF(E910="U","U",IF(AND(ISNUMBER(E910),E910&gt;=0,E910&lt;=3,INT(E910)=E910),E910,"Invalid")))</x:f>
        <x:v>1</x:v>
      </x:c>
      <x:c r="G910" s="2" t="n">
        <x:f>IF(ISNUMBER(F910),1,0)</x:f>
        <x:v>1</x:v>
      </x:c>
      <x:c r="H910" s="2" t="n">
        <x:f>IF(ISNUMBER(F910),IF(F910&gt;=2,1,0),0)</x:f>
        <x:v>0</x:v>
      </x:c>
      <x:c r="I910" s="11" t="n">
        <x:f>IF(ISNUMBER(F910),2^F910-1,0)</x:f>
        <x:v>1</x:v>
      </x:c>
      <x:c r="J910" s="2" t="str">
        <x:v>Extension pre-run 600</x:v>
      </x:c>
      <x:c r="K910" s="10" t="n">
        <x:v>3500</x:v>
      </x:c>
      <x:c r="L910" s="10" t="n">
        <x:v>3</x:v>
      </x:c>
      <x:c r="M910" s="10" t="n">
        <x:v>699</x:v>
      </x:c>
      <x:c r="N910" s="2" t="str">
        <x:v>D10</x:v>
      </x:c>
      <x:c r="O910" s="2" t="str">
        <x:v>hdb flat</x:v>
      </x:c>
      <x:c r="P910" s="2" t="str">
        <x:v>https://www.propertyguru.com.sg/listing/hdb-for-rent-1-ghim-moh-road-23454442</x:v>
      </x:c>
      <x:c r="Q910" s="12" t="str">
        <x:v>Pre-registered source-rubric-v1; grade applied before outputs.</x:v>
      </x:c>
      <x:c r="R910" s="13"/>
    </x:row>
    <x:row r="911" ht="15" hidden="0" customHeight="1">
      <x:c r="A911" s="2" t="str">
        <x:v>S30|500076755</x:v>
      </x:c>
      <x:c r="B911" s="2" t="str">
        <x:v>S30</x:v>
      </x:c>
      <x:c r="C911" s="2" t="str">
        <x:v>500076755</x:v>
      </x:c>
      <x:c r="D911" s="2" t="n">
        <x:v>1</x:v>
      </x:c>
      <x:c r="E911" s="9"/>
      <x:c r="F911" s="2" t="n">
        <x:f>IF(E911="",D911,IF(E911="U","U",IF(AND(ISNUMBER(E911),E911&gt;=0,E911&lt;=3,INT(E911)=E911),E911,"Invalid")))</x:f>
        <x:v>1</x:v>
      </x:c>
      <x:c r="G911" s="2" t="n">
        <x:f>IF(ISNUMBER(F911),1,0)</x:f>
        <x:v>1</x:v>
      </x:c>
      <x:c r="H911" s="2" t="n">
        <x:f>IF(ISNUMBER(F911),IF(F911&gt;=2,1,0),0)</x:f>
        <x:v>0</x:v>
      </x:c>
      <x:c r="I911" s="11" t="n">
        <x:f>IF(ISNUMBER(F911),2^F911-1,0)</x:f>
        <x:v>1</x:v>
      </x:c>
      <x:c r="J911" s="2" t="str">
        <x:v>Extension pre-run 600</x:v>
      </x:c>
      <x:c r="K911" s="10" t="n">
        <x:v>4000</x:v>
      </x:c>
      <x:c r="L911" s="10" t="n">
        <x:v>3</x:v>
      </x:c>
      <x:c r="M911" s="10" t="n">
        <x:v>775</x:v>
      </x:c>
      <x:c r="N911" s="2" t="str">
        <x:v>D03</x:v>
      </x:c>
      <x:c r="O911" s="2" t="str">
        <x:v>hdb flat</x:v>
      </x:c>
      <x:c r="P911" s="2" t="str">
        <x:v>https://www.propertyguru.com.sg/listing/hdb-for-rent-160-mei-ling-street-500076755</x:v>
      </x:c>
      <x:c r="Q911" s="12" t="str">
        <x:v>Pre-registered source-rubric-v1; grade applied before outputs.</x:v>
      </x:c>
      <x:c r="R911" s="13"/>
    </x:row>
    <x:row r="912" ht="15" hidden="0" customHeight="1">
      <x:c r="A912" s="2" t="str">
        <x:v>S30|25180520</x:v>
      </x:c>
      <x:c r="B912" s="2" t="str">
        <x:v>S30</x:v>
      </x:c>
      <x:c r="C912" s="2" t="str">
        <x:v>25180520</x:v>
      </x:c>
      <x:c r="D912" s="2" t="n">
        <x:v>1</x:v>
      </x:c>
      <x:c r="E912" s="9"/>
      <x:c r="F912" s="2" t="n">
        <x:f>IF(E912="",D912,IF(E912="U","U",IF(AND(ISNUMBER(E912),E912&gt;=0,E912&lt;=3,INT(E912)=E912),E912,"Invalid")))</x:f>
        <x:v>1</x:v>
      </x:c>
      <x:c r="G912" s="2" t="n">
        <x:f>IF(ISNUMBER(F912),1,0)</x:f>
        <x:v>1</x:v>
      </x:c>
      <x:c r="H912" s="2" t="n">
        <x:f>IF(ISNUMBER(F912),IF(F912&gt;=2,1,0),0)</x:f>
        <x:v>0</x:v>
      </x:c>
      <x:c r="I912" s="11" t="n">
        <x:f>IF(ISNUMBER(F912),2^F912-1,0)</x:f>
        <x:v>1</x:v>
      </x:c>
      <x:c r="J912" s="2" t="str">
        <x:v>Extension pre-run 600</x:v>
      </x:c>
      <x:c r="K912" s="10" t="n">
        <x:v>4200</x:v>
      </x:c>
      <x:c r="L912" s="10" t="n">
        <x:v>3</x:v>
      </x:c>
      <x:c r="M912" s="10" t="n">
        <x:v>958</x:v>
      </x:c>
      <x:c r="N912" s="2" t="str">
        <x:v>D12</x:v>
      </x:c>
      <x:c r="O912" s="2" t="str">
        <x:v>condominium</x:v>
      </x:c>
      <x:c r="P912" s="2" t="str">
        <x:v>https://www.propertyguru.com.sg/listing/for-rent-st-michael-s-condo-25180520</x:v>
      </x:c>
      <x:c r="Q912" s="12" t="str">
        <x:v>Pre-registered source-rubric-v1; grade applied before outputs.</x:v>
      </x:c>
      <x:c r="R912" s="13"/>
    </x:row>
    <x:row r="913" ht="15" hidden="0" customHeight="1">
      <x:c r="A913" s="2" t="str">
        <x:v>S30|23196357</x:v>
      </x:c>
      <x:c r="B913" s="2" t="str">
        <x:v>S30</x:v>
      </x:c>
      <x:c r="C913" s="2" t="str">
        <x:v>23196357</x:v>
      </x:c>
      <x:c r="D913" s="2" t="n">
        <x:v>1</x:v>
      </x:c>
      <x:c r="E913" s="9"/>
      <x:c r="F913" s="2" t="n">
        <x:f>IF(E913="",D913,IF(E913="U","U",IF(AND(ISNUMBER(E913),E913&gt;=0,E913&lt;=3,INT(E913)=E913),E913,"Invalid")))</x:f>
        <x:v>1</x:v>
      </x:c>
      <x:c r="G913" s="2" t="n">
        <x:f>IF(ISNUMBER(F913),1,0)</x:f>
        <x:v>1</x:v>
      </x:c>
      <x:c r="H913" s="2" t="n">
        <x:f>IF(ISNUMBER(F913),IF(F913&gt;=2,1,0),0)</x:f>
        <x:v>0</x:v>
      </x:c>
      <x:c r="I913" s="11" t="n">
        <x:f>IF(ISNUMBER(F913),2^F913-1,0)</x:f>
        <x:v>1</x:v>
      </x:c>
      <x:c r="J913" s="2" t="str">
        <x:v>Extension pre-run 600</x:v>
      </x:c>
      <x:c r="K913" s="10" t="n">
        <x:v>3580</x:v>
      </x:c>
      <x:c r="L913" s="10" t="n">
        <x:v>3</x:v>
      </x:c>
      <x:c r="M913" s="10" t="n">
        <x:v>990</x:v>
      </x:c>
      <x:c r="N913" s="2" t="str">
        <x:v>D16</x:v>
      </x:c>
      <x:c r="O913" s="2" t="str">
        <x:v>hdb flat</x:v>
      </x:c>
      <x:c r="P913" s="2" t="str">
        <x:v>https://www.propertyguru.com.sg/listing/hdb-for-rent-129-bedok-north-street-2-23196357</x:v>
      </x:c>
      <x:c r="Q913" s="12" t="str">
        <x:v>Pre-registered source-rubric-v1; grade applied before outputs.</x:v>
      </x:c>
      <x:c r="R913" s="13"/>
    </x:row>
    <x:row r="914" ht="15" hidden="0" customHeight="1">
      <x:c r="A914" s="2" t="str">
        <x:v>S30|500271814</x:v>
      </x:c>
      <x:c r="B914" s="2" t="str">
        <x:v>S30</x:v>
      </x:c>
      <x:c r="C914" s="2" t="str">
        <x:v>500271814</x:v>
      </x:c>
      <x:c r="D914" s="2" t="n">
        <x:v>1</x:v>
      </x:c>
      <x:c r="E914" s="9"/>
      <x:c r="F914" s="2" t="n">
        <x:f>IF(E914="",D914,IF(E914="U","U",IF(AND(ISNUMBER(E914),E914&gt;=0,E914&lt;=3,INT(E914)=E914),E914,"Invalid")))</x:f>
        <x:v>1</x:v>
      </x:c>
      <x:c r="G914" s="2" t="n">
        <x:f>IF(ISNUMBER(F914),1,0)</x:f>
        <x:v>1</x:v>
      </x:c>
      <x:c r="H914" s="2" t="n">
        <x:f>IF(ISNUMBER(F914),IF(F914&gt;=2,1,0),0)</x:f>
        <x:v>0</x:v>
      </x:c>
      <x:c r="I914" s="11" t="n">
        <x:f>IF(ISNUMBER(F914),2^F914-1,0)</x:f>
        <x:v>1</x:v>
      </x:c>
      <x:c r="J914" s="2" t="str">
        <x:v>Extension pre-run 600</x:v>
      </x:c>
      <x:c r="K914" s="10" t="n">
        <x:v>4800</x:v>
      </x:c>
      <x:c r="L914" s="10" t="n">
        <x:v>3</x:v>
      </x:c>
      <x:c r="M914" s="10" t="n">
        <x:v>1087</x:v>
      </x:c>
      <x:c r="N914" s="2" t="str">
        <x:v>D19</x:v>
      </x:c>
      <x:c r="O914" s="2" t="str">
        <x:v>apartment</x:v>
      </x:c>
      <x:c r="P914" s="2" t="str">
        <x:v>https://www.propertyguru.com.sg/listing/for-rent-kovan-esquire-500271814</x:v>
      </x:c>
      <x:c r="Q914" s="12" t="str">
        <x:v>Pre-registered source-rubric-v1; grade applied before outputs.</x:v>
      </x:c>
      <x:c r="R914" s="13"/>
    </x:row>
    <x:row r="915" ht="15" hidden="0" customHeight="1">
      <x:c r="A915" s="2" t="str">
        <x:v>S30|500286114</x:v>
      </x:c>
      <x:c r="B915" s="2" t="str">
        <x:v>S30</x:v>
      </x:c>
      <x:c r="C915" s="2" t="str">
        <x:v>500286114</x:v>
      </x:c>
      <x:c r="D915" s="2" t="n">
        <x:v>0</x:v>
      </x:c>
      <x:c r="E915" s="9"/>
      <x:c r="F915" s="2" t="n">
        <x:f>IF(E915="",D915,IF(E915="U","U",IF(AND(ISNUMBER(E915),E915&gt;=0,E915&lt;=3,INT(E915)=E915),E915,"Invalid")))</x:f>
        <x:v>0</x:v>
      </x:c>
      <x:c r="G915" s="2" t="n">
        <x:f>IF(ISNUMBER(F915),1,0)</x:f>
        <x:v>1</x:v>
      </x:c>
      <x:c r="H915" s="2" t="n">
        <x:f>IF(ISNUMBER(F915),IF(F915&gt;=2,1,0),0)</x:f>
        <x:v>0</x:v>
      </x:c>
      <x:c r="I915" s="11" t="n">
        <x:f>IF(ISNUMBER(F915),2^F915-1,0)</x:f>
        <x:v>0</x:v>
      </x:c>
      <x:c r="J915" s="2" t="str">
        <x:v>Extension pre-run 600</x:v>
      </x:c>
      <x:c r="K915" s="10" t="n">
        <x:v>8100</x:v>
      </x:c>
      <x:c r="L915" s="10" t="n">
        <x:v>4</x:v>
      </x:c>
      <x:c r="M915" s="10" t="n">
        <x:v>2271</x:v>
      </x:c>
      <x:c r="N915" s="2" t="str">
        <x:v>D11</x:v>
      </x:c>
      <x:c r="O915" s="2" t="str">
        <x:v>condominium</x:v>
      </x:c>
      <x:c r="P915" s="2" t="str">
        <x:v>https://www.propertyguru.com.sg/listing/for-rent-chancery-court-500286114</x:v>
      </x:c>
      <x:c r="Q915" s="12" t="str">
        <x:v>Pre-registered source-rubric-v1; grade applied before outputs.</x:v>
      </x:c>
      <x:c r="R915" s="13"/>
    </x:row>
    <x:row r="916" ht="15" hidden="0" customHeight="1">
      <x:c r="A916" s="2" t="str">
        <x:v>S30|19269144</x:v>
      </x:c>
      <x:c r="B916" s="2" t="str">
        <x:v>S30</x:v>
      </x:c>
      <x:c r="C916" s="2" t="str">
        <x:v>19269144</x:v>
      </x:c>
      <x:c r="D916" s="2" t="n">
        <x:v>0</x:v>
      </x:c>
      <x:c r="E916" s="9"/>
      <x:c r="F916" s="2" t="n">
        <x:f>IF(E916="",D916,IF(E916="U","U",IF(AND(ISNUMBER(E916),E916&gt;=0,E916&lt;=3,INT(E916)=E916),E916,"Invalid")))</x:f>
        <x:v>0</x:v>
      </x:c>
      <x:c r="G916" s="2" t="n">
        <x:f>IF(ISNUMBER(F916),1,0)</x:f>
        <x:v>1</x:v>
      </x:c>
      <x:c r="H916" s="2" t="n">
        <x:f>IF(ISNUMBER(F916),IF(F916&gt;=2,1,0),0)</x:f>
        <x:v>0</x:v>
      </x:c>
      <x:c r="I916" s="11" t="n">
        <x:f>IF(ISNUMBER(F916),2^F916-1,0)</x:f>
        <x:v>0</x:v>
      </x:c>
      <x:c r="J916" s="2" t="str">
        <x:v>Extension pre-run 600</x:v>
      </x:c>
      <x:c r="K916" s="10" t="n">
        <x:v>6800</x:v>
      </x:c>
      <x:c r="L916" s="10" t="n">
        <x:v>2</x:v>
      </x:c>
      <x:c r="M916" s="10" t="n">
        <x:v>1238</x:v>
      </x:c>
      <x:c r="N916" s="2" t="str">
        <x:v>D10</x:v>
      </x:c>
      <x:c r="O916" s="2" t="str">
        <x:v>condominium</x:v>
      </x:c>
      <x:c r="P916" s="2" t="str">
        <x:v>https://www.propertyguru.com.sg/listing/for-rent-cuscaden-residences-19269144</x:v>
      </x:c>
      <x:c r="Q916" s="12" t="str">
        <x:v>Pre-registered source-rubric-v1; grade applied before outputs.</x:v>
      </x:c>
      <x:c r="R916" s="13"/>
    </x:row>
    <x:row r="917" ht="15" hidden="0" customHeight="1">
      <x:c r="A917" s="2" t="str">
        <x:v>S30|500265753</x:v>
      </x:c>
      <x:c r="B917" s="2" t="str">
        <x:v>S30</x:v>
      </x:c>
      <x:c r="C917" s="2" t="str">
        <x:v>500265753</x:v>
      </x:c>
      <x:c r="D917" s="2" t="n">
        <x:v>0</x:v>
      </x:c>
      <x:c r="E917" s="9"/>
      <x:c r="F917" s="2" t="n">
        <x:f>IF(E917="",D917,IF(E917="U","U",IF(AND(ISNUMBER(E917),E917&gt;=0,E917&lt;=3,INT(E917)=E917),E917,"Invalid")))</x:f>
        <x:v>0</x:v>
      </x:c>
      <x:c r="G917" s="2" t="n">
        <x:f>IF(ISNUMBER(F917),1,0)</x:f>
        <x:v>1</x:v>
      </x:c>
      <x:c r="H917" s="2" t="n">
        <x:f>IF(ISNUMBER(F917),IF(F917&gt;=2,1,0),0)</x:f>
        <x:v>0</x:v>
      </x:c>
      <x:c r="I917" s="11" t="n">
        <x:f>IF(ISNUMBER(F917),2^F917-1,0)</x:f>
        <x:v>0</x:v>
      </x:c>
      <x:c r="J917" s="2" t="str">
        <x:v>Extension pre-run 600</x:v>
      </x:c>
      <x:c r="K917" s="10" t="n">
        <x:v>6200</x:v>
      </x:c>
      <x:c r="L917" s="10" t="n">
        <x:v>3</x:v>
      </x:c>
      <x:c r="M917" s="10" t="n">
        <x:v>1087</x:v>
      </x:c>
      <x:c r="N917" s="2" t="str">
        <x:v>D13</x:v>
      </x:c>
      <x:c r="O917" s="2" t="str">
        <x:v>walk-up apartment</x:v>
      </x:c>
      <x:c r="P917" s="2" t="str">
        <x:v>https://www.propertyguru.com.sg/listing/for-rent-3a-jalan-wangi-500265753</x:v>
      </x:c>
      <x:c r="Q917" s="12" t="str">
        <x:v>Pre-registered source-rubric-v1; grade applied before outputs.</x:v>
      </x:c>
      <x:c r="R917" s="13"/>
    </x:row>
    <x:row r="918" ht="15" hidden="0" customHeight="1">
      <x:c r="A918" s="2" t="str">
        <x:v>S30|500189699</x:v>
      </x:c>
      <x:c r="B918" s="2" t="str">
        <x:v>S30</x:v>
      </x:c>
      <x:c r="C918" s="2" t="str">
        <x:v>500189699</x:v>
      </x:c>
      <x:c r="D918" s="2" t="n">
        <x:v>0</x:v>
      </x:c>
      <x:c r="E918" s="9"/>
      <x:c r="F918" s="2" t="n">
        <x:f>IF(E918="",D918,IF(E918="U","U",IF(AND(ISNUMBER(E918),E918&gt;=0,E918&lt;=3,INT(E918)=E918),E918,"Invalid")))</x:f>
        <x:v>0</x:v>
      </x:c>
      <x:c r="G918" s="2" t="n">
        <x:f>IF(ISNUMBER(F918),1,0)</x:f>
        <x:v>1</x:v>
      </x:c>
      <x:c r="H918" s="2" t="n">
        <x:f>IF(ISNUMBER(F918),IF(F918&gt;=2,1,0),0)</x:f>
        <x:v>0</x:v>
      </x:c>
      <x:c r="I918" s="11" t="n">
        <x:f>IF(ISNUMBER(F918),2^F918-1,0)</x:f>
        <x:v>0</x:v>
      </x:c>
      <x:c r="J918" s="2" t="str">
        <x:v>Extension pre-run 600</x:v>
      </x:c>
      <x:c r="K918" s="10" t="n">
        <x:v>850</x:v>
      </x:c>
      <x:c r="L918" s="10" t="n">
        <x:v>1</x:v>
      </x:c>
      <x:c r="M918" s="10" t="n">
        <x:v>107</x:v>
      </x:c>
      <x:c r="N918" s="2" t="str">
        <x:v>D22</x:v>
      </x:c>
      <x:c r="O918" s="2" t="str">
        <x:v>hdb flat</x:v>
      </x:c>
      <x:c r="P918" s="2" t="str">
        <x:v>https://www.propertyguru.com.sg/listing/hdb-for-rent-305-jurong-east-street-32-500189699</x:v>
      </x:c>
      <x:c r="Q918" s="12" t="str">
        <x:v>Pre-registered source-rubric-v1; grade applied before outputs.</x:v>
      </x:c>
      <x:c r="R918" s="13"/>
    </x:row>
    <x:row r="919" ht="15" hidden="0" customHeight="1">
      <x:c r="A919" s="2" t="str">
        <x:v>S30|500275423</x:v>
      </x:c>
      <x:c r="B919" s="2" t="str">
        <x:v>S30</x:v>
      </x:c>
      <x:c r="C919" s="2" t="str">
        <x:v>500275423</x:v>
      </x:c>
      <x:c r="D919" s="2" t="n">
        <x:v>0</x:v>
      </x:c>
      <x:c r="E919" s="9"/>
      <x:c r="F919" s="2" t="n">
        <x:f>IF(E919="",D919,IF(E919="U","U",IF(AND(ISNUMBER(E919),E919&gt;=0,E919&lt;=3,INT(E919)=E919),E919,"Invalid")))</x:f>
        <x:v>0</x:v>
      </x:c>
      <x:c r="G919" s="2" t="n">
        <x:f>IF(ISNUMBER(F919),1,0)</x:f>
        <x:v>1</x:v>
      </x:c>
      <x:c r="H919" s="2" t="n">
        <x:f>IF(ISNUMBER(F919),IF(F919&gt;=2,1,0),0)</x:f>
        <x:v>0</x:v>
      </x:c>
      <x:c r="I919" s="11" t="n">
        <x:f>IF(ISNUMBER(F919),2^F919-1,0)</x:f>
        <x:v>0</x:v>
      </x:c>
      <x:c r="J919" s="2" t="str">
        <x:v>Extension pre-run 600</x:v>
      </x:c>
      <x:c r="K919" s="10" t="n">
        <x:v>7000</x:v>
      </x:c>
      <x:c r="L919" s="10" t="n">
        <x:v>4</x:v>
      </x:c>
      <x:c r="M919" s="10" t="n">
        <x:v>2100</x:v>
      </x:c>
      <x:c r="N919" s="2" t="str">
        <x:v>D15</x:v>
      </x:c>
      <x:c r="O919" s="2" t="str">
        <x:v>corner terrace</x:v>
      </x:c>
      <x:c r="P919" s="2" t="str">
        <x:v>https://www.propertyguru.com.sg/listing/for-rent-d15-moments-away-from-i12katong-500275423</x:v>
      </x:c>
      <x:c r="Q919" s="12" t="str">
        <x:v>Pre-registered source-rubric-v1; grade applied before outputs.</x:v>
      </x:c>
      <x:c r="R919" s="13"/>
    </x:row>
    <x:row r="920" ht="15" hidden="0" customHeight="1">
      <x:c r="A920" s="2" t="str">
        <x:v>S30|500258598</x:v>
      </x:c>
      <x:c r="B920" s="2" t="str">
        <x:v>S30</x:v>
      </x:c>
      <x:c r="C920" s="2" t="str">
        <x:v>500258598</x:v>
      </x:c>
      <x:c r="D920" s="2" t="n">
        <x:v>0</x:v>
      </x:c>
      <x:c r="E920" s="9"/>
      <x:c r="F920" s="2" t="n">
        <x:f>IF(E920="",D920,IF(E920="U","U",IF(AND(ISNUMBER(E920),E920&gt;=0,E920&lt;=3,INT(E920)=E920),E920,"Invalid")))</x:f>
        <x:v>0</x:v>
      </x:c>
      <x:c r="G920" s="2" t="n">
        <x:f>IF(ISNUMBER(F920),1,0)</x:f>
        <x:v>1</x:v>
      </x:c>
      <x:c r="H920" s="2" t="n">
        <x:f>IF(ISNUMBER(F920),IF(F920&gt;=2,1,0),0)</x:f>
        <x:v>0</x:v>
      </x:c>
      <x:c r="I920" s="11" t="n">
        <x:f>IF(ISNUMBER(F920),2^F920-1,0)</x:f>
        <x:v>0</x:v>
      </x:c>
      <x:c r="J920" s="2" t="str">
        <x:v>Extension pre-run 600</x:v>
      </x:c>
      <x:c r="K920" s="10" t="n">
        <x:v>36000</x:v>
      </x:c>
      <x:c r="L920" s="10" t="n">
        <x:v>4</x:v>
      </x:c>
      <x:c r="M920" s="10" t="n">
        <x:v>11000</x:v>
      </x:c>
      <x:c r="N920" s="2" t="str">
        <x:v>D10</x:v>
      </x:c>
      <x:c r="O920" s="2" t="str">
        <x:v>semi-detached house</x:v>
      </x:c>
      <x:c r="P920" s="2" t="str">
        <x:v>https://www.propertyguru.com.sg/listing/for-rent-orchard-boulevard-500258598</x:v>
      </x:c>
      <x:c r="Q920" s="12" t="str">
        <x:v>Pre-registered source-rubric-v1; grade applied before outputs.</x:v>
      </x:c>
      <x:c r="R920" s="13"/>
    </x:row>
    <x:row r="921" ht="15" hidden="0" customHeight="1">
      <x:c r="A921" s="2" t="str">
        <x:v>S30|500201272</x:v>
      </x:c>
      <x:c r="B921" s="2" t="str">
        <x:v>S30</x:v>
      </x:c>
      <x:c r="C921" s="2" t="str">
        <x:v>500201272</x:v>
      </x:c>
      <x:c r="D921" s="2" t="n">
        <x:v>0</x:v>
      </x:c>
      <x:c r="E921" s="9"/>
      <x:c r="F921" s="2" t="n">
        <x:f>IF(E921="",D921,IF(E921="U","U",IF(AND(ISNUMBER(E921),E921&gt;=0,E921&lt;=3,INT(E921)=E921),E921,"Invalid")))</x:f>
        <x:v>0</x:v>
      </x:c>
      <x:c r="G921" s="2" t="n">
        <x:f>IF(ISNUMBER(F921),1,0)</x:f>
        <x:v>1</x:v>
      </x:c>
      <x:c r="H921" s="2" t="n">
        <x:f>IF(ISNUMBER(F921),IF(F921&gt;=2,1,0),0)</x:f>
        <x:v>0</x:v>
      </x:c>
      <x:c r="I921" s="11" t="n">
        <x:f>IF(ISNUMBER(F921),2^F921-1,0)</x:f>
        <x:v>0</x:v>
      </x:c>
      <x:c r="J921" s="2" t="str">
        <x:v>Extension pre-run 600</x:v>
      </x:c>
      <x:c r="K921" s="10" t="n">
        <x:v>8200</x:v>
      </x:c>
      <x:c r="L921" s="10" t="n">
        <x:v>3</x:v>
      </x:c>
      <x:c r="M921" s="10" t="n">
        <x:v>1300</x:v>
      </x:c>
      <x:c r="N921" s="2" t="str">
        <x:v>D21</x:v>
      </x:c>
      <x:c r="O921" s="2" t="str">
        <x:v>condominium</x:v>
      </x:c>
      <x:c r="P921" s="2" t="str">
        <x:v>https://www.propertyguru.com.sg/listing/for-rent-floridian-500201272</x:v>
      </x:c>
      <x:c r="Q921" s="12" t="str">
        <x:v>Pre-registered source-rubric-v1; grade applied before outputs.</x:v>
      </x:c>
      <x:c r="R921" s="13"/>
    </x:row>
    <x:row r="922" ht="15" hidden="0" customHeight="1">
      <x:c r="A922" s="2" t="str">
        <x:v>S30|500288455</x:v>
      </x:c>
      <x:c r="B922" s="2" t="str">
        <x:v>S30</x:v>
      </x:c>
      <x:c r="C922" s="2" t="str">
        <x:v>500288455</x:v>
      </x:c>
      <x:c r="D922" s="2" t="n">
        <x:v>0</x:v>
      </x:c>
      <x:c r="E922" s="9"/>
      <x:c r="F922" s="2" t="n">
        <x:f>IF(E922="",D922,IF(E922="U","U",IF(AND(ISNUMBER(E922),E922&gt;=0,E922&lt;=3,INT(E922)=E922),E922,"Invalid")))</x:f>
        <x:v>0</x:v>
      </x:c>
      <x:c r="G922" s="2" t="n">
        <x:f>IF(ISNUMBER(F922),1,0)</x:f>
        <x:v>1</x:v>
      </x:c>
      <x:c r="H922" s="2" t="n">
        <x:f>IF(ISNUMBER(F922),IF(F922&gt;=2,1,0),0)</x:f>
        <x:v>0</x:v>
      </x:c>
      <x:c r="I922" s="11" t="n">
        <x:f>IF(ISNUMBER(F922),2^F922-1,0)</x:f>
        <x:v>0</x:v>
      </x:c>
      <x:c r="J922" s="2" t="str">
        <x:v>Extension pre-run 600</x:v>
      </x:c>
      <x:c r="K922" s="10" t="n">
        <x:v>2390</x:v>
      </x:c>
      <x:c r="L922" s="10" t="n">
        <x:v>2</x:v>
      </x:c>
      <x:c r="M922" s="10" t="n">
        <x:v>403</x:v>
      </x:c>
      <x:c r="N922" s="2" t="str">
        <x:v>D19</x:v>
      </x:c>
      <x:c r="O922" s="2" t="str">
        <x:v>hdb flat</x:v>
      </x:c>
      <x:c r="P922" s="2" t="str">
        <x:v>https://www.propertyguru.com.sg/listing/hdb-for-rent-250c-compassvale-street-500288455</x:v>
      </x:c>
      <x:c r="Q922" s="12" t="str">
        <x:v>Pre-registered source-rubric-v1; grade applied before outputs.</x:v>
      </x:c>
      <x:c r="R922" s="13"/>
    </x:row>
    <x:row r="923" ht="15" hidden="0" customHeight="1">
      <x:c r="A923" s="2" t="str">
        <x:v>S30|500068015</x:v>
      </x:c>
      <x:c r="B923" s="2" t="str">
        <x:v>S30</x:v>
      </x:c>
      <x:c r="C923" s="2" t="str">
        <x:v>500068015</x:v>
      </x:c>
      <x:c r="D923" s="2" t="str">
        <x:v>U</x:v>
      </x:c>
      <x:c r="E923" s="9"/>
      <x:c r="F923" s="2" t="str">
        <x:f>IF(E923="",D923,IF(E923="U","U",IF(AND(ISNUMBER(E923),E923&gt;=0,E923&lt;=3,INT(E923)=E923),E923,"Invalid")))</x:f>
        <x:v>U</x:v>
      </x:c>
      <x:c r="G923" s="2" t="n">
        <x:f>IF(ISNUMBER(F923),1,0)</x:f>
        <x:v>0</x:v>
      </x:c>
      <x:c r="H923" s="2" t="n">
        <x:f>IF(ISNUMBER(F923),IF(F923&gt;=2,1,0),0)</x:f>
        <x:v>0</x:v>
      </x:c>
      <x:c r="I923" s="11" t="n">
        <x:f>IF(ISNUMBER(F923),2^F923-1,0)</x:f>
        <x:v>0</x:v>
      </x:c>
      <x:c r="J923" s="2" t="str">
        <x:v>Extension pre-run 600</x:v>
      </x:c>
      <x:c r="K923" s="10" t="n">
        <x:v>2300</x:v>
      </x:c>
      <x:c r="L923" s="10"/>
      <x:c r="M923" s="10" t="n">
        <x:v>100</x:v>
      </x:c>
      <x:c r="N923" s="2" t="str">
        <x:v>D07</x:v>
      </x:c>
      <x:c r="O923" s="2" t="str">
        <x:v>apartment</x:v>
      </x:c>
      <x:c r="P923" s="2" t="str">
        <x:v>https://www.propertyguru.com.sg/listing/for-rent-coliwoo-midtown-near-smu-kaplan-bugis-area-500068015</x:v>
      </x:c>
      <x:c r="Q923" s="12" t="str">
        <x:v>Pre-registered source-rubric-v1; grade applied before outputs.</x:v>
      </x:c>
      <x:c r="R923" s="13"/>
    </x:row>
    <x:row r="924" ht="15" hidden="0" customHeight="1">
      <x:c r="A924" s="2" t="str">
        <x:v>S30|22105419</x:v>
      </x:c>
      <x:c r="B924" s="2" t="str">
        <x:v>S30</x:v>
      </x:c>
      <x:c r="C924" s="2" t="str">
        <x:v>22105419</x:v>
      </x:c>
      <x:c r="D924" s="2" t="str">
        <x:v>U</x:v>
      </x:c>
      <x:c r="E924" s="9"/>
      <x:c r="F924" s="2" t="str">
        <x:f>IF(E924="",D924,IF(E924="U","U",IF(AND(ISNUMBER(E924),E924&gt;=0,E924&lt;=3,INT(E924)=E924),E924,"Invalid")))</x:f>
        <x:v>U</x:v>
      </x:c>
      <x:c r="G924" s="2" t="n">
        <x:f>IF(ISNUMBER(F924),1,0)</x:f>
        <x:v>0</x:v>
      </x:c>
      <x:c r="H924" s="2" t="n">
        <x:f>IF(ISNUMBER(F924),IF(F924&gt;=2,1,0),0)</x:f>
        <x:v>0</x:v>
      </x:c>
      <x:c r="I924" s="11" t="n">
        <x:f>IF(ISNUMBER(F924),2^F924-1,0)</x:f>
        <x:v>0</x:v>
      </x:c>
      <x:c r="J924" s="2" t="str">
        <x:v>Extension pre-run 600</x:v>
      </x:c>
      <x:c r="K924" s="10" t="n">
        <x:v>2800</x:v>
      </x:c>
      <x:c r="L924" s="10"/>
      <x:c r="M924" s="10" t="n">
        <x:v>350</x:v>
      </x:c>
      <x:c r="N924" s="2" t="str">
        <x:v>D09</x:v>
      </x:c>
      <x:c r="O924" s="2" t="str">
        <x:v>conservation house</x:v>
      </x:c>
      <x:c r="P924" s="2" t="str">
        <x:v>https://www.propertyguru.com.sg/listing/for-rent-designer-conservation-studio-22105419</x:v>
      </x:c>
      <x:c r="Q924" s="12" t="str">
        <x:v>Pre-registered source-rubric-v1; grade applied before outputs.</x:v>
      </x:c>
      <x:c r="R924" s="13"/>
    </x:row>
    <x:row r="925" ht="15" hidden="0" customHeight="1">
      <x:c r="A925" s="2" t="str">
        <x:v>S31|24729640</x:v>
      </x:c>
      <x:c r="B925" s="2" t="str">
        <x:v>S31</x:v>
      </x:c>
      <x:c r="C925" s="2" t="str">
        <x:v>24729640</x:v>
      </x:c>
      <x:c r="D925" s="2" t="n">
        <x:v>3</x:v>
      </x:c>
      <x:c r="E925" s="9"/>
      <x:c r="F925" s="2" t="n">
        <x:f>IF(E925="",D925,IF(E925="U","U",IF(AND(ISNUMBER(E925),E925&gt;=0,E925&lt;=3,INT(E925)=E925),E925,"Invalid")))</x:f>
        <x:v>3</x:v>
      </x:c>
      <x:c r="G925" s="2" t="n">
        <x:f>IF(ISNUMBER(F925),1,0)</x:f>
        <x:v>1</x:v>
      </x:c>
      <x:c r="H925" s="2" t="n">
        <x:f>IF(ISNUMBER(F925),IF(F925&gt;=2,1,0),0)</x:f>
        <x:v>1</x:v>
      </x:c>
      <x:c r="I925" s="11" t="n">
        <x:f>IF(ISNUMBER(F925),2^F925-1,0)</x:f>
        <x:v>7</x:v>
      </x:c>
      <x:c r="J925" s="2" t="str">
        <x:v>Extension pre-run 600</x:v>
      </x:c>
      <x:c r="K925" s="10" t="n">
        <x:v>3200</x:v>
      </x:c>
      <x:c r="L925" s="10" t="n">
        <x:v>2</x:v>
      </x:c>
      <x:c r="M925" s="10" t="n">
        <x:v>1119</x:v>
      </x:c>
      <x:c r="N925" s="2" t="str">
        <x:v>D23</x:v>
      </x:c>
      <x:c r="O925" s="2" t="str">
        <x:v>hdb flat</x:v>
      </x:c>
      <x:c r="P925" s="2" t="str">
        <x:v>https://www.propertyguru.com.sg/listing/hdb-for-rent-204-petir-road-24729640</x:v>
      </x:c>
      <x:c r="Q925" s="12" t="str">
        <x:v>Pre-registered source-rubric-v1; grade applied before outputs.</x:v>
      </x:c>
      <x:c r="R925" s="13"/>
    </x:row>
    <x:row r="926" ht="15" hidden="0" customHeight="1">
      <x:c r="A926" s="2" t="str">
        <x:v>S31|500219692</x:v>
      </x:c>
      <x:c r="B926" s="2" t="str">
        <x:v>S31</x:v>
      </x:c>
      <x:c r="C926" s="2" t="str">
        <x:v>500219692</x:v>
      </x:c>
      <x:c r="D926" s="2" t="n">
        <x:v>3</x:v>
      </x:c>
      <x:c r="E926" s="9"/>
      <x:c r="F926" s="2" t="n">
        <x:f>IF(E926="",D926,IF(E926="U","U",IF(AND(ISNUMBER(E926),E926&gt;=0,E926&lt;=3,INT(E926)=E926),E926,"Invalid")))</x:f>
        <x:v>3</x:v>
      </x:c>
      <x:c r="G926" s="2" t="n">
        <x:f>IF(ISNUMBER(F926),1,0)</x:f>
        <x:v>1</x:v>
      </x:c>
      <x:c r="H926" s="2" t="n">
        <x:f>IF(ISNUMBER(F926),IF(F926&gt;=2,1,0),0)</x:f>
        <x:v>1</x:v>
      </x:c>
      <x:c r="I926" s="11" t="n">
        <x:f>IF(ISNUMBER(F926),2^F926-1,0)</x:f>
        <x:v>7</x:v>
      </x:c>
      <x:c r="J926" s="2" t="str">
        <x:v>Extension pre-run 600</x:v>
      </x:c>
      <x:c r="K926" s="10" t="n">
        <x:v>3800</x:v>
      </x:c>
      <x:c r="L926" s="10" t="n">
        <x:v>3</x:v>
      </x:c>
      <x:c r="M926" s="10" t="n">
        <x:v>1184</x:v>
      </x:c>
      <x:c r="N926" s="2" t="str">
        <x:v>D19</x:v>
      </x:c>
      <x:c r="O926" s="2" t="str">
        <x:v>hdb flat</x:v>
      </x:c>
      <x:c r="P926" s="2" t="str">
        <x:v>https://www.propertyguru.com.sg/listing/hdb-for-rent-321b-anchorvale-drive-500219692</x:v>
      </x:c>
      <x:c r="Q926" s="12" t="str">
        <x:v>Pre-registered source-rubric-v1; grade applied before outputs.</x:v>
      </x:c>
      <x:c r="R926" s="13"/>
    </x:row>
    <x:row r="927" ht="15" hidden="0" customHeight="1">
      <x:c r="A927" s="2" t="str">
        <x:v>S31|500272088</x:v>
      </x:c>
      <x:c r="B927" s="2" t="str">
        <x:v>S31</x:v>
      </x:c>
      <x:c r="C927" s="2" t="str">
        <x:v>500272088</x:v>
      </x:c>
      <x:c r="D927" s="2" t="n">
        <x:v>3</x:v>
      </x:c>
      <x:c r="E927" s="9"/>
      <x:c r="F927" s="2" t="n">
        <x:f>IF(E927="",D927,IF(E927="U","U",IF(AND(ISNUMBER(E927),E927&gt;=0,E927&lt;=3,INT(E927)=E927),E927,"Invalid")))</x:f>
        <x:v>3</x:v>
      </x:c>
      <x:c r="G927" s="2" t="n">
        <x:f>IF(ISNUMBER(F927),1,0)</x:f>
        <x:v>1</x:v>
      </x:c>
      <x:c r="H927" s="2" t="n">
        <x:f>IF(ISNUMBER(F927),IF(F927&gt;=2,1,0),0)</x:f>
        <x:v>1</x:v>
      </x:c>
      <x:c r="I927" s="11" t="n">
        <x:f>IF(ISNUMBER(F927),2^F927-1,0)</x:f>
        <x:v>7</x:v>
      </x:c>
      <x:c r="J927" s="2" t="str">
        <x:v>Extension pre-run 600</x:v>
      </x:c>
      <x:c r="K927" s="10" t="n">
        <x:v>4500</x:v>
      </x:c>
      <x:c r="L927" s="10" t="n">
        <x:v>3</x:v>
      </x:c>
      <x:c r="M927" s="10" t="n">
        <x:v>1593</x:v>
      </x:c>
      <x:c r="N927" s="2" t="str">
        <x:v>D19</x:v>
      </x:c>
      <x:c r="O927" s="2" t="str">
        <x:v>hdb flat</x:v>
      </x:c>
      <x:c r="P927" s="2" t="str">
        <x:v>https://www.propertyguru.com.sg/listing/hdb-for-rent-221-hougang-street-21-500272088</x:v>
      </x:c>
      <x:c r="Q927" s="12" t="str">
        <x:v>Pre-registered source-rubric-v1; grade applied before outputs.</x:v>
      </x:c>
      <x:c r="R927" s="13"/>
    </x:row>
    <x:row r="928" ht="15" hidden="0" customHeight="1">
      <x:c r="A928" s="2" t="str">
        <x:v>S31|500257208</x:v>
      </x:c>
      <x:c r="B928" s="2" t="str">
        <x:v>S31</x:v>
      </x:c>
      <x:c r="C928" s="2" t="str">
        <x:v>500257208</x:v>
      </x:c>
      <x:c r="D928" s="2" t="n">
        <x:v>3</x:v>
      </x:c>
      <x:c r="E928" s="9"/>
      <x:c r="F928" s="2" t="n">
        <x:f>IF(E928="",D928,IF(E928="U","U",IF(AND(ISNUMBER(E928),E928&gt;=0,E928&lt;=3,INT(E928)=E928),E928,"Invalid")))</x:f>
        <x:v>3</x:v>
      </x:c>
      <x:c r="G928" s="2" t="n">
        <x:f>IF(ISNUMBER(F928),1,0)</x:f>
        <x:v>1</x:v>
      </x:c>
      <x:c r="H928" s="2" t="n">
        <x:f>IF(ISNUMBER(F928),IF(F928&gt;=2,1,0),0)</x:f>
        <x:v>1</x:v>
      </x:c>
      <x:c r="I928" s="11" t="n">
        <x:f>IF(ISNUMBER(F928),2^F928-1,0)</x:f>
        <x:v>7</x:v>
      </x:c>
      <x:c r="J928" s="2" t="str">
        <x:v>Extension pre-run 600</x:v>
      </x:c>
      <x:c r="K928" s="10" t="n">
        <x:v>3600</x:v>
      </x:c>
      <x:c r="L928" s="10" t="n">
        <x:v>3</x:v>
      </x:c>
      <x:c r="M928" s="10" t="n">
        <x:v>1001</x:v>
      </x:c>
      <x:c r="N928" s="2" t="str">
        <x:v>D25</x:v>
      </x:c>
      <x:c r="O928" s="2" t="str">
        <x:v>hdb flat</x:v>
      </x:c>
      <x:c r="P928" s="2" t="str">
        <x:v>https://www.propertyguru.com.sg/listing/hdb-for-rent-847-woodlands-street-82-500257208</x:v>
      </x:c>
      <x:c r="Q928" s="12" t="str">
        <x:v>Pre-registered source-rubric-v1; grade applied before outputs.</x:v>
      </x:c>
      <x:c r="R928" s="13"/>
    </x:row>
    <x:row r="929" ht="15" hidden="0" customHeight="1">
      <x:c r="A929" s="2" t="str">
        <x:v>S31|500288191</x:v>
      </x:c>
      <x:c r="B929" s="2" t="str">
        <x:v>S31</x:v>
      </x:c>
      <x:c r="C929" s="2" t="str">
        <x:v>500288191</x:v>
      </x:c>
      <x:c r="D929" s="2" t="n">
        <x:v>3</x:v>
      </x:c>
      <x:c r="E929" s="9"/>
      <x:c r="F929" s="2" t="n">
        <x:f>IF(E929="",D929,IF(E929="U","U",IF(AND(ISNUMBER(E929),E929&gt;=0,E929&lt;=3,INT(E929)=E929),E929,"Invalid")))</x:f>
        <x:v>3</x:v>
      </x:c>
      <x:c r="G929" s="2" t="n">
        <x:f>IF(ISNUMBER(F929),1,0)</x:f>
        <x:v>1</x:v>
      </x:c>
      <x:c r="H929" s="2" t="n">
        <x:f>IF(ISNUMBER(F929),IF(F929&gt;=2,1,0),0)</x:f>
        <x:v>1</x:v>
      </x:c>
      <x:c r="I929" s="11" t="n">
        <x:f>IF(ISNUMBER(F929),2^F929-1,0)</x:f>
        <x:v>7</x:v>
      </x:c>
      <x:c r="J929" s="2" t="str">
        <x:v>Extension pre-run 600</x:v>
      </x:c>
      <x:c r="K929" s="10" t="n">
        <x:v>3800</x:v>
      </x:c>
      <x:c r="L929" s="10" t="n">
        <x:v>3</x:v>
      </x:c>
      <x:c r="M929" s="10" t="n">
        <x:v>990</x:v>
      </x:c>
      <x:c r="N929" s="2" t="str">
        <x:v>D19</x:v>
      </x:c>
      <x:c r="O929" s="2" t="str">
        <x:v>hdb flat</x:v>
      </x:c>
      <x:c r="P929" s="2" t="str">
        <x:v>https://www.propertyguru.com.sg/listing/hdb-for-rent-470a-upper-serangoon-crescent-500288191</x:v>
      </x:c>
      <x:c r="Q929" s="12" t="str">
        <x:v>Pre-registered source-rubric-v1; grade applied before outputs.</x:v>
      </x:c>
      <x:c r="R929" s="13"/>
    </x:row>
    <x:row r="930" ht="15" hidden="0" customHeight="1">
      <x:c r="A930" s="2" t="str">
        <x:v>S31|500274390</x:v>
      </x:c>
      <x:c r="B930" s="2" t="str">
        <x:v>S31</x:v>
      </x:c>
      <x:c r="C930" s="2" t="str">
        <x:v>500274390</x:v>
      </x:c>
      <x:c r="D930" s="2" t="n">
        <x:v>3</x:v>
      </x:c>
      <x:c r="E930" s="9"/>
      <x:c r="F930" s="2" t="n">
        <x:f>IF(E930="",D930,IF(E930="U","U",IF(AND(ISNUMBER(E930),E930&gt;=0,E930&lt;=3,INT(E930)=E930),E930,"Invalid")))</x:f>
        <x:v>3</x:v>
      </x:c>
      <x:c r="G930" s="2" t="n">
        <x:f>IF(ISNUMBER(F930),1,0)</x:f>
        <x:v>1</x:v>
      </x:c>
      <x:c r="H930" s="2" t="n">
        <x:f>IF(ISNUMBER(F930),IF(F930&gt;=2,1,0),0)</x:f>
        <x:v>1</x:v>
      </x:c>
      <x:c r="I930" s="11" t="n">
        <x:f>IF(ISNUMBER(F930),2^F930-1,0)</x:f>
        <x:v>7</x:v>
      </x:c>
      <x:c r="J930" s="2" t="str">
        <x:v>Extension pre-run 600</x:v>
      </x:c>
      <x:c r="K930" s="10" t="n">
        <x:v>3700</x:v>
      </x:c>
      <x:c r="L930" s="10" t="n">
        <x:v>3</x:v>
      </x:c>
      <x:c r="M930" s="10" t="n">
        <x:v>980</x:v>
      </x:c>
      <x:c r="N930" s="2" t="str">
        <x:v>D23</x:v>
      </x:c>
      <x:c r="O930" s="2" t="str">
        <x:v>hdb flat</x:v>
      </x:c>
      <x:c r="P930" s="2" t="str">
        <x:v>https://www.propertyguru.com.sg/listing/hdb-for-rent-183-jelebu-road-500274390</x:v>
      </x:c>
      <x:c r="Q930" s="12" t="str">
        <x:v>Pre-registered source-rubric-v1; grade applied before outputs.</x:v>
      </x:c>
      <x:c r="R930" s="13"/>
    </x:row>
    <x:row r="931" ht="15" hidden="0" customHeight="1">
      <x:c r="A931" s="2" t="str">
        <x:v>S31|500280033</x:v>
      </x:c>
      <x:c r="B931" s="2" t="str">
        <x:v>S31</x:v>
      </x:c>
      <x:c r="C931" s="2" t="str">
        <x:v>500280033</x:v>
      </x:c>
      <x:c r="D931" s="2" t="n">
        <x:v>2</x:v>
      </x:c>
      <x:c r="E931" s="9"/>
      <x:c r="F931" s="2" t="n">
        <x:f>IF(E931="",D931,IF(E931="U","U",IF(AND(ISNUMBER(E931),E931&gt;=0,E931&lt;=3,INT(E931)=E931),E931,"Invalid")))</x:f>
        <x:v>2</x:v>
      </x:c>
      <x:c r="G931" s="2" t="n">
        <x:f>IF(ISNUMBER(F931),1,0)</x:f>
        <x:v>1</x:v>
      </x:c>
      <x:c r="H931" s="2" t="n">
        <x:f>IF(ISNUMBER(F931),IF(F931&gt;=2,1,0),0)</x:f>
        <x:v>1</x:v>
      </x:c>
      <x:c r="I931" s="11" t="n">
        <x:f>IF(ISNUMBER(F931),2^F931-1,0)</x:f>
        <x:v>3</x:v>
      </x:c>
      <x:c r="J931" s="2" t="str">
        <x:v>Extension pre-run 600</x:v>
      </x:c>
      <x:c r="K931" s="10" t="n">
        <x:v>4000</x:v>
      </x:c>
      <x:c r="L931" s="10" t="n">
        <x:v>3</x:v>
      </x:c>
      <x:c r="M931" s="10" t="n">
        <x:v>450</x:v>
      </x:c>
      <x:c r="N931" s="2" t="str">
        <x:v>D18</x:v>
      </x:c>
      <x:c r="O931" s="2" t="str">
        <x:v>hdb flat</x:v>
      </x:c>
      <x:c r="P931" s="2" t="str">
        <x:v>https://www.propertyguru.com.sg/listing/hdb-for-rent-568-pasir-ris-street-51-500280033</x:v>
      </x:c>
      <x:c r="Q931" s="12" t="str">
        <x:v>Pre-registered source-rubric-v1; grade applied before outputs.</x:v>
      </x:c>
      <x:c r="R931" s="13"/>
    </x:row>
    <x:row r="932" ht="15" hidden="0" customHeight="1">
      <x:c r="A932" s="2" t="str">
        <x:v>S31|19947200</x:v>
      </x:c>
      <x:c r="B932" s="2" t="str">
        <x:v>S31</x:v>
      </x:c>
      <x:c r="C932" s="2" t="str">
        <x:v>19947200</x:v>
      </x:c>
      <x:c r="D932" s="2" t="n">
        <x:v>2</x:v>
      </x:c>
      <x:c r="E932" s="9"/>
      <x:c r="F932" s="2" t="n">
        <x:f>IF(E932="",D932,IF(E932="U","U",IF(AND(ISNUMBER(E932),E932&gt;=0,E932&lt;=3,INT(E932)=E932),E932,"Invalid")))</x:f>
        <x:v>2</x:v>
      </x:c>
      <x:c r="G932" s="2" t="n">
        <x:f>IF(ISNUMBER(F932),1,0)</x:f>
        <x:v>1</x:v>
      </x:c>
      <x:c r="H932" s="2" t="n">
        <x:f>IF(ISNUMBER(F932),IF(F932&gt;=2,1,0),0)</x:f>
        <x:v>1</x:v>
      </x:c>
      <x:c r="I932" s="11" t="n">
        <x:f>IF(ISNUMBER(F932),2^F932-1,0)</x:f>
        <x:v>3</x:v>
      </x:c>
      <x:c r="J932" s="2" t="str">
        <x:v>Extension pre-run 600</x:v>
      </x:c>
      <x:c r="K932" s="10" t="n">
        <x:v>3100</x:v>
      </x:c>
      <x:c r="L932" s="10" t="n">
        <x:v>2</x:v>
      </x:c>
      <x:c r="M932" s="10" t="n">
        <x:v>797</x:v>
      </x:c>
      <x:c r="N932" s="2" t="str">
        <x:v>D18</x:v>
      </x:c>
      <x:c r="O932" s="2" t="str">
        <x:v>hdb flat</x:v>
      </x:c>
      <x:c r="P932" s="2" t="str">
        <x:v>https://www.propertyguru.com.sg/listing/hdb-for-rent-879-tampines-avenue-8-19947200</x:v>
      </x:c>
      <x:c r="Q932" s="12" t="str">
        <x:v>Pre-registered source-rubric-v1; grade applied before outputs.</x:v>
      </x:c>
      <x:c r="R932" s="13"/>
    </x:row>
    <x:row r="933" ht="15" hidden="0" customHeight="1">
      <x:c r="A933" s="2" t="str">
        <x:v>S31|20575241</x:v>
      </x:c>
      <x:c r="B933" s="2" t="str">
        <x:v>S31</x:v>
      </x:c>
      <x:c r="C933" s="2" t="str">
        <x:v>20575241</x:v>
      </x:c>
      <x:c r="D933" s="2" t="n">
        <x:v>2</x:v>
      </x:c>
      <x:c r="E933" s="9"/>
      <x:c r="F933" s="2" t="n">
        <x:f>IF(E933="",D933,IF(E933="U","U",IF(AND(ISNUMBER(E933),E933&gt;=0,E933&lt;=3,INT(E933)=E933),E933,"Invalid")))</x:f>
        <x:v>2</x:v>
      </x:c>
      <x:c r="G933" s="2" t="n">
        <x:f>IF(ISNUMBER(F933),1,0)</x:f>
        <x:v>1</x:v>
      </x:c>
      <x:c r="H933" s="2" t="n">
        <x:f>IF(ISNUMBER(F933),IF(F933&gt;=2,1,0),0)</x:f>
        <x:v>1</x:v>
      </x:c>
      <x:c r="I933" s="11" t="n">
        <x:f>IF(ISNUMBER(F933),2^F933-1,0)</x:f>
        <x:v>3</x:v>
      </x:c>
      <x:c r="J933" s="2" t="str">
        <x:v>Extension pre-run 600</x:v>
      </x:c>
      <x:c r="K933" s="10" t="n">
        <x:v>3100</x:v>
      </x:c>
      <x:c r="L933" s="10" t="n">
        <x:v>2</x:v>
      </x:c>
      <x:c r="M933" s="10" t="n">
        <x:v>732</x:v>
      </x:c>
      <x:c r="N933" s="2" t="str">
        <x:v>D23</x:v>
      </x:c>
      <x:c r="O933" s="2" t="str">
        <x:v>hdb flat</x:v>
      </x:c>
      <x:c r="P933" s="2" t="str">
        <x:v>https://www.propertyguru.com.sg/listing/hdb-for-rent-423-bukit-batok-west-avenue-2-20575241</x:v>
      </x:c>
      <x:c r="Q933" s="12" t="str">
        <x:v>Pre-registered source-rubric-v1; grade applied before outputs.</x:v>
      </x:c>
      <x:c r="R933" s="13"/>
    </x:row>
    <x:row r="934" ht="15" hidden="0" customHeight="1">
      <x:c r="A934" s="2" t="str">
        <x:v>S31|25274593</x:v>
      </x:c>
      <x:c r="B934" s="2" t="str">
        <x:v>S31</x:v>
      </x:c>
      <x:c r="C934" s="2" t="str">
        <x:v>25274593</x:v>
      </x:c>
      <x:c r="D934" s="2" t="n">
        <x:v>2</x:v>
      </x:c>
      <x:c r="E934" s="9"/>
      <x:c r="F934" s="2" t="n">
        <x:f>IF(E934="",D934,IF(E934="U","U",IF(AND(ISNUMBER(E934),E934&gt;=0,E934&lt;=3,INT(E934)=E934),E934,"Invalid")))</x:f>
        <x:v>2</x:v>
      </x:c>
      <x:c r="G934" s="2" t="n">
        <x:f>IF(ISNUMBER(F934),1,0)</x:f>
        <x:v>1</x:v>
      </x:c>
      <x:c r="H934" s="2" t="n">
        <x:f>IF(ISNUMBER(F934),IF(F934&gt;=2,1,0),0)</x:f>
        <x:v>1</x:v>
      </x:c>
      <x:c r="I934" s="11" t="n">
        <x:f>IF(ISNUMBER(F934),2^F934-1,0)</x:f>
        <x:v>3</x:v>
      </x:c>
      <x:c r="J934" s="2" t="str">
        <x:v>Extension pre-run 600</x:v>
      </x:c>
      <x:c r="K934" s="10" t="n">
        <x:v>2900</x:v>
      </x:c>
      <x:c r="L934" s="10" t="n">
        <x:v>2</x:v>
      </x:c>
      <x:c r="M934" s="10" t="n">
        <x:v>860</x:v>
      </x:c>
      <x:c r="N934" s="2" t="str">
        <x:v>D19</x:v>
      </x:c>
      <x:c r="O934" s="2" t="str">
        <x:v>hdb flat</x:v>
      </x:c>
      <x:c r="P934" s="2" t="str">
        <x:v>https://www.propertyguru.com.sg/listing/hdb-for-rent-178d-rivervale-crescent-25274593</x:v>
      </x:c>
      <x:c r="Q934" s="12" t="str">
        <x:v>Pre-registered source-rubric-v1; grade applied before outputs.</x:v>
      </x:c>
      <x:c r="R934" s="13"/>
    </x:row>
    <x:row r="935" ht="15" hidden="0" customHeight="1">
      <x:c r="A935" s="2" t="str">
        <x:v>S31|500225615</x:v>
      </x:c>
      <x:c r="B935" s="2" t="str">
        <x:v>S31</x:v>
      </x:c>
      <x:c r="C935" s="2" t="str">
        <x:v>500225615</x:v>
      </x:c>
      <x:c r="D935" s="2" t="n">
        <x:v>2</x:v>
      </x:c>
      <x:c r="E935" s="9"/>
      <x:c r="F935" s="2" t="n">
        <x:f>IF(E935="",D935,IF(E935="U","U",IF(AND(ISNUMBER(E935),E935&gt;=0,E935&lt;=3,INT(E935)=E935),E935,"Invalid")))</x:f>
        <x:v>2</x:v>
      </x:c>
      <x:c r="G935" s="2" t="n">
        <x:f>IF(ISNUMBER(F935),1,0)</x:f>
        <x:v>1</x:v>
      </x:c>
      <x:c r="H935" s="2" t="n">
        <x:f>IF(ISNUMBER(F935),IF(F935&gt;=2,1,0),0)</x:f>
        <x:v>1</x:v>
      </x:c>
      <x:c r="I935" s="11" t="n">
        <x:f>IF(ISNUMBER(F935),2^F935-1,0)</x:f>
        <x:v>3</x:v>
      </x:c>
      <x:c r="J935" s="2" t="str">
        <x:v>Extension pre-run 600</x:v>
      </x:c>
      <x:c r="K935" s="10" t="n">
        <x:v>2850</x:v>
      </x:c>
      <x:c r="L935" s="10" t="n">
        <x:v>2</x:v>
      </x:c>
      <x:c r="M935" s="10" t="n">
        <x:v>785</x:v>
      </x:c>
      <x:c r="N935" s="2" t="str">
        <x:v>D23</x:v>
      </x:c>
      <x:c r="O935" s="2" t="str">
        <x:v>hdb flat</x:v>
      </x:c>
      <x:c r="P935" s="2" t="str">
        <x:v>https://www.propertyguru.com.sg/listing/hdb-for-rent-104-gangsa-road-500225615</x:v>
      </x:c>
      <x:c r="Q935" s="12" t="str">
        <x:v>Pre-registered source-rubric-v1; grade applied before outputs.</x:v>
      </x:c>
      <x:c r="R935" s="13"/>
    </x:row>
    <x:row r="936" ht="15" hidden="0" customHeight="1">
      <x:c r="A936" s="2" t="str">
        <x:v>S31|500260846</x:v>
      </x:c>
      <x:c r="B936" s="2" t="str">
        <x:v>S31</x:v>
      </x:c>
      <x:c r="C936" s="2" t="str">
        <x:v>500260846</x:v>
      </x:c>
      <x:c r="D936" s="2" t="n">
        <x:v>2</x:v>
      </x:c>
      <x:c r="E936" s="9"/>
      <x:c r="F936" s="2" t="n">
        <x:f>IF(E936="",D936,IF(E936="U","U",IF(AND(ISNUMBER(E936),E936&gt;=0,E936&lt;=3,INT(E936)=E936),E936,"Invalid")))</x:f>
        <x:v>2</x:v>
      </x:c>
      <x:c r="G936" s="2" t="n">
        <x:f>IF(ISNUMBER(F936),1,0)</x:f>
        <x:v>1</x:v>
      </x:c>
      <x:c r="H936" s="2" t="n">
        <x:f>IF(ISNUMBER(F936),IF(F936&gt;=2,1,0),0)</x:f>
        <x:v>1</x:v>
      </x:c>
      <x:c r="I936" s="11" t="n">
        <x:f>IF(ISNUMBER(F936),2^F936-1,0)</x:f>
        <x:v>3</x:v>
      </x:c>
      <x:c r="J936" s="2" t="str">
        <x:v>Extension pre-run 600</x:v>
      </x:c>
      <x:c r="K936" s="10" t="n">
        <x:v>3533</x:v>
      </x:c>
      <x:c r="L936" s="10" t="n">
        <x:v>2</x:v>
      </x:c>
      <x:c r="M936" s="10" t="n">
        <x:v>721</x:v>
      </x:c>
      <x:c r="N936" s="2" t="str">
        <x:v>D25</x:v>
      </x:c>
      <x:c r="O936" s="2" t="str">
        <x:v>hdb flat</x:v>
      </x:c>
      <x:c r="P936" s="2" t="str">
        <x:v>https://www.propertyguru.com.sg/listing/hdb-for-rent-803-woodlands-street-81-500260846</x:v>
      </x:c>
      <x:c r="Q936" s="12" t="str">
        <x:v>Pre-registered source-rubric-v1; grade applied before outputs.</x:v>
      </x:c>
      <x:c r="R936" s="13"/>
    </x:row>
    <x:row r="937" ht="15" hidden="0" customHeight="1">
      <x:c r="A937" s="2" t="str">
        <x:v>S31|500259796</x:v>
      </x:c>
      <x:c r="B937" s="2" t="str">
        <x:v>S31</x:v>
      </x:c>
      <x:c r="C937" s="2" t="str">
        <x:v>500259796</x:v>
      </x:c>
      <x:c r="D937" s="2" t="n">
        <x:v>2</x:v>
      </x:c>
      <x:c r="E937" s="9"/>
      <x:c r="F937" s="2" t="n">
        <x:f>IF(E937="",D937,IF(E937="U","U",IF(AND(ISNUMBER(E937),E937&gt;=0,E937&lt;=3,INT(E937)=E937),E937,"Invalid")))</x:f>
        <x:v>2</x:v>
      </x:c>
      <x:c r="G937" s="2" t="n">
        <x:f>IF(ISNUMBER(F937),1,0)</x:f>
        <x:v>1</x:v>
      </x:c>
      <x:c r="H937" s="2" t="n">
        <x:f>IF(ISNUMBER(F937),IF(F937&gt;=2,1,0),0)</x:f>
        <x:v>1</x:v>
      </x:c>
      <x:c r="I937" s="11" t="n">
        <x:f>IF(ISNUMBER(F937),2^F937-1,0)</x:f>
        <x:v>3</x:v>
      </x:c>
      <x:c r="J937" s="2" t="str">
        <x:v>Extension pre-run 600</x:v>
      </x:c>
      <x:c r="K937" s="10" t="n">
        <x:v>3000</x:v>
      </x:c>
      <x:c r="L937" s="10" t="n">
        <x:v>2</x:v>
      </x:c>
      <x:c r="M937" s="10" t="n">
        <x:v>721</x:v>
      </x:c>
      <x:c r="N937" s="2" t="str">
        <x:v>D18</x:v>
      </x:c>
      <x:c r="O937" s="2" t="str">
        <x:v>hdb flat</x:v>
      </x:c>
      <x:c r="P937" s="2" t="str">
        <x:v>https://www.propertyguru.com.sg/listing/hdb-for-rent-825-tampines-street-81-500259796</x:v>
      </x:c>
      <x:c r="Q937" s="12" t="str">
        <x:v>Pre-registered source-rubric-v1; grade applied before outputs.</x:v>
      </x:c>
      <x:c r="R937" s="13"/>
    </x:row>
    <x:row r="938" ht="15" hidden="0" customHeight="1">
      <x:c r="A938" s="2" t="str">
        <x:v>S31|22971154</x:v>
      </x:c>
      <x:c r="B938" s="2" t="str">
        <x:v>S31</x:v>
      </x:c>
      <x:c r="C938" s="2" t="str">
        <x:v>22971154</x:v>
      </x:c>
      <x:c r="D938" s="2" t="n">
        <x:v>2</x:v>
      </x:c>
      <x:c r="E938" s="9"/>
      <x:c r="F938" s="2" t="n">
        <x:f>IF(E938="",D938,IF(E938="U","U",IF(AND(ISNUMBER(E938),E938&gt;=0,E938&lt;=3,INT(E938)=E938),E938,"Invalid")))</x:f>
        <x:v>2</x:v>
      </x:c>
      <x:c r="G938" s="2" t="n">
        <x:f>IF(ISNUMBER(F938),1,0)</x:f>
        <x:v>1</x:v>
      </x:c>
      <x:c r="H938" s="2" t="n">
        <x:f>IF(ISNUMBER(F938),IF(F938&gt;=2,1,0),0)</x:f>
        <x:v>1</x:v>
      </x:c>
      <x:c r="I938" s="11" t="n">
        <x:f>IF(ISNUMBER(F938),2^F938-1,0)</x:f>
        <x:v>3</x:v>
      </x:c>
      <x:c r="J938" s="2" t="str">
        <x:v>Extension pre-run 600</x:v>
      </x:c>
      <x:c r="K938" s="10" t="n">
        <x:v>3000</x:v>
      </x:c>
      <x:c r="L938" s="10" t="n">
        <x:v>2</x:v>
      </x:c>
      <x:c r="M938" s="10" t="n">
        <x:v>775</x:v>
      </x:c>
      <x:c r="N938" s="2" t="str">
        <x:v>D23</x:v>
      </x:c>
      <x:c r="O938" s="2" t="str">
        <x:v>hdb flat</x:v>
      </x:c>
      <x:c r="P938" s="2" t="str">
        <x:v>https://www.propertyguru.com.sg/listing/hdb-for-rent-256-bukit-batok-east-avenue-4-22971154</x:v>
      </x:c>
      <x:c r="Q938" s="12" t="str">
        <x:v>Pre-registered source-rubric-v1; grade applied before outputs.</x:v>
      </x:c>
      <x:c r="R938" s="13"/>
    </x:row>
    <x:row r="939" ht="15" hidden="0" customHeight="1">
      <x:c r="A939" s="2" t="str">
        <x:v>S31|500261874</x:v>
      </x:c>
      <x:c r="B939" s="2" t="str">
        <x:v>S31</x:v>
      </x:c>
      <x:c r="C939" s="2" t="str">
        <x:v>500261874</x:v>
      </x:c>
      <x:c r="D939" s="2" t="n">
        <x:v>1</x:v>
      </x:c>
      <x:c r="E939" s="9"/>
      <x:c r="F939" s="2" t="n">
        <x:f>IF(E939="",D939,IF(E939="U","U",IF(AND(ISNUMBER(E939),E939&gt;=0,E939&lt;=3,INT(E939)=E939),E939,"Invalid")))</x:f>
        <x:v>1</x:v>
      </x:c>
      <x:c r="G939" s="2" t="n">
        <x:f>IF(ISNUMBER(F939),1,0)</x:f>
        <x:v>1</x:v>
      </x:c>
      <x:c r="H939" s="2" t="n">
        <x:f>IF(ISNUMBER(F939),IF(F939&gt;=2,1,0),0)</x:f>
        <x:v>0</x:v>
      </x:c>
      <x:c r="I939" s="11" t="n">
        <x:f>IF(ISNUMBER(F939),2^F939-1,0)</x:f>
        <x:v>1</x:v>
      </x:c>
      <x:c r="J939" s="2" t="str">
        <x:v>Extension pre-run 600</x:v>
      </x:c>
      <x:c r="K939" s="10" t="n">
        <x:v>3200</x:v>
      </x:c>
      <x:c r="L939" s="10" t="n">
        <x:v>2</x:v>
      </x:c>
      <x:c r="M939" s="10" t="n">
        <x:v>570</x:v>
      </x:c>
      <x:c r="N939" s="2" t="str">
        <x:v>D19</x:v>
      </x:c>
      <x:c r="O939" s="2" t="str">
        <x:v>condominium</x:v>
      </x:c>
      <x:c r="P939" s="2" t="str">
        <x:v>https://www.propertyguru.com.sg/listing/for-rent-kovan-grandeur-500261874</x:v>
      </x:c>
      <x:c r="Q939" s="12" t="str">
        <x:v>Pre-registered source-rubric-v1; grade applied before outputs.</x:v>
      </x:c>
      <x:c r="R939" s="13"/>
    </x:row>
    <x:row r="940" ht="15" hidden="0" customHeight="1">
      <x:c r="A940" s="2" t="str">
        <x:v>S31|25563956</x:v>
      </x:c>
      <x:c r="B940" s="2" t="str">
        <x:v>S31</x:v>
      </x:c>
      <x:c r="C940" s="2" t="str">
        <x:v>25563956</x:v>
      </x:c>
      <x:c r="D940" s="2" t="n">
        <x:v>1</x:v>
      </x:c>
      <x:c r="E940" s="9"/>
      <x:c r="F940" s="2" t="n">
        <x:f>IF(E940="",D940,IF(E940="U","U",IF(AND(ISNUMBER(E940),E940&gt;=0,E940&lt;=3,INT(E940)=E940),E940,"Invalid")))</x:f>
        <x:v>1</x:v>
      </x:c>
      <x:c r="G940" s="2" t="n">
        <x:f>IF(ISNUMBER(F940),1,0)</x:f>
        <x:v>1</x:v>
      </x:c>
      <x:c r="H940" s="2" t="n">
        <x:f>IF(ISNUMBER(F940),IF(F940&gt;=2,1,0),0)</x:f>
        <x:v>0</x:v>
      </x:c>
      <x:c r="I940" s="11" t="n">
        <x:f>IF(ISNUMBER(F940),2^F940-1,0)</x:f>
        <x:v>1</x:v>
      </x:c>
      <x:c r="J940" s="2" t="str">
        <x:v>Extension pre-run 600</x:v>
      </x:c>
      <x:c r="K940" s="10" t="n">
        <x:v>4500</x:v>
      </x:c>
      <x:c r="L940" s="10" t="n">
        <x:v>3</x:v>
      </x:c>
      <x:c r="M940" s="10" t="n">
        <x:v>1076</x:v>
      </x:c>
      <x:c r="N940" s="2" t="str">
        <x:v>D23</x:v>
      </x:c>
      <x:c r="O940" s="2" t="str">
        <x:v>condominium</x:v>
      </x:c>
      <x:c r="P940" s="2" t="str">
        <x:v>https://www.propertyguru.com.sg/listing/for-rent-hillbrooks-25563956</x:v>
      </x:c>
      <x:c r="Q940" s="12" t="str">
        <x:v>Pre-registered source-rubric-v1; grade applied before outputs.</x:v>
      </x:c>
      <x:c r="R940" s="13"/>
    </x:row>
    <x:row r="941" ht="15" hidden="0" customHeight="1">
      <x:c r="A941" s="2" t="str">
        <x:v>S31|500276473</x:v>
      </x:c>
      <x:c r="B941" s="2" t="str">
        <x:v>S31</x:v>
      </x:c>
      <x:c r="C941" s="2" t="str">
        <x:v>500276473</x:v>
      </x:c>
      <x:c r="D941" s="2" t="n">
        <x:v>1</x:v>
      </x:c>
      <x:c r="E941" s="9"/>
      <x:c r="F941" s="2" t="n">
        <x:f>IF(E941="",D941,IF(E941="U","U",IF(AND(ISNUMBER(E941),E941&gt;=0,E941&lt;=3,INT(E941)=E941),E941,"Invalid")))</x:f>
        <x:v>1</x:v>
      </x:c>
      <x:c r="G941" s="2" t="n">
        <x:f>IF(ISNUMBER(F941),1,0)</x:f>
        <x:v>1</x:v>
      </x:c>
      <x:c r="H941" s="2" t="n">
        <x:f>IF(ISNUMBER(F941),IF(F941&gt;=2,1,0),0)</x:f>
        <x:v>0</x:v>
      </x:c>
      <x:c r="I941" s="11" t="n">
        <x:f>IF(ISNUMBER(F941),2^F941-1,0)</x:f>
        <x:v>1</x:v>
      </x:c>
      <x:c r="J941" s="2" t="str">
        <x:v>Extension pre-run 600</x:v>
      </x:c>
      <x:c r="K941" s="10" t="n">
        <x:v>4500</x:v>
      </x:c>
      <x:c r="L941" s="10" t="n">
        <x:v>2</x:v>
      </x:c>
      <x:c r="M941" s="10" t="n">
        <x:v>872</x:v>
      </x:c>
      <x:c r="N941" s="2" t="str">
        <x:v>D18</x:v>
      </x:c>
      <x:c r="O941" s="2" t="str">
        <x:v>condominium</x:v>
      </x:c>
      <x:c r="P941" s="2" t="str">
        <x:v>https://www.propertyguru.com.sg/listing/for-rent-the-tampines-trilliant-500276473</x:v>
      </x:c>
      <x:c r="Q941" s="12" t="str">
        <x:v>Pre-registered source-rubric-v1; grade applied before outputs.</x:v>
      </x:c>
      <x:c r="R941" s="13"/>
    </x:row>
    <x:row r="942" ht="15" hidden="0" customHeight="1">
      <x:c r="A942" s="2" t="str">
        <x:v>S31|25359967</x:v>
      </x:c>
      <x:c r="B942" s="2" t="str">
        <x:v>S31</x:v>
      </x:c>
      <x:c r="C942" s="2" t="str">
        <x:v>25359967</x:v>
      </x:c>
      <x:c r="D942" s="2" t="n">
        <x:v>1</x:v>
      </x:c>
      <x:c r="E942" s="9"/>
      <x:c r="F942" s="2" t="n">
        <x:f>IF(E942="",D942,IF(E942="U","U",IF(AND(ISNUMBER(E942),E942&gt;=0,E942&lt;=3,INT(E942)=E942),E942,"Invalid")))</x:f>
        <x:v>1</x:v>
      </x:c>
      <x:c r="G942" s="2" t="n">
        <x:f>IF(ISNUMBER(F942),1,0)</x:f>
        <x:v>1</x:v>
      </x:c>
      <x:c r="H942" s="2" t="n">
        <x:f>IF(ISNUMBER(F942),IF(F942&gt;=2,1,0),0)</x:f>
        <x:v>0</x:v>
      </x:c>
      <x:c r="I942" s="11" t="n">
        <x:f>IF(ISNUMBER(F942),2^F942-1,0)</x:f>
        <x:v>1</x:v>
      </x:c>
      <x:c r="J942" s="2" t="str">
        <x:v>Extension pre-run 600</x:v>
      </x:c>
      <x:c r="K942" s="10" t="n">
        <x:v>3800</x:v>
      </x:c>
      <x:c r="L942" s="10" t="n">
        <x:v>2</x:v>
      </x:c>
      <x:c r="M942" s="10" t="n">
        <x:v>603</x:v>
      </x:c>
      <x:c r="N942" s="2" t="str">
        <x:v>D18</x:v>
      </x:c>
      <x:c r="O942" s="2" t="str">
        <x:v>condominium</x:v>
      </x:c>
      <x:c r="P942" s="2" t="str">
        <x:v>https://www.propertyguru.com.sg/listing/for-rent-the-tapestry-25359967</x:v>
      </x:c>
      <x:c r="Q942" s="12" t="str">
        <x:v>Pre-registered source-rubric-v1; grade applied before outputs.</x:v>
      </x:c>
      <x:c r="R942" s="13"/>
    </x:row>
    <x:row r="943" ht="15" hidden="0" customHeight="1">
      <x:c r="A943" s="2" t="str">
        <x:v>S31|500242926</x:v>
      </x:c>
      <x:c r="B943" s="2" t="str">
        <x:v>S31</x:v>
      </x:c>
      <x:c r="C943" s="2" t="str">
        <x:v>500242926</x:v>
      </x:c>
      <x:c r="D943" s="2" t="n">
        <x:v>1</x:v>
      </x:c>
      <x:c r="E943" s="9"/>
      <x:c r="F943" s="2" t="n">
        <x:f>IF(E943="",D943,IF(E943="U","U",IF(AND(ISNUMBER(E943),E943&gt;=0,E943&lt;=3,INT(E943)=E943),E943,"Invalid")))</x:f>
        <x:v>1</x:v>
      </x:c>
      <x:c r="G943" s="2" t="n">
        <x:f>IF(ISNUMBER(F943),1,0)</x:f>
        <x:v>1</x:v>
      </x:c>
      <x:c r="H943" s="2" t="n">
        <x:f>IF(ISNUMBER(F943),IF(F943&gt;=2,1,0),0)</x:f>
        <x:v>0</x:v>
      </x:c>
      <x:c r="I943" s="11" t="n">
        <x:f>IF(ISNUMBER(F943),2^F943-1,0)</x:f>
        <x:v>1</x:v>
      </x:c>
      <x:c r="J943" s="2" t="str">
        <x:v>Extension pre-run 600</x:v>
      </x:c>
      <x:c r="K943" s="10" t="n">
        <x:v>3500</x:v>
      </x:c>
      <x:c r="L943" s="10" t="n">
        <x:v>2</x:v>
      </x:c>
      <x:c r="M943" s="10" t="n">
        <x:v>667</x:v>
      </x:c>
      <x:c r="N943" s="2" t="str">
        <x:v>D19</x:v>
      </x:c>
      <x:c r="O943" s="2" t="str">
        <x:v>condominium</x:v>
      </x:c>
      <x:c r="P943" s="2" t="str">
        <x:v>https://www.propertyguru.com.sg/listing/for-rent-the-florence-residences-500242926</x:v>
      </x:c>
      <x:c r="Q943" s="12" t="str">
        <x:v>Pre-registered source-rubric-v1; grade applied before outputs.</x:v>
      </x:c>
      <x:c r="R943" s="13"/>
    </x:row>
    <x:row r="944" ht="15" hidden="0" customHeight="1">
      <x:c r="A944" s="2" t="str">
        <x:v>S31|500257224</x:v>
      </x:c>
      <x:c r="B944" s="2" t="str">
        <x:v>S31</x:v>
      </x:c>
      <x:c r="C944" s="2" t="str">
        <x:v>500257224</x:v>
      </x:c>
      <x:c r="D944" s="2" t="n">
        <x:v>1</x:v>
      </x:c>
      <x:c r="E944" s="9"/>
      <x:c r="F944" s="2" t="n">
        <x:f>IF(E944="",D944,IF(E944="U","U",IF(AND(ISNUMBER(E944),E944&gt;=0,E944&lt;=3,INT(E944)=E944),E944,"Invalid")))</x:f>
        <x:v>1</x:v>
      </x:c>
      <x:c r="G944" s="2" t="n">
        <x:f>IF(ISNUMBER(F944),1,0)</x:f>
        <x:v>1</x:v>
      </x:c>
      <x:c r="H944" s="2" t="n">
        <x:f>IF(ISNUMBER(F944),IF(F944&gt;=2,1,0),0)</x:f>
        <x:v>0</x:v>
      </x:c>
      <x:c r="I944" s="11" t="n">
        <x:f>IF(ISNUMBER(F944),2^F944-1,0)</x:f>
        <x:v>1</x:v>
      </x:c>
      <x:c r="J944" s="2" t="str">
        <x:v>Extension pre-run 600</x:v>
      </x:c>
      <x:c r="K944" s="10" t="n">
        <x:v>3900</x:v>
      </x:c>
      <x:c r="L944" s="10" t="n">
        <x:v>2</x:v>
      </x:c>
      <x:c r="M944" s="10" t="n">
        <x:v>624</x:v>
      </x:c>
      <x:c r="N944" s="2" t="str">
        <x:v>D25</x:v>
      </x:c>
      <x:c r="O944" s="2" t="str">
        <x:v>condominium</x:v>
      </x:c>
      <x:c r="P944" s="2" t="str">
        <x:v>https://www.propertyguru.com.sg/listing/for-rent-norwood-grand-500257224</x:v>
      </x:c>
      <x:c r="Q944" s="12" t="str">
        <x:v>Pre-registered source-rubric-v1; grade applied before outputs.</x:v>
      </x:c>
      <x:c r="R944" s="13"/>
    </x:row>
    <x:row r="945" ht="15" hidden="0" customHeight="1">
      <x:c r="A945" s="2" t="str">
        <x:v>S31|25025707</x:v>
      </x:c>
      <x:c r="B945" s="2" t="str">
        <x:v>S31</x:v>
      </x:c>
      <x:c r="C945" s="2" t="str">
        <x:v>25025707</x:v>
      </x:c>
      <x:c r="D945" s="2" t="n">
        <x:v>0</x:v>
      </x:c>
      <x:c r="E945" s="9"/>
      <x:c r="F945" s="2" t="n">
        <x:f>IF(E945="",D945,IF(E945="U","U",IF(AND(ISNUMBER(E945),E945&gt;=0,E945&lt;=3,INT(E945)=E945),E945,"Invalid")))</x:f>
        <x:v>0</x:v>
      </x:c>
      <x:c r="G945" s="2" t="n">
        <x:f>IF(ISNUMBER(F945),1,0)</x:f>
        <x:v>1</x:v>
      </x:c>
      <x:c r="H945" s="2" t="n">
        <x:f>IF(ISNUMBER(F945),IF(F945&gt;=2,1,0),0)</x:f>
        <x:v>0</x:v>
      </x:c>
      <x:c r="I945" s="11" t="n">
        <x:f>IF(ISNUMBER(F945),2^F945-1,0)</x:f>
        <x:v>0</x:v>
      </x:c>
      <x:c r="J945" s="2" t="str">
        <x:v>Extension pre-run 600</x:v>
      </x:c>
      <x:c r="K945" s="10" t="n">
        <x:v>1400</x:v>
      </x:c>
      <x:c r="L945" s="10" t="n">
        <x:v>0</x:v>
      </x:c>
      <x:c r="M945" s="10"/>
      <x:c r="N945" s="2" t="str">
        <x:v>D11</x:v>
      </x:c>
      <x:c r="O945" s="2" t="str">
        <x:v>semi-detached house</x:v>
      </x:c>
      <x:c r="P945" s="2" t="str">
        <x:v>https://www.propertyguru.com.sg/listing/for-rent-108a-university-road-25025707</x:v>
      </x:c>
      <x:c r="Q945" s="12" t="str">
        <x:v>Pre-registered source-rubric-v1; grade applied before outputs.</x:v>
      </x:c>
      <x:c r="R945" s="13"/>
    </x:row>
    <x:row r="946" ht="15" hidden="0" customHeight="1">
      <x:c r="A946" s="2" t="str">
        <x:v>S31|25004472</x:v>
      </x:c>
      <x:c r="B946" s="2" t="str">
        <x:v>S31</x:v>
      </x:c>
      <x:c r="C946" s="2" t="str">
        <x:v>25004472</x:v>
      </x:c>
      <x:c r="D946" s="2" t="n">
        <x:v>0</x:v>
      </x:c>
      <x:c r="E946" s="9"/>
      <x:c r="F946" s="2" t="n">
        <x:f>IF(E946="",D946,IF(E946="U","U",IF(AND(ISNUMBER(E946),E946&gt;=0,E946&lt;=3,INT(E946)=E946),E946,"Invalid")))</x:f>
        <x:v>0</x:v>
      </x:c>
      <x:c r="G946" s="2" t="n">
        <x:f>IF(ISNUMBER(F946),1,0)</x:f>
        <x:v>1</x:v>
      </x:c>
      <x:c r="H946" s="2" t="n">
        <x:f>IF(ISNUMBER(F946),IF(F946&gt;=2,1,0),0)</x:f>
        <x:v>0</x:v>
      </x:c>
      <x:c r="I946" s="11" t="n">
        <x:f>IF(ISNUMBER(F946),2^F946-1,0)</x:f>
        <x:v>0</x:v>
      </x:c>
      <x:c r="J946" s="2" t="str">
        <x:v>Extension pre-run 600</x:v>
      </x:c>
      <x:c r="K946" s="10" t="n">
        <x:v>1871</x:v>
      </x:c>
      <x:c r="L946" s="10" t="n">
        <x:v>0</x:v>
      </x:c>
      <x:c r="M946" s="10"/>
      <x:c r="N946" s="2" t="str">
        <x:v>D10</x:v>
      </x:c>
      <x:c r="O946" s="2" t="str">
        <x:v>condominium</x:v>
      </x:c>
      <x:c r="P946" s="2" t="str">
        <x:v>https://www.propertyguru.com.sg/listing/for-rent-seven-holt-road-25004472</x:v>
      </x:c>
      <x:c r="Q946" s="12" t="str">
        <x:v>Pre-registered source-rubric-v1; grade applied before outputs.</x:v>
      </x:c>
      <x:c r="R946" s="13"/>
    </x:row>
    <x:row r="947" ht="15" hidden="0" customHeight="1">
      <x:c r="A947" s="2" t="str">
        <x:v>S31|500143028</x:v>
      </x:c>
      <x:c r="B947" s="2" t="str">
        <x:v>S31</x:v>
      </x:c>
      <x:c r="C947" s="2" t="str">
        <x:v>500143028</x:v>
      </x:c>
      <x:c r="D947" s="2" t="n">
        <x:v>0</x:v>
      </x:c>
      <x:c r="E947" s="9"/>
      <x:c r="F947" s="2" t="n">
        <x:f>IF(E947="",D947,IF(E947="U","U",IF(AND(ISNUMBER(E947),E947&gt;=0,E947&lt;=3,INT(E947)=E947),E947,"Invalid")))</x:f>
        <x:v>0</x:v>
      </x:c>
      <x:c r="G947" s="2" t="n">
        <x:f>IF(ISNUMBER(F947),1,0)</x:f>
        <x:v>1</x:v>
      </x:c>
      <x:c r="H947" s="2" t="n">
        <x:f>IF(ISNUMBER(F947),IF(F947&gt;=2,1,0),0)</x:f>
        <x:v>0</x:v>
      </x:c>
      <x:c r="I947" s="11" t="n">
        <x:f>IF(ISNUMBER(F947),2^F947-1,0)</x:f>
        <x:v>0</x:v>
      </x:c>
      <x:c r="J947" s="2" t="str">
        <x:v>Extension pre-run 600</x:v>
      </x:c>
      <x:c r="K947" s="10" t="n">
        <x:v>1300</x:v>
      </x:c>
      <x:c r="L947" s="10" t="n">
        <x:v>0</x:v>
      </x:c>
      <x:c r="M947" s="10"/>
      <x:c r="N947" s="2" t="str">
        <x:v>D03</x:v>
      </x:c>
      <x:c r="O947" s="2" t="str">
        <x:v>hdb flat</x:v>
      </x:c>
      <x:c r="P947" s="2" t="str">
        <x:v>https://www.propertyguru.com.sg/listing/hdb-for-rent-93-dawson-road-500143028</x:v>
      </x:c>
      <x:c r="Q947" s="12" t="str">
        <x:v>Pre-registered source-rubric-v1; grade applied before outputs.</x:v>
      </x:c>
      <x:c r="R947" s="13"/>
    </x:row>
    <x:row r="948" ht="15" hidden="0" customHeight="1">
      <x:c r="A948" s="2" t="str">
        <x:v>S31|60103688</x:v>
      </x:c>
      <x:c r="B948" s="2" t="str">
        <x:v>S31</x:v>
      </x:c>
      <x:c r="C948" s="2" t="str">
        <x:v>60103688</x:v>
      </x:c>
      <x:c r="D948" s="2" t="n">
        <x:v>0</x:v>
      </x:c>
      <x:c r="E948" s="9"/>
      <x:c r="F948" s="2" t="n">
        <x:f>IF(E948="",D948,IF(E948="U","U",IF(AND(ISNUMBER(E948),E948&gt;=0,E948&lt;=3,INT(E948)=E948),E948,"Invalid")))</x:f>
        <x:v>0</x:v>
      </x:c>
      <x:c r="G948" s="2" t="n">
        <x:f>IF(ISNUMBER(F948),1,0)</x:f>
        <x:v>1</x:v>
      </x:c>
      <x:c r="H948" s="2" t="n">
        <x:f>IF(ISNUMBER(F948),IF(F948&gt;=2,1,0),0)</x:f>
        <x:v>0</x:v>
      </x:c>
      <x:c r="I948" s="11" t="n">
        <x:f>IF(ISNUMBER(F948),2^F948-1,0)</x:f>
        <x:v>0</x:v>
      </x:c>
      <x:c r="J948" s="2" t="str">
        <x:v>Extension pre-run 600</x:v>
      </x:c>
      <x:c r="K948" s="10" t="n">
        <x:v>900</x:v>
      </x:c>
      <x:c r="L948" s="10" t="n">
        <x:v>0</x:v>
      </x:c>
      <x:c r="M948" s="10"/>
      <x:c r="N948" s="2" t="str">
        <x:v>D18</x:v>
      </x:c>
      <x:c r="O948" s="2" t="str">
        <x:v>hdb flat</x:v>
      </x:c>
      <x:c r="P948" s="2" t="str">
        <x:v>https://www.propertyguru.com.sg/listing/hdb-for-rent-483-pasir-ris-drive-4-60103688</x:v>
      </x:c>
      <x:c r="Q948" s="12" t="str">
        <x:v>Pre-registered source-rubric-v1; grade applied before outputs.</x:v>
      </x:c>
      <x:c r="R948" s="13"/>
    </x:row>
    <x:row r="949" ht="15" hidden="0" customHeight="1">
      <x:c r="A949" s="2" t="str">
        <x:v>S31|500194019</x:v>
      </x:c>
      <x:c r="B949" s="2" t="str">
        <x:v>S31</x:v>
      </x:c>
      <x:c r="C949" s="2" t="str">
        <x:v>500194019</x:v>
      </x:c>
      <x:c r="D949" s="2" t="n">
        <x:v>0</x:v>
      </x:c>
      <x:c r="E949" s="9"/>
      <x:c r="F949" s="2" t="n">
        <x:f>IF(E949="",D949,IF(E949="U","U",IF(AND(ISNUMBER(E949),E949&gt;=0,E949&lt;=3,INT(E949)=E949),E949,"Invalid")))</x:f>
        <x:v>0</x:v>
      </x:c>
      <x:c r="G949" s="2" t="n">
        <x:f>IF(ISNUMBER(F949),1,0)</x:f>
        <x:v>1</x:v>
      </x:c>
      <x:c r="H949" s="2" t="n">
        <x:f>IF(ISNUMBER(F949),IF(F949&gt;=2,1,0),0)</x:f>
        <x:v>0</x:v>
      </x:c>
      <x:c r="I949" s="11" t="n">
        <x:f>IF(ISNUMBER(F949),2^F949-1,0)</x:f>
        <x:v>0</x:v>
      </x:c>
      <x:c r="J949" s="2" t="str">
        <x:v>Extension pre-run 600</x:v>
      </x:c>
      <x:c r="K949" s="10" t="n">
        <x:v>5800</x:v>
      </x:c>
      <x:c r="L949" s="10" t="n">
        <x:v>2</x:v>
      </x:c>
      <x:c r="M949" s="10" t="n">
        <x:v>624</x:v>
      </x:c>
      <x:c r="N949" s="2" t="str">
        <x:v>D09</x:v>
      </x:c>
      <x:c r="O949" s="2" t="str">
        <x:v>condominium</x:v>
      </x:c>
      <x:c r="P949" s="2" t="str">
        <x:v>https://www.propertyguru.com.sg/listing/for-rent-hill-house-500194019</x:v>
      </x:c>
      <x:c r="Q949" s="12" t="str">
        <x:v>Pre-registered source-rubric-v1; grade applied before outputs.</x:v>
      </x:c>
      <x:c r="R949" s="13"/>
    </x:row>
    <x:row r="950" ht="15" hidden="0" customHeight="1">
      <x:c r="A950" s="2" t="str">
        <x:v>S31|24533403</x:v>
      </x:c>
      <x:c r="B950" s="2" t="str">
        <x:v>S31</x:v>
      </x:c>
      <x:c r="C950" s="2" t="str">
        <x:v>24533403</x:v>
      </x:c>
      <x:c r="D950" s="2" t="n">
        <x:v>0</x:v>
      </x:c>
      <x:c r="E950" s="9"/>
      <x:c r="F950" s="2" t="n">
        <x:f>IF(E950="",D950,IF(E950="U","U",IF(AND(ISNUMBER(E950),E950&gt;=0,E950&lt;=3,INT(E950)=E950),E950,"Invalid")))</x:f>
        <x:v>0</x:v>
      </x:c>
      <x:c r="G950" s="2" t="n">
        <x:f>IF(ISNUMBER(F950),1,0)</x:f>
        <x:v>1</x:v>
      </x:c>
      <x:c r="H950" s="2" t="n">
        <x:f>IF(ISNUMBER(F950),IF(F950&gt;=2,1,0),0)</x:f>
        <x:v>0</x:v>
      </x:c>
      <x:c r="I950" s="11" t="n">
        <x:f>IF(ISNUMBER(F950),2^F950-1,0)</x:f>
        <x:v>0</x:v>
      </x:c>
      <x:c r="J950" s="2" t="str">
        <x:v>Extension pre-run 600</x:v>
      </x:c>
      <x:c r="K950" s="10" t="n">
        <x:v>1700</x:v>
      </x:c>
      <x:c r="L950" s="10" t="n">
        <x:v>0</x:v>
      </x:c>
      <x:c r="M950" s="10"/>
      <x:c r="N950" s="2" t="str">
        <x:v>D20</x:v>
      </x:c>
      <x:c r="O950" s="2" t="str">
        <x:v>condominium</x:v>
      </x:c>
      <x:c r="P950" s="2" t="str">
        <x:v>https://www.propertyguru.com.sg/listing/for-rent-grandeur-8-24533403</x:v>
      </x:c>
      <x:c r="Q950" s="12" t="str">
        <x:v>Pre-registered source-rubric-v1; grade applied before outputs.</x:v>
      </x:c>
      <x:c r="R950" s="13"/>
    </x:row>
    <x:row r="951" ht="15" hidden="0" customHeight="1">
      <x:c r="A951" s="2" t="str">
        <x:v>S31|500276246</x:v>
      </x:c>
      <x:c r="B951" s="2" t="str">
        <x:v>S31</x:v>
      </x:c>
      <x:c r="C951" s="2" t="str">
        <x:v>500276246</x:v>
      </x:c>
      <x:c r="D951" s="2" t="n">
        <x:v>0</x:v>
      </x:c>
      <x:c r="E951" s="9"/>
      <x:c r="F951" s="2" t="n">
        <x:f>IF(E951="",D951,IF(E951="U","U",IF(AND(ISNUMBER(E951),E951&gt;=0,E951&lt;=3,INT(E951)=E951),E951,"Invalid")))</x:f>
        <x:v>0</x:v>
      </x:c>
      <x:c r="G951" s="2" t="n">
        <x:f>IF(ISNUMBER(F951),1,0)</x:f>
        <x:v>1</x:v>
      </x:c>
      <x:c r="H951" s="2" t="n">
        <x:f>IF(ISNUMBER(F951),IF(F951&gt;=2,1,0),0)</x:f>
        <x:v>0</x:v>
      </x:c>
      <x:c r="I951" s="11" t="n">
        <x:f>IF(ISNUMBER(F951),2^F951-1,0)</x:f>
        <x:v>0</x:v>
      </x:c>
      <x:c r="J951" s="2" t="str">
        <x:v>Extension pre-run 600</x:v>
      </x:c>
      <x:c r="K951" s="10" t="n">
        <x:v>3600</x:v>
      </x:c>
      <x:c r="L951" s="10" t="n">
        <x:v>1</x:v>
      </x:c>
      <x:c r="M951" s="10" t="n">
        <x:v>463</x:v>
      </x:c>
      <x:c r="N951" s="2" t="str">
        <x:v>D21</x:v>
      </x:c>
      <x:c r="O951" s="2" t="str">
        <x:v>condominium</x:v>
      </x:c>
      <x:c r="P951" s="2" t="str">
        <x:v>https://www.propertyguru.com.sg/listing/for-rent-verdale-500276246</x:v>
      </x:c>
      <x:c r="Q951" s="12" t="str">
        <x:v>Pre-registered source-rubric-v1; grade applied before outputs.</x:v>
      </x:c>
      <x:c r="R951" s="13"/>
    </x:row>
    <x:row r="952" ht="15" hidden="0" customHeight="1">
      <x:c r="A952" s="2" t="str">
        <x:v>S31|23541427</x:v>
      </x:c>
      <x:c r="B952" s="2" t="str">
        <x:v>S31</x:v>
      </x:c>
      <x:c r="C952" s="2" t="str">
        <x:v>23541427</x:v>
      </x:c>
      <x:c r="D952" s="2" t="n">
        <x:v>0</x:v>
      </x:c>
      <x:c r="E952" s="9"/>
      <x:c r="F952" s="2" t="n">
        <x:f>IF(E952="",D952,IF(E952="U","U",IF(AND(ISNUMBER(E952),E952&gt;=0,E952&lt;=3,INT(E952)=E952),E952,"Invalid")))</x:f>
        <x:v>0</x:v>
      </x:c>
      <x:c r="G952" s="2" t="n">
        <x:f>IF(ISNUMBER(F952),1,0)</x:f>
        <x:v>1</x:v>
      </x:c>
      <x:c r="H952" s="2" t="n">
        <x:f>IF(ISNUMBER(F952),IF(F952&gt;=2,1,0),0)</x:f>
        <x:v>0</x:v>
      </x:c>
      <x:c r="I952" s="11" t="n">
        <x:f>IF(ISNUMBER(F952),2^F952-1,0)</x:f>
        <x:v>0</x:v>
      </x:c>
      <x:c r="J952" s="2" t="str">
        <x:v>Extension pre-run 600</x:v>
      </x:c>
      <x:c r="K952" s="10" t="n">
        <x:v>20000</x:v>
      </x:c>
      <x:c r="L952" s="10" t="n">
        <x:v>4</x:v>
      </x:c>
      <x:c r="M952" s="10" t="n">
        <x:v>3348</x:v>
      </x:c>
      <x:c r="N952" s="2" t="str">
        <x:v>D09</x:v>
      </x:c>
      <x:c r="O952" s="2" t="str">
        <x:v>condominium</x:v>
      </x:c>
      <x:c r="P952" s="2" t="str">
        <x:v>https://www.propertyguru.com.sg/listing/for-rent-the-claymore-23541427</x:v>
      </x:c>
      <x:c r="Q952" s="12" t="str">
        <x:v>Pre-registered source-rubric-v1; grade applied before outputs.</x:v>
      </x:c>
      <x:c r="R952" s="13"/>
    </x:row>
    <x:row r="953" ht="15" hidden="0" customHeight="1">
      <x:c r="A953" s="2" t="str">
        <x:v>S31|500242725</x:v>
      </x:c>
      <x:c r="B953" s="2" t="str">
        <x:v>S31</x:v>
      </x:c>
      <x:c r="C953" s="2" t="str">
        <x:v>500242725</x:v>
      </x:c>
      <x:c r="D953" s="2" t="str">
        <x:v>U</x:v>
      </x:c>
      <x:c r="E953" s="9"/>
      <x:c r="F953" s="2" t="str">
        <x:f>IF(E953="",D953,IF(E953="U","U",IF(AND(ISNUMBER(E953),E953&gt;=0,E953&lt;=3,INT(E953)=E953),E953,"Invalid")))</x:f>
        <x:v>U</x:v>
      </x:c>
      <x:c r="G953" s="2" t="n">
        <x:f>IF(ISNUMBER(F953),1,0)</x:f>
        <x:v>0</x:v>
      </x:c>
      <x:c r="H953" s="2" t="n">
        <x:f>IF(ISNUMBER(F953),IF(F953&gt;=2,1,0),0)</x:f>
        <x:v>0</x:v>
      </x:c>
      <x:c r="I953" s="11" t="n">
        <x:f>IF(ISNUMBER(F953),2^F953-1,0)</x:f>
        <x:v>0</x:v>
      </x:c>
      <x:c r="J953" s="2" t="str">
        <x:v>Extension pre-run 600</x:v>
      </x:c>
      <x:c r="K953" s="10" t="n">
        <x:v>2150</x:v>
      </x:c>
      <x:c r="L953" s="10"/>
      <x:c r="M953" s="10" t="n">
        <x:v>220</x:v>
      </x:c>
      <x:c r="N953" s="2" t="str">
        <x:v>D18</x:v>
      </x:c>
      <x:c r="O953" s="2" t="str">
        <x:v>condominium</x:v>
      </x:c>
      <x:c r="P953" s="2" t="str">
        <x:v>https://www.propertyguru.com.sg/listing/for-rent-premium-resort-living-at-changi-long-short-leases-500242725</x:v>
      </x:c>
      <x:c r="Q953" s="12" t="str">
        <x:v>Pre-registered source-rubric-v1; grade applied before outputs.</x:v>
      </x:c>
      <x:c r="R953" s="13"/>
    </x:row>
    <x:row r="954" ht="15" hidden="0" customHeight="1">
      <x:c r="A954" s="2" t="str">
        <x:v>S31|24489502</x:v>
      </x:c>
      <x:c r="B954" s="2" t="str">
        <x:v>S31</x:v>
      </x:c>
      <x:c r="C954" s="2" t="str">
        <x:v>24489502</x:v>
      </x:c>
      <x:c r="D954" s="2" t="str">
        <x:v>U</x:v>
      </x:c>
      <x:c r="E954" s="9"/>
      <x:c r="F954" s="2" t="str">
        <x:f>IF(E954="",D954,IF(E954="U","U",IF(AND(ISNUMBER(E954),E954&gt;=0,E954&lt;=3,INT(E954)=E954),E954,"Invalid")))</x:f>
        <x:v>U</x:v>
      </x:c>
      <x:c r="G954" s="2" t="n">
        <x:f>IF(ISNUMBER(F954),1,0)</x:f>
        <x:v>0</x:v>
      </x:c>
      <x:c r="H954" s="2" t="n">
        <x:f>IF(ISNUMBER(F954),IF(F954&gt;=2,1,0),0)</x:f>
        <x:v>0</x:v>
      </x:c>
      <x:c r="I954" s="11" t="n">
        <x:f>IF(ISNUMBER(F954),2^F954-1,0)</x:f>
        <x:v>0</x:v>
      </x:c>
      <x:c r="J954" s="2" t="str">
        <x:v>Extension pre-run 600</x:v>
      </x:c>
      <x:c r="K954" s="10" t="n">
        <x:v>2050</x:v>
      </x:c>
      <x:c r="L954" s="10"/>
      <x:c r="M954" s="10" t="n">
        <x:v>250</x:v>
      </x:c>
      <x:c r="N954" s="2" t="str">
        <x:v>D18</x:v>
      </x:c>
      <x:c r="O954" s="2" t="str">
        <x:v>executive condominium</x:v>
      </x:c>
      <x:c r="P954" s="2" t="str">
        <x:v>https://www.propertyguru.com.sg/listing/for-rent-watercolours-24489502</x:v>
      </x:c>
      <x:c r="Q954" s="12" t="str">
        <x:v>Pre-registered source-rubric-v1; grade applied before outputs.</x:v>
      </x:c>
      <x:c r="R954" s="13"/>
    </x:row>
    <x:row r="955" ht="15" hidden="0" customHeight="1">
      <x:c r="A955" s="2" t="str">
        <x:v>S32|500184804</x:v>
      </x:c>
      <x:c r="B955" s="2" t="str">
        <x:v>S32</x:v>
      </x:c>
      <x:c r="C955" s="2" t="str">
        <x:v>500184804</x:v>
      </x:c>
      <x:c r="D955" s="2" t="n">
        <x:v>3</x:v>
      </x:c>
      <x:c r="E955" s="9"/>
      <x:c r="F955" s="2" t="n">
        <x:f>IF(E955="",D955,IF(E955="U","U",IF(AND(ISNUMBER(E955),E955&gt;=0,E955&lt;=3,INT(E955)=E955),E955,"Invalid")))</x:f>
        <x:v>3</x:v>
      </x:c>
      <x:c r="G955" s="2" t="n">
        <x:f>IF(ISNUMBER(F955),1,0)</x:f>
        <x:v>1</x:v>
      </x:c>
      <x:c r="H955" s="2" t="n">
        <x:f>IF(ISNUMBER(F955),IF(F955&gt;=2,1,0),0)</x:f>
        <x:v>1</x:v>
      </x:c>
      <x:c r="I955" s="11" t="n">
        <x:f>IF(ISNUMBER(F955),2^F955-1,0)</x:f>
        <x:v>7</x:v>
      </x:c>
      <x:c r="J955" s="2" t="str">
        <x:v>Extension pre-run 600</x:v>
      </x:c>
      <x:c r="K955" s="10" t="n">
        <x:v>4500</x:v>
      </x:c>
      <x:c r="L955" s="10" t="n">
        <x:v>2</x:v>
      </x:c>
      <x:c r="M955" s="10" t="n">
        <x:v>678</x:v>
      </x:c>
      <x:c r="N955" s="2" t="str">
        <x:v>D10</x:v>
      </x:c>
      <x:c r="O955" s="2" t="str">
        <x:v>condominium</x:v>
      </x:c>
      <x:c r="P955" s="2" t="str">
        <x:v>https://www.propertyguru.com.sg/listing/for-rent-leedon-green-500184804</x:v>
      </x:c>
      <x:c r="Q955" s="12" t="str">
        <x:v>Pre-registered source-rubric-v1; grade applied before outputs.</x:v>
      </x:c>
      <x:c r="R955" s="13"/>
    </x:row>
    <x:row r="956" ht="15" hidden="0" customHeight="1">
      <x:c r="A956" s="2" t="str">
        <x:v>S32|500076291</x:v>
      </x:c>
      <x:c r="B956" s="2" t="str">
        <x:v>S32</x:v>
      </x:c>
      <x:c r="C956" s="2" t="str">
        <x:v>500076291</x:v>
      </x:c>
      <x:c r="D956" s="2" t="n">
        <x:v>3</x:v>
      </x:c>
      <x:c r="E956" s="9"/>
      <x:c r="F956" s="2" t="n">
        <x:f>IF(E956="",D956,IF(E956="U","U",IF(AND(ISNUMBER(E956),E956&gt;=0,E956&lt;=3,INT(E956)=E956),E956,"Invalid")))</x:f>
        <x:v>3</x:v>
      </x:c>
      <x:c r="G956" s="2" t="n">
        <x:f>IF(ISNUMBER(F956),1,0)</x:f>
        <x:v>1</x:v>
      </x:c>
      <x:c r="H956" s="2" t="n">
        <x:f>IF(ISNUMBER(F956),IF(F956&gt;=2,1,0),0)</x:f>
        <x:v>1</x:v>
      </x:c>
      <x:c r="I956" s="11" t="n">
        <x:f>IF(ISNUMBER(F956),2^F956-1,0)</x:f>
        <x:v>7</x:v>
      </x:c>
      <x:c r="J956" s="2" t="str">
        <x:v>Extension pre-run 600</x:v>
      </x:c>
      <x:c r="K956" s="10" t="n">
        <x:v>5350</x:v>
      </x:c>
      <x:c r="L956" s="10" t="n">
        <x:v>2</x:v>
      </x:c>
      <x:c r="M956" s="10" t="n">
        <x:v>753</x:v>
      </x:c>
      <x:c r="N956" s="2" t="str">
        <x:v>D10</x:v>
      </x:c>
      <x:c r="O956" s="2" t="str">
        <x:v>condominium</x:v>
      </x:c>
      <x:c r="P956" s="2" t="str">
        <x:v>https://www.propertyguru.com.sg/listing/for-rent-jervois-mansion-500076291</x:v>
      </x:c>
      <x:c r="Q956" s="12" t="str">
        <x:v>Pre-registered source-rubric-v1; grade applied before outputs.</x:v>
      </x:c>
      <x:c r="R956" s="13"/>
    </x:row>
    <x:row r="957" ht="15" hidden="0" customHeight="1">
      <x:c r="A957" s="2" t="str">
        <x:v>S32|21343728</x:v>
      </x:c>
      <x:c r="B957" s="2" t="str">
        <x:v>S32</x:v>
      </x:c>
      <x:c r="C957" s="2" t="str">
        <x:v>21343728</x:v>
      </x:c>
      <x:c r="D957" s="2" t="n">
        <x:v>3</x:v>
      </x:c>
      <x:c r="E957" s="9"/>
      <x:c r="F957" s="2" t="n">
        <x:f>IF(E957="",D957,IF(E957="U","U",IF(AND(ISNUMBER(E957),E957&gt;=0,E957&lt;=3,INT(E957)=E957),E957,"Invalid")))</x:f>
        <x:v>3</x:v>
      </x:c>
      <x:c r="G957" s="2" t="n">
        <x:f>IF(ISNUMBER(F957),1,0)</x:f>
        <x:v>1</x:v>
      </x:c>
      <x:c r="H957" s="2" t="n">
        <x:f>IF(ISNUMBER(F957),IF(F957&gt;=2,1,0),0)</x:f>
        <x:v>1</x:v>
      </x:c>
      <x:c r="I957" s="11" t="n">
        <x:f>IF(ISNUMBER(F957),2^F957-1,0)</x:f>
        <x:v>7</x:v>
      </x:c>
      <x:c r="J957" s="2" t="str">
        <x:v>Extension pre-run 600</x:v>
      </x:c>
      <x:c r="K957" s="10" t="n">
        <x:v>3199</x:v>
      </x:c>
      <x:c r="L957" s="10" t="n">
        <x:v>2</x:v>
      </x:c>
      <x:c r="M957" s="10" t="n">
        <x:v>635</x:v>
      </x:c>
      <x:c r="N957" s="2" t="str">
        <x:v>D10</x:v>
      </x:c>
      <x:c r="O957" s="2" t="str">
        <x:v>hdb flat</x:v>
      </x:c>
      <x:c r="P957" s="2" t="str">
        <x:v>https://www.propertyguru.com.sg/listing/hdb-for-rent-31-holland-close-21343728</x:v>
      </x:c>
      <x:c r="Q957" s="12" t="str">
        <x:v>Pre-registered source-rubric-v1; grade applied before outputs.</x:v>
      </x:c>
      <x:c r="R957" s="13"/>
    </x:row>
    <x:row r="958" ht="15" hidden="0" customHeight="1">
      <x:c r="A958" s="2" t="str">
        <x:v>S32|19003563</x:v>
      </x:c>
      <x:c r="B958" s="2" t="str">
        <x:v>S32</x:v>
      </x:c>
      <x:c r="C958" s="2" t="str">
        <x:v>19003563</x:v>
      </x:c>
      <x:c r="D958" s="2" t="n">
        <x:v>3</x:v>
      </x:c>
      <x:c r="E958" s="9"/>
      <x:c r="F958" s="2" t="n">
        <x:f>IF(E958="",D958,IF(E958="U","U",IF(AND(ISNUMBER(E958),E958&gt;=0,E958&lt;=3,INT(E958)=E958),E958,"Invalid")))</x:f>
        <x:v>3</x:v>
      </x:c>
      <x:c r="G958" s="2" t="n">
        <x:f>IF(ISNUMBER(F958),1,0)</x:f>
        <x:v>1</x:v>
      </x:c>
      <x:c r="H958" s="2" t="n">
        <x:f>IF(ISNUMBER(F958),IF(F958&gt;=2,1,0),0)</x:f>
        <x:v>1</x:v>
      </x:c>
      <x:c r="I958" s="11" t="n">
        <x:f>IF(ISNUMBER(F958),2^F958-1,0)</x:f>
        <x:v>7</x:v>
      </x:c>
      <x:c r="J958" s="2" t="str">
        <x:v>Extension pre-run 600</x:v>
      </x:c>
      <x:c r="K958" s="10" t="n">
        <x:v>5300</x:v>
      </x:c>
      <x:c r="L958" s="10" t="n">
        <x:v>2</x:v>
      </x:c>
      <x:c r="M958" s="10" t="n">
        <x:v>958</x:v>
      </x:c>
      <x:c r="N958" s="2" t="str">
        <x:v>D10</x:v>
      </x:c>
      <x:c r="O958" s="2" t="str">
        <x:v>condominium</x:v>
      </x:c>
      <x:c r="P958" s="2" t="str">
        <x:v>https://www.propertyguru.com.sg/listing/for-rent-d-leedon-former-farrer-court-19003563</x:v>
      </x:c>
      <x:c r="Q958" s="12" t="str">
        <x:v>Pre-registered source-rubric-v1; grade applied before outputs.</x:v>
      </x:c>
      <x:c r="R958" s="13"/>
    </x:row>
    <x:row r="959" ht="15" hidden="0" customHeight="1">
      <x:c r="A959" s="2" t="str">
        <x:v>S32|24424470</x:v>
      </x:c>
      <x:c r="B959" s="2" t="str">
        <x:v>S32</x:v>
      </x:c>
      <x:c r="C959" s="2" t="str">
        <x:v>24424470</x:v>
      </x:c>
      <x:c r="D959" s="2" t="n">
        <x:v>3</x:v>
      </x:c>
      <x:c r="E959" s="9"/>
      <x:c r="F959" s="2" t="n">
        <x:f>IF(E959="",D959,IF(E959="U","U",IF(AND(ISNUMBER(E959),E959&gt;=0,E959&lt;=3,INT(E959)=E959),E959,"Invalid")))</x:f>
        <x:v>3</x:v>
      </x:c>
      <x:c r="G959" s="2" t="n">
        <x:f>IF(ISNUMBER(F959),1,0)</x:f>
        <x:v>1</x:v>
      </x:c>
      <x:c r="H959" s="2" t="n">
        <x:f>IF(ISNUMBER(F959),IF(F959&gt;=2,1,0),0)</x:f>
        <x:v>1</x:v>
      </x:c>
      <x:c r="I959" s="11" t="n">
        <x:f>IF(ISNUMBER(F959),2^F959-1,0)</x:f>
        <x:v>7</x:v>
      </x:c>
      <x:c r="J959" s="2" t="str">
        <x:v>Extension pre-run 600</x:v>
      </x:c>
      <x:c r="K959" s="10" t="n">
        <x:v>5500</x:v>
      </x:c>
      <x:c r="L959" s="10" t="n">
        <x:v>3</x:v>
      </x:c>
      <x:c r="M959" s="10" t="n">
        <x:v>1119</x:v>
      </x:c>
      <x:c r="N959" s="2" t="str">
        <x:v>D10</x:v>
      </x:c>
      <x:c r="O959" s="2" t="str">
        <x:v>apartment</x:v>
      </x:c>
      <x:c r="P959" s="2" t="str">
        <x:v>https://www.propertyguru.com.sg/listing/for-rent-proximo-24424470</x:v>
      </x:c>
      <x:c r="Q959" s="12" t="str">
        <x:v>Pre-registered source-rubric-v1; grade applied before outputs.</x:v>
      </x:c>
      <x:c r="R959" s="13"/>
    </x:row>
    <x:row r="960" ht="15" hidden="0" customHeight="1">
      <x:c r="A960" s="2" t="str">
        <x:v>S32|60009158</x:v>
      </x:c>
      <x:c r="B960" s="2" t="str">
        <x:v>S32</x:v>
      </x:c>
      <x:c r="C960" s="2" t="str">
        <x:v>60009158</x:v>
      </x:c>
      <x:c r="D960" s="2" t="n">
        <x:v>3</x:v>
      </x:c>
      <x:c r="E960" s="9"/>
      <x:c r="F960" s="2" t="n">
        <x:f>IF(E960="",D960,IF(E960="U","U",IF(AND(ISNUMBER(E960),E960&gt;=0,E960&lt;=3,INT(E960)=E960),E960,"Invalid")))</x:f>
        <x:v>3</x:v>
      </x:c>
      <x:c r="G960" s="2" t="n">
        <x:f>IF(ISNUMBER(F960),1,0)</x:f>
        <x:v>1</x:v>
      </x:c>
      <x:c r="H960" s="2" t="n">
        <x:f>IF(ISNUMBER(F960),IF(F960&gt;=2,1,0),0)</x:f>
        <x:v>1</x:v>
      </x:c>
      <x:c r="I960" s="11" t="n">
        <x:f>IF(ISNUMBER(F960),2^F960-1,0)</x:f>
        <x:v>7</x:v>
      </x:c>
      <x:c r="J960" s="2" t="str">
        <x:v>Extension pre-run 600</x:v>
      </x:c>
      <x:c r="K960" s="10" t="n">
        <x:v>4000</x:v>
      </x:c>
      <x:c r="L960" s="10" t="n">
        <x:v>2</x:v>
      </x:c>
      <x:c r="M960" s="10" t="n">
        <x:v>893</x:v>
      </x:c>
      <x:c r="N960" s="2" t="str">
        <x:v>D10</x:v>
      </x:c>
      <x:c r="O960" s="2" t="str">
        <x:v>apartment</x:v>
      </x:c>
      <x:c r="P960" s="2" t="str">
        <x:v>https://www.propertyguru.com.sg/listing/for-rent-kellock-lodge-60009158</x:v>
      </x:c>
      <x:c r="Q960" s="12" t="str">
        <x:v>Pre-registered source-rubric-v1; grade applied before outputs.</x:v>
      </x:c>
      <x:c r="R960" s="13"/>
    </x:row>
    <x:row r="961" ht="15" hidden="0" customHeight="1">
      <x:c r="A961" s="2" t="str">
        <x:v>S32|24228510</x:v>
      </x:c>
      <x:c r="B961" s="2" t="str">
        <x:v>S32</x:v>
      </x:c>
      <x:c r="C961" s="2" t="str">
        <x:v>24228510</x:v>
      </x:c>
      <x:c r="D961" s="2" t="n">
        <x:v>2</x:v>
      </x:c>
      <x:c r="E961" s="9"/>
      <x:c r="F961" s="2" t="n">
        <x:f>IF(E961="",D961,IF(E961="U","U",IF(AND(ISNUMBER(E961),E961&gt;=0,E961&lt;=3,INT(E961)=E961),E961,"Invalid")))</x:f>
        <x:v>2</x:v>
      </x:c>
      <x:c r="G961" s="2" t="n">
        <x:f>IF(ISNUMBER(F961),1,0)</x:f>
        <x:v>1</x:v>
      </x:c>
      <x:c r="H961" s="2" t="n">
        <x:f>IF(ISNUMBER(F961),IF(F961&gt;=2,1,0),0)</x:f>
        <x:v>1</x:v>
      </x:c>
      <x:c r="I961" s="11" t="n">
        <x:f>IF(ISNUMBER(F961),2^F961-1,0)</x:f>
        <x:v>3</x:v>
      </x:c>
      <x:c r="J961" s="2" t="str">
        <x:v>Extension pre-run 600</x:v>
      </x:c>
      <x:c r="K961" s="10" t="n">
        <x:v>5800</x:v>
      </x:c>
      <x:c r="L961" s="10" t="n">
        <x:v>2</x:v>
      </x:c>
      <x:c r="M961" s="10" t="n">
        <x:v>969</x:v>
      </x:c>
      <x:c r="N961" s="2" t="str">
        <x:v>D10</x:v>
      </x:c>
      <x:c r="O961" s="2" t="str">
        <x:v>condominium</x:v>
      </x:c>
      <x:c r="P961" s="2" t="str">
        <x:v>https://www.propertyguru.com.sg/listing/for-rent-one-balmoral-24228510</x:v>
      </x:c>
      <x:c r="Q961" s="12" t="str">
        <x:v>Pre-registered source-rubric-v1; grade applied before outputs.</x:v>
      </x:c>
      <x:c r="R961" s="13"/>
    </x:row>
    <x:row r="962" ht="15" hidden="0" customHeight="1">
      <x:c r="A962" s="2" t="str">
        <x:v>S32|20628134</x:v>
      </x:c>
      <x:c r="B962" s="2" t="str">
        <x:v>S32</x:v>
      </x:c>
      <x:c r="C962" s="2" t="str">
        <x:v>20628134</x:v>
      </x:c>
      <x:c r="D962" s="2" t="n">
        <x:v>2</x:v>
      </x:c>
      <x:c r="E962" s="9"/>
      <x:c r="F962" s="2" t="n">
        <x:f>IF(E962="",D962,IF(E962="U","U",IF(AND(ISNUMBER(E962),E962&gt;=0,E962&lt;=3,INT(E962)=E962),E962,"Invalid")))</x:f>
        <x:v>2</x:v>
      </x:c>
      <x:c r="G962" s="2" t="n">
        <x:f>IF(ISNUMBER(F962),1,0)</x:f>
        <x:v>1</x:v>
      </x:c>
      <x:c r="H962" s="2" t="n">
        <x:f>IF(ISNUMBER(F962),IF(F962&gt;=2,1,0),0)</x:f>
        <x:v>1</x:v>
      </x:c>
      <x:c r="I962" s="11" t="n">
        <x:f>IF(ISNUMBER(F962),2^F962-1,0)</x:f>
        <x:v>3</x:v>
      </x:c>
      <x:c r="J962" s="2" t="str">
        <x:v>Extension pre-run 600</x:v>
      </x:c>
      <x:c r="K962" s="10" t="n">
        <x:v>5900</x:v>
      </x:c>
      <x:c r="L962" s="10" t="n">
        <x:v>2</x:v>
      </x:c>
      <x:c r="M962" s="10" t="n">
        <x:v>1087</x:v>
      </x:c>
      <x:c r="N962" s="2" t="str">
        <x:v>D10</x:v>
      </x:c>
      <x:c r="O962" s="2" t="str">
        <x:v>condominium</x:v>
      </x:c>
      <x:c r="P962" s="2" t="str">
        <x:v>https://www.propertyguru.com.sg/listing/for-rent-one-jervois-20628134</x:v>
      </x:c>
      <x:c r="Q962" s="12" t="str">
        <x:v>Pre-registered source-rubric-v1; grade applied before outputs.</x:v>
      </x:c>
      <x:c r="R962" s="13"/>
    </x:row>
    <x:row r="963" ht="15" hidden="0" customHeight="1">
      <x:c r="A963" s="2" t="str">
        <x:v>S32|25545412</x:v>
      </x:c>
      <x:c r="B963" s="2" t="str">
        <x:v>S32</x:v>
      </x:c>
      <x:c r="C963" s="2" t="str">
        <x:v>25545412</x:v>
      </x:c>
      <x:c r="D963" s="2" t="n">
        <x:v>2</x:v>
      </x:c>
      <x:c r="E963" s="9"/>
      <x:c r="F963" s="2" t="n">
        <x:f>IF(E963="",D963,IF(E963="U","U",IF(AND(ISNUMBER(E963),E963&gt;=0,E963&lt;=3,INT(E963)=E963),E963,"Invalid")))</x:f>
        <x:v>2</x:v>
      </x:c>
      <x:c r="G963" s="2" t="n">
        <x:f>IF(ISNUMBER(F963),1,0)</x:f>
        <x:v>1</x:v>
      </x:c>
      <x:c r="H963" s="2" t="n">
        <x:f>IF(ISNUMBER(F963),IF(F963&gt;=2,1,0),0)</x:f>
        <x:v>1</x:v>
      </x:c>
      <x:c r="I963" s="11" t="n">
        <x:f>IF(ISNUMBER(F963),2^F963-1,0)</x:f>
        <x:v>3</x:v>
      </x:c>
      <x:c r="J963" s="2" t="str">
        <x:v>Extension pre-run 600</x:v>
      </x:c>
      <x:c r="K963" s="10" t="n">
        <x:v>6000</x:v>
      </x:c>
      <x:c r="L963" s="10" t="n">
        <x:v>2</x:v>
      </x:c>
      <x:c r="M963" s="10" t="n">
        <x:v>710</x:v>
      </x:c>
      <x:c r="N963" s="2" t="str">
        <x:v>D10</x:v>
      </x:c>
      <x:c r="O963" s="2" t="str">
        <x:v>condominium</x:v>
      </x:c>
      <x:c r="P963" s="2" t="str">
        <x:v>https://www.propertyguru.com.sg/listing/for-rent-van-holland-25545412</x:v>
      </x:c>
      <x:c r="Q963" s="12" t="str">
        <x:v>Pre-registered source-rubric-v1; grade applied before outputs.</x:v>
      </x:c>
      <x:c r="R963" s="13"/>
    </x:row>
    <x:row r="964" ht="15" hidden="0" customHeight="1">
      <x:c r="A964" s="2" t="str">
        <x:v>S32|20179161</x:v>
      </x:c>
      <x:c r="B964" s="2" t="str">
        <x:v>S32</x:v>
      </x:c>
      <x:c r="C964" s="2" t="str">
        <x:v>20179161</x:v>
      </x:c>
      <x:c r="D964" s="2" t="n">
        <x:v>2</x:v>
      </x:c>
      <x:c r="E964" s="9"/>
      <x:c r="F964" s="2" t="n">
        <x:f>IF(E964="",D964,IF(E964="U","U",IF(AND(ISNUMBER(E964),E964&gt;=0,E964&lt;=3,INT(E964)=E964),E964,"Invalid")))</x:f>
        <x:v>2</x:v>
      </x:c>
      <x:c r="G964" s="2" t="n">
        <x:f>IF(ISNUMBER(F964),1,0)</x:f>
        <x:v>1</x:v>
      </x:c>
      <x:c r="H964" s="2" t="n">
        <x:f>IF(ISNUMBER(F964),IF(F964&gt;=2,1,0),0)</x:f>
        <x:v>1</x:v>
      </x:c>
      <x:c r="I964" s="11" t="n">
        <x:f>IF(ISNUMBER(F964),2^F964-1,0)</x:f>
        <x:v>3</x:v>
      </x:c>
      <x:c r="J964" s="2" t="str">
        <x:v>Extension pre-run 600</x:v>
      </x:c>
      <x:c r="K964" s="10" t="n">
        <x:v>6200</x:v>
      </x:c>
      <x:c r="L964" s="10" t="n">
        <x:v>3</x:v>
      </x:c>
      <x:c r="M964" s="10" t="n">
        <x:v>1313</x:v>
      </x:c>
      <x:c r="N964" s="2" t="str">
        <x:v>D10</x:v>
      </x:c>
      <x:c r="O964" s="2" t="str">
        <x:v>condominium</x:v>
      </x:c>
      <x:c r="P964" s="2" t="str">
        <x:v>https://www.propertyguru.com.sg/listing/for-rent-ventuno-balmoral-20179161</x:v>
      </x:c>
      <x:c r="Q964" s="12" t="str">
        <x:v>Pre-registered source-rubric-v1; grade applied before outputs.</x:v>
      </x:c>
      <x:c r="R964" s="13"/>
    </x:row>
    <x:row r="965" ht="15" hidden="0" customHeight="1">
      <x:c r="A965" s="2" t="str">
        <x:v>S32|500266297</x:v>
      </x:c>
      <x:c r="B965" s="2" t="str">
        <x:v>S32</x:v>
      </x:c>
      <x:c r="C965" s="2" t="str">
        <x:v>500266297</x:v>
      </x:c>
      <x:c r="D965" s="2" t="n">
        <x:v>2</x:v>
      </x:c>
      <x:c r="E965" s="9"/>
      <x:c r="F965" s="2" t="n">
        <x:f>IF(E965="",D965,IF(E965="U","U",IF(AND(ISNUMBER(E965),E965&gt;=0,E965&lt;=3,INT(E965)=E965),E965,"Invalid")))</x:f>
        <x:v>2</x:v>
      </x:c>
      <x:c r="G965" s="2" t="n">
        <x:f>IF(ISNUMBER(F965),1,0)</x:f>
        <x:v>1</x:v>
      </x:c>
      <x:c r="H965" s="2" t="n">
        <x:f>IF(ISNUMBER(F965),IF(F965&gt;=2,1,0),0)</x:f>
        <x:v>1</x:v>
      </x:c>
      <x:c r="I965" s="11" t="n">
        <x:f>IF(ISNUMBER(F965),2^F965-1,0)</x:f>
        <x:v>3</x:v>
      </x:c>
      <x:c r="J965" s="2" t="str">
        <x:v>Extension pre-run 600</x:v>
      </x:c>
      <x:c r="K965" s="10" t="n">
        <x:v>5800</x:v>
      </x:c>
      <x:c r="L965" s="10" t="n">
        <x:v>2</x:v>
      </x:c>
      <x:c r="M965" s="10" t="n">
        <x:v>753</x:v>
      </x:c>
      <x:c r="N965" s="2" t="str">
        <x:v>D10</x:v>
      </x:c>
      <x:c r="O965" s="2" t="str">
        <x:v>condominium</x:v>
      </x:c>
      <x:c r="P965" s="2" t="str">
        <x:v>https://www.propertyguru.com.sg/listing/for-rent-petit-jervois-500266297</x:v>
      </x:c>
      <x:c r="Q965" s="12" t="str">
        <x:v>Pre-registered source-rubric-v1; grade applied before outputs.</x:v>
      </x:c>
      <x:c r="R965" s="13"/>
    </x:row>
    <x:row r="966" ht="15" hidden="0" customHeight="1">
      <x:c r="A966" s="2" t="str">
        <x:v>S32|500272125</x:v>
      </x:c>
      <x:c r="B966" s="2" t="str">
        <x:v>S32</x:v>
      </x:c>
      <x:c r="C966" s="2" t="str">
        <x:v>500272125</x:v>
      </x:c>
      <x:c r="D966" s="2" t="n">
        <x:v>2</x:v>
      </x:c>
      <x:c r="E966" s="9"/>
      <x:c r="F966" s="2" t="n">
        <x:f>IF(E966="",D966,IF(E966="U","U",IF(AND(ISNUMBER(E966),E966&gt;=0,E966&lt;=3,INT(E966)=E966),E966,"Invalid")))</x:f>
        <x:v>2</x:v>
      </x:c>
      <x:c r="G966" s="2" t="n">
        <x:f>IF(ISNUMBER(F966),1,0)</x:f>
        <x:v>1</x:v>
      </x:c>
      <x:c r="H966" s="2" t="n">
        <x:f>IF(ISNUMBER(F966),IF(F966&gt;=2,1,0),0)</x:f>
        <x:v>1</x:v>
      </x:c>
      <x:c r="I966" s="11" t="n">
        <x:f>IF(ISNUMBER(F966),2^F966-1,0)</x:f>
        <x:v>3</x:v>
      </x:c>
      <x:c r="J966" s="2" t="str">
        <x:v>Extension pre-run 600</x:v>
      </x:c>
      <x:c r="K966" s="10" t="n">
        <x:v>5800</x:v>
      </x:c>
      <x:c r="L966" s="10" t="n">
        <x:v>2</x:v>
      </x:c>
      <x:c r="M966" s="10" t="n">
        <x:v>980</x:v>
      </x:c>
      <x:c r="N966" s="2" t="str">
        <x:v>D10</x:v>
      </x:c>
      <x:c r="O966" s="2" t="str">
        <x:v>condominium</x:v>
      </x:c>
      <x:c r="P966" s="2" t="str">
        <x:v>https://www.propertyguru.com.sg/listing/for-rent-the-levelz-500272125</x:v>
      </x:c>
      <x:c r="Q966" s="12" t="str">
        <x:v>Pre-registered source-rubric-v1; grade applied before outputs.</x:v>
      </x:c>
      <x:c r="R966" s="13"/>
    </x:row>
    <x:row r="967" ht="15" hidden="0" customHeight="1">
      <x:c r="A967" s="2" t="str">
        <x:v>S32|500277753</x:v>
      </x:c>
      <x:c r="B967" s="2" t="str">
        <x:v>S32</x:v>
      </x:c>
      <x:c r="C967" s="2" t="str">
        <x:v>500277753</x:v>
      </x:c>
      <x:c r="D967" s="2" t="n">
        <x:v>2</x:v>
      </x:c>
      <x:c r="E967" s="9"/>
      <x:c r="F967" s="2" t="n">
        <x:f>IF(E967="",D967,IF(E967="U","U",IF(AND(ISNUMBER(E967),E967&gt;=0,E967&lt;=3,INT(E967)=E967),E967,"Invalid")))</x:f>
        <x:v>2</x:v>
      </x:c>
      <x:c r="G967" s="2" t="n">
        <x:f>IF(ISNUMBER(F967),1,0)</x:f>
        <x:v>1</x:v>
      </x:c>
      <x:c r="H967" s="2" t="n">
        <x:f>IF(ISNUMBER(F967),IF(F967&gt;=2,1,0),0)</x:f>
        <x:v>1</x:v>
      </x:c>
      <x:c r="I967" s="11" t="n">
        <x:f>IF(ISNUMBER(F967),2^F967-1,0)</x:f>
        <x:v>3</x:v>
      </x:c>
      <x:c r="J967" s="2" t="str">
        <x:v>Extension pre-run 600</x:v>
      </x:c>
      <x:c r="K967" s="10" t="n">
        <x:v>5600</x:v>
      </x:c>
      <x:c r="L967" s="10" t="n">
        <x:v>2</x:v>
      </x:c>
      <x:c r="M967" s="10" t="n">
        <x:v>958</x:v>
      </x:c>
      <x:c r="N967" s="2" t="str">
        <x:v>D10</x:v>
      </x:c>
      <x:c r="O967" s="2" t="str">
        <x:v>apartment</x:v>
      </x:c>
      <x:c r="P967" s="2" t="str">
        <x:v>https://www.propertyguru.com.sg/listing/for-rent-d-dalvey-500277753</x:v>
      </x:c>
      <x:c r="Q967" s="12" t="str">
        <x:v>Pre-registered source-rubric-v1; grade applied before outputs.</x:v>
      </x:c>
      <x:c r="R967" s="13"/>
    </x:row>
    <x:row r="968" ht="15" hidden="0" customHeight="1">
      <x:c r="A968" s="2" t="str">
        <x:v>S32|25413583</x:v>
      </x:c>
      <x:c r="B968" s="2" t="str">
        <x:v>S32</x:v>
      </x:c>
      <x:c r="C968" s="2" t="str">
        <x:v>25413583</x:v>
      </x:c>
      <x:c r="D968" s="2" t="n">
        <x:v>2</x:v>
      </x:c>
      <x:c r="E968" s="9"/>
      <x:c r="F968" s="2" t="n">
        <x:f>IF(E968="",D968,IF(E968="U","U",IF(AND(ISNUMBER(E968),E968&gt;=0,E968&lt;=3,INT(E968)=E968),E968,"Invalid")))</x:f>
        <x:v>2</x:v>
      </x:c>
      <x:c r="G968" s="2" t="n">
        <x:f>IF(ISNUMBER(F968),1,0)</x:f>
        <x:v>1</x:v>
      </x:c>
      <x:c r="H968" s="2" t="n">
        <x:f>IF(ISNUMBER(F968),IF(F968&gt;=2,1,0),0)</x:f>
        <x:v>1</x:v>
      </x:c>
      <x:c r="I968" s="11" t="n">
        <x:f>IF(ISNUMBER(F968),2^F968-1,0)</x:f>
        <x:v>3</x:v>
      </x:c>
      <x:c r="J968" s="2" t="str">
        <x:v>Extension pre-run 600</x:v>
      </x:c>
      <x:c r="K968" s="10" t="n">
        <x:v>5990</x:v>
      </x:c>
      <x:c r="L968" s="10" t="n">
        <x:v>2</x:v>
      </x:c>
      <x:c r="M968" s="10" t="n">
        <x:v>689</x:v>
      </x:c>
      <x:c r="N968" s="2" t="str">
        <x:v>D10</x:v>
      </x:c>
      <x:c r="O968" s="2" t="str">
        <x:v>condominium</x:v>
      </x:c>
      <x:c r="P968" s="2" t="str">
        <x:v>https://www.propertyguru.com.sg/listing/for-rent-one-holland-village-residences-25413583</x:v>
      </x:c>
      <x:c r="Q968" s="12" t="str">
        <x:v>Pre-registered source-rubric-v1; grade applied before outputs.</x:v>
      </x:c>
      <x:c r="R968" s="13"/>
    </x:row>
    <x:row r="969" ht="15" hidden="0" customHeight="1">
      <x:c r="A969" s="2" t="str">
        <x:v>S32|500287001</x:v>
      </x:c>
      <x:c r="B969" s="2" t="str">
        <x:v>S32</x:v>
      </x:c>
      <x:c r="C969" s="2" t="str">
        <x:v>500287001</x:v>
      </x:c>
      <x:c r="D969" s="2" t="n">
        <x:v>1</x:v>
      </x:c>
      <x:c r="E969" s="9"/>
      <x:c r="F969" s="2" t="n">
        <x:f>IF(E969="",D969,IF(E969="U","U",IF(AND(ISNUMBER(E969),E969&gt;=0,E969&lt;=3,INT(E969)=E969),E969,"Invalid")))</x:f>
        <x:v>1</x:v>
      </x:c>
      <x:c r="G969" s="2" t="n">
        <x:f>IF(ISNUMBER(F969),1,0)</x:f>
        <x:v>1</x:v>
      </x:c>
      <x:c r="H969" s="2" t="n">
        <x:f>IF(ISNUMBER(F969),IF(F969&gt;=2,1,0),0)</x:f>
        <x:v>0</x:v>
      </x:c>
      <x:c r="I969" s="11" t="n">
        <x:f>IF(ISNUMBER(F969),2^F969-1,0)</x:f>
        <x:v>1</x:v>
      </x:c>
      <x:c r="J969" s="2" t="str">
        <x:v>Extension pre-run 600</x:v>
      </x:c>
      <x:c r="K969" s="10" t="n">
        <x:v>6500</x:v>
      </x:c>
      <x:c r="L969" s="10" t="n">
        <x:v>2</x:v>
      </x:c>
      <x:c r="M969" s="10" t="n">
        <x:v>990</x:v>
      </x:c>
      <x:c r="N969" s="2" t="str">
        <x:v>D09</x:v>
      </x:c>
      <x:c r="O969" s="2" t="str">
        <x:v>apartment</x:v>
      </x:c>
      <x:c r="P969" s="2" t="str">
        <x:v>https://www.propertyguru.com.sg/listing/for-rent-the-paterson-edge-500287001</x:v>
      </x:c>
      <x:c r="Q969" s="12" t="str">
        <x:v>Pre-registered source-rubric-v1; grade applied before outputs.</x:v>
      </x:c>
      <x:c r="R969" s="13"/>
    </x:row>
    <x:row r="970" ht="15" hidden="0" customHeight="1">
      <x:c r="A970" s="2" t="str">
        <x:v>S32|500224200</x:v>
      </x:c>
      <x:c r="B970" s="2" t="str">
        <x:v>S32</x:v>
      </x:c>
      <x:c r="C970" s="2" t="str">
        <x:v>500224200</x:v>
      </x:c>
      <x:c r="D970" s="2" t="n">
        <x:v>1</x:v>
      </x:c>
      <x:c r="E970" s="9"/>
      <x:c r="F970" s="2" t="n">
        <x:f>IF(E970="",D970,IF(E970="U","U",IF(AND(ISNUMBER(E970),E970&gt;=0,E970&lt;=3,INT(E970)=E970),E970,"Invalid")))</x:f>
        <x:v>1</x:v>
      </x:c>
      <x:c r="G970" s="2" t="n">
        <x:f>IF(ISNUMBER(F970),1,0)</x:f>
        <x:v>1</x:v>
      </x:c>
      <x:c r="H970" s="2" t="n">
        <x:f>IF(ISNUMBER(F970),IF(F970&gt;=2,1,0),0)</x:f>
        <x:v>0</x:v>
      </x:c>
      <x:c r="I970" s="11" t="n">
        <x:f>IF(ISNUMBER(F970),2^F970-1,0)</x:f>
        <x:v>1</x:v>
      </x:c>
      <x:c r="J970" s="2" t="str">
        <x:v>Extension pre-run 600</x:v>
      </x:c>
      <x:c r="K970" s="10" t="n">
        <x:v>6200</x:v>
      </x:c>
      <x:c r="L970" s="10" t="n">
        <x:v>3</x:v>
      </x:c>
      <x:c r="M970" s="10" t="n">
        <x:v>1292</x:v>
      </x:c>
      <x:c r="N970" s="2" t="str">
        <x:v>D11</x:v>
      </x:c>
      <x:c r="O970" s="2" t="str">
        <x:v>condominium</x:v>
      </x:c>
      <x:c r="P970" s="2" t="str">
        <x:v>https://www.propertyguru.com.sg/listing/for-rent-thomson-euro-asia-500224200</x:v>
      </x:c>
      <x:c r="Q970" s="12" t="str">
        <x:v>Pre-registered source-rubric-v1; grade applied before outputs.</x:v>
      </x:c>
      <x:c r="R970" s="13"/>
    </x:row>
    <x:row r="971" ht="15" hidden="0" customHeight="1">
      <x:c r="A971" s="2" t="str">
        <x:v>S32|500267143</x:v>
      </x:c>
      <x:c r="B971" s="2" t="str">
        <x:v>S32</x:v>
      </x:c>
      <x:c r="C971" s="2" t="str">
        <x:v>500267143</x:v>
      </x:c>
      <x:c r="D971" s="2" t="n">
        <x:v>1</x:v>
      </x:c>
      <x:c r="E971" s="9"/>
      <x:c r="F971" s="2" t="n">
        <x:f>IF(E971="",D971,IF(E971="U","U",IF(AND(ISNUMBER(E971),E971&gt;=0,E971&lt;=3,INT(E971)=E971),E971,"Invalid")))</x:f>
        <x:v>1</x:v>
      </x:c>
      <x:c r="G971" s="2" t="n">
        <x:f>IF(ISNUMBER(F971),1,0)</x:f>
        <x:v>1</x:v>
      </x:c>
      <x:c r="H971" s="2" t="n">
        <x:f>IF(ISNUMBER(F971),IF(F971&gt;=2,1,0),0)</x:f>
        <x:v>0</x:v>
      </x:c>
      <x:c r="I971" s="11" t="n">
        <x:f>IF(ISNUMBER(F971),2^F971-1,0)</x:f>
        <x:v>1</x:v>
      </x:c>
      <x:c r="J971" s="2" t="str">
        <x:v>Extension pre-run 600</x:v>
      </x:c>
      <x:c r="K971" s="10" t="n">
        <x:v>5500</x:v>
      </x:c>
      <x:c r="L971" s="10" t="n">
        <x:v>2</x:v>
      </x:c>
      <x:c r="M971" s="10" t="n">
        <x:v>904</x:v>
      </x:c>
      <x:c r="N971" s="2" t="str">
        <x:v>D09</x:v>
      </x:c>
      <x:c r="O971" s="2" t="str">
        <x:v>condominium</x:v>
      </x:c>
      <x:c r="P971" s="2" t="str">
        <x:v>https://www.propertyguru.com.sg/listing/for-rent-the-peak-cairnhill-ii-500267143</x:v>
      </x:c>
      <x:c r="Q971" s="12" t="str">
        <x:v>Pre-registered source-rubric-v1; grade applied before outputs.</x:v>
      </x:c>
      <x:c r="R971" s="13"/>
    </x:row>
    <x:row r="972" ht="15" hidden="0" customHeight="1">
      <x:c r="A972" s="2" t="str">
        <x:v>S32|25426445</x:v>
      </x:c>
      <x:c r="B972" s="2" t="str">
        <x:v>S32</x:v>
      </x:c>
      <x:c r="C972" s="2" t="str">
        <x:v>25426445</x:v>
      </x:c>
      <x:c r="D972" s="2" t="n">
        <x:v>1</x:v>
      </x:c>
      <x:c r="E972" s="9"/>
      <x:c r="F972" s="2" t="n">
        <x:f>IF(E972="",D972,IF(E972="U","U",IF(AND(ISNUMBER(E972),E972&gt;=0,E972&lt;=3,INT(E972)=E972),E972,"Invalid")))</x:f>
        <x:v>1</x:v>
      </x:c>
      <x:c r="G972" s="2" t="n">
        <x:f>IF(ISNUMBER(F972),1,0)</x:f>
        <x:v>1</x:v>
      </x:c>
      <x:c r="H972" s="2" t="n">
        <x:f>IF(ISNUMBER(F972),IF(F972&gt;=2,1,0),0)</x:f>
        <x:v>0</x:v>
      </x:c>
      <x:c r="I972" s="11" t="n">
        <x:f>IF(ISNUMBER(F972),2^F972-1,0)</x:f>
        <x:v>1</x:v>
      </x:c>
      <x:c r="J972" s="2" t="str">
        <x:v>Extension pre-run 600</x:v>
      </x:c>
      <x:c r="K972" s="10" t="n">
        <x:v>5850</x:v>
      </x:c>
      <x:c r="L972" s="10" t="n">
        <x:v>3</x:v>
      </x:c>
      <x:c r="M972" s="10" t="n">
        <x:v>1509</x:v>
      </x:c>
      <x:c r="N972" s="2" t="str">
        <x:v>D09</x:v>
      </x:c>
      <x:c r="O972" s="2" t="str">
        <x:v>apartment</x:v>
      </x:c>
      <x:c r="P972" s="2" t="str">
        <x:v>https://www.propertyguru.com.sg/listing/for-rent-cavenagh-lodge-25426445</x:v>
      </x:c>
      <x:c r="Q972" s="12" t="str">
        <x:v>Pre-registered source-rubric-v1; grade applied before outputs.</x:v>
      </x:c>
      <x:c r="R972" s="13"/>
    </x:row>
    <x:row r="973" ht="15" hidden="0" customHeight="1">
      <x:c r="A973" s="2" t="str">
        <x:v>S32|25430873</x:v>
      </x:c>
      <x:c r="B973" s="2" t="str">
        <x:v>S32</x:v>
      </x:c>
      <x:c r="C973" s="2" t="str">
        <x:v>25430873</x:v>
      </x:c>
      <x:c r="D973" s="2" t="n">
        <x:v>1</x:v>
      </x:c>
      <x:c r="E973" s="9"/>
      <x:c r="F973" s="2" t="n">
        <x:f>IF(E973="",D973,IF(E973="U","U",IF(AND(ISNUMBER(E973),E973&gt;=0,E973&lt;=3,INT(E973)=E973),E973,"Invalid")))</x:f>
        <x:v>1</x:v>
      </x:c>
      <x:c r="G973" s="2" t="n">
        <x:f>IF(ISNUMBER(F973),1,0)</x:f>
        <x:v>1</x:v>
      </x:c>
      <x:c r="H973" s="2" t="n">
        <x:f>IF(ISNUMBER(F973),IF(F973&gt;=2,1,0),0)</x:f>
        <x:v>0</x:v>
      </x:c>
      <x:c r="I973" s="11" t="n">
        <x:f>IF(ISNUMBER(F973),2^F973-1,0)</x:f>
        <x:v>1</x:v>
      </x:c>
      <x:c r="J973" s="2" t="str">
        <x:v>Extension pre-run 600</x:v>
      </x:c>
      <x:c r="K973" s="10" t="n">
        <x:v>5850</x:v>
      </x:c>
      <x:c r="L973" s="10" t="n">
        <x:v>3</x:v>
      </x:c>
      <x:c r="M973" s="10" t="n">
        <x:v>1591</x:v>
      </x:c>
      <x:c r="N973" s="2" t="str">
        <x:v>D09</x:v>
      </x:c>
      <x:c r="O973" s="2" t="str">
        <x:v>apartment</x:v>
      </x:c>
      <x:c r="P973" s="2" t="str">
        <x:v>https://www.propertyguru.com.sg/listing/for-rent-cavenagh-lodge-25430873</x:v>
      </x:c>
      <x:c r="Q973" s="12" t="str">
        <x:v>Pre-registered source-rubric-v1; grade applied before outputs.</x:v>
      </x:c>
      <x:c r="R973" s="13"/>
    </x:row>
    <x:row r="974" ht="15" hidden="0" customHeight="1">
      <x:c r="A974" s="2" t="str">
        <x:v>S32|25343537</x:v>
      </x:c>
      <x:c r="B974" s="2" t="str">
        <x:v>S32</x:v>
      </x:c>
      <x:c r="C974" s="2" t="str">
        <x:v>25343537</x:v>
      </x:c>
      <x:c r="D974" s="2" t="n">
        <x:v>1</x:v>
      </x:c>
      <x:c r="E974" s="9"/>
      <x:c r="F974" s="2" t="n">
        <x:f>IF(E974="",D974,IF(E974="U","U",IF(AND(ISNUMBER(E974),E974&gt;=0,E974&lt;=3,INT(E974)=E974),E974,"Invalid")))</x:f>
        <x:v>1</x:v>
      </x:c>
      <x:c r="G974" s="2" t="n">
        <x:f>IF(ISNUMBER(F974),1,0)</x:f>
        <x:v>1</x:v>
      </x:c>
      <x:c r="H974" s="2" t="n">
        <x:f>IF(ISNUMBER(F974),IF(F974&gt;=2,1,0),0)</x:f>
        <x:v>0</x:v>
      </x:c>
      <x:c r="I974" s="11" t="n">
        <x:f>IF(ISNUMBER(F974),2^F974-1,0)</x:f>
        <x:v>1</x:v>
      </x:c>
      <x:c r="J974" s="2" t="str">
        <x:v>Extension pre-run 600</x:v>
      </x:c>
      <x:c r="K974" s="10" t="n">
        <x:v>5500</x:v>
      </x:c>
      <x:c r="L974" s="10" t="n">
        <x:v>2</x:v>
      </x:c>
      <x:c r="M974" s="10" t="n">
        <x:v>603</x:v>
      </x:c>
      <x:c r="N974" s="2" t="str">
        <x:v>D09</x:v>
      </x:c>
      <x:c r="O974" s="2" t="str">
        <x:v>condominium</x:v>
      </x:c>
      <x:c r="P974" s="2" t="str">
        <x:v>https://www.propertyguru.com.sg/listing/for-rent-irwell-hill-residences-25343537</x:v>
      </x:c>
      <x:c r="Q974" s="12" t="str">
        <x:v>Pre-registered source-rubric-v1; grade applied before outputs.</x:v>
      </x:c>
      <x:c r="R974" s="13"/>
    </x:row>
    <x:row r="975" ht="15" hidden="0" customHeight="1">
      <x:c r="A975" s="2" t="str">
        <x:v>S32|60199772</x:v>
      </x:c>
      <x:c r="B975" s="2" t="str">
        <x:v>S32</x:v>
      </x:c>
      <x:c r="C975" s="2" t="str">
        <x:v>60199772</x:v>
      </x:c>
      <x:c r="D975" s="2" t="n">
        <x:v>0</x:v>
      </x:c>
      <x:c r="E975" s="9"/>
      <x:c r="F975" s="2" t="n">
        <x:f>IF(E975="",D975,IF(E975="U","U",IF(AND(ISNUMBER(E975),E975&gt;=0,E975&lt;=3,INT(E975)=E975),E975,"Invalid")))</x:f>
        <x:v>0</x:v>
      </x:c>
      <x:c r="G975" s="2" t="n">
        <x:f>IF(ISNUMBER(F975),1,0)</x:f>
        <x:v>1</x:v>
      </x:c>
      <x:c r="H975" s="2" t="n">
        <x:f>IF(ISNUMBER(F975),IF(F975&gt;=2,1,0),0)</x:f>
        <x:v>0</x:v>
      </x:c>
      <x:c r="I975" s="11" t="n">
        <x:f>IF(ISNUMBER(F975),2^F975-1,0)</x:f>
        <x:v>0</x:v>
      </x:c>
      <x:c r="J975" s="2" t="str">
        <x:v>Extension pre-run 600</x:v>
      </x:c>
      <x:c r="K975" s="10" t="n">
        <x:v>3500</x:v>
      </x:c>
      <x:c r="L975" s="10" t="n">
        <x:v>1</x:v>
      </x:c>
      <x:c r="M975" s="10" t="n">
        <x:v>495</x:v>
      </x:c>
      <x:c r="N975" s="2" t="str">
        <x:v>D13</x:v>
      </x:c>
      <x:c r="O975" s="2" t="str">
        <x:v>condominium</x:v>
      </x:c>
      <x:c r="P975" s="2" t="str">
        <x:v>https://www.propertyguru.com.sg/listing/for-rent-sky-green-60199772</x:v>
      </x:c>
      <x:c r="Q975" s="12" t="str">
        <x:v>Pre-registered source-rubric-v1; grade applied before outputs.</x:v>
      </x:c>
      <x:c r="R975" s="13"/>
    </x:row>
    <x:row r="976" ht="15" hidden="0" customHeight="1">
      <x:c r="A976" s="2" t="str">
        <x:v>S32|500283360</x:v>
      </x:c>
      <x:c r="B976" s="2" t="str">
        <x:v>S32</x:v>
      </x:c>
      <x:c r="C976" s="2" t="str">
        <x:v>500283360</x:v>
      </x:c>
      <x:c r="D976" s="2" t="n">
        <x:v>0</x:v>
      </x:c>
      <x:c r="E976" s="9"/>
      <x:c r="F976" s="2" t="n">
        <x:f>IF(E976="",D976,IF(E976="U","U",IF(AND(ISNUMBER(E976),E976&gt;=0,E976&lt;=3,INT(E976)=E976),E976,"Invalid")))</x:f>
        <x:v>0</x:v>
      </x:c>
      <x:c r="G976" s="2" t="n">
        <x:f>IF(ISNUMBER(F976),1,0)</x:f>
        <x:v>1</x:v>
      </x:c>
      <x:c r="H976" s="2" t="n">
        <x:f>IF(ISNUMBER(F976),IF(F976&gt;=2,1,0),0)</x:f>
        <x:v>0</x:v>
      </x:c>
      <x:c r="I976" s="11" t="n">
        <x:f>IF(ISNUMBER(F976),2^F976-1,0)</x:f>
        <x:v>0</x:v>
      </x:c>
      <x:c r="J976" s="2" t="str">
        <x:v>Extension pre-run 600</x:v>
      </x:c>
      <x:c r="K976" s="10" t="n">
        <x:v>2100</x:v>
      </x:c>
      <x:c r="L976" s="10"/>
      <x:c r="M976" s="10" t="n">
        <x:v>281</x:v>
      </x:c>
      <x:c r="N976" s="2" t="str">
        <x:v>D16</x:v>
      </x:c>
      <x:c r="O976" s="2" t="str">
        <x:v>corner terrace</x:v>
      </x:c>
      <x:c r="P976" s="2" t="str">
        <x:v>https://www.propertyguru.com.sg/listing/for-rent-the-royale-angin-studio-500283360</x:v>
      </x:c>
      <x:c r="Q976" s="12" t="str">
        <x:v>Pre-registered source-rubric-v1; grade applied before outputs.</x:v>
      </x:c>
      <x:c r="R976" s="13"/>
    </x:row>
    <x:row r="977" ht="15" hidden="0" customHeight="1">
      <x:c r="A977" s="2" t="str">
        <x:v>S32|500256027</x:v>
      </x:c>
      <x:c r="B977" s="2" t="str">
        <x:v>S32</x:v>
      </x:c>
      <x:c r="C977" s="2" t="str">
        <x:v>500256027</x:v>
      </x:c>
      <x:c r="D977" s="2" t="n">
        <x:v>0</x:v>
      </x:c>
      <x:c r="E977" s="9"/>
      <x:c r="F977" s="2" t="n">
        <x:f>IF(E977="",D977,IF(E977="U","U",IF(AND(ISNUMBER(E977),E977&gt;=0,E977&lt;=3,INT(E977)=E977),E977,"Invalid")))</x:f>
        <x:v>0</x:v>
      </x:c>
      <x:c r="G977" s="2" t="n">
        <x:f>IF(ISNUMBER(F977),1,0)</x:f>
        <x:v>1</x:v>
      </x:c>
      <x:c r="H977" s="2" t="n">
        <x:f>IF(ISNUMBER(F977),IF(F977&gt;=2,1,0),0)</x:f>
        <x:v>0</x:v>
      </x:c>
      <x:c r="I977" s="11" t="n">
        <x:f>IF(ISNUMBER(F977),2^F977-1,0)</x:f>
        <x:v>0</x:v>
      </x:c>
      <x:c r="J977" s="2" t="str">
        <x:v>Extension pre-run 600</x:v>
      </x:c>
      <x:c r="K977" s="10" t="n">
        <x:v>4600</x:v>
      </x:c>
      <x:c r="L977" s="10" t="n">
        <x:v>3</x:v>
      </x:c>
      <x:c r="M977" s="10" t="n">
        <x:v>1216</x:v>
      </x:c>
      <x:c r="N977" s="2" t="str">
        <x:v>D20</x:v>
      </x:c>
      <x:c r="O977" s="2" t="str">
        <x:v>hdb flat</x:v>
      </x:c>
      <x:c r="P977" s="2" t="str">
        <x:v>https://www.propertyguru.com.sg/listing/hdb-for-rent-455a-teck-ghee-parkview-500256027</x:v>
      </x:c>
      <x:c r="Q977" s="12" t="str">
        <x:v>Pre-registered source-rubric-v1; grade applied before outputs.</x:v>
      </x:c>
      <x:c r="R977" s="13"/>
    </x:row>
    <x:row r="978" ht="15" hidden="0" customHeight="1">
      <x:c r="A978" s="2" t="str">
        <x:v>S32|20643330</x:v>
      </x:c>
      <x:c r="B978" s="2" t="str">
        <x:v>S32</x:v>
      </x:c>
      <x:c r="C978" s="2" t="str">
        <x:v>20643330</x:v>
      </x:c>
      <x:c r="D978" s="2" t="n">
        <x:v>0</x:v>
      </x:c>
      <x:c r="E978" s="9"/>
      <x:c r="F978" s="2" t="n">
        <x:f>IF(E978="",D978,IF(E978="U","U",IF(AND(ISNUMBER(E978),E978&gt;=0,E978&lt;=3,INT(E978)=E978),E978,"Invalid")))</x:f>
        <x:v>0</x:v>
      </x:c>
      <x:c r="G978" s="2" t="n">
        <x:f>IF(ISNUMBER(F978),1,0)</x:f>
        <x:v>1</x:v>
      </x:c>
      <x:c r="H978" s="2" t="n">
        <x:f>IF(ISNUMBER(F978),IF(F978&gt;=2,1,0),0)</x:f>
        <x:v>0</x:v>
      </x:c>
      <x:c r="I978" s="11" t="n">
        <x:f>IF(ISNUMBER(F978),2^F978-1,0)</x:f>
        <x:v>0</x:v>
      </x:c>
      <x:c r="J978" s="2" t="str">
        <x:v>Extension pre-run 600</x:v>
      </x:c>
      <x:c r="K978" s="10" t="n">
        <x:v>3500</x:v>
      </x:c>
      <x:c r="L978" s="10" t="n">
        <x:v>3</x:v>
      </x:c>
      <x:c r="M978" s="10" t="n">
        <x:v>1185</x:v>
      </x:c>
      <x:c r="N978" s="2" t="str">
        <x:v>D27</x:v>
      </x:c>
      <x:c r="O978" s="2" t="str">
        <x:v>hdb flat</x:v>
      </x:c>
      <x:c r="P978" s="2" t="str">
        <x:v>https://www.propertyguru.com.sg/listing/hdb-for-rent-359-admiralty-drive-20643330</x:v>
      </x:c>
      <x:c r="Q978" s="12" t="str">
        <x:v>Pre-registered source-rubric-v1; grade applied before outputs.</x:v>
      </x:c>
      <x:c r="R978" s="13"/>
    </x:row>
    <x:row r="979" ht="15" hidden="0" customHeight="1">
      <x:c r="A979" s="2" t="str">
        <x:v>S32|500280127</x:v>
      </x:c>
      <x:c r="B979" s="2" t="str">
        <x:v>S32</x:v>
      </x:c>
      <x:c r="C979" s="2" t="str">
        <x:v>500280127</x:v>
      </x:c>
      <x:c r="D979" s="2" t="n">
        <x:v>0</x:v>
      </x:c>
      <x:c r="E979" s="9"/>
      <x:c r="F979" s="2" t="n">
        <x:f>IF(E979="",D979,IF(E979="U","U",IF(AND(ISNUMBER(E979),E979&gt;=0,E979&lt;=3,INT(E979)=E979),E979,"Invalid")))</x:f>
        <x:v>0</x:v>
      </x:c>
      <x:c r="G979" s="2" t="n">
        <x:f>IF(ISNUMBER(F979),1,0)</x:f>
        <x:v>1</x:v>
      </x:c>
      <x:c r="H979" s="2" t="n">
        <x:f>IF(ISNUMBER(F979),IF(F979&gt;=2,1,0),0)</x:f>
        <x:v>0</x:v>
      </x:c>
      <x:c r="I979" s="11" t="n">
        <x:f>IF(ISNUMBER(F979),2^F979-1,0)</x:f>
        <x:v>0</x:v>
      </x:c>
      <x:c r="J979" s="2" t="str">
        <x:v>Extension pre-run 600</x:v>
      </x:c>
      <x:c r="K979" s="10" t="n">
        <x:v>4000</x:v>
      </x:c>
      <x:c r="L979" s="10" t="n">
        <x:v>4</x:v>
      </x:c>
      <x:c r="M979" s="10" t="n">
        <x:v>1323</x:v>
      </x:c>
      <x:c r="N979" s="2" t="str">
        <x:v>D23</x:v>
      </x:c>
      <x:c r="O979" s="2" t="str">
        <x:v>hdb flat</x:v>
      </x:c>
      <x:c r="P979" s="2" t="str">
        <x:v>https://www.propertyguru.com.sg/listing/hdb-for-rent-439-choa-chu-kang-avenue-4-500280127</x:v>
      </x:c>
      <x:c r="Q979" s="12" t="str">
        <x:v>Pre-registered source-rubric-v1; grade applied before outputs.</x:v>
      </x:c>
      <x:c r="R979" s="13"/>
    </x:row>
    <x:row r="980" ht="15" hidden="0" customHeight="1">
      <x:c r="A980" s="2" t="str">
        <x:v>S32|500278872</x:v>
      </x:c>
      <x:c r="B980" s="2" t="str">
        <x:v>S32</x:v>
      </x:c>
      <x:c r="C980" s="2" t="str">
        <x:v>500278872</x:v>
      </x:c>
      <x:c r="D980" s="2" t="n">
        <x:v>0</x:v>
      </x:c>
      <x:c r="E980" s="9"/>
      <x:c r="F980" s="2" t="n">
        <x:f>IF(E980="",D980,IF(E980="U","U",IF(AND(ISNUMBER(E980),E980&gt;=0,E980&lt;=3,INT(E980)=E980),E980,"Invalid")))</x:f>
        <x:v>0</x:v>
      </x:c>
      <x:c r="G980" s="2" t="n">
        <x:f>IF(ISNUMBER(F980),1,0)</x:f>
        <x:v>1</x:v>
      </x:c>
      <x:c r="H980" s="2" t="n">
        <x:f>IF(ISNUMBER(F980),IF(F980&gt;=2,1,0),0)</x:f>
        <x:v>0</x:v>
      </x:c>
      <x:c r="I980" s="11" t="n">
        <x:f>IF(ISNUMBER(F980),2^F980-1,0)</x:f>
        <x:v>0</x:v>
      </x:c>
      <x:c r="J980" s="2" t="str">
        <x:v>Extension pre-run 600</x:v>
      </x:c>
      <x:c r="K980" s="10" t="n">
        <x:v>900</x:v>
      </x:c>
      <x:c r="L980" s="10" t="n">
        <x:v>0</x:v>
      </x:c>
      <x:c r="M980" s="10"/>
      <x:c r="N980" s="2" t="str">
        <x:v>D18</x:v>
      </x:c>
      <x:c r="O980" s="2" t="str">
        <x:v>hdb flat</x:v>
      </x:c>
      <x:c r="P980" s="2" t="str">
        <x:v>https://www.propertyguru.com.sg/listing/hdb-for-rent-104-pasir-ris-street-12-500278872</x:v>
      </x:c>
      <x:c r="Q980" s="12" t="str">
        <x:v>Pre-registered source-rubric-v1; grade applied before outputs.</x:v>
      </x:c>
      <x:c r="R980" s="13"/>
    </x:row>
    <x:row r="981" ht="15" hidden="0" customHeight="1">
      <x:c r="A981" s="2" t="str">
        <x:v>S32|21530607</x:v>
      </x:c>
      <x:c r="B981" s="2" t="str">
        <x:v>S32</x:v>
      </x:c>
      <x:c r="C981" s="2" t="str">
        <x:v>21530607</x:v>
      </x:c>
      <x:c r="D981" s="2" t="n">
        <x:v>0</x:v>
      </x:c>
      <x:c r="E981" s="9"/>
      <x:c r="F981" s="2" t="n">
        <x:f>IF(E981="",D981,IF(E981="U","U",IF(AND(ISNUMBER(E981),E981&gt;=0,E981&lt;=3,INT(E981)=E981),E981,"Invalid")))</x:f>
        <x:v>0</x:v>
      </x:c>
      <x:c r="G981" s="2" t="n">
        <x:f>IF(ISNUMBER(F981),1,0)</x:f>
        <x:v>1</x:v>
      </x:c>
      <x:c r="H981" s="2" t="n">
        <x:f>IF(ISNUMBER(F981),IF(F981&gt;=2,1,0),0)</x:f>
        <x:v>0</x:v>
      </x:c>
      <x:c r="I981" s="11" t="n">
        <x:f>IF(ISNUMBER(F981),2^F981-1,0)</x:f>
        <x:v>0</x:v>
      </x:c>
      <x:c r="J981" s="2" t="str">
        <x:v>Extension pre-run 600</x:v>
      </x:c>
      <x:c r="K981" s="10" t="n">
        <x:v>950</x:v>
      </x:c>
      <x:c r="L981" s="10" t="n">
        <x:v>0</x:v>
      </x:c>
      <x:c r="M981" s="10"/>
      <x:c r="N981" s="2" t="str">
        <x:v>D14</x:v>
      </x:c>
      <x:c r="O981" s="2" t="str">
        <x:v>walk-up apartment</x:v>
      </x:c>
      <x:c r="P981" s="2" t="str">
        <x:v>https://www.propertyguru.com.sg/listing/for-rent-7b-lorong-9-geylang-21530607</x:v>
      </x:c>
      <x:c r="Q981" s="12" t="str">
        <x:v>Pre-registered source-rubric-v1; grade applied before outputs.</x:v>
      </x:c>
      <x:c r="R981" s="13"/>
    </x:row>
    <x:row r="982" ht="15" hidden="0" customHeight="1">
      <x:c r="A982" s="2" t="str">
        <x:v>S32|24367469</x:v>
      </x:c>
      <x:c r="B982" s="2" t="str">
        <x:v>S32</x:v>
      </x:c>
      <x:c r="C982" s="2" t="str">
        <x:v>24367469</x:v>
      </x:c>
      <x:c r="D982" s="2" t="n">
        <x:v>0</x:v>
      </x:c>
      <x:c r="E982" s="9"/>
      <x:c r="F982" s="2" t="n">
        <x:f>IF(E982="",D982,IF(E982="U","U",IF(AND(ISNUMBER(E982),E982&gt;=0,E982&lt;=3,INT(E982)=E982),E982,"Invalid")))</x:f>
        <x:v>0</x:v>
      </x:c>
      <x:c r="G982" s="2" t="n">
        <x:f>IF(ISNUMBER(F982),1,0)</x:f>
        <x:v>1</x:v>
      </x:c>
      <x:c r="H982" s="2" t="n">
        <x:f>IF(ISNUMBER(F982),IF(F982&gt;=2,1,0),0)</x:f>
        <x:v>0</x:v>
      </x:c>
      <x:c r="I982" s="11" t="n">
        <x:f>IF(ISNUMBER(F982),2^F982-1,0)</x:f>
        <x:v>0</x:v>
      </x:c>
      <x:c r="J982" s="2" t="str">
        <x:v>Extension pre-run 600</x:v>
      </x:c>
      <x:c r="K982" s="10" t="n">
        <x:v>4188</x:v>
      </x:c>
      <x:c r="L982" s="10" t="n">
        <x:v>3</x:v>
      </x:c>
      <x:c r="M982" s="10" t="n">
        <x:v>1313</x:v>
      </x:c>
      <x:c r="N982" s="2" t="str">
        <x:v>D18</x:v>
      </x:c>
      <x:c r="O982" s="2" t="str">
        <x:v>hdb flat</x:v>
      </x:c>
      <x:c r="P982" s="2" t="str">
        <x:v>https://www.propertyguru.com.sg/listing/hdb-for-rent-142-simei-street-2-24367469</x:v>
      </x:c>
      <x:c r="Q982" s="12" t="str">
        <x:v>Pre-registered source-rubric-v1; grade applied before outputs.</x:v>
      </x:c>
      <x:c r="R982" s="13"/>
    </x:row>
    <x:row r="983" ht="15" hidden="0" customHeight="1">
      <x:c r="A983" s="2" t="str">
        <x:v>S32|500254741</x:v>
      </x:c>
      <x:c r="B983" s="2" t="str">
        <x:v>S32</x:v>
      </x:c>
      <x:c r="C983" s="2" t="str">
        <x:v>500254741</x:v>
      </x:c>
      <x:c r="D983" s="2" t="str">
        <x:v>U</x:v>
      </x:c>
      <x:c r="E983" s="9"/>
      <x:c r="F983" s="2" t="str">
        <x:f>IF(E983="",D983,IF(E983="U","U",IF(AND(ISNUMBER(E983),E983&gt;=0,E983&lt;=3,INT(E983)=E983),E983,"Invalid")))</x:f>
        <x:v>U</x:v>
      </x:c>
      <x:c r="G983" s="2" t="n">
        <x:f>IF(ISNUMBER(F983),1,0)</x:f>
        <x:v>0</x:v>
      </x:c>
      <x:c r="H983" s="2" t="n">
        <x:f>IF(ISNUMBER(F983),IF(F983&gt;=2,1,0),0)</x:f>
        <x:v>0</x:v>
      </x:c>
      <x:c r="I983" s="11" t="n">
        <x:f>IF(ISNUMBER(F983),2^F983-1,0)</x:f>
        <x:v>0</x:v>
      </x:c>
      <x:c r="J983" s="2" t="str">
        <x:v>Extension pre-run 600</x:v>
      </x:c>
      <x:c r="K983" s="10" t="n">
        <x:v>4500</x:v>
      </x:c>
      <x:c r="L983" s="10"/>
      <x:c r="M983" s="10" t="n">
        <x:v>624</x:v>
      </x:c>
      <x:c r="N983" s="2" t="str">
        <x:v>D09</x:v>
      </x:c>
      <x:c r="O983" s="2" t="str">
        <x:v>condominium</x:v>
      </x:c>
      <x:c r="P983" s="2" t="str">
        <x:v>https://www.propertyguru.com.sg/listing/for-rent-the-scotts-tower-500254741</x:v>
      </x:c>
      <x:c r="Q983" s="12" t="str">
        <x:v>Pre-registered source-rubric-v1; grade applied before outputs.</x:v>
      </x:c>
      <x:c r="R983" s="13"/>
    </x:row>
    <x:row r="984" ht="15" hidden="0" customHeight="1">
      <x:c r="A984" s="2" t="str">
        <x:v>S32|24083644</x:v>
      </x:c>
      <x:c r="B984" s="2" t="str">
        <x:v>S32</x:v>
      </x:c>
      <x:c r="C984" s="2" t="str">
        <x:v>24083644</x:v>
      </x:c>
      <x:c r="D984" s="2" t="str">
        <x:v>U</x:v>
      </x:c>
      <x:c r="E984" s="9"/>
      <x:c r="F984" s="2" t="str">
        <x:f>IF(E984="",D984,IF(E984="U","U",IF(AND(ISNUMBER(E984),E984&gt;=0,E984&lt;=3,INT(E984)=E984),E984,"Invalid")))</x:f>
        <x:v>U</x:v>
      </x:c>
      <x:c r="G984" s="2" t="n">
        <x:f>IF(ISNUMBER(F984),1,0)</x:f>
        <x:v>0</x:v>
      </x:c>
      <x:c r="H984" s="2" t="n">
        <x:f>IF(ISNUMBER(F984),IF(F984&gt;=2,1,0),0)</x:f>
        <x:v>0</x:v>
      </x:c>
      <x:c r="I984" s="11" t="n">
        <x:f>IF(ISNUMBER(F984),2^F984-1,0)</x:f>
        <x:v>0</x:v>
      </x:c>
      <x:c r="J984" s="2" t="str">
        <x:v>Extension pre-run 600</x:v>
      </x:c>
      <x:c r="K984" s="10" t="n">
        <x:v>2300</x:v>
      </x:c>
      <x:c r="L984" s="10"/>
      <x:c r="M984" s="10" t="n">
        <x:v>200</x:v>
      </x:c>
      <x:c r="N984" s="2" t="str">
        <x:v>D09</x:v>
      </x:c>
      <x:c r="O984" s="2" t="str">
        <x:v>apartment</x:v>
      </x:c>
      <x:c r="P984" s="2" t="str">
        <x:v>https://www.propertyguru.com.sg/listing/for-rent-mackenzie-24083644</x:v>
      </x:c>
      <x:c r="Q984" s="12" t="str">
        <x:v>Pre-registered source-rubric-v1; grade applied before outputs.</x:v>
      </x:c>
      <x:c r="R984" s="13"/>
    </x:row>
    <x:row r="985" ht="15" hidden="0" customHeight="1">
      <x:c r="A985" s="2" t="str">
        <x:v>S33|21406855</x:v>
      </x:c>
      <x:c r="B985" s="2" t="str">
        <x:v>S33</x:v>
      </x:c>
      <x:c r="C985" s="2" t="str">
        <x:v>21406855</x:v>
      </x:c>
      <x:c r="D985" s="2" t="n">
        <x:v>2</x:v>
      </x:c>
      <x:c r="E985" s="9"/>
      <x:c r="F985" s="2" t="n">
        <x:f>IF(E985="",D985,IF(E985="U","U",IF(AND(ISNUMBER(E985),E985&gt;=0,E985&lt;=3,INT(E985)=E985),E985,"Invalid")))</x:f>
        <x:v>2</x:v>
      </x:c>
      <x:c r="G985" s="2" t="n">
        <x:f>IF(ISNUMBER(F985),1,0)</x:f>
        <x:v>1</x:v>
      </x:c>
      <x:c r="H985" s="2" t="n">
        <x:f>IF(ISNUMBER(F985),IF(F985&gt;=2,1,0),0)</x:f>
        <x:v>1</x:v>
      </x:c>
      <x:c r="I985" s="11" t="n">
        <x:f>IF(ISNUMBER(F985),2^F985-1,0)</x:f>
        <x:v>3</x:v>
      </x:c>
      <x:c r="J985" s="2" t="str">
        <x:v>Extension pre-run 600</x:v>
      </x:c>
      <x:c r="K985" s="10" t="n">
        <x:v>3300</x:v>
      </x:c>
      <x:c r="L985" s="10" t="n">
        <x:v>3</x:v>
      </x:c>
      <x:c r="M985" s="10" t="n">
        <x:v>700</x:v>
      </x:c>
      <x:c r="N985" s="2" t="str">
        <x:v>D05</x:v>
      </x:c>
      <x:c r="O985" s="2" t="str">
        <x:v>hdb flat</x:v>
      </x:c>
      <x:c r="P985" s="2" t="str">
        <x:v>https://www.propertyguru.com.sg/listing/hdb-for-rent-21-dover-crescent-21406855</x:v>
      </x:c>
      <x:c r="Q985" s="12" t="str">
        <x:v>Pre-registered source-rubric-v1; grade applied before outputs.</x:v>
      </x:c>
      <x:c r="R985" s="13"/>
    </x:row>
    <x:row r="986" ht="15" hidden="0" customHeight="1">
      <x:c r="A986" s="2" t="str">
        <x:v>S33|24981163</x:v>
      </x:c>
      <x:c r="B986" s="2" t="str">
        <x:v>S33</x:v>
      </x:c>
      <x:c r="C986" s="2" t="str">
        <x:v>24981163</x:v>
      </x:c>
      <x:c r="D986" s="2" t="n">
        <x:v>1</x:v>
      </x:c>
      <x:c r="E986" s="9"/>
      <x:c r="F986" s="2" t="n">
        <x:f>IF(E986="",D986,IF(E986="U","U",IF(AND(ISNUMBER(E986),E986&gt;=0,E986&lt;=3,INT(E986)=E986),E986,"Invalid")))</x:f>
        <x:v>1</x:v>
      </x:c>
      <x:c r="G986" s="2" t="n">
        <x:f>IF(ISNUMBER(F986),1,0)</x:f>
        <x:v>1</x:v>
      </x:c>
      <x:c r="H986" s="2" t="n">
        <x:f>IF(ISNUMBER(F986),IF(F986&gt;=2,1,0),0)</x:f>
        <x:v>0</x:v>
      </x:c>
      <x:c r="I986" s="11" t="n">
        <x:f>IF(ISNUMBER(F986),2^F986-1,0)</x:f>
        <x:v>1</x:v>
      </x:c>
      <x:c r="J986" s="2" t="str">
        <x:v>Extension pre-run 600</x:v>
      </x:c>
      <x:c r="K986" s="10" t="n">
        <x:v>3800</x:v>
      </x:c>
      <x:c r="L986" s="10" t="n">
        <x:v>3</x:v>
      </x:c>
      <x:c r="M986" s="10" t="n">
        <x:v>1012</x:v>
      </x:c>
      <x:c r="N986" s="2" t="str">
        <x:v>D05</x:v>
      </x:c>
      <x:c r="O986" s="2" t="str">
        <x:v>hdb flat</x:v>
      </x:c>
      <x:c r="P986" s="2" t="str">
        <x:v>https://www.propertyguru.com.sg/listing/hdb-for-rent-381-clementi-avenue-5-24981163</x:v>
      </x:c>
      <x:c r="Q986" s="12" t="str">
        <x:v>Pre-registered source-rubric-v1; grade applied before outputs.</x:v>
      </x:c>
      <x:c r="R986" s="13"/>
    </x:row>
    <x:row r="987" ht="15" hidden="0" customHeight="1">
      <x:c r="A987" s="2" t="str">
        <x:v>S33|500275187</x:v>
      </x:c>
      <x:c r="B987" s="2" t="str">
        <x:v>S33</x:v>
      </x:c>
      <x:c r="C987" s="2" t="str">
        <x:v>500275187</x:v>
      </x:c>
      <x:c r="D987" s="2" t="n">
        <x:v>1</x:v>
      </x:c>
      <x:c r="E987" s="9"/>
      <x:c r="F987" s="2" t="n">
        <x:f>IF(E987="",D987,IF(E987="U","U",IF(AND(ISNUMBER(E987),E987&gt;=0,E987&lt;=3,INT(E987)=E987),E987,"Invalid")))</x:f>
        <x:v>1</x:v>
      </x:c>
      <x:c r="G987" s="2" t="n">
        <x:f>IF(ISNUMBER(F987),1,0)</x:f>
        <x:v>1</x:v>
      </x:c>
      <x:c r="H987" s="2" t="n">
        <x:f>IF(ISNUMBER(F987),IF(F987&gt;=2,1,0),0)</x:f>
        <x:v>0</x:v>
      </x:c>
      <x:c r="I987" s="11" t="n">
        <x:f>IF(ISNUMBER(F987),2^F987-1,0)</x:f>
        <x:v>1</x:v>
      </x:c>
      <x:c r="J987" s="2" t="str">
        <x:v>Extension pre-run 600</x:v>
      </x:c>
      <x:c r="K987" s="10" t="n">
        <x:v>3800</x:v>
      </x:c>
      <x:c r="L987" s="10" t="n">
        <x:v>3</x:v>
      </x:c>
      <x:c r="M987" s="10" t="n">
        <x:v>980</x:v>
      </x:c>
      <x:c r="N987" s="2" t="str">
        <x:v>D05</x:v>
      </x:c>
      <x:c r="O987" s="2" t="str">
        <x:v>hdb flat</x:v>
      </x:c>
      <x:c r="P987" s="2" t="str">
        <x:v>https://www.propertyguru.com.sg/listing/hdb-for-rent-315-clementi-avenue-4-500275187</x:v>
      </x:c>
      <x:c r="Q987" s="12" t="str">
        <x:v>Pre-registered source-rubric-v1; grade applied before outputs.</x:v>
      </x:c>
      <x:c r="R987" s="13"/>
    </x:row>
    <x:row r="988" ht="15" hidden="0" customHeight="1">
      <x:c r="A988" s="2" t="str">
        <x:v>S33|25252744</x:v>
      </x:c>
      <x:c r="B988" s="2" t="str">
        <x:v>S33</x:v>
      </x:c>
      <x:c r="C988" s="2" t="str">
        <x:v>25252744</x:v>
      </x:c>
      <x:c r="D988" s="2" t="n">
        <x:v>0</x:v>
      </x:c>
      <x:c r="E988" s="9"/>
      <x:c r="F988" s="2" t="n">
        <x:f>IF(E988="",D988,IF(E988="U","U",IF(AND(ISNUMBER(E988),E988&gt;=0,E988&lt;=3,INT(E988)=E988),E988,"Invalid")))</x:f>
        <x:v>0</x:v>
      </x:c>
      <x:c r="G988" s="2" t="n">
        <x:f>IF(ISNUMBER(F988),1,0)</x:f>
        <x:v>1</x:v>
      </x:c>
      <x:c r="H988" s="2" t="n">
        <x:f>IF(ISNUMBER(F988),IF(F988&gt;=2,1,0),0)</x:f>
        <x:v>0</x:v>
      </x:c>
      <x:c r="I988" s="11" t="n">
        <x:f>IF(ISNUMBER(F988),2^F988-1,0)</x:f>
        <x:v>0</x:v>
      </x:c>
      <x:c r="J988" s="2" t="str">
        <x:v>Extension pre-run 600</x:v>
      </x:c>
      <x:c r="K988" s="10" t="n">
        <x:v>2300</x:v>
      </x:c>
      <x:c r="L988" s="10" t="n">
        <x:v>1</x:v>
      </x:c>
      <x:c r="M988" s="10" t="n">
        <x:v>350</x:v>
      </x:c>
      <x:c r="N988" s="2" t="str">
        <x:v>D19</x:v>
      </x:c>
      <x:c r="O988" s="2" t="str">
        <x:v>executive condominium</x:v>
      </x:c>
      <x:c r="P988" s="2" t="str">
        <x:v>https://www.propertyguru.com.sg/listing/for-rent-heron-bay-25252744</x:v>
      </x:c>
      <x:c r="Q988" s="12" t="str">
        <x:v>Pre-registered source-rubric-v1; grade applied before outputs.</x:v>
      </x:c>
      <x:c r="R988" s="13"/>
    </x:row>
    <x:row r="989" ht="15" hidden="0" customHeight="1">
      <x:c r="A989" s="2" t="str">
        <x:v>S33|500230881</x:v>
      </x:c>
      <x:c r="B989" s="2" t="str">
        <x:v>S33</x:v>
      </x:c>
      <x:c r="C989" s="2" t="str">
        <x:v>500230881</x:v>
      </x:c>
      <x:c r="D989" s="2" t="n">
        <x:v>0</x:v>
      </x:c>
      <x:c r="E989" s="9"/>
      <x:c r="F989" s="2" t="n">
        <x:f>IF(E989="",D989,IF(E989="U","U",IF(AND(ISNUMBER(E989),E989&gt;=0,E989&lt;=3,INT(E989)=E989),E989,"Invalid")))</x:f>
        <x:v>0</x:v>
      </x:c>
      <x:c r="G989" s="2" t="n">
        <x:f>IF(ISNUMBER(F989),1,0)</x:f>
        <x:v>1</x:v>
      </x:c>
      <x:c r="H989" s="2" t="n">
        <x:f>IF(ISNUMBER(F989),IF(F989&gt;=2,1,0),0)</x:f>
        <x:v>0</x:v>
      </x:c>
      <x:c r="I989" s="11" t="n">
        <x:f>IF(ISNUMBER(F989),2^F989-1,0)</x:f>
        <x:v>0</x:v>
      </x:c>
      <x:c r="J989" s="2" t="str">
        <x:v>Extension pre-run 600</x:v>
      </x:c>
      <x:c r="K989" s="10" t="n">
        <x:v>5800</x:v>
      </x:c>
      <x:c r="L989" s="10" t="n">
        <x:v>4</x:v>
      </x:c>
      <x:c r="M989" s="10" t="n">
        <x:v>1173</x:v>
      </x:c>
      <x:c r="N989" s="2" t="str">
        <x:v>D25</x:v>
      </x:c>
      <x:c r="O989" s="2" t="str">
        <x:v>condominium</x:v>
      </x:c>
      <x:c r="P989" s="2" t="str">
        <x:v>https://www.propertyguru.com.sg/listing/for-rent-norwood-grand-500230881</x:v>
      </x:c>
      <x:c r="Q989" s="12" t="str">
        <x:v>Pre-registered source-rubric-v1; grade applied before outputs.</x:v>
      </x:c>
      <x:c r="R989" s="13"/>
    </x:row>
    <x:row r="990" ht="15" hidden="0" customHeight="1">
      <x:c r="A990" s="2" t="str">
        <x:v>S33|500266271</x:v>
      </x:c>
      <x:c r="B990" s="2" t="str">
        <x:v>S33</x:v>
      </x:c>
      <x:c r="C990" s="2" t="str">
        <x:v>500266271</x:v>
      </x:c>
      <x:c r="D990" s="2" t="n">
        <x:v>0</x:v>
      </x:c>
      <x:c r="E990" s="9"/>
      <x:c r="F990" s="2" t="n">
        <x:f>IF(E990="",D990,IF(E990="U","U",IF(AND(ISNUMBER(E990),E990&gt;=0,E990&lt;=3,INT(E990)=E990),E990,"Invalid")))</x:f>
        <x:v>0</x:v>
      </x:c>
      <x:c r="G990" s="2" t="n">
        <x:f>IF(ISNUMBER(F990),1,0)</x:f>
        <x:v>1</x:v>
      </x:c>
      <x:c r="H990" s="2" t="n">
        <x:f>IF(ISNUMBER(F990),IF(F990&gt;=2,1,0),0)</x:f>
        <x:v>0</x:v>
      </x:c>
      <x:c r="I990" s="11" t="n">
        <x:f>IF(ISNUMBER(F990),2^F990-1,0)</x:f>
        <x:v>0</x:v>
      </x:c>
      <x:c r="J990" s="2" t="str">
        <x:v>Extension pre-run 600</x:v>
      </x:c>
      <x:c r="K990" s="10" t="n">
        <x:v>4300</x:v>
      </x:c>
      <x:c r="L990" s="10" t="n">
        <x:v>3</x:v>
      </x:c>
      <x:c r="M990" s="10" t="n">
        <x:v>1065</x:v>
      </x:c>
      <x:c r="N990" s="2" t="str">
        <x:v>D25</x:v>
      </x:c>
      <x:c r="O990" s="2" t="str">
        <x:v>condominium</x:v>
      </x:c>
      <x:c r="P990" s="2" t="str">
        <x:v>https://www.propertyguru.com.sg/listing/for-rent-forestville-500266271</x:v>
      </x:c>
      <x:c r="Q990" s="12" t="str">
        <x:v>Pre-registered source-rubric-v1; grade applied before outputs.</x:v>
      </x:c>
      <x:c r="R990" s="13"/>
    </x:row>
    <x:row r="991" ht="15" hidden="0" customHeight="1">
      <x:c r="A991" s="2" t="str">
        <x:v>S33|500250568</x:v>
      </x:c>
      <x:c r="B991" s="2" t="str">
        <x:v>S33</x:v>
      </x:c>
      <x:c r="C991" s="2" t="str">
        <x:v>500250568</x:v>
      </x:c>
      <x:c r="D991" s="2" t="n">
        <x:v>0</x:v>
      </x:c>
      <x:c r="E991" s="9"/>
      <x:c r="F991" s="2" t="n">
        <x:f>IF(E991="",D991,IF(E991="U","U",IF(AND(ISNUMBER(E991),E991&gt;=0,E991&lt;=3,INT(E991)=E991),E991,"Invalid")))</x:f>
        <x:v>0</x:v>
      </x:c>
      <x:c r="G991" s="2" t="n">
        <x:f>IF(ISNUMBER(F991),1,0)</x:f>
        <x:v>1</x:v>
      </x:c>
      <x:c r="H991" s="2" t="n">
        <x:f>IF(ISNUMBER(F991),IF(F991&gt;=2,1,0),0)</x:f>
        <x:v>0</x:v>
      </x:c>
      <x:c r="I991" s="11" t="n">
        <x:f>IF(ISNUMBER(F991),2^F991-1,0)</x:f>
        <x:v>0</x:v>
      </x:c>
      <x:c r="J991" s="2" t="str">
        <x:v>Extension pre-run 600</x:v>
      </x:c>
      <x:c r="K991" s="10" t="n">
        <x:v>625</x:v>
      </x:c>
      <x:c r="L991" s="10" t="n">
        <x:v>0</x:v>
      </x:c>
      <x:c r="M991" s="10"/>
      <x:c r="N991" s="2" t="str">
        <x:v>D16</x:v>
      </x:c>
      <x:c r="O991" s="2" t="str">
        <x:v>hdb flat</x:v>
      </x:c>
      <x:c r="P991" s="2" t="str">
        <x:v>https://www.propertyguru.com.sg/listing/hdb-for-rent-616-bedok-reservoir-road-500250568</x:v>
      </x:c>
      <x:c r="Q991" s="12" t="str">
        <x:v>Pre-registered source-rubric-v1; grade applied before outputs.</x:v>
      </x:c>
      <x:c r="R991" s="13"/>
    </x:row>
    <x:row r="992" ht="15" hidden="0" customHeight="1">
      <x:c r="A992" s="2" t="str">
        <x:v>S33|500200738</x:v>
      </x:c>
      <x:c r="B992" s="2" t="str">
        <x:v>S33</x:v>
      </x:c>
      <x:c r="C992" s="2" t="str">
        <x:v>500200738</x:v>
      </x:c>
      <x:c r="D992" s="2" t="n">
        <x:v>0</x:v>
      </x:c>
      <x:c r="E992" s="9"/>
      <x:c r="F992" s="2" t="n">
        <x:f>IF(E992="",D992,IF(E992="U","U",IF(AND(ISNUMBER(E992),E992&gt;=0,E992&lt;=3,INT(E992)=E992),E992,"Invalid")))</x:f>
        <x:v>0</x:v>
      </x:c>
      <x:c r="G992" s="2" t="n">
        <x:f>IF(ISNUMBER(F992),1,0)</x:f>
        <x:v>1</x:v>
      </x:c>
      <x:c r="H992" s="2" t="n">
        <x:f>IF(ISNUMBER(F992),IF(F992&gt;=2,1,0),0)</x:f>
        <x:v>0</x:v>
      </x:c>
      <x:c r="I992" s="11" t="n">
        <x:f>IF(ISNUMBER(F992),2^F992-1,0)</x:f>
        <x:v>0</x:v>
      </x:c>
      <x:c r="J992" s="2" t="str">
        <x:v>Extension pre-run 600</x:v>
      </x:c>
      <x:c r="K992" s="10" t="n">
        <x:v>2600</x:v>
      </x:c>
      <x:c r="L992" s="10"/>
      <x:c r="M992" s="10" t="n">
        <x:v>150</x:v>
      </x:c>
      <x:c r="N992" s="2" t="str">
        <x:v>D21</x:v>
      </x:c>
      <x:c r="O992" s="2" t="str">
        <x:v>apartment</x:v>
      </x:c>
      <x:c r="P992" s="2" t="str">
        <x:v>https://www.propertyguru.com.sg/listing/for-rent-coliwoo-bukit-timah-fire-station-sim-suss-pei-hwa-presbyterian-primary-school-500200738</x:v>
      </x:c>
      <x:c r="Q992" s="12" t="str">
        <x:v>Pre-registered source-rubric-v1; grade applied before outputs.</x:v>
      </x:c>
      <x:c r="R992" s="13"/>
    </x:row>
    <x:row r="993" ht="15" hidden="0" customHeight="1">
      <x:c r="A993" s="2" t="str">
        <x:v>S33|500043491</x:v>
      </x:c>
      <x:c r="B993" s="2" t="str">
        <x:v>S33</x:v>
      </x:c>
      <x:c r="C993" s="2" t="str">
        <x:v>500043491</x:v>
      </x:c>
      <x:c r="D993" s="2" t="n">
        <x:v>0</x:v>
      </x:c>
      <x:c r="E993" s="9"/>
      <x:c r="F993" s="2" t="n">
        <x:f>IF(E993="",D993,IF(E993="U","U",IF(AND(ISNUMBER(E993),E993&gt;=0,E993&lt;=3,INT(E993)=E993),E993,"Invalid")))</x:f>
        <x:v>0</x:v>
      </x:c>
      <x:c r="G993" s="2" t="n">
        <x:f>IF(ISNUMBER(F993),1,0)</x:f>
        <x:v>1</x:v>
      </x:c>
      <x:c r="H993" s="2" t="n">
        <x:f>IF(ISNUMBER(F993),IF(F993&gt;=2,1,0),0)</x:f>
        <x:v>0</x:v>
      </x:c>
      <x:c r="I993" s="11" t="n">
        <x:f>IF(ISNUMBER(F993),2^F993-1,0)</x:f>
        <x:v>0</x:v>
      </x:c>
      <x:c r="J993" s="2" t="str">
        <x:v>Extension pre-run 600</x:v>
      </x:c>
      <x:c r="K993" s="10" t="n">
        <x:v>1100</x:v>
      </x:c>
      <x:c r="L993" s="10" t="n">
        <x:v>0</x:v>
      </x:c>
      <x:c r="M993" s="10"/>
      <x:c r="N993" s="2" t="str">
        <x:v>D22</x:v>
      </x:c>
      <x:c r="O993" s="2" t="str">
        <x:v>executive condominium</x:v>
      </x:c>
      <x:c r="P993" s="2" t="str">
        <x:v>https://www.propertyguru.com.sg/listing/for-rent-the-floravale-500043491</x:v>
      </x:c>
      <x:c r="Q993" s="12" t="str">
        <x:v>Pre-registered source-rubric-v1; grade applied before outputs.</x:v>
      </x:c>
      <x:c r="R993" s="13"/>
    </x:row>
    <x:row r="994" ht="15" hidden="0" customHeight="1">
      <x:c r="A994" s="2" t="str">
        <x:v>S33|500199893</x:v>
      </x:c>
      <x:c r="B994" s="2" t="str">
        <x:v>S33</x:v>
      </x:c>
      <x:c r="C994" s="2" t="str">
        <x:v>500199893</x:v>
      </x:c>
      <x:c r="D994" s="2" t="n">
        <x:v>0</x:v>
      </x:c>
      <x:c r="E994" s="9"/>
      <x:c r="F994" s="2" t="n">
        <x:f>IF(E994="",D994,IF(E994="U","U",IF(AND(ISNUMBER(E994),E994&gt;=0,E994&lt;=3,INT(E994)=E994),E994,"Invalid")))</x:f>
        <x:v>0</x:v>
      </x:c>
      <x:c r="G994" s="2" t="n">
        <x:f>IF(ISNUMBER(F994),1,0)</x:f>
        <x:v>1</x:v>
      </x:c>
      <x:c r="H994" s="2" t="n">
        <x:f>IF(ISNUMBER(F994),IF(F994&gt;=2,1,0),0)</x:f>
        <x:v>0</x:v>
      </x:c>
      <x:c r="I994" s="11" t="n">
        <x:f>IF(ISNUMBER(F994),2^F994-1,0)</x:f>
        <x:v>0</x:v>
      </x:c>
      <x:c r="J994" s="2" t="str">
        <x:v>Extension pre-run 600</x:v>
      </x:c>
      <x:c r="K994" s="10" t="n">
        <x:v>7600</x:v>
      </x:c>
      <x:c r="L994" s="10" t="n">
        <x:v>4</x:v>
      </x:c>
      <x:c r="M994" s="10" t="n">
        <x:v>1259</x:v>
      </x:c>
      <x:c r="N994" s="2" t="str">
        <x:v>D20</x:v>
      </x:c>
      <x:c r="O994" s="2" t="str">
        <x:v>condominium</x:v>
      </x:c>
      <x:c r="P994" s="2" t="str">
        <x:v>https://www.propertyguru.com.sg/listing/for-rent-jadescape-500199893</x:v>
      </x:c>
      <x:c r="Q994" s="12" t="str">
        <x:v>Pre-registered source-rubric-v1; grade applied before outputs.</x:v>
      </x:c>
      <x:c r="R994" s="13"/>
    </x:row>
    <x:row r="995" ht="15" hidden="0" customHeight="1">
      <x:c r="A995" s="2" t="str">
        <x:v>S33|24543634</x:v>
      </x:c>
      <x:c r="B995" s="2" t="str">
        <x:v>S33</x:v>
      </x:c>
      <x:c r="C995" s="2" t="str">
        <x:v>24543634</x:v>
      </x:c>
      <x:c r="D995" s="2" t="n">
        <x:v>0</x:v>
      </x:c>
      <x:c r="E995" s="9"/>
      <x:c r="F995" s="2" t="n">
        <x:f>IF(E995="",D995,IF(E995="U","U",IF(AND(ISNUMBER(E995),E995&gt;=0,E995&lt;=3,INT(E995)=E995),E995,"Invalid")))</x:f>
        <x:v>0</x:v>
      </x:c>
      <x:c r="G995" s="2" t="n">
        <x:f>IF(ISNUMBER(F995),1,0)</x:f>
        <x:v>1</x:v>
      </x:c>
      <x:c r="H995" s="2" t="n">
        <x:f>IF(ISNUMBER(F995),IF(F995&gt;=2,1,0),0)</x:f>
        <x:v>0</x:v>
      </x:c>
      <x:c r="I995" s="11" t="n">
        <x:f>IF(ISNUMBER(F995),2^F995-1,0)</x:f>
        <x:v>0</x:v>
      </x:c>
      <x:c r="J995" s="2" t="str">
        <x:v>Extension pre-run 600</x:v>
      </x:c>
      <x:c r="K995" s="10" t="n">
        <x:v>900</x:v>
      </x:c>
      <x:c r="L995" s="10" t="n">
        <x:v>0</x:v>
      </x:c>
      <x:c r="M995" s="10"/>
      <x:c r="N995" s="2" t="str">
        <x:v>D25</x:v>
      </x:c>
      <x:c r="O995" s="2" t="str">
        <x:v>hdb flat</x:v>
      </x:c>
      <x:c r="P995" s="2" t="str">
        <x:v>https://www.propertyguru.com.sg/listing/hdb-for-rent-6-marsiling-drive-24543634</x:v>
      </x:c>
      <x:c r="Q995" s="12" t="str">
        <x:v>Pre-registered source-rubric-v1; grade applied before outputs.</x:v>
      </x:c>
      <x:c r="R995" s="13"/>
    </x:row>
    <x:row r="996" ht="15" hidden="0" customHeight="1">
      <x:c r="A996" s="2" t="str">
        <x:v>S33|500278815</x:v>
      </x:c>
      <x:c r="B996" s="2" t="str">
        <x:v>S33</x:v>
      </x:c>
      <x:c r="C996" s="2" t="str">
        <x:v>500278815</x:v>
      </x:c>
      <x:c r="D996" s="2" t="str">
        <x:v>U</x:v>
      </x:c>
      <x:c r="E996" s="9"/>
      <x:c r="F996" s="2" t="str">
        <x:f>IF(E996="",D996,IF(E996="U","U",IF(AND(ISNUMBER(E996),E996&gt;=0,E996&lt;=3,INT(E996)=E996),E996,"Invalid")))</x:f>
        <x:v>U</x:v>
      </x:c>
      <x:c r="G996" s="2" t="n">
        <x:f>IF(ISNUMBER(F996),1,0)</x:f>
        <x:v>0</x:v>
      </x:c>
      <x:c r="H996" s="2" t="n">
        <x:f>IF(ISNUMBER(F996),IF(F996&gt;=2,1,0),0)</x:f>
        <x:v>0</x:v>
      </x:c>
      <x:c r="I996" s="11" t="n">
        <x:f>IF(ISNUMBER(F996),2^F996-1,0)</x:f>
        <x:v>0</x:v>
      </x:c>
      <x:c r="J996" s="2" t="str">
        <x:v>Extension pre-run 600</x:v>
      </x:c>
      <x:c r="K996" s="10" t="n">
        <x:v>2500</x:v>
      </x:c>
      <x:c r="L996" s="10"/>
      <x:c r="M996" s="10" t="n">
        <x:v>360</x:v>
      </x:c>
      <x:c r="N996" s="2" t="str">
        <x:v>D05</x:v>
      </x:c>
      <x:c r="O996" s="2" t="str">
        <x:v>hdb flat</x:v>
      </x:c>
      <x:c r="P996" s="2" t="str">
        <x:v>https://www.propertyguru.com.sg/listing/hdb-for-rent-345-clementi-avenue-5-500278815</x:v>
      </x:c>
      <x:c r="Q996" s="12" t="str">
        <x:v>Pre-registered source-rubric-v1; grade applied before outputs.</x:v>
      </x:c>
      <x:c r="R996" s="13"/>
    </x:row>
    <x:row r="997" ht="15" hidden="0" customHeight="1">
      <x:c r="A997" s="2" t="str">
        <x:v>S33|60027306</x:v>
      </x:c>
      <x:c r="B997" s="2" t="str">
        <x:v>S33</x:v>
      </x:c>
      <x:c r="C997" s="2" t="str">
        <x:v>60027306</x:v>
      </x:c>
      <x:c r="D997" s="2" t="str">
        <x:v>U</x:v>
      </x:c>
      <x:c r="E997" s="9"/>
      <x:c r="F997" s="2" t="str">
        <x:f>IF(E997="",D997,IF(E997="U","U",IF(AND(ISNUMBER(E997),E997&gt;=0,E997&lt;=3,INT(E997)=E997),E997,"Invalid")))</x:f>
        <x:v>U</x:v>
      </x:c>
      <x:c r="G997" s="2" t="n">
        <x:f>IF(ISNUMBER(F997),1,0)</x:f>
        <x:v>0</x:v>
      </x:c>
      <x:c r="H997" s="2" t="n">
        <x:f>IF(ISNUMBER(F997),IF(F997&gt;=2,1,0),0)</x:f>
        <x:v>0</x:v>
      </x:c>
      <x:c r="I997" s="11" t="n">
        <x:f>IF(ISNUMBER(F997),2^F997-1,0)</x:f>
        <x:v>0</x:v>
      </x:c>
      <x:c r="J997" s="2" t="str">
        <x:v>Extension pre-run 600</x:v>
      </x:c>
      <x:c r="K997" s="10" t="n">
        <x:v>2000</x:v>
      </x:c>
      <x:c r="L997" s="10"/>
      <x:c r="M997" s="10" t="n">
        <x:v>250</x:v>
      </x:c>
      <x:c r="N997" s="2" t="str">
        <x:v>D05</x:v>
      </x:c>
      <x:c r="O997" s="2" t="str">
        <x:v>apartment</x:v>
      </x:c>
      <x:c r="P997" s="2" t="str">
        <x:v>https://www.propertyguru.com.sg/listing/for-rent-pasir-panjang-road-60027306</x:v>
      </x:c>
      <x:c r="Q997" s="12" t="str">
        <x:v>Pre-registered source-rubric-v1; grade applied before outputs.</x:v>
      </x:c>
      <x:c r="R997" s="13"/>
    </x:row>
    <x:row r="998" ht="15" hidden="0" customHeight="1">
      <x:c r="A998" s="2" t="str">
        <x:v>S33|500279503</x:v>
      </x:c>
      <x:c r="B998" s="2" t="str">
        <x:v>S33</x:v>
      </x:c>
      <x:c r="C998" s="2" t="str">
        <x:v>500279503</x:v>
      </x:c>
      <x:c r="D998" s="2" t="n">
        <x:v>0</x:v>
      </x:c>
      <x:c r="E998" s="9"/>
      <x:c r="F998" s="2" t="n">
        <x:f>IF(E998="",D998,IF(E998="U","U",IF(AND(ISNUMBER(E998),E998&gt;=0,E998&lt;=3,INT(E998)=E998),E998,"Invalid")))</x:f>
        <x:v>0</x:v>
      </x:c>
      <x:c r="G998" s="2" t="n">
        <x:f>IF(ISNUMBER(F998),1,0)</x:f>
        <x:v>1</x:v>
      </x:c>
      <x:c r="H998" s="2" t="n">
        <x:f>IF(ISNUMBER(F998),IF(F998&gt;=2,1,0),0)</x:f>
        <x:v>0</x:v>
      </x:c>
      <x:c r="I998" s="11" t="n">
        <x:f>IF(ISNUMBER(F998),2^F998-1,0)</x:f>
        <x:v>0</x:v>
      </x:c>
      <x:c r="J998" s="2" t="str">
        <x:v>Extension pre-run 600</x:v>
      </x:c>
      <x:c r="K998" s="10" t="n">
        <x:v>1100</x:v>
      </x:c>
      <x:c r="L998" s="10" t="n">
        <x:v>0</x:v>
      </x:c>
      <x:c r="M998" s="10"/>
      <x:c r="N998" s="2" t="str">
        <x:v>D25</x:v>
      </x:c>
      <x:c r="O998" s="2" t="str">
        <x:v>hdb flat</x:v>
      </x:c>
      <x:c r="P998" s="2" t="str">
        <x:v>https://www.propertyguru.com.sg/listing/hdb-for-rent-154-woodlands-street-13-500279503</x:v>
      </x:c>
      <x:c r="Q998" s="12" t="str">
        <x:v>Pre-registered source-rubric-v1; grade applied before outputs.</x:v>
      </x:c>
      <x:c r="R998" s="13"/>
    </x:row>
    <x:row r="999" ht="15" hidden="0" customHeight="1">
      <x:c r="A999" s="2" t="str">
        <x:v>S33|24218190</x:v>
      </x:c>
      <x:c r="B999" s="2" t="str">
        <x:v>S33</x:v>
      </x:c>
      <x:c r="C999" s="2" t="str">
        <x:v>24218190</x:v>
      </x:c>
      <x:c r="D999" s="2" t="n">
        <x:v>0</x:v>
      </x:c>
      <x:c r="E999" s="9"/>
      <x:c r="F999" s="2" t="n">
        <x:f>IF(E999="",D999,IF(E999="U","U",IF(AND(ISNUMBER(E999),E999&gt;=0,E999&lt;=3,INT(E999)=E999),E999,"Invalid")))</x:f>
        <x:v>0</x:v>
      </x:c>
      <x:c r="G999" s="2" t="n">
        <x:f>IF(ISNUMBER(F999),1,0)</x:f>
        <x:v>1</x:v>
      </x:c>
      <x:c r="H999" s="2" t="n">
        <x:f>IF(ISNUMBER(F999),IF(F999&gt;=2,1,0),0)</x:f>
        <x:v>0</x:v>
      </x:c>
      <x:c r="I999" s="11" t="n">
        <x:f>IF(ISNUMBER(F999),2^F999-1,0)</x:f>
        <x:v>0</x:v>
      </x:c>
      <x:c r="J999" s="2" t="str">
        <x:v>Extension pre-run 600</x:v>
      </x:c>
      <x:c r="K999" s="10" t="n">
        <x:v>5400</x:v>
      </x:c>
      <x:c r="L999" s="10" t="n">
        <x:v>2</x:v>
      </x:c>
      <x:c r="M999" s="10" t="n">
        <x:v>818</x:v>
      </x:c>
      <x:c r="N999" s="2" t="str">
        <x:v>D10</x:v>
      </x:c>
      <x:c r="O999" s="2" t="str">
        <x:v>condominium</x:v>
      </x:c>
      <x:c r="P999" s="2" t="str">
        <x:v>https://www.propertyguru.com.sg/listing/for-rent-royalgreen-24218190</x:v>
      </x:c>
      <x:c r="Q999" s="12" t="str">
        <x:v>Pre-registered source-rubric-v1; grade applied before outputs.</x:v>
      </x:c>
      <x:c r="R999" s="13"/>
    </x:row>
    <x:row r="1000" ht="15" hidden="0" customHeight="1">
      <x:c r="A1000" s="2" t="str">
        <x:v>S33|500269855</x:v>
      </x:c>
      <x:c r="B1000" s="2" t="str">
        <x:v>S33</x:v>
      </x:c>
      <x:c r="C1000" s="2" t="str">
        <x:v>500269855</x:v>
      </x:c>
      <x:c r="D1000" s="2" t="n">
        <x:v>0</x:v>
      </x:c>
      <x:c r="E1000" s="9"/>
      <x:c r="F1000" s="2" t="n">
        <x:f>IF(E1000="",D1000,IF(E1000="U","U",IF(AND(ISNUMBER(E1000),E1000&gt;=0,E1000&lt;=3,INT(E1000)=E1000),E1000,"Invalid")))</x:f>
        <x:v>0</x:v>
      </x:c>
      <x:c r="G1000" s="2" t="n">
        <x:f>IF(ISNUMBER(F1000),1,0)</x:f>
        <x:v>1</x:v>
      </x:c>
      <x:c r="H1000" s="2" t="n">
        <x:f>IF(ISNUMBER(F1000),IF(F1000&gt;=2,1,0),0)</x:f>
        <x:v>0</x:v>
      </x:c>
      <x:c r="I1000" s="11" t="n">
        <x:f>IF(ISNUMBER(F1000),2^F1000-1,0)</x:f>
        <x:v>0</x:v>
      </x:c>
      <x:c r="J1000" s="2" t="str">
        <x:v>Extension pre-run 600</x:v>
      </x:c>
      <x:c r="K1000" s="10" t="n">
        <x:v>1200</x:v>
      </x:c>
      <x:c r="L1000" s="10" t="n">
        <x:v>1</x:v>
      </x:c>
      <x:c r="M1000" s="10" t="n">
        <x:v>108</x:v>
      </x:c>
      <x:c r="N1000" s="2" t="str">
        <x:v>D12</x:v>
      </x:c>
      <x:c r="O1000" s="2" t="str">
        <x:v>hdb flat</x:v>
      </x:c>
      <x:c r="P1000" s="2" t="str">
        <x:v>https://www.propertyguru.com.sg/listing/hdb-for-rent-138c-lorong-1a-toa-payoh-500269855</x:v>
      </x:c>
      <x:c r="Q1000" s="12" t="str">
        <x:v>Pre-registered source-rubric-v1; grade applied before outputs.</x:v>
      </x:c>
      <x:c r="R1000" s="13"/>
    </x:row>
    <x:row r="1001" ht="15" hidden="0" customHeight="1">
      <x:c r="A1001" s="2" t="str">
        <x:v>S33|500208056</x:v>
      </x:c>
      <x:c r="B1001" s="2" t="str">
        <x:v>S33</x:v>
      </x:c>
      <x:c r="C1001" s="2" t="str">
        <x:v>500208056</x:v>
      </x:c>
      <x:c r="D1001" s="2" t="n">
        <x:v>0</x:v>
      </x:c>
      <x:c r="E1001" s="9"/>
      <x:c r="F1001" s="2" t="n">
        <x:f>IF(E1001="",D1001,IF(E1001="U","U",IF(AND(ISNUMBER(E1001),E1001&gt;=0,E1001&lt;=3,INT(E1001)=E1001),E1001,"Invalid")))</x:f>
        <x:v>0</x:v>
      </x:c>
      <x:c r="G1001" s="2" t="n">
        <x:f>IF(ISNUMBER(F1001),1,0)</x:f>
        <x:v>1</x:v>
      </x:c>
      <x:c r="H1001" s="2" t="n">
        <x:f>IF(ISNUMBER(F1001),IF(F1001&gt;=2,1,0),0)</x:f>
        <x:v>0</x:v>
      </x:c>
      <x:c r="I1001" s="11" t="n">
        <x:f>IF(ISNUMBER(F1001),2^F1001-1,0)</x:f>
        <x:v>0</x:v>
      </x:c>
      <x:c r="J1001" s="2" t="str">
        <x:v>Extension pre-run 600</x:v>
      </x:c>
      <x:c r="K1001" s="10" t="n">
        <x:v>21000</x:v>
      </x:c>
      <x:c r="L1001" s="10" t="n">
        <x:v>4</x:v>
      </x:c>
      <x:c r="M1001" s="10" t="n">
        <x:v>3186</x:v>
      </x:c>
      <x:c r="N1001" s="2" t="str">
        <x:v>D04</x:v>
      </x:c>
      <x:c r="O1001" s="2" t="str">
        <x:v>condominium</x:v>
      </x:c>
      <x:c r="P1001" s="2" t="str">
        <x:v>https://www.propertyguru.com.sg/listing/for-rent-cape-royale-500208056</x:v>
      </x:c>
      <x:c r="Q1001" s="12" t="str">
        <x:v>Pre-registered source-rubric-v1; grade applied before outputs.</x:v>
      </x:c>
      <x:c r="R1001" s="13"/>
    </x:row>
    <x:row r="1002" ht="15" hidden="0" customHeight="1">
      <x:c r="A1002" s="2" t="str">
        <x:v>S33|21106494</x:v>
      </x:c>
      <x:c r="B1002" s="2" t="str">
        <x:v>S33</x:v>
      </x:c>
      <x:c r="C1002" s="2" t="str">
        <x:v>21106494</x:v>
      </x:c>
      <x:c r="D1002" s="2" t="n">
        <x:v>0</x:v>
      </x:c>
      <x:c r="E1002" s="9"/>
      <x:c r="F1002" s="2" t="n">
        <x:f>IF(E1002="",D1002,IF(E1002="U","U",IF(AND(ISNUMBER(E1002),E1002&gt;=0,E1002&lt;=3,INT(E1002)=E1002),E1002,"Invalid")))</x:f>
        <x:v>0</x:v>
      </x:c>
      <x:c r="G1002" s="2" t="n">
        <x:f>IF(ISNUMBER(F1002),1,0)</x:f>
        <x:v>1</x:v>
      </x:c>
      <x:c r="H1002" s="2" t="n">
        <x:f>IF(ISNUMBER(F1002),IF(F1002&gt;=2,1,0),0)</x:f>
        <x:v>0</x:v>
      </x:c>
      <x:c r="I1002" s="11" t="n">
        <x:f>IF(ISNUMBER(F1002),2^F1002-1,0)</x:f>
        <x:v>0</x:v>
      </x:c>
      <x:c r="J1002" s="2" t="str">
        <x:v>Extension pre-run 600</x:v>
      </x:c>
      <x:c r="K1002" s="10" t="n">
        <x:v>4300</x:v>
      </x:c>
      <x:c r="L1002" s="10" t="n">
        <x:v>1</x:v>
      </x:c>
      <x:c r="M1002" s="10" t="n">
        <x:v>677</x:v>
      </x:c>
      <x:c r="N1002" s="2" t="str">
        <x:v>D01</x:v>
      </x:c>
      <x:c r="O1002" s="2" t="str">
        <x:v>apartment</x:v>
      </x:c>
      <x:c r="P1002" s="2" t="str">
        <x:v>https://www.propertyguru.com.sg/listing/for-rent-the-sail-marina-bay-21106494</x:v>
      </x:c>
      <x:c r="Q1002" s="12" t="str">
        <x:v>Pre-registered source-rubric-v1; grade applied before outputs.</x:v>
      </x:c>
      <x:c r="R1002" s="13"/>
    </x:row>
    <x:row r="1003" ht="15" hidden="0" customHeight="1">
      <x:c r="A1003" s="2" t="str">
        <x:v>S33|500286068</x:v>
      </x:c>
      <x:c r="B1003" s="2" t="str">
        <x:v>S33</x:v>
      </x:c>
      <x:c r="C1003" s="2" t="str">
        <x:v>500286068</x:v>
      </x:c>
      <x:c r="D1003" s="2" t="n">
        <x:v>0</x:v>
      </x:c>
      <x:c r="E1003" s="9"/>
      <x:c r="F1003" s="2" t="n">
        <x:f>IF(E1003="",D1003,IF(E1003="U","U",IF(AND(ISNUMBER(E1003),E1003&gt;=0,E1003&lt;=3,INT(E1003)=E1003),E1003,"Invalid")))</x:f>
        <x:v>0</x:v>
      </x:c>
      <x:c r="G1003" s="2" t="n">
        <x:f>IF(ISNUMBER(F1003),1,0)</x:f>
        <x:v>1</x:v>
      </x:c>
      <x:c r="H1003" s="2" t="n">
        <x:f>IF(ISNUMBER(F1003),IF(F1003&gt;=2,1,0),0)</x:f>
        <x:v>0</x:v>
      </x:c>
      <x:c r="I1003" s="11" t="n">
        <x:f>IF(ISNUMBER(F1003),2^F1003-1,0)</x:f>
        <x:v>0</x:v>
      </x:c>
      <x:c r="J1003" s="2" t="str">
        <x:v>Extension pre-run 600</x:v>
      </x:c>
      <x:c r="K1003" s="10" t="n">
        <x:v>4600</x:v>
      </x:c>
      <x:c r="L1003" s="10" t="n">
        <x:v>1</x:v>
      </x:c>
      <x:c r="M1003" s="10" t="n">
        <x:v>495</x:v>
      </x:c>
      <x:c r="N1003" s="2" t="str">
        <x:v>D09</x:v>
      </x:c>
      <x:c r="O1003" s="2" t="str">
        <x:v>condominium</x:v>
      </x:c>
      <x:c r="P1003" s="2" t="str">
        <x:v>https://www.propertyguru.com.sg/listing/for-rent-irwell-hill-residences-500286068</x:v>
      </x:c>
      <x:c r="Q1003" s="12" t="str">
        <x:v>Pre-registered source-rubric-v1; grade applied before outputs.</x:v>
      </x:c>
      <x:c r="R1003" s="13"/>
    </x:row>
    <x:row r="1004" ht="15" hidden="0" customHeight="1">
      <x:c r="A1004" s="2" t="str">
        <x:v>S33|25121680</x:v>
      </x:c>
      <x:c r="B1004" s="2" t="str">
        <x:v>S33</x:v>
      </x:c>
      <x:c r="C1004" s="2" t="str">
        <x:v>25121680</x:v>
      </x:c>
      <x:c r="D1004" s="2" t="n">
        <x:v>0</x:v>
      </x:c>
      <x:c r="E1004" s="9"/>
      <x:c r="F1004" s="2" t="n">
        <x:f>IF(E1004="",D1004,IF(E1004="U","U",IF(AND(ISNUMBER(E1004),E1004&gt;=0,E1004&lt;=3,INT(E1004)=E1004),E1004,"Invalid")))</x:f>
        <x:v>0</x:v>
      </x:c>
      <x:c r="G1004" s="2" t="n">
        <x:f>IF(ISNUMBER(F1004),1,0)</x:f>
        <x:v>1</x:v>
      </x:c>
      <x:c r="H1004" s="2" t="n">
        <x:f>IF(ISNUMBER(F1004),IF(F1004&gt;=2,1,0),0)</x:f>
        <x:v>0</x:v>
      </x:c>
      <x:c r="I1004" s="11" t="n">
        <x:f>IF(ISNUMBER(F1004),2^F1004-1,0)</x:f>
        <x:v>0</x:v>
      </x:c>
      <x:c r="J1004" s="2" t="str">
        <x:v>Extension pre-run 600</x:v>
      </x:c>
      <x:c r="K1004" s="10" t="n">
        <x:v>5000</x:v>
      </x:c>
      <x:c r="L1004" s="10" t="n">
        <x:v>2</x:v>
      </x:c>
      <x:c r="M1004" s="10" t="n">
        <x:v>624</x:v>
      </x:c>
      <x:c r="N1004" s="2" t="str">
        <x:v>D02</x:v>
      </x:c>
      <x:c r="O1004" s="2" t="str">
        <x:v>condominium</x:v>
      </x:c>
      <x:c r="P1004" s="2" t="str">
        <x:v>https://www.propertyguru.com.sg/listing/for-rent-sky-everton-25121680</x:v>
      </x:c>
      <x:c r="Q1004" s="12" t="str">
        <x:v>Pre-registered source-rubric-v1; grade applied before outputs.</x:v>
      </x:c>
      <x:c r="R1004" s="13"/>
    </x:row>
    <x:row r="1005" ht="15" hidden="0" customHeight="1">
      <x:c r="A1005" s="2" t="str">
        <x:v>S33|18851646</x:v>
      </x:c>
      <x:c r="B1005" s="2" t="str">
        <x:v>S33</x:v>
      </x:c>
      <x:c r="C1005" s="2" t="str">
        <x:v>18851646</x:v>
      </x:c>
      <x:c r="D1005" s="2" t="n">
        <x:v>0</x:v>
      </x:c>
      <x:c r="E1005" s="9"/>
      <x:c r="F1005" s="2" t="n">
        <x:f>IF(E1005="",D1005,IF(E1005="U","U",IF(AND(ISNUMBER(E1005),E1005&gt;=0,E1005&lt;=3,INT(E1005)=E1005),E1005,"Invalid")))</x:f>
        <x:v>0</x:v>
      </x:c>
      <x:c r="G1005" s="2" t="n">
        <x:f>IF(ISNUMBER(F1005),1,0)</x:f>
        <x:v>1</x:v>
      </x:c>
      <x:c r="H1005" s="2" t="n">
        <x:f>IF(ISNUMBER(F1005),IF(F1005&gt;=2,1,0),0)</x:f>
        <x:v>0</x:v>
      </x:c>
      <x:c r="I1005" s="11" t="n">
        <x:f>IF(ISNUMBER(F1005),2^F1005-1,0)</x:f>
        <x:v>0</x:v>
      </x:c>
      <x:c r="J1005" s="2" t="str">
        <x:v>Extension pre-run 600</x:v>
      </x:c>
      <x:c r="K1005" s="10" t="n">
        <x:v>5900</x:v>
      </x:c>
      <x:c r="L1005" s="10" t="n">
        <x:v>2</x:v>
      </x:c>
      <x:c r="M1005" s="10" t="n">
        <x:v>980</x:v>
      </x:c>
      <x:c r="N1005" s="2" t="str">
        <x:v>D03</x:v>
      </x:c>
      <x:c r="O1005" s="2" t="str">
        <x:v>condominium</x:v>
      </x:c>
      <x:c r="P1005" s="2" t="str">
        <x:v>https://www.propertyguru.com.sg/listing/for-rent-twin-regency-18851646</x:v>
      </x:c>
      <x:c r="Q1005" s="12" t="str">
        <x:v>Pre-registered source-rubric-v1; grade applied before outputs.</x:v>
      </x:c>
      <x:c r="R1005" s="13"/>
    </x:row>
    <x:row r="1006" ht="15" hidden="0" customHeight="1">
      <x:c r="A1006" s="2" t="str">
        <x:v>S33|500101037</x:v>
      </x:c>
      <x:c r="B1006" s="2" t="str">
        <x:v>S33</x:v>
      </x:c>
      <x:c r="C1006" s="2" t="str">
        <x:v>500101037</x:v>
      </x:c>
      <x:c r="D1006" s="2" t="n">
        <x:v>0</x:v>
      </x:c>
      <x:c r="E1006" s="9"/>
      <x:c r="F1006" s="2" t="n">
        <x:f>IF(E1006="",D1006,IF(E1006="U","U",IF(AND(ISNUMBER(E1006),E1006&gt;=0,E1006&lt;=3,INT(E1006)=E1006),E1006,"Invalid")))</x:f>
        <x:v>0</x:v>
      </x:c>
      <x:c r="G1006" s="2" t="n">
        <x:f>IF(ISNUMBER(F1006),1,0)</x:f>
        <x:v>1</x:v>
      </x:c>
      <x:c r="H1006" s="2" t="n">
        <x:f>IF(ISNUMBER(F1006),IF(F1006&gt;=2,1,0),0)</x:f>
        <x:v>0</x:v>
      </x:c>
      <x:c r="I1006" s="11" t="n">
        <x:f>IF(ISNUMBER(F1006),2^F1006-1,0)</x:f>
        <x:v>0</x:v>
      </x:c>
      <x:c r="J1006" s="2" t="str">
        <x:v>Extension pre-run 600</x:v>
      </x:c>
      <x:c r="K1006" s="10" t="n">
        <x:v>1200</x:v>
      </x:c>
      <x:c r="L1006" s="10" t="n">
        <x:v>0</x:v>
      </x:c>
      <x:c r="M1006" s="10"/>
      <x:c r="N1006" s="2" t="str">
        <x:v>D09</x:v>
      </x:c>
      <x:c r="O1006" s="2" t="str">
        <x:v>apartment</x:v>
      </x:c>
      <x:c r="P1006" s="2" t="str">
        <x:v>https://www.propertyguru.com.sg/listing/for-rent-the-regalia-500101037</x:v>
      </x:c>
      <x:c r="Q1006" s="12" t="str">
        <x:v>Pre-registered source-rubric-v1; grade applied before outputs.</x:v>
      </x:c>
      <x:c r="R1006" s="13"/>
    </x:row>
    <x:row r="1007" ht="15" hidden="0" customHeight="1">
      <x:c r="A1007" s="2" t="str">
        <x:v>S33|500048051</x:v>
      </x:c>
      <x:c r="B1007" s="2" t="str">
        <x:v>S33</x:v>
      </x:c>
      <x:c r="C1007" s="2" t="str">
        <x:v>500048051</x:v>
      </x:c>
      <x:c r="D1007" s="2" t="n">
        <x:v>0</x:v>
      </x:c>
      <x:c r="E1007" s="9"/>
      <x:c r="F1007" s="2" t="n">
        <x:f>IF(E1007="",D1007,IF(E1007="U","U",IF(AND(ISNUMBER(E1007),E1007&gt;=0,E1007&lt;=3,INT(E1007)=E1007),E1007,"Invalid")))</x:f>
        <x:v>0</x:v>
      </x:c>
      <x:c r="G1007" s="2" t="n">
        <x:f>IF(ISNUMBER(F1007),1,0)</x:f>
        <x:v>1</x:v>
      </x:c>
      <x:c r="H1007" s="2" t="n">
        <x:f>IF(ISNUMBER(F1007),IF(F1007&gt;=2,1,0),0)</x:f>
        <x:v>0</x:v>
      </x:c>
      <x:c r="I1007" s="11" t="n">
        <x:f>IF(ISNUMBER(F1007),2^F1007-1,0)</x:f>
        <x:v>0</x:v>
      </x:c>
      <x:c r="J1007" s="2" t="str">
        <x:v>Extension pre-run 600</x:v>
      </x:c>
      <x:c r="K1007" s="10" t="n">
        <x:v>1450</x:v>
      </x:c>
      <x:c r="L1007" s="10" t="n">
        <x:v>0</x:v>
      </x:c>
      <x:c r="M1007" s="10"/>
      <x:c r="N1007" s="2" t="str">
        <x:v>D26</x:v>
      </x:c>
      <x:c r="O1007" s="2" t="str">
        <x:v>terraced house</x:v>
      </x:c>
      <x:c r="P1007" s="2" t="str">
        <x:v>https://www.propertyguru.com.sg/listing/for-rent-casuarina-road-500048051</x:v>
      </x:c>
      <x:c r="Q1007" s="12" t="str">
        <x:v>Pre-registered source-rubric-v1; grade applied before outputs.</x:v>
      </x:c>
      <x:c r="R1007" s="13"/>
    </x:row>
    <x:row r="1008" ht="15" hidden="0" customHeight="1">
      <x:c r="A1008" s="2" t="str">
        <x:v>S33|500068082</x:v>
      </x:c>
      <x:c r="B1008" s="2" t="str">
        <x:v>S33</x:v>
      </x:c>
      <x:c r="C1008" s="2" t="str">
        <x:v>500068082</x:v>
      </x:c>
      <x:c r="D1008" s="2" t="n">
        <x:v>0</x:v>
      </x:c>
      <x:c r="E1008" s="9"/>
      <x:c r="F1008" s="2" t="n">
        <x:f>IF(E1008="",D1008,IF(E1008="U","U",IF(AND(ISNUMBER(E1008),E1008&gt;=0,E1008&lt;=3,INT(E1008)=E1008),E1008,"Invalid")))</x:f>
        <x:v>0</x:v>
      </x:c>
      <x:c r="G1008" s="2" t="n">
        <x:f>IF(ISNUMBER(F1008),1,0)</x:f>
        <x:v>1</x:v>
      </x:c>
      <x:c r="H1008" s="2" t="n">
        <x:f>IF(ISNUMBER(F1008),IF(F1008&gt;=2,1,0),0)</x:f>
        <x:v>0</x:v>
      </x:c>
      <x:c r="I1008" s="11" t="n">
        <x:f>IF(ISNUMBER(F1008),2^F1008-1,0)</x:f>
        <x:v>0</x:v>
      </x:c>
      <x:c r="J1008" s="2" t="str">
        <x:v>Extension pre-run 600</x:v>
      </x:c>
      <x:c r="K1008" s="10" t="n">
        <x:v>14000</x:v>
      </x:c>
      <x:c r="L1008" s="10" t="n">
        <x:v>3</x:v>
      </x:c>
      <x:c r="M1008" s="10" t="n">
        <x:v>3111</x:v>
      </x:c>
      <x:c r="N1008" s="2" t="str">
        <x:v>D04</x:v>
      </x:c>
      <x:c r="O1008" s="2" t="str">
        <x:v>condominium</x:v>
      </x:c>
      <x:c r="P1008" s="2" t="str">
        <x:v>https://www.propertyguru.com.sg/listing/for-rent-turquoise-500068082</x:v>
      </x:c>
      <x:c r="Q1008" s="12" t="str">
        <x:v>Pre-registered source-rubric-v1; grade applied before outputs.</x:v>
      </x:c>
      <x:c r="R1008" s="13"/>
    </x:row>
    <x:row r="1009" ht="15" hidden="0" customHeight="1">
      <x:c r="A1009" s="2" t="str">
        <x:v>S33|500269949</x:v>
      </x:c>
      <x:c r="B1009" s="2" t="str">
        <x:v>S33</x:v>
      </x:c>
      <x:c r="C1009" s="2" t="str">
        <x:v>500269949</x:v>
      </x:c>
      <x:c r="D1009" s="2" t="n">
        <x:v>0</x:v>
      </x:c>
      <x:c r="E1009" s="9"/>
      <x:c r="F1009" s="2" t="n">
        <x:f>IF(E1009="",D1009,IF(E1009="U","U",IF(AND(ISNUMBER(E1009),E1009&gt;=0,E1009&lt;=3,INT(E1009)=E1009),E1009,"Invalid")))</x:f>
        <x:v>0</x:v>
      </x:c>
      <x:c r="G1009" s="2" t="n">
        <x:f>IF(ISNUMBER(F1009),1,0)</x:f>
        <x:v>1</x:v>
      </x:c>
      <x:c r="H1009" s="2" t="n">
        <x:f>IF(ISNUMBER(F1009),IF(F1009&gt;=2,1,0),0)</x:f>
        <x:v>0</x:v>
      </x:c>
      <x:c r="I1009" s="11" t="n">
        <x:f>IF(ISNUMBER(F1009),2^F1009-1,0)</x:f>
        <x:v>0</x:v>
      </x:c>
      <x:c r="J1009" s="2" t="str">
        <x:v>Extension pre-run 600</x:v>
      </x:c>
      <x:c r="K1009" s="10" t="n">
        <x:v>7300</x:v>
      </x:c>
      <x:c r="L1009" s="10" t="n">
        <x:v>5</x:v>
      </x:c>
      <x:c r="M1009" s="10" t="n">
        <x:v>3620</x:v>
      </x:c>
      <x:c r="N1009" s="2" t="str">
        <x:v>D28</x:v>
      </x:c>
      <x:c r="O1009" s="2" t="str">
        <x:v>cluster house</x:v>
      </x:c>
      <x:c r="P1009" s="2" t="str">
        <x:v>https://www.propertyguru.com.sg/listing/for-rent-summer-villas-500269949</x:v>
      </x:c>
      <x:c r="Q1009" s="12" t="str">
        <x:v>Pre-registered source-rubric-v1; grade applied before outputs.</x:v>
      </x:c>
      <x:c r="R1009" s="13"/>
    </x:row>
    <x:row r="1010" ht="15" hidden="0" customHeight="1">
      <x:c r="A1010" s="2" t="str">
        <x:v>S33|500233638</x:v>
      </x:c>
      <x:c r="B1010" s="2" t="str">
        <x:v>S33</x:v>
      </x:c>
      <x:c r="C1010" s="2" t="str">
        <x:v>500233638</x:v>
      </x:c>
      <x:c r="D1010" s="2" t="n">
        <x:v>0</x:v>
      </x:c>
      <x:c r="E1010" s="9"/>
      <x:c r="F1010" s="2" t="n">
        <x:f>IF(E1010="",D1010,IF(E1010="U","U",IF(AND(ISNUMBER(E1010),E1010&gt;=0,E1010&lt;=3,INT(E1010)=E1010),E1010,"Invalid")))</x:f>
        <x:v>0</x:v>
      </x:c>
      <x:c r="G1010" s="2" t="n">
        <x:f>IF(ISNUMBER(F1010),1,0)</x:f>
        <x:v>1</x:v>
      </x:c>
      <x:c r="H1010" s="2" t="n">
        <x:f>IF(ISNUMBER(F1010),IF(F1010&gt;=2,1,0),0)</x:f>
        <x:v>0</x:v>
      </x:c>
      <x:c r="I1010" s="11" t="n">
        <x:f>IF(ISNUMBER(F1010),2^F1010-1,0)</x:f>
        <x:v>0</x:v>
      </x:c>
      <x:c r="J1010" s="2" t="str">
        <x:v>Extension pre-run 600</x:v>
      </x:c>
      <x:c r="K1010" s="10" t="n">
        <x:v>7800</x:v>
      </x:c>
      <x:c r="L1010" s="10" t="n">
        <x:v>2</x:v>
      </x:c>
      <x:c r="M1010" s="10" t="n">
        <x:v>1206</x:v>
      </x:c>
      <x:c r="N1010" s="2" t="str">
        <x:v>D09</x:v>
      </x:c>
      <x:c r="O1010" s="2" t="str">
        <x:v>condominium</x:v>
      </x:c>
      <x:c r="P1010" s="2" t="str">
        <x:v>https://www.propertyguru.com.sg/listing/for-rent-cairnhill-crest-500233638</x:v>
      </x:c>
      <x:c r="Q1010" s="12" t="str">
        <x:v>Pre-registered source-rubric-v1; grade applied before outputs.</x:v>
      </x:c>
      <x:c r="R1010" s="13"/>
    </x:row>
    <x:row r="1011" ht="15" hidden="0" customHeight="1">
      <x:c r="A1011" s="2" t="str">
        <x:v>S33|500270918</x:v>
      </x:c>
      <x:c r="B1011" s="2" t="str">
        <x:v>S33</x:v>
      </x:c>
      <x:c r="C1011" s="2" t="str">
        <x:v>500270918</x:v>
      </x:c>
      <x:c r="D1011" s="2" t="n">
        <x:v>0</x:v>
      </x:c>
      <x:c r="E1011" s="9"/>
      <x:c r="F1011" s="2" t="n">
        <x:f>IF(E1011="",D1011,IF(E1011="U","U",IF(AND(ISNUMBER(E1011),E1011&gt;=0,E1011&lt;=3,INT(E1011)=E1011),E1011,"Invalid")))</x:f>
        <x:v>0</x:v>
      </x:c>
      <x:c r="G1011" s="2" t="n">
        <x:f>IF(ISNUMBER(F1011),1,0)</x:f>
        <x:v>1</x:v>
      </x:c>
      <x:c r="H1011" s="2" t="n">
        <x:f>IF(ISNUMBER(F1011),IF(F1011&gt;=2,1,0),0)</x:f>
        <x:v>0</x:v>
      </x:c>
      <x:c r="I1011" s="11" t="n">
        <x:f>IF(ISNUMBER(F1011),2^F1011-1,0)</x:f>
        <x:v>0</x:v>
      </x:c>
      <x:c r="J1011" s="2" t="str">
        <x:v>Extension pre-run 600</x:v>
      </x:c>
      <x:c r="K1011" s="10" t="n">
        <x:v>4800</x:v>
      </x:c>
      <x:c r="L1011" s="10" t="n">
        <x:v>3</x:v>
      </x:c>
      <x:c r="M1011" s="10" t="n">
        <x:v>1290</x:v>
      </x:c>
      <x:c r="N1011" s="2" t="str">
        <x:v>D15</x:v>
      </x:c>
      <x:c r="O1011" s="2" t="str">
        <x:v>apartment</x:v>
      </x:c>
      <x:c r="P1011" s="2" t="str">
        <x:v>https://www.propertyguru.com.sg/listing/for-rent-siglap-centre-500270918</x:v>
      </x:c>
      <x:c r="Q1011" s="12" t="str">
        <x:v>Pre-registered source-rubric-v1; grade applied before outputs.</x:v>
      </x:c>
      <x:c r="R1011" s="13"/>
    </x:row>
    <x:row r="1012" ht="15" hidden="0" customHeight="1">
      <x:c r="A1012" s="2" t="str">
        <x:v>S33|24178909</x:v>
      </x:c>
      <x:c r="B1012" s="2" t="str">
        <x:v>S33</x:v>
      </x:c>
      <x:c r="C1012" s="2" t="str">
        <x:v>24178909</x:v>
      </x:c>
      <x:c r="D1012" s="2" t="n">
        <x:v>0</x:v>
      </x:c>
      <x:c r="E1012" s="9"/>
      <x:c r="F1012" s="2" t="n">
        <x:f>IF(E1012="",D1012,IF(E1012="U","U",IF(AND(ISNUMBER(E1012),E1012&gt;=0,E1012&lt;=3,INT(E1012)=E1012),E1012,"Invalid")))</x:f>
        <x:v>0</x:v>
      </x:c>
      <x:c r="G1012" s="2" t="n">
        <x:f>IF(ISNUMBER(F1012),1,0)</x:f>
        <x:v>1</x:v>
      </x:c>
      <x:c r="H1012" s="2" t="n">
        <x:f>IF(ISNUMBER(F1012),IF(F1012&gt;=2,1,0),0)</x:f>
        <x:v>0</x:v>
      </x:c>
      <x:c r="I1012" s="11" t="n">
        <x:f>IF(ISNUMBER(F1012),2^F1012-1,0)</x:f>
        <x:v>0</x:v>
      </x:c>
      <x:c r="J1012" s="2" t="str">
        <x:v>Extension pre-run 600</x:v>
      </x:c>
      <x:c r="K1012" s="10" t="n">
        <x:v>2050</x:v>
      </x:c>
      <x:c r="L1012" s="10" t="n">
        <x:v>0</x:v>
      </x:c>
      <x:c r="M1012" s="10"/>
      <x:c r="N1012" s="2" t="str">
        <x:v>D22</x:v>
      </x:c>
      <x:c r="O1012" s="2" t="str">
        <x:v>apartment</x:v>
      </x:c>
      <x:c r="P1012" s="2" t="str">
        <x:v>https://www.propertyguru.com.sg/listing/for-rent-coliwoo-boon-lay-near-ntu-co-living-apartment-24178909</x:v>
      </x:c>
      <x:c r="Q1012" s="12" t="str">
        <x:v>Pre-registered source-rubric-v1; grade applied before outputs.</x:v>
      </x:c>
      <x:c r="R1012" s="13"/>
    </x:row>
    <x:row r="1013" ht="15" hidden="0" customHeight="1">
      <x:c r="A1013" s="2" t="str">
        <x:v>S33|22376546</x:v>
      </x:c>
      <x:c r="B1013" s="2" t="str">
        <x:v>S33</x:v>
      </x:c>
      <x:c r="C1013" s="2" t="str">
        <x:v>22376546</x:v>
      </x:c>
      <x:c r="D1013" s="2" t="n">
        <x:v>0</x:v>
      </x:c>
      <x:c r="E1013" s="9"/>
      <x:c r="F1013" s="2" t="n">
        <x:f>IF(E1013="",D1013,IF(E1013="U","U",IF(AND(ISNUMBER(E1013),E1013&gt;=0,E1013&lt;=3,INT(E1013)=E1013),E1013,"Invalid")))</x:f>
        <x:v>0</x:v>
      </x:c>
      <x:c r="G1013" s="2" t="n">
        <x:f>IF(ISNUMBER(F1013),1,0)</x:f>
        <x:v>1</x:v>
      </x:c>
      <x:c r="H1013" s="2" t="n">
        <x:f>IF(ISNUMBER(F1013),IF(F1013&gt;=2,1,0),0)</x:f>
        <x:v>0</x:v>
      </x:c>
      <x:c r="I1013" s="11" t="n">
        <x:f>IF(ISNUMBER(F1013),2^F1013-1,0)</x:f>
        <x:v>0</x:v>
      </x:c>
      <x:c r="J1013" s="2" t="str">
        <x:v>Extension pre-run 600</x:v>
      </x:c>
      <x:c r="K1013" s="10" t="n">
        <x:v>38000</x:v>
      </x:c>
      <x:c r="L1013" s="10" t="n">
        <x:v>4</x:v>
      </x:c>
      <x:c r="M1013" s="10" t="n">
        <x:v>3089</x:v>
      </x:c>
      <x:c r="N1013" s="2" t="str">
        <x:v>D09</x:v>
      </x:c>
      <x:c r="O1013" s="2" t="str">
        <x:v>condominium</x:v>
      </x:c>
      <x:c r="P1013" s="2" t="str">
        <x:v>https://www.propertyguru.com.sg/listing/for-rent-the-marq-on-paterson-hill-22376546</x:v>
      </x:c>
      <x:c r="Q1013" s="12" t="str">
        <x:v>Pre-registered source-rubric-v1; grade applied before outputs.</x:v>
      </x:c>
      <x:c r="R1013" s="13"/>
    </x:row>
    <x:row r="1014" ht="15" hidden="0" customHeight="1">
      <x:c r="A1014" s="2" t="str">
        <x:v>S33|500231177</x:v>
      </x:c>
      <x:c r="B1014" s="2" t="str">
        <x:v>S33</x:v>
      </x:c>
      <x:c r="C1014" s="2" t="str">
        <x:v>500231177</x:v>
      </x:c>
      <x:c r="D1014" s="2" t="n">
        <x:v>0</x:v>
      </x:c>
      <x:c r="E1014" s="9"/>
      <x:c r="F1014" s="2" t="n">
        <x:f>IF(E1014="",D1014,IF(E1014="U","U",IF(AND(ISNUMBER(E1014),E1014&gt;=0,E1014&lt;=3,INT(E1014)=E1014),E1014,"Invalid")))</x:f>
        <x:v>0</x:v>
      </x:c>
      <x:c r="G1014" s="2" t="n">
        <x:f>IF(ISNUMBER(F1014),1,0)</x:f>
        <x:v>1</x:v>
      </x:c>
      <x:c r="H1014" s="2" t="n">
        <x:f>IF(ISNUMBER(F1014),IF(F1014&gt;=2,1,0),0)</x:f>
        <x:v>0</x:v>
      </x:c>
      <x:c r="I1014" s="11" t="n">
        <x:f>IF(ISNUMBER(F1014),2^F1014-1,0)</x:f>
        <x:v>0</x:v>
      </x:c>
      <x:c r="J1014" s="2" t="str">
        <x:v>Extension pre-run 600</x:v>
      </x:c>
      <x:c r="K1014" s="10" t="n">
        <x:v>1250</x:v>
      </x:c>
      <x:c r="L1014" s="10" t="n">
        <x:v>0</x:v>
      </x:c>
      <x:c r="M1014" s="10"/>
      <x:c r="N1014" s="2" t="str">
        <x:v>D22</x:v>
      </x:c>
      <x:c r="O1014" s="2" t="str">
        <x:v>hdb flat</x:v>
      </x:c>
      <x:c r="P1014" s="2" t="str">
        <x:v>https://www.propertyguru.com.sg/listing/hdb-for-rent-919-jurong-west-street-91-500231177</x:v>
      </x:c>
      <x:c r="Q1014" s="12" t="str">
        <x:v>Pre-registered source-rubric-v1; grade applied before outputs.</x:v>
      </x:c>
      <x:c r="R1014" s="13"/>
    </x:row>
    <x:row r="1015" ht="15" hidden="0" customHeight="1">
      <x:c r="A1015" s="2" t="str">
        <x:v>S34|500054467</x:v>
      </x:c>
      <x:c r="B1015" s="2" t="str">
        <x:v>S34</x:v>
      </x:c>
      <x:c r="C1015" s="2" t="str">
        <x:v>500054467</x:v>
      </x:c>
      <x:c r="D1015" s="2" t="n">
        <x:v>0</x:v>
      </x:c>
      <x:c r="E1015" s="9"/>
      <x:c r="F1015" s="2" t="n">
        <x:f>IF(E1015="",D1015,IF(E1015="U","U",IF(AND(ISNUMBER(E1015),E1015&gt;=0,E1015&lt;=3,INT(E1015)=E1015),E1015,"Invalid")))</x:f>
        <x:v>0</x:v>
      </x:c>
      <x:c r="G1015" s="2" t="n">
        <x:f>IF(ISNUMBER(F1015),1,0)</x:f>
        <x:v>1</x:v>
      </x:c>
      <x:c r="H1015" s="2" t="n">
        <x:f>IF(ISNUMBER(F1015),IF(F1015&gt;=2,1,0),0)</x:f>
        <x:v>0</x:v>
      </x:c>
      <x:c r="I1015" s="11" t="n">
        <x:f>IF(ISNUMBER(F1015),2^F1015-1,0)</x:f>
        <x:v>0</x:v>
      </x:c>
      <x:c r="J1015" s="2" t="str">
        <x:v>Extension pre-run 600</x:v>
      </x:c>
      <x:c r="K1015" s="10" t="n">
        <x:v>1250</x:v>
      </x:c>
      <x:c r="L1015" s="10" t="n">
        <x:v>0</x:v>
      </x:c>
      <x:c r="M1015" s="10"/>
      <x:c r="N1015" s="2" t="str">
        <x:v>D15</x:v>
      </x:c>
      <x:c r="O1015" s="2" t="str">
        <x:v>condominium</x:v>
      </x:c>
      <x:c r="P1015" s="2" t="str">
        <x:v>https://www.propertyguru.com.sg/listing/for-rent-arthur-mansions-500054467</x:v>
      </x:c>
      <x:c r="Q1015" s="12" t="str">
        <x:v>Pre-registered source-rubric-v1; grade applied before outputs.</x:v>
      </x:c>
      <x:c r="R1015" s="13"/>
    </x:row>
    <x:row r="1016" ht="15" hidden="0" customHeight="1">
      <x:c r="A1016" s="2" t="str">
        <x:v>S34|60083367</x:v>
      </x:c>
      <x:c r="B1016" s="2" t="str">
        <x:v>S34</x:v>
      </x:c>
      <x:c r="C1016" s="2" t="str">
        <x:v>60083367</x:v>
      </x:c>
      <x:c r="D1016" s="2" t="n">
        <x:v>0</x:v>
      </x:c>
      <x:c r="E1016" s="9"/>
      <x:c r="F1016" s="2" t="n">
        <x:f>IF(E1016="",D1016,IF(E1016="U","U",IF(AND(ISNUMBER(E1016),E1016&gt;=0,E1016&lt;=3,INT(E1016)=E1016),E1016,"Invalid")))</x:f>
        <x:v>0</x:v>
      </x:c>
      <x:c r="G1016" s="2" t="n">
        <x:f>IF(ISNUMBER(F1016),1,0)</x:f>
        <x:v>1</x:v>
      </x:c>
      <x:c r="H1016" s="2" t="n">
        <x:f>IF(ISNUMBER(F1016),IF(F1016&gt;=2,1,0),0)</x:f>
        <x:v>0</x:v>
      </x:c>
      <x:c r="I1016" s="11" t="n">
        <x:f>IF(ISNUMBER(F1016),2^F1016-1,0)</x:f>
        <x:v>0</x:v>
      </x:c>
      <x:c r="J1016" s="2" t="str">
        <x:v>Extension pre-run 600</x:v>
      </x:c>
      <x:c r="K1016" s="10" t="n">
        <x:v>950</x:v>
      </x:c>
      <x:c r="L1016" s="10" t="n">
        <x:v>0</x:v>
      </x:c>
      <x:c r="M1016" s="10"/>
      <x:c r="N1016" s="2" t="str">
        <x:v>D19</x:v>
      </x:c>
      <x:c r="O1016" s="2" t="str">
        <x:v>hdb flat</x:v>
      </x:c>
      <x:c r="P1016" s="2" t="str">
        <x:v>https://www.propertyguru.com.sg/listing/hdb-for-rent-268d-punggol-field-60083367</x:v>
      </x:c>
      <x:c r="Q1016" s="12" t="str">
        <x:v>Pre-registered source-rubric-v1; grade applied before outputs.</x:v>
      </x:c>
      <x:c r="R1016" s="13"/>
    </x:row>
    <x:row r="1017" ht="15" hidden="0" customHeight="1">
      <x:c r="A1017" s="2" t="str">
        <x:v>S34|500281629</x:v>
      </x:c>
      <x:c r="B1017" s="2" t="str">
        <x:v>S34</x:v>
      </x:c>
      <x:c r="C1017" s="2" t="str">
        <x:v>500281629</x:v>
      </x:c>
      <x:c r="D1017" s="2" t="n">
        <x:v>0</x:v>
      </x:c>
      <x:c r="E1017" s="9"/>
      <x:c r="F1017" s="2" t="n">
        <x:f>IF(E1017="",D1017,IF(E1017="U","U",IF(AND(ISNUMBER(E1017),E1017&gt;=0,E1017&lt;=3,INT(E1017)=E1017),E1017,"Invalid")))</x:f>
        <x:v>0</x:v>
      </x:c>
      <x:c r="G1017" s="2" t="n">
        <x:f>IF(ISNUMBER(F1017),1,0)</x:f>
        <x:v>1</x:v>
      </x:c>
      <x:c r="H1017" s="2" t="n">
        <x:f>IF(ISNUMBER(F1017),IF(F1017&gt;=2,1,0),0)</x:f>
        <x:v>0</x:v>
      </x:c>
      <x:c r="I1017" s="11" t="n">
        <x:f>IF(ISNUMBER(F1017),2^F1017-1,0)</x:f>
        <x:v>0</x:v>
      </x:c>
      <x:c r="J1017" s="2" t="str">
        <x:v>Extension pre-run 600</x:v>
      </x:c>
      <x:c r="K1017" s="10" t="n">
        <x:v>500</x:v>
      </x:c>
      <x:c r="L1017" s="10" t="n">
        <x:v>0</x:v>
      </x:c>
      <x:c r="M1017" s="10"/>
      <x:c r="N1017" s="2" t="str">
        <x:v>D27</x:v>
      </x:c>
      <x:c r="O1017" s="2" t="str">
        <x:v>hdb flat</x:v>
      </x:c>
      <x:c r="P1017" s="2" t="str">
        <x:v>https://www.propertyguru.com.sg/listing/hdb-for-rent-405-admiralty-link-500281629</x:v>
      </x:c>
      <x:c r="Q1017" s="12" t="str">
        <x:v>Pre-registered source-rubric-v1; grade applied before outputs.</x:v>
      </x:c>
      <x:c r="R1017" s="13"/>
    </x:row>
    <x:row r="1018" ht="15" hidden="0" customHeight="1">
      <x:c r="A1018" s="2" t="str">
        <x:v>S34|25600458</x:v>
      </x:c>
      <x:c r="B1018" s="2" t="str">
        <x:v>S34</x:v>
      </x:c>
      <x:c r="C1018" s="2" t="str">
        <x:v>25600458</x:v>
      </x:c>
      <x:c r="D1018" s="2" t="n">
        <x:v>0</x:v>
      </x:c>
      <x:c r="E1018" s="9"/>
      <x:c r="F1018" s="2" t="n">
        <x:f>IF(E1018="",D1018,IF(E1018="U","U",IF(AND(ISNUMBER(E1018),E1018&gt;=0,E1018&lt;=3,INT(E1018)=E1018),E1018,"Invalid")))</x:f>
        <x:v>0</x:v>
      </x:c>
      <x:c r="G1018" s="2" t="n">
        <x:f>IF(ISNUMBER(F1018),1,0)</x:f>
        <x:v>1</x:v>
      </x:c>
      <x:c r="H1018" s="2" t="n">
        <x:f>IF(ISNUMBER(F1018),IF(F1018&gt;=2,1,0),0)</x:f>
        <x:v>0</x:v>
      </x:c>
      <x:c r="I1018" s="11" t="n">
        <x:f>IF(ISNUMBER(F1018),2^F1018-1,0)</x:f>
        <x:v>0</x:v>
      </x:c>
      <x:c r="J1018" s="2" t="str">
        <x:v>Extension pre-run 600</x:v>
      </x:c>
      <x:c r="K1018" s="10" t="n">
        <x:v>7899</x:v>
      </x:c>
      <x:c r="L1018" s="10" t="n">
        <x:v>3</x:v>
      </x:c>
      <x:c r="M1018" s="10" t="n">
        <x:v>904</x:v>
      </x:c>
      <x:c r="N1018" s="2" t="str">
        <x:v>D07</x:v>
      </x:c>
      <x:c r="O1018" s="2" t="str">
        <x:v>condominium</x:v>
      </x:c>
      <x:c r="P1018" s="2" t="str">
        <x:v>https://www.propertyguru.com.sg/listing/for-rent-midtown-modern-25600458</x:v>
      </x:c>
      <x:c r="Q1018" s="12" t="str">
        <x:v>Pre-registered source-rubric-v1; grade applied before outputs.</x:v>
      </x:c>
      <x:c r="R1018" s="13"/>
    </x:row>
    <x:row r="1019" ht="15" hidden="0" customHeight="1">
      <x:c r="A1019" s="2" t="str">
        <x:v>S34|500064327</x:v>
      </x:c>
      <x:c r="B1019" s="2" t="str">
        <x:v>S34</x:v>
      </x:c>
      <x:c r="C1019" s="2" t="str">
        <x:v>500064327</x:v>
      </x:c>
      <x:c r="D1019" s="2" t="n">
        <x:v>0</x:v>
      </x:c>
      <x:c r="E1019" s="9"/>
      <x:c r="F1019" s="2" t="n">
        <x:f>IF(E1019="",D1019,IF(E1019="U","U",IF(AND(ISNUMBER(E1019),E1019&gt;=0,E1019&lt;=3,INT(E1019)=E1019),E1019,"Invalid")))</x:f>
        <x:v>0</x:v>
      </x:c>
      <x:c r="G1019" s="2" t="n">
        <x:f>IF(ISNUMBER(F1019),1,0)</x:f>
        <x:v>1</x:v>
      </x:c>
      <x:c r="H1019" s="2" t="n">
        <x:f>IF(ISNUMBER(F1019),IF(F1019&gt;=2,1,0),0)</x:f>
        <x:v>0</x:v>
      </x:c>
      <x:c r="I1019" s="11" t="n">
        <x:f>IF(ISNUMBER(F1019),2^F1019-1,0)</x:f>
        <x:v>0</x:v>
      </x:c>
      <x:c r="J1019" s="2" t="str">
        <x:v>Extension pre-run 600</x:v>
      </x:c>
      <x:c r="K1019" s="10" t="n">
        <x:v>988</x:v>
      </x:c>
      <x:c r="L1019" s="10" t="n">
        <x:v>0</x:v>
      </x:c>
      <x:c r="M1019" s="10"/>
      <x:c r="N1019" s="2" t="str">
        <x:v>D23</x:v>
      </x:c>
      <x:c r="O1019" s="2" t="str">
        <x:v>condominium</x:v>
      </x:c>
      <x:c r="P1019" s="2" t="str">
        <x:v>https://www.propertyguru.com.sg/listing/for-rent-northvale-500064327</x:v>
      </x:c>
      <x:c r="Q1019" s="12" t="str">
        <x:v>Pre-registered source-rubric-v1; grade applied before outputs.</x:v>
      </x:c>
      <x:c r="R1019" s="13"/>
    </x:row>
    <x:row r="1020" ht="15" hidden="0" customHeight="1">
      <x:c r="A1020" s="2" t="str">
        <x:v>S34|500228513</x:v>
      </x:c>
      <x:c r="B1020" s="2" t="str">
        <x:v>S34</x:v>
      </x:c>
      <x:c r="C1020" s="2" t="str">
        <x:v>500228513</x:v>
      </x:c>
      <x:c r="D1020" s="2" t="n">
        <x:v>0</x:v>
      </x:c>
      <x:c r="E1020" s="9"/>
      <x:c r="F1020" s="2" t="n">
        <x:f>IF(E1020="",D1020,IF(E1020="U","U",IF(AND(ISNUMBER(E1020),E1020&gt;=0,E1020&lt;=3,INT(E1020)=E1020),E1020,"Invalid")))</x:f>
        <x:v>0</x:v>
      </x:c>
      <x:c r="G1020" s="2" t="n">
        <x:f>IF(ISNUMBER(F1020),1,0)</x:f>
        <x:v>1</x:v>
      </x:c>
      <x:c r="H1020" s="2" t="n">
        <x:f>IF(ISNUMBER(F1020),IF(F1020&gt;=2,1,0),0)</x:f>
        <x:v>0</x:v>
      </x:c>
      <x:c r="I1020" s="11" t="n">
        <x:f>IF(ISNUMBER(F1020),2^F1020-1,0)</x:f>
        <x:v>0</x:v>
      </x:c>
      <x:c r="J1020" s="2" t="str">
        <x:v>Extension pre-run 600</x:v>
      </x:c>
      <x:c r="K1020" s="10" t="n">
        <x:v>1900</x:v>
      </x:c>
      <x:c r="L1020" s="10" t="n">
        <x:v>0</x:v>
      </x:c>
      <x:c r="M1020" s="10"/>
      <x:c r="N1020" s="2" t="str">
        <x:v>D09</x:v>
      </x:c>
      <x:c r="O1020" s="2" t="str">
        <x:v>condominium</x:v>
      </x:c>
      <x:c r="P1020" s="2" t="str">
        <x:v>https://www.propertyguru.com.sg/listing/for-rent-aspen-heights-500228513</x:v>
      </x:c>
      <x:c r="Q1020" s="12" t="str">
        <x:v>Pre-registered source-rubric-v1; grade applied before outputs.</x:v>
      </x:c>
      <x:c r="R1020" s="13"/>
    </x:row>
    <x:row r="1021" ht="15" hidden="0" customHeight="1">
      <x:c r="A1021" s="2" t="str">
        <x:v>S34|500277421</x:v>
      </x:c>
      <x:c r="B1021" s="2" t="str">
        <x:v>S34</x:v>
      </x:c>
      <x:c r="C1021" s="2" t="str">
        <x:v>500277421</x:v>
      </x:c>
      <x:c r="D1021" s="2" t="n">
        <x:v>0</x:v>
      </x:c>
      <x:c r="E1021" s="9"/>
      <x:c r="F1021" s="2" t="n">
        <x:f>IF(E1021="",D1021,IF(E1021="U","U",IF(AND(ISNUMBER(E1021),E1021&gt;=0,E1021&lt;=3,INT(E1021)=E1021),E1021,"Invalid")))</x:f>
        <x:v>0</x:v>
      </x:c>
      <x:c r="G1021" s="2" t="n">
        <x:f>IF(ISNUMBER(F1021),1,0)</x:f>
        <x:v>1</x:v>
      </x:c>
      <x:c r="H1021" s="2" t="n">
        <x:f>IF(ISNUMBER(F1021),IF(F1021&gt;=2,1,0),0)</x:f>
        <x:v>0</x:v>
      </x:c>
      <x:c r="I1021" s="11" t="n">
        <x:f>IF(ISNUMBER(F1021),2^F1021-1,0)</x:f>
        <x:v>0</x:v>
      </x:c>
      <x:c r="J1021" s="2" t="str">
        <x:v>Extension pre-run 600</x:v>
      </x:c>
      <x:c r="K1021" s="10" t="n">
        <x:v>5100</x:v>
      </x:c>
      <x:c r="L1021" s="10" t="n">
        <x:v>2</x:v>
      </x:c>
      <x:c r="M1021" s="10" t="n">
        <x:v>715</x:v>
      </x:c>
      <x:c r="N1021" s="2" t="str">
        <x:v>D15</x:v>
      </x:c>
      <x:c r="O1021" s="2" t="str">
        <x:v>condominium</x:v>
      </x:c>
      <x:c r="P1021" s="2" t="str">
        <x:v>https://www.propertyguru.com.sg/listing/for-rent-grand-dunman-500277421</x:v>
      </x:c>
      <x:c r="Q1021" s="12" t="str">
        <x:v>Pre-registered source-rubric-v1; grade applied before outputs.</x:v>
      </x:c>
      <x:c r="R1021" s="13"/>
    </x:row>
    <x:row r="1022" ht="15" hidden="0" customHeight="1">
      <x:c r="A1022" s="2" t="str">
        <x:v>S34|21818146</x:v>
      </x:c>
      <x:c r="B1022" s="2" t="str">
        <x:v>S34</x:v>
      </x:c>
      <x:c r="C1022" s="2" t="str">
        <x:v>21818146</x:v>
      </x:c>
      <x:c r="D1022" s="2" t="n">
        <x:v>0</x:v>
      </x:c>
      <x:c r="E1022" s="9"/>
      <x:c r="F1022" s="2" t="n">
        <x:f>IF(E1022="",D1022,IF(E1022="U","U",IF(AND(ISNUMBER(E1022),E1022&gt;=0,E1022&lt;=3,INT(E1022)=E1022),E1022,"Invalid")))</x:f>
        <x:v>0</x:v>
      </x:c>
      <x:c r="G1022" s="2" t="n">
        <x:f>IF(ISNUMBER(F1022),1,0)</x:f>
        <x:v>1</x:v>
      </x:c>
      <x:c r="H1022" s="2" t="n">
        <x:f>IF(ISNUMBER(F1022),IF(F1022&gt;=2,1,0),0)</x:f>
        <x:v>0</x:v>
      </x:c>
      <x:c r="I1022" s="11" t="n">
        <x:f>IF(ISNUMBER(F1022),2^F1022-1,0)</x:f>
        <x:v>0</x:v>
      </x:c>
      <x:c r="J1022" s="2" t="str">
        <x:v>Extension pre-run 600</x:v>
      </x:c>
      <x:c r="K1022" s="10" t="n">
        <x:v>5900</x:v>
      </x:c>
      <x:c r="L1022" s="10" t="n">
        <x:v>1</x:v>
      </x:c>
      <x:c r="M1022" s="10" t="n">
        <x:v>861</x:v>
      </x:c>
      <x:c r="N1022" s="2" t="str">
        <x:v>D02</x:v>
      </x:c>
      <x:c r="O1022" s="2" t="str">
        <x:v>condominium</x:v>
      </x:c>
      <x:c r="P1022" s="2" t="str">
        <x:v>https://www.propertyguru.com.sg/listing/for-rent-altez-21818146</x:v>
      </x:c>
      <x:c r="Q1022" s="12" t="str">
        <x:v>Pre-registered source-rubric-v1; grade applied before outputs.</x:v>
      </x:c>
      <x:c r="R1022" s="13"/>
    </x:row>
    <x:row r="1023" ht="15" hidden="0" customHeight="1">
      <x:c r="A1023" s="2" t="str">
        <x:v>S34|500158855</x:v>
      </x:c>
      <x:c r="B1023" s="2" t="str">
        <x:v>S34</x:v>
      </x:c>
      <x:c r="C1023" s="2" t="str">
        <x:v>500158855</x:v>
      </x:c>
      <x:c r="D1023" s="2" t="str">
        <x:v>U</x:v>
      </x:c>
      <x:c r="E1023" s="9"/>
      <x:c r="F1023" s="2" t="str">
        <x:f>IF(E1023="",D1023,IF(E1023="U","U",IF(AND(ISNUMBER(E1023),E1023&gt;=0,E1023&lt;=3,INT(E1023)=E1023),E1023,"Invalid")))</x:f>
        <x:v>U</x:v>
      </x:c>
      <x:c r="G1023" s="2" t="n">
        <x:f>IF(ISNUMBER(F1023),1,0)</x:f>
        <x:v>0</x:v>
      </x:c>
      <x:c r="H1023" s="2" t="n">
        <x:f>IF(ISNUMBER(F1023),IF(F1023&gt;=2,1,0),0)</x:f>
        <x:v>0</x:v>
      </x:c>
      <x:c r="I1023" s="11" t="n">
        <x:f>IF(ISNUMBER(F1023),2^F1023-1,0)</x:f>
        <x:v>0</x:v>
      </x:c>
      <x:c r="J1023" s="2" t="str">
        <x:v>Extension pre-run 600</x:v>
      </x:c>
      <x:c r="K1023" s="10" t="n">
        <x:v>2200</x:v>
      </x:c>
      <x:c r="L1023" s="10"/>
      <x:c r="M1023" s="10" t="n">
        <x:v>150</x:v>
      </x:c>
      <x:c r="N1023" s="2" t="str">
        <x:v>D09</x:v>
      </x:c>
      <x:c r="O1023" s="2" t="str">
        <x:v>apartment</x:v>
      </x:c>
      <x:c r="P1023" s="2" t="str">
        <x:v>https://www.propertyguru.com.sg/listing/for-rent-mackenzie-138-500158855</x:v>
      </x:c>
      <x:c r="Q1023" s="12" t="str">
        <x:v>Pre-registered source-rubric-v1; grade applied before outputs.</x:v>
      </x:c>
      <x:c r="R1023" s="13"/>
    </x:row>
    <x:row r="1024" ht="15" hidden="0" customHeight="1">
      <x:c r="A1024" s="2" t="str">
        <x:v>S34|500175020</x:v>
      </x:c>
      <x:c r="B1024" s="2" t="str">
        <x:v>S34</x:v>
      </x:c>
      <x:c r="C1024" s="2" t="str">
        <x:v>500175020</x:v>
      </x:c>
      <x:c r="D1024" s="2" t="str">
        <x:v>U</x:v>
      </x:c>
      <x:c r="E1024" s="9"/>
      <x:c r="F1024" s="2" t="str">
        <x:f>IF(E1024="",D1024,IF(E1024="U","U",IF(AND(ISNUMBER(E1024),E1024&gt;=0,E1024&lt;=3,INT(E1024)=E1024),E1024,"Invalid")))</x:f>
        <x:v>U</x:v>
      </x:c>
      <x:c r="G1024" s="2" t="n">
        <x:f>IF(ISNUMBER(F1024),1,0)</x:f>
        <x:v>0</x:v>
      </x:c>
      <x:c r="H1024" s="2" t="n">
        <x:f>IF(ISNUMBER(F1024),IF(F1024&gt;=2,1,0),0)</x:f>
        <x:v>0</x:v>
      </x:c>
      <x:c r="I1024" s="11" t="n">
        <x:f>IF(ISNUMBER(F1024),2^F1024-1,0)</x:f>
        <x:v>0</x:v>
      </x:c>
      <x:c r="J1024" s="2" t="str">
        <x:v>Extension pre-run 600</x:v>
      </x:c>
      <x:c r="K1024" s="10" t="n">
        <x:v>2200</x:v>
      </x:c>
      <x:c r="L1024" s="10"/>
      <x:c r="M1024" s="10" t="n">
        <x:v>200</x:v>
      </x:c>
      <x:c r="N1024" s="2" t="str">
        <x:v>D09</x:v>
      </x:c>
      <x:c r="O1024" s="2" t="str">
        <x:v>apartment</x:v>
      </x:c>
      <x:c r="P1024" s="2" t="str">
        <x:v>https://www.propertyguru.com.sg/listing/for-rent-liv-on-sophia-500175020</x:v>
      </x:c>
      <x:c r="Q1024" s="12" t="str">
        <x:v>Pre-registered source-rubric-v1; grade applied before outputs.</x:v>
      </x:c>
      <x:c r="R1024" s="13"/>
    </x:row>
    <x:row r="1025" ht="15" hidden="0" customHeight="1">
      <x:c r="A1025" s="2" t="str">
        <x:v>S34|21420799</x:v>
      </x:c>
      <x:c r="B1025" s="2" t="str">
        <x:v>S34</x:v>
      </x:c>
      <x:c r="C1025" s="2" t="str">
        <x:v>21420799</x:v>
      </x:c>
      <x:c r="D1025" s="2" t="n">
        <x:v>0</x:v>
      </x:c>
      <x:c r="E1025" s="9"/>
      <x:c r="F1025" s="2" t="n">
        <x:f>IF(E1025="",D1025,IF(E1025="U","U",IF(AND(ISNUMBER(E1025),E1025&gt;=0,E1025&lt;=3,INT(E1025)=E1025),E1025,"Invalid")))</x:f>
        <x:v>0</x:v>
      </x:c>
      <x:c r="G1025" s="2" t="n">
        <x:f>IF(ISNUMBER(F1025),1,0)</x:f>
        <x:v>1</x:v>
      </x:c>
      <x:c r="H1025" s="2" t="n">
        <x:f>IF(ISNUMBER(F1025),IF(F1025&gt;=2,1,0),0)</x:f>
        <x:v>0</x:v>
      </x:c>
      <x:c r="I1025" s="11" t="n">
        <x:f>IF(ISNUMBER(F1025),2^F1025-1,0)</x:f>
        <x:v>0</x:v>
      </x:c>
      <x:c r="J1025" s="2" t="str">
        <x:v>Extension pre-run 600</x:v>
      </x:c>
      <x:c r="K1025" s="10" t="n">
        <x:v>7800</x:v>
      </x:c>
      <x:c r="L1025" s="10" t="n">
        <x:v>3</x:v>
      </x:c>
      <x:c r="M1025" s="10" t="n">
        <x:v>958</x:v>
      </x:c>
      <x:c r="N1025" s="2" t="str">
        <x:v>D02</x:v>
      </x:c>
      <x:c r="O1025" s="2" t="str">
        <x:v>condominium</x:v>
      </x:c>
      <x:c r="P1025" s="2" t="str">
        <x:v>https://www.propertyguru.com.sg/listing/for-rent-skysuites-anson-21420799</x:v>
      </x:c>
      <x:c r="Q1025" s="12" t="str">
        <x:v>Pre-registered source-rubric-v1; grade applied before outputs.</x:v>
      </x:c>
      <x:c r="R1025" s="13"/>
    </x:row>
    <x:row r="1026" ht="15" hidden="0" customHeight="1">
      <x:c r="A1026" s="2" t="str">
        <x:v>S34|500119879</x:v>
      </x:c>
      <x:c r="B1026" s="2" t="str">
        <x:v>S34</x:v>
      </x:c>
      <x:c r="C1026" s="2" t="str">
        <x:v>500119879</x:v>
      </x:c>
      <x:c r="D1026" s="2" t="n">
        <x:v>0</x:v>
      </x:c>
      <x:c r="E1026" s="9"/>
      <x:c r="F1026" s="2" t="n">
        <x:f>IF(E1026="",D1026,IF(E1026="U","U",IF(AND(ISNUMBER(E1026),E1026&gt;=0,E1026&lt;=3,INT(E1026)=E1026),E1026,"Invalid")))</x:f>
        <x:v>0</x:v>
      </x:c>
      <x:c r="G1026" s="2" t="n">
        <x:f>IF(ISNUMBER(F1026),1,0)</x:f>
        <x:v>1</x:v>
      </x:c>
      <x:c r="H1026" s="2" t="n">
        <x:f>IF(ISNUMBER(F1026),IF(F1026&gt;=2,1,0),0)</x:f>
        <x:v>0</x:v>
      </x:c>
      <x:c r="I1026" s="11" t="n">
        <x:f>IF(ISNUMBER(F1026),2^F1026-1,0)</x:f>
        <x:v>0</x:v>
      </x:c>
      <x:c r="J1026" s="2" t="str">
        <x:v>Extension pre-run 600</x:v>
      </x:c>
      <x:c r="K1026" s="10" t="n">
        <x:v>6900</x:v>
      </x:c>
      <x:c r="L1026" s="10" t="n">
        <x:v>2</x:v>
      </x:c>
      <x:c r="M1026" s="10" t="n">
        <x:v>1582</x:v>
      </x:c>
      <x:c r="N1026" s="2" t="str">
        <x:v>D10</x:v>
      </x:c>
      <x:c r="O1026" s="2" t="str">
        <x:v>condominium</x:v>
      </x:c>
      <x:c r="P1026" s="2" t="str">
        <x:v>https://www.propertyguru.com.sg/listing/for-rent-mon-jervois-500119879</x:v>
      </x:c>
      <x:c r="Q1026" s="12" t="str">
        <x:v>Pre-registered source-rubric-v1; grade applied before outputs.</x:v>
      </x:c>
      <x:c r="R1026" s="13"/>
    </x:row>
    <x:row r="1027" ht="15" hidden="0" customHeight="1">
      <x:c r="A1027" s="2" t="str">
        <x:v>S34|500287710</x:v>
      </x:c>
      <x:c r="B1027" s="2" t="str">
        <x:v>S34</x:v>
      </x:c>
      <x:c r="C1027" s="2" t="str">
        <x:v>500287710</x:v>
      </x:c>
      <x:c r="D1027" s="2" t="n">
        <x:v>0</x:v>
      </x:c>
      <x:c r="E1027" s="9"/>
      <x:c r="F1027" s="2" t="n">
        <x:f>IF(E1027="",D1027,IF(E1027="U","U",IF(AND(ISNUMBER(E1027),E1027&gt;=0,E1027&lt;=3,INT(E1027)=E1027),E1027,"Invalid")))</x:f>
        <x:v>0</x:v>
      </x:c>
      <x:c r="G1027" s="2" t="n">
        <x:f>IF(ISNUMBER(F1027),1,0)</x:f>
        <x:v>1</x:v>
      </x:c>
      <x:c r="H1027" s="2" t="n">
        <x:f>IF(ISNUMBER(F1027),IF(F1027&gt;=2,1,0),0)</x:f>
        <x:v>0</x:v>
      </x:c>
      <x:c r="I1027" s="11" t="n">
        <x:f>IF(ISNUMBER(F1027),2^F1027-1,0)</x:f>
        <x:v>0</x:v>
      </x:c>
      <x:c r="J1027" s="2" t="str">
        <x:v>Extension pre-run 600</x:v>
      </x:c>
      <x:c r="K1027" s="10" t="n">
        <x:v>1300</x:v>
      </x:c>
      <x:c r="L1027" s="10" t="n">
        <x:v>0</x:v>
      </x:c>
      <x:c r="M1027" s="10"/>
      <x:c r="N1027" s="2" t="str">
        <x:v>D11</x:v>
      </x:c>
      <x:c r="O1027" s="2" t="str">
        <x:v>walk-up apartment</x:v>
      </x:c>
      <x:c r="P1027" s="2" t="str">
        <x:v>https://www.propertyguru.com.sg/listing/for-rent-eng-aun-mansion-500287710</x:v>
      </x:c>
      <x:c r="Q1027" s="12" t="str">
        <x:v>Pre-registered source-rubric-v1; grade applied before outputs.</x:v>
      </x:c>
      <x:c r="R1027" s="13"/>
    </x:row>
    <x:row r="1028" ht="15" hidden="0" customHeight="1">
      <x:c r="A1028" s="2" t="str">
        <x:v>S34|500287543</x:v>
      </x:c>
      <x:c r="B1028" s="2" t="str">
        <x:v>S34</x:v>
      </x:c>
      <x:c r="C1028" s="2" t="str">
        <x:v>500287543</x:v>
      </x:c>
      <x:c r="D1028" s="2" t="n">
        <x:v>0</x:v>
      </x:c>
      <x:c r="E1028" s="9"/>
      <x:c r="F1028" s="2" t="n">
        <x:f>IF(E1028="",D1028,IF(E1028="U","U",IF(AND(ISNUMBER(E1028),E1028&gt;=0,E1028&lt;=3,INT(E1028)=E1028),E1028,"Invalid")))</x:f>
        <x:v>0</x:v>
      </x:c>
      <x:c r="G1028" s="2" t="n">
        <x:f>IF(ISNUMBER(F1028),1,0)</x:f>
        <x:v>1</x:v>
      </x:c>
      <x:c r="H1028" s="2" t="n">
        <x:f>IF(ISNUMBER(F1028),IF(F1028&gt;=2,1,0),0)</x:f>
        <x:v>0</x:v>
      </x:c>
      <x:c r="I1028" s="11" t="n">
        <x:f>IF(ISNUMBER(F1028),2^F1028-1,0)</x:f>
        <x:v>0</x:v>
      </x:c>
      <x:c r="J1028" s="2" t="str">
        <x:v>Extension pre-run 600</x:v>
      </x:c>
      <x:c r="K1028" s="10" t="n">
        <x:v>6500</x:v>
      </x:c>
      <x:c r="L1028" s="10" t="n">
        <x:v>3</x:v>
      </x:c>
      <x:c r="M1028" s="10" t="n">
        <x:v>1238</x:v>
      </x:c>
      <x:c r="N1028" s="2" t="str">
        <x:v>D01</x:v>
      </x:c>
      <x:c r="O1028" s="2" t="str">
        <x:v>condominium</x:v>
      </x:c>
      <x:c r="P1028" s="2" t="str">
        <x:v>https://www.propertyguru.com.sg/listing/for-rent-emerald-garden-500287543</x:v>
      </x:c>
      <x:c r="Q1028" s="12" t="str">
        <x:v>Pre-registered source-rubric-v1; grade applied before outputs.</x:v>
      </x:c>
      <x:c r="R1028" s="13"/>
    </x:row>
    <x:row r="1029" ht="15" hidden="0" customHeight="1">
      <x:c r="A1029" s="2" t="str">
        <x:v>S34|25099099</x:v>
      </x:c>
      <x:c r="B1029" s="2" t="str">
        <x:v>S34</x:v>
      </x:c>
      <x:c r="C1029" s="2" t="str">
        <x:v>25099099</x:v>
      </x:c>
      <x:c r="D1029" s="2" t="n">
        <x:v>0</x:v>
      </x:c>
      <x:c r="E1029" s="9"/>
      <x:c r="F1029" s="2" t="n">
        <x:f>IF(E1029="",D1029,IF(E1029="U","U",IF(AND(ISNUMBER(E1029),E1029&gt;=0,E1029&lt;=3,INT(E1029)=E1029),E1029,"Invalid")))</x:f>
        <x:v>0</x:v>
      </x:c>
      <x:c r="G1029" s="2" t="n">
        <x:f>IF(ISNUMBER(F1029),1,0)</x:f>
        <x:v>1</x:v>
      </x:c>
      <x:c r="H1029" s="2" t="n">
        <x:f>IF(ISNUMBER(F1029),IF(F1029&gt;=2,1,0),0)</x:f>
        <x:v>0</x:v>
      </x:c>
      <x:c r="I1029" s="11" t="n">
        <x:f>IF(ISNUMBER(F1029),2^F1029-1,0)</x:f>
        <x:v>0</x:v>
      </x:c>
      <x:c r="J1029" s="2" t="str">
        <x:v>Extension pre-run 600</x:v>
      </x:c>
      <x:c r="K1029" s="10" t="n">
        <x:v>1350</x:v>
      </x:c>
      <x:c r="L1029" s="10" t="n">
        <x:v>0</x:v>
      </x:c>
      <x:c r="M1029" s="10"/>
      <x:c r="N1029" s="2" t="str">
        <x:v>D05</x:v>
      </x:c>
      <x:c r="O1029" s="2" t="str">
        <x:v>condominium</x:v>
      </x:c>
      <x:c r="P1029" s="2" t="str">
        <x:v>https://www.propertyguru.com.sg/listing/for-rent-blue-horizon-25099099</x:v>
      </x:c>
      <x:c r="Q1029" s="12" t="str">
        <x:v>Pre-registered source-rubric-v1; grade applied before outputs.</x:v>
      </x:c>
      <x:c r="R1029" s="13"/>
    </x:row>
    <x:row r="1030" ht="15" hidden="0" customHeight="1">
      <x:c r="A1030" s="2" t="str">
        <x:v>S34|24482573</x:v>
      </x:c>
      <x:c r="B1030" s="2" t="str">
        <x:v>S34</x:v>
      </x:c>
      <x:c r="C1030" s="2" t="str">
        <x:v>24482573</x:v>
      </x:c>
      <x:c r="D1030" s="2" t="n">
        <x:v>0</x:v>
      </x:c>
      <x:c r="E1030" s="9"/>
      <x:c r="F1030" s="2" t="n">
        <x:f>IF(E1030="",D1030,IF(E1030="U","U",IF(AND(ISNUMBER(E1030),E1030&gt;=0,E1030&lt;=3,INT(E1030)=E1030),E1030,"Invalid")))</x:f>
        <x:v>0</x:v>
      </x:c>
      <x:c r="G1030" s="2" t="n">
        <x:f>IF(ISNUMBER(F1030),1,0)</x:f>
        <x:v>1</x:v>
      </x:c>
      <x:c r="H1030" s="2" t="n">
        <x:f>IF(ISNUMBER(F1030),IF(F1030&gt;=2,1,0),0)</x:f>
        <x:v>0</x:v>
      </x:c>
      <x:c r="I1030" s="11" t="n">
        <x:f>IF(ISNUMBER(F1030),2^F1030-1,0)</x:f>
        <x:v>0</x:v>
      </x:c>
      <x:c r="J1030" s="2" t="str">
        <x:v>Extension pre-run 600</x:v>
      </x:c>
      <x:c r="K1030" s="10" t="n">
        <x:v>1400</x:v>
      </x:c>
      <x:c r="L1030" s="10" t="n">
        <x:v>0</x:v>
      </x:c>
      <x:c r="M1030" s="10"/>
      <x:c r="N1030" s="2" t="str">
        <x:v>D19</x:v>
      </x:c>
      <x:c r="O1030" s="2" t="str">
        <x:v>corner terrace</x:v>
      </x:c>
      <x:c r="P1030" s="2" t="str">
        <x:v>https://www.propertyguru.com.sg/listing/for-rent-bartley-grove-24482573</x:v>
      </x:c>
      <x:c r="Q1030" s="12" t="str">
        <x:v>Pre-registered source-rubric-v1; grade applied before outputs.</x:v>
      </x:c>
      <x:c r="R1030" s="13"/>
    </x:row>
    <x:row r="1031" ht="15" hidden="0" customHeight="1">
      <x:c r="A1031" s="2" t="str">
        <x:v>S34|23282197</x:v>
      </x:c>
      <x:c r="B1031" s="2" t="str">
        <x:v>S34</x:v>
      </x:c>
      <x:c r="C1031" s="2" t="str">
        <x:v>23282197</x:v>
      </x:c>
      <x:c r="D1031" s="2" t="n">
        <x:v>0</x:v>
      </x:c>
      <x:c r="E1031" s="9"/>
      <x:c r="F1031" s="2" t="n">
        <x:f>IF(E1031="",D1031,IF(E1031="U","U",IF(AND(ISNUMBER(E1031),E1031&gt;=0,E1031&lt;=3,INT(E1031)=E1031),E1031,"Invalid")))</x:f>
        <x:v>0</x:v>
      </x:c>
      <x:c r="G1031" s="2" t="n">
        <x:f>IF(ISNUMBER(F1031),1,0)</x:f>
        <x:v>1</x:v>
      </x:c>
      <x:c r="H1031" s="2" t="n">
        <x:f>IF(ISNUMBER(F1031),IF(F1031&gt;=2,1,0),0)</x:f>
        <x:v>0</x:v>
      </x:c>
      <x:c r="I1031" s="11" t="n">
        <x:f>IF(ISNUMBER(F1031),2^F1031-1,0)</x:f>
        <x:v>0</x:v>
      </x:c>
      <x:c r="J1031" s="2" t="str">
        <x:v>Extension pre-run 600</x:v>
      </x:c>
      <x:c r="K1031" s="10" t="n">
        <x:v>4100</x:v>
      </x:c>
      <x:c r="L1031" s="10" t="n">
        <x:v>3</x:v>
      </x:c>
      <x:c r="M1031" s="10" t="n">
        <x:v>1194</x:v>
      </x:c>
      <x:c r="N1031" s="2" t="str">
        <x:v>D18</x:v>
      </x:c>
      <x:c r="O1031" s="2" t="str">
        <x:v>hdb flat</x:v>
      </x:c>
      <x:c r="P1031" s="2" t="str">
        <x:v>https://www.propertyguru.com.sg/listing/hdb-for-rent-168d-simei-lane-23282197</x:v>
      </x:c>
      <x:c r="Q1031" s="12" t="str">
        <x:v>Pre-registered source-rubric-v1; grade applied before outputs.</x:v>
      </x:c>
      <x:c r="R1031" s="13"/>
    </x:row>
    <x:row r="1032" ht="15" hidden="0" customHeight="1">
      <x:c r="A1032" s="2" t="str">
        <x:v>S34|500247992</x:v>
      </x:c>
      <x:c r="B1032" s="2" t="str">
        <x:v>S34</x:v>
      </x:c>
      <x:c r="C1032" s="2" t="str">
        <x:v>500247992</x:v>
      </x:c>
      <x:c r="D1032" s="2" t="n">
        <x:v>0</x:v>
      </x:c>
      <x:c r="E1032" s="9"/>
      <x:c r="F1032" s="2" t="n">
        <x:f>IF(E1032="",D1032,IF(E1032="U","U",IF(AND(ISNUMBER(E1032),E1032&gt;=0,E1032&lt;=3,INT(E1032)=E1032),E1032,"Invalid")))</x:f>
        <x:v>0</x:v>
      </x:c>
      <x:c r="G1032" s="2" t="n">
        <x:f>IF(ISNUMBER(F1032),1,0)</x:f>
        <x:v>1</x:v>
      </x:c>
      <x:c r="H1032" s="2" t="n">
        <x:f>IF(ISNUMBER(F1032),IF(F1032&gt;=2,1,0),0)</x:f>
        <x:v>0</x:v>
      </x:c>
      <x:c r="I1032" s="11" t="n">
        <x:f>IF(ISNUMBER(F1032),2^F1032-1,0)</x:f>
        <x:v>0</x:v>
      </x:c>
      <x:c r="J1032" s="2" t="str">
        <x:v>Extension pre-run 600</x:v>
      </x:c>
      <x:c r="K1032" s="10" t="n">
        <x:v>4800</x:v>
      </x:c>
      <x:c r="L1032" s="10" t="n">
        <x:v>2</x:v>
      </x:c>
      <x:c r="M1032" s="10" t="n">
        <x:v>678</x:v>
      </x:c>
      <x:c r="N1032" s="2" t="str">
        <x:v>D15</x:v>
      </x:c>
      <x:c r="O1032" s="2" t="str">
        <x:v>condominium</x:v>
      </x:c>
      <x:c r="P1032" s="2" t="str">
        <x:v>https://www.propertyguru.com.sg/listing/for-rent-seaside-residences-500247992</x:v>
      </x:c>
      <x:c r="Q1032" s="12" t="str">
        <x:v>Pre-registered source-rubric-v1; grade applied before outputs.</x:v>
      </x:c>
      <x:c r="R1032" s="13"/>
    </x:row>
    <x:row r="1033" ht="15" hidden="0" customHeight="1">
      <x:c r="A1033" s="2" t="str">
        <x:v>S34|60096464</x:v>
      </x:c>
      <x:c r="B1033" s="2" t="str">
        <x:v>S34</x:v>
      </x:c>
      <x:c r="C1033" s="2" t="str">
        <x:v>60096464</x:v>
      </x:c>
      <x:c r="D1033" s="2" t="n">
        <x:v>0</x:v>
      </x:c>
      <x:c r="E1033" s="9"/>
      <x:c r="F1033" s="2" t="n">
        <x:f>IF(E1033="",D1033,IF(E1033="U","U",IF(AND(ISNUMBER(E1033),E1033&gt;=0,E1033&lt;=3,INT(E1033)=E1033),E1033,"Invalid")))</x:f>
        <x:v>0</x:v>
      </x:c>
      <x:c r="G1033" s="2" t="n">
        <x:f>IF(ISNUMBER(F1033),1,0)</x:f>
        <x:v>1</x:v>
      </x:c>
      <x:c r="H1033" s="2" t="n">
        <x:f>IF(ISNUMBER(F1033),IF(F1033&gt;=2,1,0),0)</x:f>
        <x:v>0</x:v>
      </x:c>
      <x:c r="I1033" s="11" t="n">
        <x:f>IF(ISNUMBER(F1033),2^F1033-1,0)</x:f>
        <x:v>0</x:v>
      </x:c>
      <x:c r="J1033" s="2" t="str">
        <x:v>Extension pre-run 600</x:v>
      </x:c>
      <x:c r="K1033" s="10" t="n">
        <x:v>1600</x:v>
      </x:c>
      <x:c r="L1033" s="10" t="n">
        <x:v>0</x:v>
      </x:c>
      <x:c r="M1033" s="10"/>
      <x:c r="N1033" s="2" t="str">
        <x:v>D18</x:v>
      </x:c>
      <x:c r="O1033" s="2" t="str">
        <x:v>condominium</x:v>
      </x:c>
      <x:c r="P1033" s="2" t="str">
        <x:v>https://www.propertyguru.com.sg/listing/for-rent-tropical-spring-60096464</x:v>
      </x:c>
      <x:c r="Q1033" s="12" t="str">
        <x:v>Pre-registered source-rubric-v1; grade applied before outputs.</x:v>
      </x:c>
      <x:c r="R1033" s="13"/>
    </x:row>
    <x:row r="1034" ht="15" hidden="0" customHeight="1">
      <x:c r="A1034" s="2" t="str">
        <x:v>S34|60080480</x:v>
      </x:c>
      <x:c r="B1034" s="2" t="str">
        <x:v>S34</x:v>
      </x:c>
      <x:c r="C1034" s="2" t="str">
        <x:v>60080480</x:v>
      </x:c>
      <x:c r="D1034" s="2" t="n">
        <x:v>0</x:v>
      </x:c>
      <x:c r="E1034" s="9"/>
      <x:c r="F1034" s="2" t="n">
        <x:f>IF(E1034="",D1034,IF(E1034="U","U",IF(AND(ISNUMBER(E1034),E1034&gt;=0,E1034&lt;=3,INT(E1034)=E1034),E1034,"Invalid")))</x:f>
        <x:v>0</x:v>
      </x:c>
      <x:c r="G1034" s="2" t="n">
        <x:f>IF(ISNUMBER(F1034),1,0)</x:f>
        <x:v>1</x:v>
      </x:c>
      <x:c r="H1034" s="2" t="n">
        <x:f>IF(ISNUMBER(F1034),IF(F1034&gt;=2,1,0),0)</x:f>
        <x:v>0</x:v>
      </x:c>
      <x:c r="I1034" s="11" t="n">
        <x:f>IF(ISNUMBER(F1034),2^F1034-1,0)</x:f>
        <x:v>0</x:v>
      </x:c>
      <x:c r="J1034" s="2" t="str">
        <x:v>Extension pre-run 600</x:v>
      </x:c>
      <x:c r="K1034" s="10" t="n">
        <x:v>950</x:v>
      </x:c>
      <x:c r="L1034" s="10" t="n">
        <x:v>0</x:v>
      </x:c>
      <x:c r="M1034" s="10"/>
      <x:c r="N1034" s="2" t="str">
        <x:v>D08</x:v>
      </x:c>
      <x:c r="O1034" s="2" t="str">
        <x:v>condominium</x:v>
      </x:c>
      <x:c r="P1034" s="2" t="str">
        <x:v>https://www.propertyguru.com.sg/listing/for-rent-city-square-residences-60080480</x:v>
      </x:c>
      <x:c r="Q1034" s="12" t="str">
        <x:v>Pre-registered source-rubric-v1; grade applied before outputs.</x:v>
      </x:c>
      <x:c r="R1034" s="13"/>
    </x:row>
    <x:row r="1035" ht="15" hidden="0" customHeight="1">
      <x:c r="A1035" s="2" t="str">
        <x:v>S34|21417825</x:v>
      </x:c>
      <x:c r="B1035" s="2" t="str">
        <x:v>S34</x:v>
      </x:c>
      <x:c r="C1035" s="2" t="str">
        <x:v>21417825</x:v>
      </x:c>
      <x:c r="D1035" s="2" t="n">
        <x:v>0</x:v>
      </x:c>
      <x:c r="E1035" s="9"/>
      <x:c r="F1035" s="2" t="n">
        <x:f>IF(E1035="",D1035,IF(E1035="U","U",IF(AND(ISNUMBER(E1035),E1035&gt;=0,E1035&lt;=3,INT(E1035)=E1035),E1035,"Invalid")))</x:f>
        <x:v>0</x:v>
      </x:c>
      <x:c r="G1035" s="2" t="n">
        <x:f>IF(ISNUMBER(F1035),1,0)</x:f>
        <x:v>1</x:v>
      </x:c>
      <x:c r="H1035" s="2" t="n">
        <x:f>IF(ISNUMBER(F1035),IF(F1035&gt;=2,1,0),0)</x:f>
        <x:v>0</x:v>
      </x:c>
      <x:c r="I1035" s="11" t="n">
        <x:f>IF(ISNUMBER(F1035),2^F1035-1,0)</x:f>
        <x:v>0</x:v>
      </x:c>
      <x:c r="J1035" s="2" t="str">
        <x:v>Extension pre-run 600</x:v>
      </x:c>
      <x:c r="K1035" s="10" t="n">
        <x:v>2350</x:v>
      </x:c>
      <x:c r="L1035" s="10"/>
      <x:c r="M1035" s="10" t="n">
        <x:v>300</x:v>
      </x:c>
      <x:c r="N1035" s="2" t="str">
        <x:v>D25</x:v>
      </x:c>
      <x:c r="O1035" s="2" t="str">
        <x:v>executive condominium</x:v>
      </x:c>
      <x:c r="P1035" s="2" t="str">
        <x:v>https://www.propertyguru.com.sg/listing/for-rent-forestville-21417825</x:v>
      </x:c>
      <x:c r="Q1035" s="12" t="str">
        <x:v>Pre-registered source-rubric-v1; grade applied before outputs.</x:v>
      </x:c>
      <x:c r="R1035" s="13"/>
    </x:row>
    <x:row r="1036" ht="15" hidden="0" customHeight="1">
      <x:c r="A1036" s="2" t="str">
        <x:v>S34|24612849</x:v>
      </x:c>
      <x:c r="B1036" s="2" t="str">
        <x:v>S34</x:v>
      </x:c>
      <x:c r="C1036" s="2" t="str">
        <x:v>24612849</x:v>
      </x:c>
      <x:c r="D1036" s="2" t="n">
        <x:v>0</x:v>
      </x:c>
      <x:c r="E1036" s="9"/>
      <x:c r="F1036" s="2" t="n">
        <x:f>IF(E1036="",D1036,IF(E1036="U","U",IF(AND(ISNUMBER(E1036),E1036&gt;=0,E1036&lt;=3,INT(E1036)=E1036),E1036,"Invalid")))</x:f>
        <x:v>0</x:v>
      </x:c>
      <x:c r="G1036" s="2" t="n">
        <x:f>IF(ISNUMBER(F1036),1,0)</x:f>
        <x:v>1</x:v>
      </x:c>
      <x:c r="H1036" s="2" t="n">
        <x:f>IF(ISNUMBER(F1036),IF(F1036&gt;=2,1,0),0)</x:f>
        <x:v>0</x:v>
      </x:c>
      <x:c r="I1036" s="11" t="n">
        <x:f>IF(ISNUMBER(F1036),2^F1036-1,0)</x:f>
        <x:v>0</x:v>
      </x:c>
      <x:c r="J1036" s="2" t="str">
        <x:v>Extension pre-run 600</x:v>
      </x:c>
      <x:c r="K1036" s="10" t="n">
        <x:v>4500</x:v>
      </x:c>
      <x:c r="L1036" s="10" t="n">
        <x:v>3</x:v>
      </x:c>
      <x:c r="M1036" s="10" t="n">
        <x:v>970</x:v>
      </x:c>
      <x:c r="N1036" s="2" t="str">
        <x:v>D03</x:v>
      </x:c>
      <x:c r="O1036" s="2" t="str">
        <x:v>hdb flat</x:v>
      </x:c>
      <x:c r="P1036" s="2" t="str">
        <x:v>https://www.propertyguru.com.sg/listing/hdb-for-rent-21-jalan-membina-24612849</x:v>
      </x:c>
      <x:c r="Q1036" s="12" t="str">
        <x:v>Pre-registered source-rubric-v1; grade applied before outputs.</x:v>
      </x:c>
      <x:c r="R1036" s="13"/>
    </x:row>
    <x:row r="1037" ht="15" hidden="0" customHeight="1">
      <x:c r="A1037" s="2" t="str">
        <x:v>S34|60076593</x:v>
      </x:c>
      <x:c r="B1037" s="2" t="str">
        <x:v>S34</x:v>
      </x:c>
      <x:c r="C1037" s="2" t="str">
        <x:v>60076593</x:v>
      </x:c>
      <x:c r="D1037" s="2" t="n">
        <x:v>0</x:v>
      </x:c>
      <x:c r="E1037" s="9"/>
      <x:c r="F1037" s="2" t="n">
        <x:f>IF(E1037="",D1037,IF(E1037="U","U",IF(AND(ISNUMBER(E1037),E1037&gt;=0,E1037&lt;=3,INT(E1037)=E1037),E1037,"Invalid")))</x:f>
        <x:v>0</x:v>
      </x:c>
      <x:c r="G1037" s="2" t="n">
        <x:f>IF(ISNUMBER(F1037),1,0)</x:f>
        <x:v>1</x:v>
      </x:c>
      <x:c r="H1037" s="2" t="n">
        <x:f>IF(ISNUMBER(F1037),IF(F1037&gt;=2,1,0),0)</x:f>
        <x:v>0</x:v>
      </x:c>
      <x:c r="I1037" s="11" t="n">
        <x:f>IF(ISNUMBER(F1037),2^F1037-1,0)</x:f>
        <x:v>0</x:v>
      </x:c>
      <x:c r="J1037" s="2" t="str">
        <x:v>Extension pre-run 600</x:v>
      </x:c>
      <x:c r="K1037" s="10" t="n">
        <x:v>1500</x:v>
      </x:c>
      <x:c r="L1037" s="10" t="n">
        <x:v>0</x:v>
      </x:c>
      <x:c r="M1037" s="10"/>
      <x:c r="N1037" s="2" t="str">
        <x:v>D08</x:v>
      </x:c>
      <x:c r="O1037" s="2" t="str">
        <x:v>condominium</x:v>
      </x:c>
      <x:c r="P1037" s="2" t="str">
        <x:v>https://www.propertyguru.com.sg/listing/for-rent-city-square-residences-60076593</x:v>
      </x:c>
      <x:c r="Q1037" s="12" t="str">
        <x:v>Pre-registered source-rubric-v1; grade applied before outputs.</x:v>
      </x:c>
      <x:c r="R1037" s="13"/>
    </x:row>
    <x:row r="1038" ht="15" hidden="0" customHeight="1">
      <x:c r="A1038" s="2" t="str">
        <x:v>S34|500270643</x:v>
      </x:c>
      <x:c r="B1038" s="2" t="str">
        <x:v>S34</x:v>
      </x:c>
      <x:c r="C1038" s="2" t="str">
        <x:v>500270643</x:v>
      </x:c>
      <x:c r="D1038" s="2" t="n">
        <x:v>0</x:v>
      </x:c>
      <x:c r="E1038" s="9"/>
      <x:c r="F1038" s="2" t="n">
        <x:f>IF(E1038="",D1038,IF(E1038="U","U",IF(AND(ISNUMBER(E1038),E1038&gt;=0,E1038&lt;=3,INT(E1038)=E1038),E1038,"Invalid")))</x:f>
        <x:v>0</x:v>
      </x:c>
      <x:c r="G1038" s="2" t="n">
        <x:f>IF(ISNUMBER(F1038),1,0)</x:f>
        <x:v>1</x:v>
      </x:c>
      <x:c r="H1038" s="2" t="n">
        <x:f>IF(ISNUMBER(F1038),IF(F1038&gt;=2,1,0),0)</x:f>
        <x:v>0</x:v>
      </x:c>
      <x:c r="I1038" s="11" t="n">
        <x:f>IF(ISNUMBER(F1038),2^F1038-1,0)</x:f>
        <x:v>0</x:v>
      </x:c>
      <x:c r="J1038" s="2" t="str">
        <x:v>Extension pre-run 600</x:v>
      </x:c>
      <x:c r="K1038" s="10" t="n">
        <x:v>3200</x:v>
      </x:c>
      <x:c r="L1038" s="10" t="n">
        <x:v>2</x:v>
      </x:c>
      <x:c r="M1038" s="10" t="n">
        <x:v>882</x:v>
      </x:c>
      <x:c r="N1038" s="2" t="str">
        <x:v>D20</x:v>
      </x:c>
      <x:c r="O1038" s="2" t="str">
        <x:v>hdb flat</x:v>
      </x:c>
      <x:c r="P1038" s="2" t="str">
        <x:v>https://www.propertyguru.com.sg/listing/hdb-for-rent-225-ang-mo-kio-avenue-1-500270643</x:v>
      </x:c>
      <x:c r="Q1038" s="12" t="str">
        <x:v>Pre-registered source-rubric-v1; grade applied before outputs.</x:v>
      </x:c>
      <x:c r="R1038" s="13"/>
    </x:row>
    <x:row r="1039" ht="15" hidden="0" customHeight="1">
      <x:c r="A1039" s="2" t="str">
        <x:v>S34|25225814</x:v>
      </x:c>
      <x:c r="B1039" s="2" t="str">
        <x:v>S34</x:v>
      </x:c>
      <x:c r="C1039" s="2" t="str">
        <x:v>25225814</x:v>
      </x:c>
      <x:c r="D1039" s="2" t="n">
        <x:v>0</x:v>
      </x:c>
      <x:c r="E1039" s="9"/>
      <x:c r="F1039" s="2" t="n">
        <x:f>IF(E1039="",D1039,IF(E1039="U","U",IF(AND(ISNUMBER(E1039),E1039&gt;=0,E1039&lt;=3,INT(E1039)=E1039),E1039,"Invalid")))</x:f>
        <x:v>0</x:v>
      </x:c>
      <x:c r="G1039" s="2" t="n">
        <x:f>IF(ISNUMBER(F1039),1,0)</x:f>
        <x:v>1</x:v>
      </x:c>
      <x:c r="H1039" s="2" t="n">
        <x:f>IF(ISNUMBER(F1039),IF(F1039&gt;=2,1,0),0)</x:f>
        <x:v>0</x:v>
      </x:c>
      <x:c r="I1039" s="11" t="n">
        <x:f>IF(ISNUMBER(F1039),2^F1039-1,0)</x:f>
        <x:v>0</x:v>
      </x:c>
      <x:c r="J1039" s="2" t="str">
        <x:v>Extension pre-run 600</x:v>
      </x:c>
      <x:c r="K1039" s="10" t="n">
        <x:v>950</x:v>
      </x:c>
      <x:c r="L1039" s="10" t="n">
        <x:v>0</x:v>
      </x:c>
      <x:c r="M1039" s="10"/>
      <x:c r="N1039" s="2" t="str">
        <x:v>D23</x:v>
      </x:c>
      <x:c r="O1039" s="2" t="str">
        <x:v>hdb flat</x:v>
      </x:c>
      <x:c r="P1039" s="2" t="str">
        <x:v>https://www.propertyguru.com.sg/listing/hdb-for-rent-234-choa-chu-kang-central-25225814</x:v>
      </x:c>
      <x:c r="Q1039" s="12" t="str">
        <x:v>Pre-registered source-rubric-v1; grade applied before outputs.</x:v>
      </x:c>
      <x:c r="R1039" s="13"/>
    </x:row>
    <x:row r="1040" ht="15" hidden="0" customHeight="1">
      <x:c r="A1040" s="2" t="str">
        <x:v>S34|500274945</x:v>
      </x:c>
      <x:c r="B1040" s="2" t="str">
        <x:v>S34</x:v>
      </x:c>
      <x:c r="C1040" s="2" t="str">
        <x:v>500274945</x:v>
      </x:c>
      <x:c r="D1040" s="2" t="n">
        <x:v>0</x:v>
      </x:c>
      <x:c r="E1040" s="9"/>
      <x:c r="F1040" s="2" t="n">
        <x:f>IF(E1040="",D1040,IF(E1040="U","U",IF(AND(ISNUMBER(E1040),E1040&gt;=0,E1040&lt;=3,INT(E1040)=E1040),E1040,"Invalid")))</x:f>
        <x:v>0</x:v>
      </x:c>
      <x:c r="G1040" s="2" t="n">
        <x:f>IF(ISNUMBER(F1040),1,0)</x:f>
        <x:v>1</x:v>
      </x:c>
      <x:c r="H1040" s="2" t="n">
        <x:f>IF(ISNUMBER(F1040),IF(F1040&gt;=2,1,0),0)</x:f>
        <x:v>0</x:v>
      </x:c>
      <x:c r="I1040" s="11" t="n">
        <x:f>IF(ISNUMBER(F1040),2^F1040-1,0)</x:f>
        <x:v>0</x:v>
      </x:c>
      <x:c r="J1040" s="2" t="str">
        <x:v>Extension pre-run 600</x:v>
      </x:c>
      <x:c r="K1040" s="10" t="n">
        <x:v>7600</x:v>
      </x:c>
      <x:c r="L1040" s="10" t="n">
        <x:v>4</x:v>
      </x:c>
      <x:c r="M1040" s="10" t="n">
        <x:v>1776</x:v>
      </x:c>
      <x:c r="N1040" s="2" t="str">
        <x:v>D10</x:v>
      </x:c>
      <x:c r="O1040" s="2" t="str">
        <x:v>apartment</x:v>
      </x:c>
      <x:c r="P1040" s="2" t="str">
        <x:v>https://www.propertyguru.com.sg/listing/for-rent-orange-regency-500274945</x:v>
      </x:c>
      <x:c r="Q1040" s="12" t="str">
        <x:v>Pre-registered source-rubric-v1; grade applied before outputs.</x:v>
      </x:c>
      <x:c r="R1040" s="13"/>
    </x:row>
    <x:row r="1041" ht="15" hidden="0" customHeight="1">
      <x:c r="A1041" s="2" t="str">
        <x:v>S34|500218318</x:v>
      </x:c>
      <x:c r="B1041" s="2" t="str">
        <x:v>S34</x:v>
      </x:c>
      <x:c r="C1041" s="2" t="str">
        <x:v>500218318</x:v>
      </x:c>
      <x:c r="D1041" s="2" t="n">
        <x:v>0</x:v>
      </x:c>
      <x:c r="E1041" s="9"/>
      <x:c r="F1041" s="2" t="n">
        <x:f>IF(E1041="",D1041,IF(E1041="U","U",IF(AND(ISNUMBER(E1041),E1041&gt;=0,E1041&lt;=3,INT(E1041)=E1041),E1041,"Invalid")))</x:f>
        <x:v>0</x:v>
      </x:c>
      <x:c r="G1041" s="2" t="n">
        <x:f>IF(ISNUMBER(F1041),1,0)</x:f>
        <x:v>1</x:v>
      </x:c>
      <x:c r="H1041" s="2" t="n">
        <x:f>IF(ISNUMBER(F1041),IF(F1041&gt;=2,1,0),0)</x:f>
        <x:v>0</x:v>
      </x:c>
      <x:c r="I1041" s="11" t="n">
        <x:f>IF(ISNUMBER(F1041),2^F1041-1,0)</x:f>
        <x:v>0</x:v>
      </x:c>
      <x:c r="J1041" s="2" t="str">
        <x:v>Extension pre-run 600</x:v>
      </x:c>
      <x:c r="K1041" s="10" t="n">
        <x:v>1599</x:v>
      </x:c>
      <x:c r="L1041" s="10" t="n">
        <x:v>0</x:v>
      </x:c>
      <x:c r="M1041" s="10"/>
      <x:c r="N1041" s="2" t="str">
        <x:v>D03</x:v>
      </x:c>
      <x:c r="O1041" s="2" t="str">
        <x:v>condominium</x:v>
      </x:c>
      <x:c r="P1041" s="2" t="str">
        <x:v>https://www.propertyguru.com.sg/listing/for-rent-the-anchorage-500218318</x:v>
      </x:c>
      <x:c r="Q1041" s="12" t="str">
        <x:v>Pre-registered source-rubric-v1; grade applied before outputs.</x:v>
      </x:c>
      <x:c r="R1041" s="13"/>
    </x:row>
    <x:row r="1042" ht="15" hidden="0" customHeight="1">
      <x:c r="A1042" s="2" t="str">
        <x:v>S34|25567810</x:v>
      </x:c>
      <x:c r="B1042" s="2" t="str">
        <x:v>S34</x:v>
      </x:c>
      <x:c r="C1042" s="2" t="str">
        <x:v>25567810</x:v>
      </x:c>
      <x:c r="D1042" s="2" t="n">
        <x:v>0</x:v>
      </x:c>
      <x:c r="E1042" s="9"/>
      <x:c r="F1042" s="2" t="n">
        <x:f>IF(E1042="",D1042,IF(E1042="U","U",IF(AND(ISNUMBER(E1042),E1042&gt;=0,E1042&lt;=3,INT(E1042)=E1042),E1042,"Invalid")))</x:f>
        <x:v>0</x:v>
      </x:c>
      <x:c r="G1042" s="2" t="n">
        <x:f>IF(ISNUMBER(F1042),1,0)</x:f>
        <x:v>1</x:v>
      </x:c>
      <x:c r="H1042" s="2" t="n">
        <x:f>IF(ISNUMBER(F1042),IF(F1042&gt;=2,1,0),0)</x:f>
        <x:v>0</x:v>
      </x:c>
      <x:c r="I1042" s="11" t="n">
        <x:f>IF(ISNUMBER(F1042),2^F1042-1,0)</x:f>
        <x:v>0</x:v>
      </x:c>
      <x:c r="J1042" s="2" t="str">
        <x:v>Extension pre-run 600</x:v>
      </x:c>
      <x:c r="K1042" s="10" t="n">
        <x:v>850</x:v>
      </x:c>
      <x:c r="L1042" s="10" t="n">
        <x:v>0</x:v>
      </x:c>
      <x:c r="M1042" s="10"/>
      <x:c r="N1042" s="2" t="str">
        <x:v>D21</x:v>
      </x:c>
      <x:c r="O1042" s="2" t="str">
        <x:v>apartment</x:v>
      </x:c>
      <x:c r="P1042" s="2" t="str">
        <x:v>https://www.propertyguru.com.sg/listing/for-rent-sherwood-towers-25567810</x:v>
      </x:c>
      <x:c r="Q1042" s="12" t="str">
        <x:v>Pre-registered source-rubric-v1; grade applied before outputs.</x:v>
      </x:c>
      <x:c r="R1042" s="13"/>
    </x:row>
    <x:row r="1043" ht="15" hidden="0" customHeight="1">
      <x:c r="A1043" s="2" t="str">
        <x:v>S34|500277544</x:v>
      </x:c>
      <x:c r="B1043" s="2" t="str">
        <x:v>S34</x:v>
      </x:c>
      <x:c r="C1043" s="2" t="str">
        <x:v>500277544</x:v>
      </x:c>
      <x:c r="D1043" s="2" t="n">
        <x:v>0</x:v>
      </x:c>
      <x:c r="E1043" s="9"/>
      <x:c r="F1043" s="2" t="n">
        <x:f>IF(E1043="",D1043,IF(E1043="U","U",IF(AND(ISNUMBER(E1043),E1043&gt;=0,E1043&lt;=3,INT(E1043)=E1043),E1043,"Invalid")))</x:f>
        <x:v>0</x:v>
      </x:c>
      <x:c r="G1043" s="2" t="n">
        <x:f>IF(ISNUMBER(F1043),1,0)</x:f>
        <x:v>1</x:v>
      </x:c>
      <x:c r="H1043" s="2" t="n">
        <x:f>IF(ISNUMBER(F1043),IF(F1043&gt;=2,1,0),0)</x:f>
        <x:v>0</x:v>
      </x:c>
      <x:c r="I1043" s="11" t="n">
        <x:f>IF(ISNUMBER(F1043),2^F1043-1,0)</x:f>
        <x:v>0</x:v>
      </x:c>
      <x:c r="J1043" s="2" t="str">
        <x:v>Extension pre-run 600</x:v>
      </x:c>
      <x:c r="K1043" s="10" t="n">
        <x:v>3500</x:v>
      </x:c>
      <x:c r="L1043" s="10" t="n">
        <x:v>2</x:v>
      </x:c>
      <x:c r="M1043" s="10" t="n">
        <x:v>969</x:v>
      </x:c>
      <x:c r="N1043" s="2" t="str">
        <x:v>D16</x:v>
      </x:c>
      <x:c r="O1043" s="2" t="str">
        <x:v>condominium</x:v>
      </x:c>
      <x:c r="P1043" s="2" t="str">
        <x:v>https://www.propertyguru.com.sg/listing/for-rent-changi-court-500277544</x:v>
      </x:c>
      <x:c r="Q1043" s="12" t="str">
        <x:v>Pre-registered source-rubric-v1; grade applied before outputs.</x:v>
      </x:c>
      <x:c r="R1043" s="13"/>
    </x:row>
    <x:row r="1044" ht="15" hidden="0" customHeight="1">
      <x:c r="A1044" s="2" t="str">
        <x:v>S34|500268357</x:v>
      </x:c>
      <x:c r="B1044" s="2" t="str">
        <x:v>S34</x:v>
      </x:c>
      <x:c r="C1044" s="2" t="str">
        <x:v>500268357</x:v>
      </x:c>
      <x:c r="D1044" s="2" t="n">
        <x:v>0</x:v>
      </x:c>
      <x:c r="E1044" s="9"/>
      <x:c r="F1044" s="2" t="n">
        <x:f>IF(E1044="",D1044,IF(E1044="U","U",IF(AND(ISNUMBER(E1044),E1044&gt;=0,E1044&lt;=3,INT(E1044)=E1044),E1044,"Invalid")))</x:f>
        <x:v>0</x:v>
      </x:c>
      <x:c r="G1044" s="2" t="n">
        <x:f>IF(ISNUMBER(F1044),1,0)</x:f>
        <x:v>1</x:v>
      </x:c>
      <x:c r="H1044" s="2" t="n">
        <x:f>IF(ISNUMBER(F1044),IF(F1044&gt;=2,1,0),0)</x:f>
        <x:v>0</x:v>
      </x:c>
      <x:c r="I1044" s="11" t="n">
        <x:f>IF(ISNUMBER(F1044),2^F1044-1,0)</x:f>
        <x:v>0</x:v>
      </x:c>
      <x:c r="J1044" s="2" t="str">
        <x:v>Extension pre-run 600</x:v>
      </x:c>
      <x:c r="K1044" s="10" t="n">
        <x:v>5600</x:v>
      </x:c>
      <x:c r="L1044" s="10" t="n">
        <x:v>2</x:v>
      </x:c>
      <x:c r="M1044" s="10" t="n">
        <x:v>786</x:v>
      </x:c>
      <x:c r="N1044" s="2" t="str">
        <x:v>D15</x:v>
      </x:c>
      <x:c r="O1044" s="2" t="str">
        <x:v>apartment</x:v>
      </x:c>
      <x:c r="P1044" s="2" t="str">
        <x:v>https://www.propertyguru.com.sg/listing/for-rent-seaside-residences-500268357</x:v>
      </x:c>
      <x:c r="Q1044" s="12" t="str">
        <x:v>Pre-registered source-rubric-v1; grade applied before outputs.</x:v>
      </x:c>
      <x:c r="R1044" s="13"/>
    </x:row>
    <x:row r="1045" ht="15" hidden="0" customHeight="1">
      <x:c r="A1045" s="2" t="str">
        <x:v>S35|22232996</x:v>
      </x:c>
      <x:c r="B1045" s="2" t="str">
        <x:v>S35</x:v>
      </x:c>
      <x:c r="C1045" s="2" t="str">
        <x:v>22232996</x:v>
      </x:c>
      <x:c r="D1045" s="2" t="n">
        <x:v>1</x:v>
      </x:c>
      <x:c r="E1045" s="9"/>
      <x:c r="F1045" s="2" t="n">
        <x:f>IF(E1045="",D1045,IF(E1045="U","U",IF(AND(ISNUMBER(E1045),E1045&gt;=0,E1045&lt;=3,INT(E1045)=E1045),E1045,"Invalid")))</x:f>
        <x:v>1</x:v>
      </x:c>
      <x:c r="G1045" s="2" t="n">
        <x:f>IF(ISNUMBER(F1045),1,0)</x:f>
        <x:v>1</x:v>
      </x:c>
      <x:c r="H1045" s="2" t="n">
        <x:f>IF(ISNUMBER(F1045),IF(F1045&gt;=2,1,0),0)</x:f>
        <x:v>0</x:v>
      </x:c>
      <x:c r="I1045" s="11" t="n">
        <x:f>IF(ISNUMBER(F1045),2^F1045-1,0)</x:f>
        <x:v>1</x:v>
      </x:c>
      <x:c r="J1045" s="2" t="str">
        <x:v>Extension pre-run 600</x:v>
      </x:c>
      <x:c r="K1045" s="10" t="n">
        <x:v>4500</x:v>
      </x:c>
      <x:c r="L1045" s="10" t="n">
        <x:v>4</x:v>
      </x:c>
      <x:c r="M1045" s="10" t="n">
        <x:v>1302</x:v>
      </x:c>
      <x:c r="N1045" s="2" t="str">
        <x:v>D20</x:v>
      </x:c>
      <x:c r="O1045" s="2" t="str">
        <x:v>hdb flat</x:v>
      </x:c>
      <x:c r="P1045" s="2" t="str">
        <x:v>https://www.propertyguru.com.sg/listing/hdb-for-rent-142-bishan-street-12-22232996</x:v>
      </x:c>
      <x:c r="Q1045" s="12" t="str">
        <x:v>Pre-registered source-rubric-v1; grade applied before outputs.</x:v>
      </x:c>
      <x:c r="R1045" s="13"/>
    </x:row>
    <x:row r="1046" ht="15" hidden="0" customHeight="1">
      <x:c r="A1046" s="2" t="str">
        <x:v>S35|24957418</x:v>
      </x:c>
      <x:c r="B1046" s="2" t="str">
        <x:v>S35</x:v>
      </x:c>
      <x:c r="C1046" s="2" t="str">
        <x:v>24957418</x:v>
      </x:c>
      <x:c r="D1046" s="2" t="n">
        <x:v>3</x:v>
      </x:c>
      <x:c r="E1046" s="9"/>
      <x:c r="F1046" s="2" t="n">
        <x:f>IF(E1046="",D1046,IF(E1046="U","U",IF(AND(ISNUMBER(E1046),E1046&gt;=0,E1046&lt;=3,INT(E1046)=E1046),E1046,"Invalid")))</x:f>
        <x:v>3</x:v>
      </x:c>
      <x:c r="G1046" s="2" t="n">
        <x:f>IF(ISNUMBER(F1046),1,0)</x:f>
        <x:v>1</x:v>
      </x:c>
      <x:c r="H1046" s="2" t="n">
        <x:f>IF(ISNUMBER(F1046),IF(F1046&gt;=2,1,0),0)</x:f>
        <x:v>1</x:v>
      </x:c>
      <x:c r="I1046" s="11" t="n">
        <x:f>IF(ISNUMBER(F1046),2^F1046-1,0)</x:f>
        <x:v>7</x:v>
      </x:c>
      <x:c r="J1046" s="2" t="str">
        <x:v>Extension pre-run 600</x:v>
      </x:c>
      <x:c r="K1046" s="10" t="n">
        <x:v>4300</x:v>
      </x:c>
      <x:c r="L1046" s="10" t="n">
        <x:v>4</x:v>
      </x:c>
      <x:c r="M1046" s="10" t="n">
        <x:v>1313</x:v>
      </x:c>
      <x:c r="N1046" s="2" t="str">
        <x:v>D20</x:v>
      </x:c>
      <x:c r="O1046" s="2" t="str">
        <x:v>hdb flat</x:v>
      </x:c>
      <x:c r="P1046" s="2" t="str">
        <x:v>https://www.propertyguru.com.sg/listing/hdb-for-rent-142-bishan-street-12-24957418</x:v>
      </x:c>
      <x:c r="Q1046" s="12" t="str">
        <x:v>Pre-registered source-rubric-v1; grade applied before outputs.</x:v>
      </x:c>
      <x:c r="R1046" s="13"/>
    </x:row>
    <x:row r="1047" ht="15" hidden="0" customHeight="1">
      <x:c r="A1047" s="2" t="str">
        <x:v>S35|60173425</x:v>
      </x:c>
      <x:c r="B1047" s="2" t="str">
        <x:v>S35</x:v>
      </x:c>
      <x:c r="C1047" s="2" t="str">
        <x:v>60173425</x:v>
      </x:c>
      <x:c r="D1047" s="2" t="n">
        <x:v>0</x:v>
      </x:c>
      <x:c r="E1047" s="9"/>
      <x:c r="F1047" s="2" t="n">
        <x:f>IF(E1047="",D1047,IF(E1047="U","U",IF(AND(ISNUMBER(E1047),E1047&gt;=0,E1047&lt;=3,INT(E1047)=E1047),E1047,"Invalid")))</x:f>
        <x:v>0</x:v>
      </x:c>
      <x:c r="G1047" s="2" t="n">
        <x:f>IF(ISNUMBER(F1047),1,0)</x:f>
        <x:v>1</x:v>
      </x:c>
      <x:c r="H1047" s="2" t="n">
        <x:f>IF(ISNUMBER(F1047),IF(F1047&gt;=2,1,0),0)</x:f>
        <x:v>0</x:v>
      </x:c>
      <x:c r="I1047" s="11" t="n">
        <x:f>IF(ISNUMBER(F1047),2^F1047-1,0)</x:f>
        <x:v>0</x:v>
      </x:c>
      <x:c r="J1047" s="2" t="str">
        <x:v>Extension pre-run 600</x:v>
      </x:c>
      <x:c r="K1047" s="10" t="n">
        <x:v>7500</x:v>
      </x:c>
      <x:c r="L1047" s="10" t="n">
        <x:v>4</x:v>
      </x:c>
      <x:c r="M1047" s="10" t="n">
        <x:v>1270</x:v>
      </x:c>
      <x:c r="N1047" s="2" t="str">
        <x:v>D15</x:v>
      </x:c>
      <x:c r="O1047" s="2" t="str">
        <x:v>apartment</x:v>
      </x:c>
      <x:c r="P1047" s="2" t="str">
        <x:v>https://www.propertyguru.com.sg/listing/for-rent-k-suites-60173425</x:v>
      </x:c>
      <x:c r="Q1047" s="12" t="str">
        <x:v>Pre-registered source-rubric-v1; grade applied before outputs.</x:v>
      </x:c>
      <x:c r="R1047" s="13"/>
    </x:row>
    <x:row r="1048" ht="15" hidden="0" customHeight="1">
      <x:c r="A1048" s="2" t="str">
        <x:v>S35|500265926</x:v>
      </x:c>
      <x:c r="B1048" s="2" t="str">
        <x:v>S35</x:v>
      </x:c>
      <x:c r="C1048" s="2" t="str">
        <x:v>500265926</x:v>
      </x:c>
      <x:c r="D1048" s="2" t="n">
        <x:v>0</x:v>
      </x:c>
      <x:c r="E1048" s="9"/>
      <x:c r="F1048" s="2" t="n">
        <x:f>IF(E1048="",D1048,IF(E1048="U","U",IF(AND(ISNUMBER(E1048),E1048&gt;=0,E1048&lt;=3,INT(E1048)=E1048),E1048,"Invalid")))</x:f>
        <x:v>0</x:v>
      </x:c>
      <x:c r="G1048" s="2" t="n">
        <x:f>IF(ISNUMBER(F1048),1,0)</x:f>
        <x:v>1</x:v>
      </x:c>
      <x:c r="H1048" s="2" t="n">
        <x:f>IF(ISNUMBER(F1048),IF(F1048&gt;=2,1,0),0)</x:f>
        <x:v>0</x:v>
      </x:c>
      <x:c r="I1048" s="11" t="n">
        <x:f>IF(ISNUMBER(F1048),2^F1048-1,0)</x:f>
        <x:v>0</x:v>
      </x:c>
      <x:c r="J1048" s="2" t="str">
        <x:v>Extension pre-run 600</x:v>
      </x:c>
      <x:c r="K1048" s="10" t="n">
        <x:v>3700</x:v>
      </x:c>
      <x:c r="L1048" s="10" t="n">
        <x:v>2</x:v>
      </x:c>
      <x:c r="M1048" s="10" t="n">
        <x:v>958</x:v>
      </x:c>
      <x:c r="N1048" s="2" t="str">
        <x:v>D18</x:v>
      </x:c>
      <x:c r="O1048" s="2" t="str">
        <x:v>apartment</x:v>
      </x:c>
      <x:c r="P1048" s="2" t="str">
        <x:v>https://www.propertyguru.com.sg/listing/for-rent-melville-park-500265926</x:v>
      </x:c>
      <x:c r="Q1048" s="12" t="str">
        <x:v>Pre-registered source-rubric-v1; grade applied before outputs.</x:v>
      </x:c>
      <x:c r="R1048" s="13"/>
    </x:row>
    <x:row r="1049" ht="15" hidden="0" customHeight="1">
      <x:c r="A1049" s="2" t="str">
        <x:v>S35|23569892</x:v>
      </x:c>
      <x:c r="B1049" s="2" t="str">
        <x:v>S35</x:v>
      </x:c>
      <x:c r="C1049" s="2" t="str">
        <x:v>23569892</x:v>
      </x:c>
      <x:c r="D1049" s="2" t="n">
        <x:v>0</x:v>
      </x:c>
      <x:c r="E1049" s="9"/>
      <x:c r="F1049" s="2" t="n">
        <x:f>IF(E1049="",D1049,IF(E1049="U","U",IF(AND(ISNUMBER(E1049),E1049&gt;=0,E1049&lt;=3,INT(E1049)=E1049),E1049,"Invalid")))</x:f>
        <x:v>0</x:v>
      </x:c>
      <x:c r="G1049" s="2" t="n">
        <x:f>IF(ISNUMBER(F1049),1,0)</x:f>
        <x:v>1</x:v>
      </x:c>
      <x:c r="H1049" s="2" t="n">
        <x:f>IF(ISNUMBER(F1049),IF(F1049&gt;=2,1,0),0)</x:f>
        <x:v>0</x:v>
      </x:c>
      <x:c r="I1049" s="11" t="n">
        <x:f>IF(ISNUMBER(F1049),2^F1049-1,0)</x:f>
        <x:v>0</x:v>
      </x:c>
      <x:c r="J1049" s="2" t="str">
        <x:v>Extension pre-run 600</x:v>
      </x:c>
      <x:c r="K1049" s="10" t="n">
        <x:v>6000</x:v>
      </x:c>
      <x:c r="L1049" s="10" t="n">
        <x:v>3</x:v>
      </x:c>
      <x:c r="M1049" s="10" t="n">
        <x:v>850</x:v>
      </x:c>
      <x:c r="N1049" s="2" t="str">
        <x:v>D10</x:v>
      </x:c>
      <x:c r="O1049" s="2" t="str">
        <x:v>condominium</x:v>
      </x:c>
      <x:c r="P1049" s="2" t="str">
        <x:v>https://www.propertyguru.com.sg/listing/for-rent-rv-residences-23569892</x:v>
      </x:c>
      <x:c r="Q1049" s="12" t="str">
        <x:v>Pre-registered source-rubric-v1; grade applied before outputs.</x:v>
      </x:c>
      <x:c r="R1049" s="13"/>
    </x:row>
    <x:row r="1050" ht="15" hidden="0" customHeight="1">
      <x:c r="A1050" s="2" t="str">
        <x:v>S35|500259270</x:v>
      </x:c>
      <x:c r="B1050" s="2" t="str">
        <x:v>S35</x:v>
      </x:c>
      <x:c r="C1050" s="2" t="str">
        <x:v>500259270</x:v>
      </x:c>
      <x:c r="D1050" s="2" t="n">
        <x:v>0</x:v>
      </x:c>
      <x:c r="E1050" s="9"/>
      <x:c r="F1050" s="2" t="n">
        <x:f>IF(E1050="",D1050,IF(E1050="U","U",IF(AND(ISNUMBER(E1050),E1050&gt;=0,E1050&lt;=3,INT(E1050)=E1050),E1050,"Invalid")))</x:f>
        <x:v>0</x:v>
      </x:c>
      <x:c r="G1050" s="2" t="n">
        <x:f>IF(ISNUMBER(F1050),1,0)</x:f>
        <x:v>1</x:v>
      </x:c>
      <x:c r="H1050" s="2" t="n">
        <x:f>IF(ISNUMBER(F1050),IF(F1050&gt;=2,1,0),0)</x:f>
        <x:v>0</x:v>
      </x:c>
      <x:c r="I1050" s="11" t="n">
        <x:f>IF(ISNUMBER(F1050),2^F1050-1,0)</x:f>
        <x:v>0</x:v>
      </x:c>
      <x:c r="J1050" s="2" t="str">
        <x:v>Extension pre-run 600</x:v>
      </x:c>
      <x:c r="K1050" s="10" t="n">
        <x:v>2800</x:v>
      </x:c>
      <x:c r="L1050" s="10" t="n">
        <x:v>1</x:v>
      </x:c>
      <x:c r="M1050" s="10" t="n">
        <x:v>750</x:v>
      </x:c>
      <x:c r="N1050" s="2" t="str">
        <x:v>D20</x:v>
      </x:c>
      <x:c r="O1050" s="2" t="str">
        <x:v>apartment</x:v>
      </x:c>
      <x:c r="P1050" s="2" t="str">
        <x:v>https://www.propertyguru.com.sg/listing/for-rent-sin-ming-plaza-500259270</x:v>
      </x:c>
      <x:c r="Q1050" s="12" t="str">
        <x:v>Pre-registered source-rubric-v1; grade applied before outputs.</x:v>
      </x:c>
      <x:c r="R1050" s="13"/>
    </x:row>
    <x:row r="1051" ht="15" hidden="0" customHeight="1">
      <x:c r="A1051" s="2" t="str">
        <x:v>S35|500268913</x:v>
      </x:c>
      <x:c r="B1051" s="2" t="str">
        <x:v>S35</x:v>
      </x:c>
      <x:c r="C1051" s="2" t="str">
        <x:v>500268913</x:v>
      </x:c>
      <x:c r="D1051" s="2" t="n">
        <x:v>0</x:v>
      </x:c>
      <x:c r="E1051" s="9"/>
      <x:c r="F1051" s="2" t="n">
        <x:f>IF(E1051="",D1051,IF(E1051="U","U",IF(AND(ISNUMBER(E1051),E1051&gt;=0,E1051&lt;=3,INT(E1051)=E1051),E1051,"Invalid")))</x:f>
        <x:v>0</x:v>
      </x:c>
      <x:c r="G1051" s="2" t="n">
        <x:f>IF(ISNUMBER(F1051),1,0)</x:f>
        <x:v>1</x:v>
      </x:c>
      <x:c r="H1051" s="2" t="n">
        <x:f>IF(ISNUMBER(F1051),IF(F1051&gt;=2,1,0),0)</x:f>
        <x:v>0</x:v>
      </x:c>
      <x:c r="I1051" s="11" t="n">
        <x:f>IF(ISNUMBER(F1051),2^F1051-1,0)</x:f>
        <x:v>0</x:v>
      </x:c>
      <x:c r="J1051" s="2" t="str">
        <x:v>Extension pre-run 600</x:v>
      </x:c>
      <x:c r="K1051" s="10" t="n">
        <x:v>3450</x:v>
      </x:c>
      <x:c r="L1051" s="10" t="n">
        <x:v>2</x:v>
      </x:c>
      <x:c r="M1051" s="10" t="n">
        <x:v>861</x:v>
      </x:c>
      <x:c r="N1051" s="2" t="str">
        <x:v>D27</x:v>
      </x:c>
      <x:c r="O1051" s="2" t="str">
        <x:v>condominium</x:v>
      </x:c>
      <x:c r="P1051" s="2" t="str">
        <x:v>https://www.propertyguru.com.sg/listing/for-rent-miltonia-residences-500268913</x:v>
      </x:c>
      <x:c r="Q1051" s="12" t="str">
        <x:v>Pre-registered source-rubric-v1; grade applied before outputs.</x:v>
      </x:c>
      <x:c r="R1051" s="13"/>
    </x:row>
    <x:row r="1052" ht="15" hidden="0" customHeight="1">
      <x:c r="A1052" s="2" t="str">
        <x:v>S35|500287515</x:v>
      </x:c>
      <x:c r="B1052" s="2" t="str">
        <x:v>S35</x:v>
      </x:c>
      <x:c r="C1052" s="2" t="str">
        <x:v>500287515</x:v>
      </x:c>
      <x:c r="D1052" s="2" t="n">
        <x:v>0</x:v>
      </x:c>
      <x:c r="E1052" s="9"/>
      <x:c r="F1052" s="2" t="n">
        <x:f>IF(E1052="",D1052,IF(E1052="U","U",IF(AND(ISNUMBER(E1052),E1052&gt;=0,E1052&lt;=3,INT(E1052)=E1052),E1052,"Invalid")))</x:f>
        <x:v>0</x:v>
      </x:c>
      <x:c r="G1052" s="2" t="n">
        <x:f>IF(ISNUMBER(F1052),1,0)</x:f>
        <x:v>1</x:v>
      </x:c>
      <x:c r="H1052" s="2" t="n">
        <x:f>IF(ISNUMBER(F1052),IF(F1052&gt;=2,1,0),0)</x:f>
        <x:v>0</x:v>
      </x:c>
      <x:c r="I1052" s="11" t="n">
        <x:f>IF(ISNUMBER(F1052),2^F1052-1,0)</x:f>
        <x:v>0</x:v>
      </x:c>
      <x:c r="J1052" s="2" t="str">
        <x:v>Extension pre-run 600</x:v>
      </x:c>
      <x:c r="K1052" s="10" t="n">
        <x:v>3500</x:v>
      </x:c>
      <x:c r="L1052" s="10" t="n">
        <x:v>3</x:v>
      </x:c>
      <x:c r="M1052" s="10" t="n">
        <x:v>1450</x:v>
      </x:c>
      <x:c r="N1052" s="2" t="str">
        <x:v>D23</x:v>
      </x:c>
      <x:c r="O1052" s="2" t="str">
        <x:v>hdb flat</x:v>
      </x:c>
      <x:c r="P1052" s="2" t="str">
        <x:v>https://www.propertyguru.com.sg/listing/hdb-for-rent-509-choa-chu-kang-street-51-500287515</x:v>
      </x:c>
      <x:c r="Q1052" s="12" t="str">
        <x:v>Pre-registered source-rubric-v1; grade applied before outputs.</x:v>
      </x:c>
      <x:c r="R1052" s="13"/>
    </x:row>
    <x:row r="1053" ht="15" hidden="0" customHeight="1">
      <x:c r="A1053" s="2" t="str">
        <x:v>S35|23928017</x:v>
      </x:c>
      <x:c r="B1053" s="2" t="str">
        <x:v>S35</x:v>
      </x:c>
      <x:c r="C1053" s="2" t="str">
        <x:v>23928017</x:v>
      </x:c>
      <x:c r="D1053" s="2" t="n">
        <x:v>0</x:v>
      </x:c>
      <x:c r="E1053" s="9"/>
      <x:c r="F1053" s="2" t="n">
        <x:f>IF(E1053="",D1053,IF(E1053="U","U",IF(AND(ISNUMBER(E1053),E1053&gt;=0,E1053&lt;=3,INT(E1053)=E1053),E1053,"Invalid")))</x:f>
        <x:v>0</x:v>
      </x:c>
      <x:c r="G1053" s="2" t="n">
        <x:f>IF(ISNUMBER(F1053),1,0)</x:f>
        <x:v>1</x:v>
      </x:c>
      <x:c r="H1053" s="2" t="n">
        <x:f>IF(ISNUMBER(F1053),IF(F1053&gt;=2,1,0),0)</x:f>
        <x:v>0</x:v>
      </x:c>
      <x:c r="I1053" s="11" t="n">
        <x:f>IF(ISNUMBER(F1053),2^F1053-1,0)</x:f>
        <x:v>0</x:v>
      </x:c>
      <x:c r="J1053" s="2" t="str">
        <x:v>Extension pre-run 600</x:v>
      </x:c>
      <x:c r="K1053" s="10" t="n">
        <x:v>4100</x:v>
      </x:c>
      <x:c r="L1053" s="10" t="n">
        <x:v>3</x:v>
      </x:c>
      <x:c r="M1053" s="10" t="n">
        <x:v>1200</x:v>
      </x:c>
      <x:c r="N1053" s="2" t="str">
        <x:v>D17</x:v>
      </x:c>
      <x:c r="O1053" s="2" t="str">
        <x:v>condominium</x:v>
      </x:c>
      <x:c r="P1053" s="2" t="str">
        <x:v>https://www.propertyguru.com.sg/listing/for-rent-the-inflora-23928017</x:v>
      </x:c>
      <x:c r="Q1053" s="12" t="str">
        <x:v>Pre-registered source-rubric-v1; grade applied before outputs.</x:v>
      </x:c>
      <x:c r="R1053" s="13"/>
    </x:row>
    <x:row r="1054" ht="15" hidden="0" customHeight="1">
      <x:c r="A1054" s="2" t="str">
        <x:v>S35|20542554</x:v>
      </x:c>
      <x:c r="B1054" s="2" t="str">
        <x:v>S35</x:v>
      </x:c>
      <x:c r="C1054" s="2" t="str">
        <x:v>20542554</x:v>
      </x:c>
      <x:c r="D1054" s="2" t="n">
        <x:v>0</x:v>
      </x:c>
      <x:c r="E1054" s="9"/>
      <x:c r="F1054" s="2" t="n">
        <x:f>IF(E1054="",D1054,IF(E1054="U","U",IF(AND(ISNUMBER(E1054),E1054&gt;=0,E1054&lt;=3,INT(E1054)=E1054),E1054,"Invalid")))</x:f>
        <x:v>0</x:v>
      </x:c>
      <x:c r="G1054" s="2" t="n">
        <x:f>IF(ISNUMBER(F1054),1,0)</x:f>
        <x:v>1</x:v>
      </x:c>
      <x:c r="H1054" s="2" t="n">
        <x:f>IF(ISNUMBER(F1054),IF(F1054&gt;=2,1,0),0)</x:f>
        <x:v>0</x:v>
      </x:c>
      <x:c r="I1054" s="11" t="n">
        <x:f>IF(ISNUMBER(F1054),2^F1054-1,0)</x:f>
        <x:v>0</x:v>
      </x:c>
      <x:c r="J1054" s="2" t="str">
        <x:v>Extension pre-run 600</x:v>
      </x:c>
      <x:c r="K1054" s="10" t="n">
        <x:v>4200</x:v>
      </x:c>
      <x:c r="L1054" s="10" t="n">
        <x:v>2</x:v>
      </x:c>
      <x:c r="M1054" s="10" t="n">
        <x:v>614</x:v>
      </x:c>
      <x:c r="N1054" s="2" t="str">
        <x:v>D01</x:v>
      </x:c>
      <x:c r="O1054" s="2" t="str">
        <x:v>condominium</x:v>
      </x:c>
      <x:c r="P1054" s="2" t="str">
        <x:v>https://www.propertyguru.com.sg/listing/for-rent-robinson-suites-20542554</x:v>
      </x:c>
      <x:c r="Q1054" s="12" t="str">
        <x:v>Pre-registered source-rubric-v1; grade applied before outputs.</x:v>
      </x:c>
      <x:c r="R1054" s="13"/>
    </x:row>
    <x:row r="1055" ht="15" hidden="0" customHeight="1">
      <x:c r="A1055" s="2" t="str">
        <x:v>S35|500196861</x:v>
      </x:c>
      <x:c r="B1055" s="2" t="str">
        <x:v>S35</x:v>
      </x:c>
      <x:c r="C1055" s="2" t="str">
        <x:v>500196861</x:v>
      </x:c>
      <x:c r="D1055" s="2" t="n">
        <x:v>0</x:v>
      </x:c>
      <x:c r="E1055" s="9"/>
      <x:c r="F1055" s="2" t="n">
        <x:f>IF(E1055="",D1055,IF(E1055="U","U",IF(AND(ISNUMBER(E1055),E1055&gt;=0,E1055&lt;=3,INT(E1055)=E1055),E1055,"Invalid")))</x:f>
        <x:v>0</x:v>
      </x:c>
      <x:c r="G1055" s="2" t="n">
        <x:f>IF(ISNUMBER(F1055),1,0)</x:f>
        <x:v>1</x:v>
      </x:c>
      <x:c r="H1055" s="2" t="n">
        <x:f>IF(ISNUMBER(F1055),IF(F1055&gt;=2,1,0),0)</x:f>
        <x:v>0</x:v>
      </x:c>
      <x:c r="I1055" s="11" t="n">
        <x:f>IF(ISNUMBER(F1055),2^F1055-1,0)</x:f>
        <x:v>0</x:v>
      </x:c>
      <x:c r="J1055" s="2" t="str">
        <x:v>Extension pre-run 600</x:v>
      </x:c>
      <x:c r="K1055" s="10" t="n">
        <x:v>17000</x:v>
      </x:c>
      <x:c r="L1055" s="10" t="n">
        <x:v>6</x:v>
      </x:c>
      <x:c r="M1055" s="10" t="n">
        <x:v>4400</x:v>
      </x:c>
      <x:c r="N1055" s="2" t="str">
        <x:v>D10</x:v>
      </x:c>
      <x:c r="O1055" s="2" t="str">
        <x:v>semi-detached house</x:v>
      </x:c>
      <x:c r="P1055" s="2" t="str">
        <x:v>https://www.propertyguru.com.sg/listing/for-rent-ssproperty-extensive-variety-of-landed-house-500196861</x:v>
      </x:c>
      <x:c r="Q1055" s="12" t="str">
        <x:v>Pre-registered source-rubric-v1; grade applied before outputs.</x:v>
      </x:c>
      <x:c r="R1055" s="13"/>
    </x:row>
    <x:row r="1056" ht="15" hidden="0" customHeight="1">
      <x:c r="A1056" s="2" t="str">
        <x:v>S35|500284893</x:v>
      </x:c>
      <x:c r="B1056" s="2" t="str">
        <x:v>S35</x:v>
      </x:c>
      <x:c r="C1056" s="2" t="str">
        <x:v>500284893</x:v>
      </x:c>
      <x:c r="D1056" s="2" t="n">
        <x:v>0</x:v>
      </x:c>
      <x:c r="E1056" s="9"/>
      <x:c r="F1056" s="2" t="n">
        <x:f>IF(E1056="",D1056,IF(E1056="U","U",IF(AND(ISNUMBER(E1056),E1056&gt;=0,E1056&lt;=3,INT(E1056)=E1056),E1056,"Invalid")))</x:f>
        <x:v>0</x:v>
      </x:c>
      <x:c r="G1056" s="2" t="n">
        <x:f>IF(ISNUMBER(F1056),1,0)</x:f>
        <x:v>1</x:v>
      </x:c>
      <x:c r="H1056" s="2" t="n">
        <x:f>IF(ISNUMBER(F1056),IF(F1056&gt;=2,1,0),0)</x:f>
        <x:v>0</x:v>
      </x:c>
      <x:c r="I1056" s="11" t="n">
        <x:f>IF(ISNUMBER(F1056),2^F1056-1,0)</x:f>
        <x:v>0</x:v>
      </x:c>
      <x:c r="J1056" s="2" t="str">
        <x:v>Extension pre-run 600</x:v>
      </x:c>
      <x:c r="K1056" s="10" t="n">
        <x:v>850</x:v>
      </x:c>
      <x:c r="L1056" s="10" t="n">
        <x:v>0</x:v>
      </x:c>
      <x:c r="M1056" s="10"/>
      <x:c r="N1056" s="2" t="str">
        <x:v>D12</x:v>
      </x:c>
      <x:c r="O1056" s="2" t="str">
        <x:v>hdb flat</x:v>
      </x:c>
      <x:c r="P1056" s="2" t="str">
        <x:v>https://www.propertyguru.com.sg/listing/hdb-for-rent-195-kim-keat-avenue-500284893</x:v>
      </x:c>
      <x:c r="Q1056" s="12" t="str">
        <x:v>Pre-registered source-rubric-v1; grade applied before outputs.</x:v>
      </x:c>
      <x:c r="R1056" s="13"/>
    </x:row>
    <x:row r="1057" ht="15" hidden="0" customHeight="1">
      <x:c r="A1057" s="2" t="str">
        <x:v>S35|500129773</x:v>
      </x:c>
      <x:c r="B1057" s="2" t="str">
        <x:v>S35</x:v>
      </x:c>
      <x:c r="C1057" s="2" t="str">
        <x:v>500129773</x:v>
      </x:c>
      <x:c r="D1057" s="2" t="n">
        <x:v>0</x:v>
      </x:c>
      <x:c r="E1057" s="9"/>
      <x:c r="F1057" s="2" t="n">
        <x:f>IF(E1057="",D1057,IF(E1057="U","U",IF(AND(ISNUMBER(E1057),E1057&gt;=0,E1057&lt;=3,INT(E1057)=E1057),E1057,"Invalid")))</x:f>
        <x:v>0</x:v>
      </x:c>
      <x:c r="G1057" s="2" t="n">
        <x:f>IF(ISNUMBER(F1057),1,0)</x:f>
        <x:v>1</x:v>
      </x:c>
      <x:c r="H1057" s="2" t="n">
        <x:f>IF(ISNUMBER(F1057),IF(F1057&gt;=2,1,0),0)</x:f>
        <x:v>0</x:v>
      </x:c>
      <x:c r="I1057" s="11" t="n">
        <x:f>IF(ISNUMBER(F1057),2^F1057-1,0)</x:f>
        <x:v>0</x:v>
      </x:c>
      <x:c r="J1057" s="2" t="str">
        <x:v>Extension pre-run 600</x:v>
      </x:c>
      <x:c r="K1057" s="10" t="n">
        <x:v>1100</x:v>
      </x:c>
      <x:c r="L1057" s="10" t="n">
        <x:v>0</x:v>
      </x:c>
      <x:c r="M1057" s="10"/>
      <x:c r="N1057" s="2" t="str">
        <x:v>D13</x:v>
      </x:c>
      <x:c r="O1057" s="2" t="str">
        <x:v>hdb flat</x:v>
      </x:c>
      <x:c r="P1057" s="2" t="str">
        <x:v>https://www.propertyguru.com.sg/listing/hdb-for-rent-36-circuit-road-500129773</x:v>
      </x:c>
      <x:c r="Q1057" s="12" t="str">
        <x:v>Pre-registered source-rubric-v1; grade applied before outputs.</x:v>
      </x:c>
      <x:c r="R1057" s="13"/>
    </x:row>
    <x:row r="1058" ht="15" hidden="0" customHeight="1">
      <x:c r="A1058" s="2" t="str">
        <x:v>S35|25314571</x:v>
      </x:c>
      <x:c r="B1058" s="2" t="str">
        <x:v>S35</x:v>
      </x:c>
      <x:c r="C1058" s="2" t="str">
        <x:v>25314571</x:v>
      </x:c>
      <x:c r="D1058" s="2" t="n">
        <x:v>0</x:v>
      </x:c>
      <x:c r="E1058" s="9"/>
      <x:c r="F1058" s="2" t="n">
        <x:f>IF(E1058="",D1058,IF(E1058="U","U",IF(AND(ISNUMBER(E1058),E1058&gt;=0,E1058&lt;=3,INT(E1058)=E1058),E1058,"Invalid")))</x:f>
        <x:v>0</x:v>
      </x:c>
      <x:c r="G1058" s="2" t="n">
        <x:f>IF(ISNUMBER(F1058),1,0)</x:f>
        <x:v>1</x:v>
      </x:c>
      <x:c r="H1058" s="2" t="n">
        <x:f>IF(ISNUMBER(F1058),IF(F1058&gt;=2,1,0),0)</x:f>
        <x:v>0</x:v>
      </x:c>
      <x:c r="I1058" s="11" t="n">
        <x:f>IF(ISNUMBER(F1058),2^F1058-1,0)</x:f>
        <x:v>0</x:v>
      </x:c>
      <x:c r="J1058" s="2" t="str">
        <x:v>Extension pre-run 600</x:v>
      </x:c>
      <x:c r="K1058" s="10" t="n">
        <x:v>5900</x:v>
      </x:c>
      <x:c r="L1058" s="10" t="n">
        <x:v>3</x:v>
      </x:c>
      <x:c r="M1058" s="10" t="n">
        <x:v>797</x:v>
      </x:c>
      <x:c r="N1058" s="2" t="str">
        <x:v>D05</x:v>
      </x:c>
      <x:c r="O1058" s="2" t="str">
        <x:v>condominium</x:v>
      </x:c>
      <x:c r="P1058" s="2" t="str">
        <x:v>https://www.propertyguru.com.sg/listing/for-rent-one-north-eden-25314571</x:v>
      </x:c>
      <x:c r="Q1058" s="12" t="str">
        <x:v>Pre-registered source-rubric-v1; grade applied before outputs.</x:v>
      </x:c>
      <x:c r="R1058" s="13"/>
    </x:row>
    <x:row r="1059" ht="15" hidden="0" customHeight="1">
      <x:c r="A1059" s="2" t="str">
        <x:v>S35|60041738</x:v>
      </x:c>
      <x:c r="B1059" s="2" t="str">
        <x:v>S35</x:v>
      </x:c>
      <x:c r="C1059" s="2" t="str">
        <x:v>60041738</x:v>
      </x:c>
      <x:c r="D1059" s="2" t="n">
        <x:v>0</x:v>
      </x:c>
      <x:c r="E1059" s="9"/>
      <x:c r="F1059" s="2" t="n">
        <x:f>IF(E1059="",D1059,IF(E1059="U","U",IF(AND(ISNUMBER(E1059),E1059&gt;=0,E1059&lt;=3,INT(E1059)=E1059),E1059,"Invalid")))</x:f>
        <x:v>0</x:v>
      </x:c>
      <x:c r="G1059" s="2" t="n">
        <x:f>IF(ISNUMBER(F1059),1,0)</x:f>
        <x:v>1</x:v>
      </x:c>
      <x:c r="H1059" s="2" t="n">
        <x:f>IF(ISNUMBER(F1059),IF(F1059&gt;=2,1,0),0)</x:f>
        <x:v>0</x:v>
      </x:c>
      <x:c r="I1059" s="11" t="n">
        <x:f>IF(ISNUMBER(F1059),2^F1059-1,0)</x:f>
        <x:v>0</x:v>
      </x:c>
      <x:c r="J1059" s="2" t="str">
        <x:v>Extension pre-run 600</x:v>
      </x:c>
      <x:c r="K1059" s="10" t="n">
        <x:v>800</x:v>
      </x:c>
      <x:c r="L1059" s="10" t="n">
        <x:v>0</x:v>
      </x:c>
      <x:c r="M1059" s="10"/>
      <x:c r="N1059" s="2" t="str">
        <x:v>D19</x:v>
      </x:c>
      <x:c r="O1059" s="2" t="str">
        <x:v>hdb flat</x:v>
      </x:c>
      <x:c r="P1059" s="2" t="str">
        <x:v>https://www.propertyguru.com.sg/listing/hdb-for-rent-402-hougang-avenue-10-60041738</x:v>
      </x:c>
      <x:c r="Q1059" s="12" t="str">
        <x:v>Pre-registered source-rubric-v1; grade applied before outputs.</x:v>
      </x:c>
      <x:c r="R1059" s="13"/>
    </x:row>
    <x:row r="1060" ht="15" hidden="0" customHeight="1">
      <x:c r="A1060" s="2" t="str">
        <x:v>S35|500078882</x:v>
      </x:c>
      <x:c r="B1060" s="2" t="str">
        <x:v>S35</x:v>
      </x:c>
      <x:c r="C1060" s="2" t="str">
        <x:v>500078882</x:v>
      </x:c>
      <x:c r="D1060" s="2" t="n">
        <x:v>0</x:v>
      </x:c>
      <x:c r="E1060" s="9"/>
      <x:c r="F1060" s="2" t="n">
        <x:f>IF(E1060="",D1060,IF(E1060="U","U",IF(AND(ISNUMBER(E1060),E1060&gt;=0,E1060&lt;=3,INT(E1060)=E1060),E1060,"Invalid")))</x:f>
        <x:v>0</x:v>
      </x:c>
      <x:c r="G1060" s="2" t="n">
        <x:f>IF(ISNUMBER(F1060),1,0)</x:f>
        <x:v>1</x:v>
      </x:c>
      <x:c r="H1060" s="2" t="n">
        <x:f>IF(ISNUMBER(F1060),IF(F1060&gt;=2,1,0),0)</x:f>
        <x:v>0</x:v>
      </x:c>
      <x:c r="I1060" s="11" t="n">
        <x:f>IF(ISNUMBER(F1060),2^F1060-1,0)</x:f>
        <x:v>0</x:v>
      </x:c>
      <x:c r="J1060" s="2" t="str">
        <x:v>Extension pre-run 600</x:v>
      </x:c>
      <x:c r="K1060" s="10" t="n">
        <x:v>35000</x:v>
      </x:c>
      <x:c r="L1060" s="10" t="n">
        <x:v>4</x:v>
      </x:c>
      <x:c r="M1060" s="10" t="n">
        <x:v>3186</x:v>
      </x:c>
      <x:c r="N1060" s="2" t="str">
        <x:v>D09</x:v>
      </x:c>
      <x:c r="O1060" s="2" t="str">
        <x:v>condominium</x:v>
      </x:c>
      <x:c r="P1060" s="2" t="str">
        <x:v>https://www.propertyguru.com.sg/listing/for-rent-ardmore-residence-ultra-luxury-4-bedroom-apartment-500078882</x:v>
      </x:c>
      <x:c r="Q1060" s="12" t="str">
        <x:v>Pre-registered source-rubric-v1; grade applied before outputs.</x:v>
      </x:c>
      <x:c r="R1060" s="13"/>
    </x:row>
    <x:row r="1061" ht="15" hidden="0" customHeight="1">
      <x:c r="A1061" s="2" t="str">
        <x:v>S35|500263451</x:v>
      </x:c>
      <x:c r="B1061" s="2" t="str">
        <x:v>S35</x:v>
      </x:c>
      <x:c r="C1061" s="2" t="str">
        <x:v>500263451</x:v>
      </x:c>
      <x:c r="D1061" s="2" t="n">
        <x:v>0</x:v>
      </x:c>
      <x:c r="E1061" s="9"/>
      <x:c r="F1061" s="2" t="n">
        <x:f>IF(E1061="",D1061,IF(E1061="U","U",IF(AND(ISNUMBER(E1061),E1061&gt;=0,E1061&lt;=3,INT(E1061)=E1061),E1061,"Invalid")))</x:f>
        <x:v>0</x:v>
      </x:c>
      <x:c r="G1061" s="2" t="n">
        <x:f>IF(ISNUMBER(F1061),1,0)</x:f>
        <x:v>1</x:v>
      </x:c>
      <x:c r="H1061" s="2" t="n">
        <x:f>IF(ISNUMBER(F1061),IF(F1061&gt;=2,1,0),0)</x:f>
        <x:v>0</x:v>
      </x:c>
      <x:c r="I1061" s="11" t="n">
        <x:f>IF(ISNUMBER(F1061),2^F1061-1,0)</x:f>
        <x:v>0</x:v>
      </x:c>
      <x:c r="J1061" s="2" t="str">
        <x:v>Extension pre-run 600</x:v>
      </x:c>
      <x:c r="K1061" s="10" t="n">
        <x:v>3600</x:v>
      </x:c>
      <x:c r="L1061" s="10" t="n">
        <x:v>3</x:v>
      </x:c>
      <x:c r="M1061" s="10" t="n">
        <x:v>1119</x:v>
      </x:c>
      <x:c r="N1061" s="2" t="str">
        <x:v>D19</x:v>
      </x:c>
      <x:c r="O1061" s="2" t="str">
        <x:v>hdb flat</x:v>
      </x:c>
      <x:c r="P1061" s="2" t="str">
        <x:v>https://www.propertyguru.com.sg/listing/hdb-for-rent-271c-punggol-walk-500263451</x:v>
      </x:c>
      <x:c r="Q1061" s="12" t="str">
        <x:v>Pre-registered source-rubric-v1; grade applied before outputs.</x:v>
      </x:c>
      <x:c r="R1061" s="13"/>
    </x:row>
    <x:row r="1062" ht="15" hidden="0" customHeight="1">
      <x:c r="A1062" s="2" t="str">
        <x:v>S35|24093111</x:v>
      </x:c>
      <x:c r="B1062" s="2" t="str">
        <x:v>S35</x:v>
      </x:c>
      <x:c r="C1062" s="2" t="str">
        <x:v>24093111</x:v>
      </x:c>
      <x:c r="D1062" s="2" t="n">
        <x:v>0</x:v>
      </x:c>
      <x:c r="E1062" s="9"/>
      <x:c r="F1062" s="2" t="n">
        <x:f>IF(E1062="",D1062,IF(E1062="U","U",IF(AND(ISNUMBER(E1062),E1062&gt;=0,E1062&lt;=3,INT(E1062)=E1062),E1062,"Invalid")))</x:f>
        <x:v>0</x:v>
      </x:c>
      <x:c r="G1062" s="2" t="n">
        <x:f>IF(ISNUMBER(F1062),1,0)</x:f>
        <x:v>1</x:v>
      </x:c>
      <x:c r="H1062" s="2" t="n">
        <x:f>IF(ISNUMBER(F1062),IF(F1062&gt;=2,1,0),0)</x:f>
        <x:v>0</x:v>
      </x:c>
      <x:c r="I1062" s="11" t="n">
        <x:f>IF(ISNUMBER(F1062),2^F1062-1,0)</x:f>
        <x:v>0</x:v>
      </x:c>
      <x:c r="J1062" s="2" t="str">
        <x:v>Extension pre-run 600</x:v>
      </x:c>
      <x:c r="K1062" s="10" t="n">
        <x:v>3600</x:v>
      </x:c>
      <x:c r="L1062" s="10" t="n">
        <x:v>3</x:v>
      </x:c>
      <x:c r="M1062" s="10" t="n">
        <x:v>1378</x:v>
      </x:c>
      <x:c r="N1062" s="2" t="str">
        <x:v>D18</x:v>
      </x:c>
      <x:c r="O1062" s="2" t="str">
        <x:v>hdb flat</x:v>
      </x:c>
      <x:c r="P1062" s="2" t="str">
        <x:v>https://www.propertyguru.com.sg/listing/hdb-for-rent-768-pasir-ris-street-71-24093111</x:v>
      </x:c>
      <x:c r="Q1062" s="12" t="str">
        <x:v>Pre-registered source-rubric-v1; grade applied before outputs.</x:v>
      </x:c>
      <x:c r="R1062" s="13"/>
    </x:row>
    <x:row r="1063" ht="15" hidden="0" customHeight="1">
      <x:c r="A1063" s="2" t="str">
        <x:v>S35|500050203</x:v>
      </x:c>
      <x:c r="B1063" s="2" t="str">
        <x:v>S35</x:v>
      </x:c>
      <x:c r="C1063" s="2" t="str">
        <x:v>500050203</x:v>
      </x:c>
      <x:c r="D1063" s="2" t="n">
        <x:v>0</x:v>
      </x:c>
      <x:c r="E1063" s="9"/>
      <x:c r="F1063" s="2" t="n">
        <x:f>IF(E1063="",D1063,IF(E1063="U","U",IF(AND(ISNUMBER(E1063),E1063&gt;=0,E1063&lt;=3,INT(E1063)=E1063),E1063,"Invalid")))</x:f>
        <x:v>0</x:v>
      </x:c>
      <x:c r="G1063" s="2" t="n">
        <x:f>IF(ISNUMBER(F1063),1,0)</x:f>
        <x:v>1</x:v>
      </x:c>
      <x:c r="H1063" s="2" t="n">
        <x:f>IF(ISNUMBER(F1063),IF(F1063&gt;=2,1,0),0)</x:f>
        <x:v>0</x:v>
      </x:c>
      <x:c r="I1063" s="11" t="n">
        <x:f>IF(ISNUMBER(F1063),2^F1063-1,0)</x:f>
        <x:v>0</x:v>
      </x:c>
      <x:c r="J1063" s="2" t="str">
        <x:v>Extension pre-run 600</x:v>
      </x:c>
      <x:c r="K1063" s="10" t="n">
        <x:v>18000</x:v>
      </x:c>
      <x:c r="L1063" s="10" t="n">
        <x:v>5</x:v>
      </x:c>
      <x:c r="M1063" s="10" t="n">
        <x:v>7380</x:v>
      </x:c>
      <x:c r="N1063" s="2" t="str">
        <x:v>D11</x:v>
      </x:c>
      <x:c r="O1063" s="2" t="str">
        <x:v>semi-detached house</x:v>
      </x:c>
      <x:c r="P1063" s="2" t="str">
        <x:v>https://www.propertyguru.com.sg/listing/for-rent-gentle-villas-500050203</x:v>
      </x:c>
      <x:c r="Q1063" s="12" t="str">
        <x:v>Pre-registered source-rubric-v1; grade applied before outputs.</x:v>
      </x:c>
      <x:c r="R1063" s="13"/>
    </x:row>
    <x:row r="1064" ht="15" hidden="0" customHeight="1">
      <x:c r="A1064" s="2" t="str">
        <x:v>S35|500278765</x:v>
      </x:c>
      <x:c r="B1064" s="2" t="str">
        <x:v>S35</x:v>
      </x:c>
      <x:c r="C1064" s="2" t="str">
        <x:v>500278765</x:v>
      </x:c>
      <x:c r="D1064" s="2" t="n">
        <x:v>0</x:v>
      </x:c>
      <x:c r="E1064" s="9"/>
      <x:c r="F1064" s="2" t="n">
        <x:f>IF(E1064="",D1064,IF(E1064="U","U",IF(AND(ISNUMBER(E1064),E1064&gt;=0,E1064&lt;=3,INT(E1064)=E1064),E1064,"Invalid")))</x:f>
        <x:v>0</x:v>
      </x:c>
      <x:c r="G1064" s="2" t="n">
        <x:f>IF(ISNUMBER(F1064),1,0)</x:f>
        <x:v>1</x:v>
      </x:c>
      <x:c r="H1064" s="2" t="n">
        <x:f>IF(ISNUMBER(F1064),IF(F1064&gt;=2,1,0),0)</x:f>
        <x:v>0</x:v>
      </x:c>
      <x:c r="I1064" s="11" t="n">
        <x:f>IF(ISNUMBER(F1064),2^F1064-1,0)</x:f>
        <x:v>0</x:v>
      </x:c>
      <x:c r="J1064" s="2" t="str">
        <x:v>Extension pre-run 600</x:v>
      </x:c>
      <x:c r="K1064" s="10" t="n">
        <x:v>16399</x:v>
      </x:c>
      <x:c r="L1064" s="10" t="n">
        <x:v>4</x:v>
      </x:c>
      <x:c r="M1064" s="10" t="n">
        <x:v>2357</x:v>
      </x:c>
      <x:c r="N1064" s="2" t="str">
        <x:v>D07</x:v>
      </x:c>
      <x:c r="O1064" s="2" t="str">
        <x:v>condominium</x:v>
      </x:c>
      <x:c r="P1064" s="2" t="str">
        <x:v>https://www.propertyguru.com.sg/listing/for-rent-south-beach-residences-500278765</x:v>
      </x:c>
      <x:c r="Q1064" s="12" t="str">
        <x:v>Pre-registered source-rubric-v1; grade applied before outputs.</x:v>
      </x:c>
      <x:c r="R1064" s="13"/>
    </x:row>
    <x:row r="1065" ht="15" hidden="0" customHeight="1">
      <x:c r="A1065" s="2" t="str">
        <x:v>S35|500253289</x:v>
      </x:c>
      <x:c r="B1065" s="2" t="str">
        <x:v>S35</x:v>
      </x:c>
      <x:c r="C1065" s="2" t="str">
        <x:v>500253289</x:v>
      </x:c>
      <x:c r="D1065" s="2" t="n">
        <x:v>0</x:v>
      </x:c>
      <x:c r="E1065" s="9"/>
      <x:c r="F1065" s="2" t="n">
        <x:f>IF(E1065="",D1065,IF(E1065="U","U",IF(AND(ISNUMBER(E1065),E1065&gt;=0,E1065&lt;=3,INT(E1065)=E1065),E1065,"Invalid")))</x:f>
        <x:v>0</x:v>
      </x:c>
      <x:c r="G1065" s="2" t="n">
        <x:f>IF(ISNUMBER(F1065),1,0)</x:f>
        <x:v>1</x:v>
      </x:c>
      <x:c r="H1065" s="2" t="n">
        <x:f>IF(ISNUMBER(F1065),IF(F1065&gt;=2,1,0),0)</x:f>
        <x:v>0</x:v>
      </x:c>
      <x:c r="I1065" s="11" t="n">
        <x:f>IF(ISNUMBER(F1065),2^F1065-1,0)</x:f>
        <x:v>0</x:v>
      </x:c>
      <x:c r="J1065" s="2" t="str">
        <x:v>Extension pre-run 600</x:v>
      </x:c>
      <x:c r="K1065" s="10" t="n">
        <x:v>6000</x:v>
      </x:c>
      <x:c r="L1065" s="10" t="n">
        <x:v>3</x:v>
      </x:c>
      <x:c r="M1065" s="10" t="n">
        <x:v>1421</x:v>
      </x:c>
      <x:c r="N1065" s="2" t="str">
        <x:v>D03</x:v>
      </x:c>
      <x:c r="O1065" s="2" t="str">
        <x:v>condominium</x:v>
      </x:c>
      <x:c r="P1065" s="2" t="str">
        <x:v>https://www.propertyguru.com.sg/listing/for-rent-the-anchorage-500253289</x:v>
      </x:c>
      <x:c r="Q1065" s="12" t="str">
        <x:v>Pre-registered source-rubric-v1; grade applied before outputs.</x:v>
      </x:c>
      <x:c r="R1065" s="13"/>
    </x:row>
    <x:row r="1066" ht="15" hidden="0" customHeight="1">
      <x:c r="A1066" s="2" t="str">
        <x:v>S35|500219431</x:v>
      </x:c>
      <x:c r="B1066" s="2" t="str">
        <x:v>S35</x:v>
      </x:c>
      <x:c r="C1066" s="2" t="str">
        <x:v>500219431</x:v>
      </x:c>
      <x:c r="D1066" s="2" t="n">
        <x:v>0</x:v>
      </x:c>
      <x:c r="E1066" s="9"/>
      <x:c r="F1066" s="2" t="n">
        <x:f>IF(E1066="",D1066,IF(E1066="U","U",IF(AND(ISNUMBER(E1066),E1066&gt;=0,E1066&lt;=3,INT(E1066)=E1066),E1066,"Invalid")))</x:f>
        <x:v>0</x:v>
      </x:c>
      <x:c r="G1066" s="2" t="n">
        <x:f>IF(ISNUMBER(F1066),1,0)</x:f>
        <x:v>1</x:v>
      </x:c>
      <x:c r="H1066" s="2" t="n">
        <x:f>IF(ISNUMBER(F1066),IF(F1066&gt;=2,1,0),0)</x:f>
        <x:v>0</x:v>
      </x:c>
      <x:c r="I1066" s="11" t="n">
        <x:f>IF(ISNUMBER(F1066),2^F1066-1,0)</x:f>
        <x:v>0</x:v>
      </x:c>
      <x:c r="J1066" s="2" t="str">
        <x:v>Extension pre-run 600</x:v>
      </x:c>
      <x:c r="K1066" s="10" t="n">
        <x:v>5500</x:v>
      </x:c>
      <x:c r="L1066" s="10" t="n">
        <x:v>2</x:v>
      </x:c>
      <x:c r="M1066" s="10" t="n">
        <x:v>635</x:v>
      </x:c>
      <x:c r="N1066" s="2" t="str">
        <x:v>D09</x:v>
      </x:c>
      <x:c r="O1066" s="2" t="str">
        <x:v>condominium</x:v>
      </x:c>
      <x:c r="P1066" s="2" t="str">
        <x:v>https://www.propertyguru.com.sg/listing/for-rent-orchard-sophia-500219431</x:v>
      </x:c>
      <x:c r="Q1066" s="12" t="str">
        <x:v>Pre-registered source-rubric-v1; grade applied before outputs.</x:v>
      </x:c>
      <x:c r="R1066" s="13"/>
    </x:row>
    <x:row r="1067" ht="15" hidden="0" customHeight="1">
      <x:c r="A1067" s="2" t="str">
        <x:v>S35|500202235</x:v>
      </x:c>
      <x:c r="B1067" s="2" t="str">
        <x:v>S35</x:v>
      </x:c>
      <x:c r="C1067" s="2" t="str">
        <x:v>500202235</x:v>
      </x:c>
      <x:c r="D1067" s="2" t="n">
        <x:v>0</x:v>
      </x:c>
      <x:c r="E1067" s="9"/>
      <x:c r="F1067" s="2" t="n">
        <x:f>IF(E1067="",D1067,IF(E1067="U","U",IF(AND(ISNUMBER(E1067),E1067&gt;=0,E1067&lt;=3,INT(E1067)=E1067),E1067,"Invalid")))</x:f>
        <x:v>0</x:v>
      </x:c>
      <x:c r="G1067" s="2" t="n">
        <x:f>IF(ISNUMBER(F1067),1,0)</x:f>
        <x:v>1</x:v>
      </x:c>
      <x:c r="H1067" s="2" t="n">
        <x:f>IF(ISNUMBER(F1067),IF(F1067&gt;=2,1,0),0)</x:f>
        <x:v>0</x:v>
      </x:c>
      <x:c r="I1067" s="11" t="n">
        <x:f>IF(ISNUMBER(F1067),2^F1067-1,0)</x:f>
        <x:v>0</x:v>
      </x:c>
      <x:c r="J1067" s="2" t="str">
        <x:v>Extension pre-run 600</x:v>
      </x:c>
      <x:c r="K1067" s="10" t="n">
        <x:v>14500</x:v>
      </x:c>
      <x:c r="L1067" s="10" t="n">
        <x:v>6</x:v>
      </x:c>
      <x:c r="M1067" s="10" t="n">
        <x:v>6400</x:v>
      </x:c>
      <x:c r="N1067" s="2" t="str">
        <x:v>D15</x:v>
      </x:c>
      <x:c r="O1067" s="2" t="str">
        <x:v>bungalow house</x:v>
      </x:c>
      <x:c r="P1067" s="2" t="str">
        <x:v>https://www.propertyguru.com.sg/listing/for-rent-80b-meyer-road-500202235</x:v>
      </x:c>
      <x:c r="Q1067" s="12" t="str">
        <x:v>Pre-registered source-rubric-v1; grade applied before outputs.</x:v>
      </x:c>
      <x:c r="R1067" s="13"/>
    </x:row>
    <x:row r="1068" ht="15" hidden="0" customHeight="1">
      <x:c r="A1068" s="2" t="str">
        <x:v>S35|500200790</x:v>
      </x:c>
      <x:c r="B1068" s="2" t="str">
        <x:v>S35</x:v>
      </x:c>
      <x:c r="C1068" s="2" t="str">
        <x:v>500200790</x:v>
      </x:c>
      <x:c r="D1068" s="2" t="n">
        <x:v>0</x:v>
      </x:c>
      <x:c r="E1068" s="9"/>
      <x:c r="F1068" s="2" t="n">
        <x:f>IF(E1068="",D1068,IF(E1068="U","U",IF(AND(ISNUMBER(E1068),E1068&gt;=0,E1068&lt;=3,INT(E1068)=E1068),E1068,"Invalid")))</x:f>
        <x:v>0</x:v>
      </x:c>
      <x:c r="G1068" s="2" t="n">
        <x:f>IF(ISNUMBER(F1068),1,0)</x:f>
        <x:v>1</x:v>
      </x:c>
      <x:c r="H1068" s="2" t="n">
        <x:f>IF(ISNUMBER(F1068),IF(F1068&gt;=2,1,0),0)</x:f>
        <x:v>0</x:v>
      </x:c>
      <x:c r="I1068" s="11" t="n">
        <x:f>IF(ISNUMBER(F1068),2^F1068-1,0)</x:f>
        <x:v>0</x:v>
      </x:c>
      <x:c r="J1068" s="2" t="str">
        <x:v>Extension pre-run 600</x:v>
      </x:c>
      <x:c r="K1068" s="10" t="n">
        <x:v>1300</x:v>
      </x:c>
      <x:c r="L1068" s="10" t="n">
        <x:v>0</x:v>
      </x:c>
      <x:c r="M1068" s="10"/>
      <x:c r="N1068" s="2" t="str">
        <x:v>D16</x:v>
      </x:c>
      <x:c r="O1068" s="2" t="str">
        <x:v>condominium</x:v>
      </x:c>
      <x:c r="P1068" s="2" t="str">
        <x:v>https://www.propertyguru.com.sg/listing/for-rent-east-meadows-500200790</x:v>
      </x:c>
      <x:c r="Q1068" s="12" t="str">
        <x:v>Pre-registered source-rubric-v1; grade applied before outputs.</x:v>
      </x:c>
      <x:c r="R1068" s="13"/>
    </x:row>
    <x:row r="1069" ht="15" hidden="0" customHeight="1">
      <x:c r="A1069" s="2" t="str">
        <x:v>S35|500278035</x:v>
      </x:c>
      <x:c r="B1069" s="2" t="str">
        <x:v>S35</x:v>
      </x:c>
      <x:c r="C1069" s="2" t="str">
        <x:v>500278035</x:v>
      </x:c>
      <x:c r="D1069" s="2" t="n">
        <x:v>0</x:v>
      </x:c>
      <x:c r="E1069" s="9"/>
      <x:c r="F1069" s="2" t="n">
        <x:f>IF(E1069="",D1069,IF(E1069="U","U",IF(AND(ISNUMBER(E1069),E1069&gt;=0,E1069&lt;=3,INT(E1069)=E1069),E1069,"Invalid")))</x:f>
        <x:v>0</x:v>
      </x:c>
      <x:c r="G1069" s="2" t="n">
        <x:f>IF(ISNUMBER(F1069),1,0)</x:f>
        <x:v>1</x:v>
      </x:c>
      <x:c r="H1069" s="2" t="n">
        <x:f>IF(ISNUMBER(F1069),IF(F1069&gt;=2,1,0),0)</x:f>
        <x:v>0</x:v>
      </x:c>
      <x:c r="I1069" s="11" t="n">
        <x:f>IF(ISNUMBER(F1069),2^F1069-1,0)</x:f>
        <x:v>0</x:v>
      </x:c>
      <x:c r="J1069" s="2" t="str">
        <x:v>Extension pre-run 600</x:v>
      </x:c>
      <x:c r="K1069" s="10" t="n">
        <x:v>2600</x:v>
      </x:c>
      <x:c r="L1069" s="10"/>
      <x:c r="M1069" s="10" t="n">
        <x:v>300</x:v>
      </x:c>
      <x:c r="N1069" s="2" t="str">
        <x:v>D18</x:v>
      </x:c>
      <x:c r="O1069" s="2" t="str">
        <x:v>condominium</x:v>
      </x:c>
      <x:c r="P1069" s="2" t="str">
        <x:v>https://www.propertyguru.com.sg/listing/for-rent-coco-palms-500278035</x:v>
      </x:c>
      <x:c r="Q1069" s="12" t="str">
        <x:v>Pre-registered source-rubric-v1; grade applied before outputs.</x:v>
      </x:c>
      <x:c r="R1069" s="13"/>
    </x:row>
    <x:row r="1070" ht="15" hidden="0" customHeight="1">
      <x:c r="A1070" s="2" t="str">
        <x:v>S35|500227508</x:v>
      </x:c>
      <x:c r="B1070" s="2" t="str">
        <x:v>S35</x:v>
      </x:c>
      <x:c r="C1070" s="2" t="str">
        <x:v>500227508</x:v>
      </x:c>
      <x:c r="D1070" s="2" t="n">
        <x:v>0</x:v>
      </x:c>
      <x:c r="E1070" s="9"/>
      <x:c r="F1070" s="2" t="n">
        <x:f>IF(E1070="",D1070,IF(E1070="U","U",IF(AND(ISNUMBER(E1070),E1070&gt;=0,E1070&lt;=3,INT(E1070)=E1070),E1070,"Invalid")))</x:f>
        <x:v>0</x:v>
      </x:c>
      <x:c r="G1070" s="2" t="n">
        <x:f>IF(ISNUMBER(F1070),1,0)</x:f>
        <x:v>1</x:v>
      </x:c>
      <x:c r="H1070" s="2" t="n">
        <x:f>IF(ISNUMBER(F1070),IF(F1070&gt;=2,1,0),0)</x:f>
        <x:v>0</x:v>
      </x:c>
      <x:c r="I1070" s="11" t="n">
        <x:f>IF(ISNUMBER(F1070),2^F1070-1,0)</x:f>
        <x:v>0</x:v>
      </x:c>
      <x:c r="J1070" s="2" t="str">
        <x:v>Extension pre-run 600</x:v>
      </x:c>
      <x:c r="K1070" s="10" t="n">
        <x:v>850</x:v>
      </x:c>
      <x:c r="L1070" s="10" t="n">
        <x:v>0</x:v>
      </x:c>
      <x:c r="M1070" s="10"/>
      <x:c r="N1070" s="2" t="str">
        <x:v>D27</x:v>
      </x:c>
      <x:c r="O1070" s="2" t="str">
        <x:v>hdb flat</x:v>
      </x:c>
      <x:c r="P1070" s="2" t="str">
        <x:v>https://www.propertyguru.com.sg/listing/hdb-for-rent-260-yishun-street-22-500227508</x:v>
      </x:c>
      <x:c r="Q1070" s="12" t="str">
        <x:v>Pre-registered source-rubric-v1; grade applied before outputs.</x:v>
      </x:c>
      <x:c r="R1070" s="13"/>
    </x:row>
    <x:row r="1071" ht="15" hidden="0" customHeight="1">
      <x:c r="A1071" s="2" t="str">
        <x:v>S35|500276848</x:v>
      </x:c>
      <x:c r="B1071" s="2" t="str">
        <x:v>S35</x:v>
      </x:c>
      <x:c r="C1071" s="2" t="str">
        <x:v>500276848</x:v>
      </x:c>
      <x:c r="D1071" s="2" t="n">
        <x:v>0</x:v>
      </x:c>
      <x:c r="E1071" s="9"/>
      <x:c r="F1071" s="2" t="n">
        <x:f>IF(E1071="",D1071,IF(E1071="U","U",IF(AND(ISNUMBER(E1071),E1071&gt;=0,E1071&lt;=3,INT(E1071)=E1071),E1071,"Invalid")))</x:f>
        <x:v>0</x:v>
      </x:c>
      <x:c r="G1071" s="2" t="n">
        <x:f>IF(ISNUMBER(F1071),1,0)</x:f>
        <x:v>1</x:v>
      </x:c>
      <x:c r="H1071" s="2" t="n">
        <x:f>IF(ISNUMBER(F1071),IF(F1071&gt;=2,1,0),0)</x:f>
        <x:v>0</x:v>
      </x:c>
      <x:c r="I1071" s="11" t="n">
        <x:f>IF(ISNUMBER(F1071),2^F1071-1,0)</x:f>
        <x:v>0</x:v>
      </x:c>
      <x:c r="J1071" s="2" t="str">
        <x:v>Extension pre-run 600</x:v>
      </x:c>
      <x:c r="K1071" s="10" t="n">
        <x:v>1500</x:v>
      </x:c>
      <x:c r="L1071" s="10" t="n">
        <x:v>0</x:v>
      </x:c>
      <x:c r="M1071" s="10"/>
      <x:c r="N1071" s="2" t="str">
        <x:v>D01</x:v>
      </x:c>
      <x:c r="O1071" s="2" t="str">
        <x:v>hdb flat</x:v>
      </x:c>
      <x:c r="P1071" s="2" t="str">
        <x:v>https://www.propertyguru.com.sg/listing/hdb-for-rent-335a-smith-street-500276848</x:v>
      </x:c>
      <x:c r="Q1071" s="12" t="str">
        <x:v>Pre-registered source-rubric-v1; grade applied before outputs.</x:v>
      </x:c>
      <x:c r="R1071" s="13"/>
    </x:row>
    <x:row r="1072" ht="15" hidden="0" customHeight="1">
      <x:c r="A1072" s="2" t="str">
        <x:v>S35|500248672</x:v>
      </x:c>
      <x:c r="B1072" s="2" t="str">
        <x:v>S35</x:v>
      </x:c>
      <x:c r="C1072" s="2" t="str">
        <x:v>500248672</x:v>
      </x:c>
      <x:c r="D1072" s="2" t="n">
        <x:v>0</x:v>
      </x:c>
      <x:c r="E1072" s="9"/>
      <x:c r="F1072" s="2" t="n">
        <x:f>IF(E1072="",D1072,IF(E1072="U","U",IF(AND(ISNUMBER(E1072),E1072&gt;=0,E1072&lt;=3,INT(E1072)=E1072),E1072,"Invalid")))</x:f>
        <x:v>0</x:v>
      </x:c>
      <x:c r="G1072" s="2" t="n">
        <x:f>IF(ISNUMBER(F1072),1,0)</x:f>
        <x:v>1</x:v>
      </x:c>
      <x:c r="H1072" s="2" t="n">
        <x:f>IF(ISNUMBER(F1072),IF(F1072&gt;=2,1,0),0)</x:f>
        <x:v>0</x:v>
      </x:c>
      <x:c r="I1072" s="11" t="n">
        <x:f>IF(ISNUMBER(F1072),2^F1072-1,0)</x:f>
        <x:v>0</x:v>
      </x:c>
      <x:c r="J1072" s="2" t="str">
        <x:v>Extension pre-run 600</x:v>
      </x:c>
      <x:c r="K1072" s="10" t="n">
        <x:v>9700</x:v>
      </x:c>
      <x:c r="L1072" s="10" t="n">
        <x:v>3</x:v>
      </x:c>
      <x:c r="M1072" s="10" t="n">
        <x:v>1442</x:v>
      </x:c>
      <x:c r="N1072" s="2" t="str">
        <x:v>D09</x:v>
      </x:c>
      <x:c r="O1072" s="2" t="str">
        <x:v>apartment</x:v>
      </x:c>
      <x:c r="P1072" s="2" t="str">
        <x:v>https://www.propertyguru.com.sg/listing/for-rent-the-vermont-on-cairnhill-500248672</x:v>
      </x:c>
      <x:c r="Q1072" s="12" t="str">
        <x:v>Pre-registered source-rubric-v1; grade applied before outputs.</x:v>
      </x:c>
      <x:c r="R1072" s="13"/>
    </x:row>
    <x:row r="1073" ht="15" hidden="0" customHeight="1">
      <x:c r="A1073" s="2" t="str">
        <x:v>S35|500217157</x:v>
      </x:c>
      <x:c r="B1073" s="2" t="str">
        <x:v>S35</x:v>
      </x:c>
      <x:c r="C1073" s="2" t="str">
        <x:v>500217157</x:v>
      </x:c>
      <x:c r="D1073" s="2" t="n">
        <x:v>0</x:v>
      </x:c>
      <x:c r="E1073" s="9"/>
      <x:c r="F1073" s="2" t="n">
        <x:f>IF(E1073="",D1073,IF(E1073="U","U",IF(AND(ISNUMBER(E1073),E1073&gt;=0,E1073&lt;=3,INT(E1073)=E1073),E1073,"Invalid")))</x:f>
        <x:v>0</x:v>
      </x:c>
      <x:c r="G1073" s="2" t="n">
        <x:f>IF(ISNUMBER(F1073),1,0)</x:f>
        <x:v>1</x:v>
      </x:c>
      <x:c r="H1073" s="2" t="n">
        <x:f>IF(ISNUMBER(F1073),IF(F1073&gt;=2,1,0),0)</x:f>
        <x:v>0</x:v>
      </x:c>
      <x:c r="I1073" s="11" t="n">
        <x:f>IF(ISNUMBER(F1073),2^F1073-1,0)</x:f>
        <x:v>0</x:v>
      </x:c>
      <x:c r="J1073" s="2" t="str">
        <x:v>Extension pre-run 600</x:v>
      </x:c>
      <x:c r="K1073" s="10" t="n">
        <x:v>8300</x:v>
      </x:c>
      <x:c r="L1073" s="10" t="n">
        <x:v>4</x:v>
      </x:c>
      <x:c r="M1073" s="10" t="n">
        <x:v>1776</x:v>
      </x:c>
      <x:c r="N1073" s="2" t="str">
        <x:v>D10</x:v>
      </x:c>
      <x:c r="O1073" s="2" t="str">
        <x:v>apartment</x:v>
      </x:c>
      <x:c r="P1073" s="2" t="str">
        <x:v>https://www.propertyguru.com.sg/listing/for-rent-orange-regency-500217157</x:v>
      </x:c>
      <x:c r="Q1073" s="12" t="str">
        <x:v>Pre-registered source-rubric-v1; grade applied before outputs.</x:v>
      </x:c>
      <x:c r="R1073" s="13"/>
    </x:row>
    <x:row r="1074" ht="15" hidden="0" customHeight="1">
      <x:c r="A1074" s="2" t="str">
        <x:v>S35|500152915</x:v>
      </x:c>
      <x:c r="B1074" s="2" t="str">
        <x:v>S35</x:v>
      </x:c>
      <x:c r="C1074" s="2" t="str">
        <x:v>500152915</x:v>
      </x:c>
      <x:c r="D1074" s="2" t="n">
        <x:v>0</x:v>
      </x:c>
      <x:c r="E1074" s="9"/>
      <x:c r="F1074" s="2" t="n">
        <x:f>IF(E1074="",D1074,IF(E1074="U","U",IF(AND(ISNUMBER(E1074),E1074&gt;=0,E1074&lt;=3,INT(E1074)=E1074),E1074,"Invalid")))</x:f>
        <x:v>0</x:v>
      </x:c>
      <x:c r="G1074" s="2" t="n">
        <x:f>IF(ISNUMBER(F1074),1,0)</x:f>
        <x:v>1</x:v>
      </x:c>
      <x:c r="H1074" s="2" t="n">
        <x:f>IF(ISNUMBER(F1074),IF(F1074&gt;=2,1,0),0)</x:f>
        <x:v>0</x:v>
      </x:c>
      <x:c r="I1074" s="11" t="n">
        <x:f>IF(ISNUMBER(F1074),2^F1074-1,0)</x:f>
        <x:v>0</x:v>
      </x:c>
      <x:c r="J1074" s="2" t="str">
        <x:v>Extension pre-run 600</x:v>
      </x:c>
      <x:c r="K1074" s="10" t="n">
        <x:v>800</x:v>
      </x:c>
      <x:c r="L1074" s="10" t="n">
        <x:v>0</x:v>
      </x:c>
      <x:c r="M1074" s="10"/>
      <x:c r="N1074" s="2" t="str">
        <x:v>D19</x:v>
      </x:c>
      <x:c r="O1074" s="2" t="str">
        <x:v>hdb flat</x:v>
      </x:c>
      <x:c r="P1074" s="2" t="str">
        <x:v>https://www.propertyguru.com.sg/listing/hdb-for-rent-173b-sengkang-east-drive-500152915</x:v>
      </x:c>
      <x:c r="Q1074" s="12" t="str">
        <x:v>Pre-registered source-rubric-v1; grade applied before outputs.</x:v>
      </x:c>
      <x:c r="R1074" s="13"/>
    </x:row>
    <x:row r="1075" ht="15" hidden="0" customHeight="1">
      <x:c r="A1075" s="2" t="str">
        <x:v>S36|500276723</x:v>
      </x:c>
      <x:c r="B1075" s="2" t="str">
        <x:v>S36</x:v>
      </x:c>
      <x:c r="C1075" s="2" t="str">
        <x:v>500276723</x:v>
      </x:c>
      <x:c r="D1075" s="2" t="n">
        <x:v>0</x:v>
      </x:c>
      <x:c r="E1075" s="9"/>
      <x:c r="F1075" s="2" t="n">
        <x:f>IF(E1075="",D1075,IF(E1075="U","U",IF(AND(ISNUMBER(E1075),E1075&gt;=0,E1075&lt;=3,INT(E1075)=E1075),E1075,"Invalid")))</x:f>
        <x:v>0</x:v>
      </x:c>
      <x:c r="G1075" s="2" t="n">
        <x:f>IF(ISNUMBER(F1075),1,0)</x:f>
        <x:v>1</x:v>
      </x:c>
      <x:c r="H1075" s="2" t="n">
        <x:f>IF(ISNUMBER(F1075),IF(F1075&gt;=2,1,0),0)</x:f>
        <x:v>0</x:v>
      </x:c>
      <x:c r="I1075" s="11" t="n">
        <x:f>IF(ISNUMBER(F1075),2^F1075-1,0)</x:f>
        <x:v>0</x:v>
      </x:c>
      <x:c r="J1075" s="2" t="str">
        <x:v>Extension pre-run 600</x:v>
      </x:c>
      <x:c r="K1075" s="10" t="n">
        <x:v>7299</x:v>
      </x:c>
      <x:c r="L1075" s="10" t="n">
        <x:v>4</x:v>
      </x:c>
      <x:c r="M1075" s="10" t="n">
        <x:v>1518</x:v>
      </x:c>
      <x:c r="N1075" s="2" t="str">
        <x:v>D23</x:v>
      </x:c>
      <x:c r="O1075" s="2" t="str">
        <x:v>condominium</x:v>
      </x:c>
      <x:c r="P1075" s="2" t="str">
        <x:v>https://www.propertyguru.com.sg/listing/for-rent-the-myst-500276723</x:v>
      </x:c>
      <x:c r="Q1075" s="12" t="str">
        <x:v>Pre-registered source-rubric-v1; grade applied before outputs.</x:v>
      </x:c>
      <x:c r="R1075" s="13"/>
    </x:row>
    <x:row r="1076" ht="15" hidden="0" customHeight="1">
      <x:c r="A1076" s="2" t="str">
        <x:v>S36|60041894</x:v>
      </x:c>
      <x:c r="B1076" s="2" t="str">
        <x:v>S36</x:v>
      </x:c>
      <x:c r="C1076" s="2" t="str">
        <x:v>60041894</x:v>
      </x:c>
      <x:c r="D1076" s="2" t="n">
        <x:v>0</x:v>
      </x:c>
      <x:c r="E1076" s="9"/>
      <x:c r="F1076" s="2" t="n">
        <x:f>IF(E1076="",D1076,IF(E1076="U","U",IF(AND(ISNUMBER(E1076),E1076&gt;=0,E1076&lt;=3,INT(E1076)=E1076),E1076,"Invalid")))</x:f>
        <x:v>0</x:v>
      </x:c>
      <x:c r="G1076" s="2" t="n">
        <x:f>IF(ISNUMBER(F1076),1,0)</x:f>
        <x:v>1</x:v>
      </x:c>
      <x:c r="H1076" s="2" t="n">
        <x:f>IF(ISNUMBER(F1076),IF(F1076&gt;=2,1,0),0)</x:f>
        <x:v>0</x:v>
      </x:c>
      <x:c r="I1076" s="11" t="n">
        <x:f>IF(ISNUMBER(F1076),2^F1076-1,0)</x:f>
        <x:v>0</x:v>
      </x:c>
      <x:c r="J1076" s="2" t="str">
        <x:v>Extension pre-run 600</x:v>
      </x:c>
      <x:c r="K1076" s="10" t="n">
        <x:v>5850</x:v>
      </x:c>
      <x:c r="L1076" s="10" t="n">
        <x:v>3</x:v>
      </x:c>
      <x:c r="M1076" s="10" t="n">
        <x:v>1591</x:v>
      </x:c>
      <x:c r="N1076" s="2" t="str">
        <x:v>D09</x:v>
      </x:c>
      <x:c r="O1076" s="2" t="str">
        <x:v>apartment</x:v>
      </x:c>
      <x:c r="P1076" s="2" t="str">
        <x:v>https://www.propertyguru.com.sg/listing/for-rent-cavenagh-lodge-60041894</x:v>
      </x:c>
      <x:c r="Q1076" s="12" t="str">
        <x:v>Pre-registered source-rubric-v1; grade applied before outputs.</x:v>
      </x:c>
      <x:c r="R1076" s="13"/>
    </x:row>
    <x:row r="1077" ht="15" hidden="0" customHeight="1">
      <x:c r="A1077" s="2" t="str">
        <x:v>S36|25551534</x:v>
      </x:c>
      <x:c r="B1077" s="2" t="str">
        <x:v>S36</x:v>
      </x:c>
      <x:c r="C1077" s="2" t="str">
        <x:v>25551534</x:v>
      </x:c>
      <x:c r="D1077" s="2" t="n">
        <x:v>0</x:v>
      </x:c>
      <x:c r="E1077" s="9"/>
      <x:c r="F1077" s="2" t="n">
        <x:f>IF(E1077="",D1077,IF(E1077="U","U",IF(AND(ISNUMBER(E1077),E1077&gt;=0,E1077&lt;=3,INT(E1077)=E1077),E1077,"Invalid")))</x:f>
        <x:v>0</x:v>
      </x:c>
      <x:c r="G1077" s="2" t="n">
        <x:f>IF(ISNUMBER(F1077),1,0)</x:f>
        <x:v>1</x:v>
      </x:c>
      <x:c r="H1077" s="2" t="n">
        <x:f>IF(ISNUMBER(F1077),IF(F1077&gt;=2,1,0),0)</x:f>
        <x:v>0</x:v>
      </x:c>
      <x:c r="I1077" s="11" t="n">
        <x:f>IF(ISNUMBER(F1077),2^F1077-1,0)</x:f>
        <x:v>0</x:v>
      </x:c>
      <x:c r="J1077" s="2" t="str">
        <x:v>Extension pre-run 600</x:v>
      </x:c>
      <x:c r="K1077" s="10" t="n">
        <x:v>950</x:v>
      </x:c>
      <x:c r="L1077" s="10" t="n">
        <x:v>0</x:v>
      </x:c>
      <x:c r="M1077" s="10"/>
      <x:c r="N1077" s="2" t="str">
        <x:v>D20</x:v>
      </x:c>
      <x:c r="O1077" s="2" t="str">
        <x:v>hdb flat</x:v>
      </x:c>
      <x:c r="P1077" s="2" t="str">
        <x:v>https://www.propertyguru.com.sg/listing/hdb-for-rent-445-sin-ming-avenue-25551534</x:v>
      </x:c>
      <x:c r="Q1077" s="12" t="str">
        <x:v>Pre-registered source-rubric-v1; grade applied before outputs.</x:v>
      </x:c>
      <x:c r="R1077" s="13"/>
    </x:row>
    <x:row r="1078" ht="15" hidden="0" customHeight="1">
      <x:c r="A1078" s="2" t="str">
        <x:v>S36|20295746</x:v>
      </x:c>
      <x:c r="B1078" s="2" t="str">
        <x:v>S36</x:v>
      </x:c>
      <x:c r="C1078" s="2" t="str">
        <x:v>20295746</x:v>
      </x:c>
      <x:c r="D1078" s="2" t="n">
        <x:v>0</x:v>
      </x:c>
      <x:c r="E1078" s="9"/>
      <x:c r="F1078" s="2" t="n">
        <x:f>IF(E1078="",D1078,IF(E1078="U","U",IF(AND(ISNUMBER(E1078),E1078&gt;=0,E1078&lt;=3,INT(E1078)=E1078),E1078,"Invalid")))</x:f>
        <x:v>0</x:v>
      </x:c>
      <x:c r="G1078" s="2" t="n">
        <x:f>IF(ISNUMBER(F1078),1,0)</x:f>
        <x:v>1</x:v>
      </x:c>
      <x:c r="H1078" s="2" t="n">
        <x:f>IF(ISNUMBER(F1078),IF(F1078&gt;=2,1,0),0)</x:f>
        <x:v>0</x:v>
      </x:c>
      <x:c r="I1078" s="11" t="n">
        <x:f>IF(ISNUMBER(F1078),2^F1078-1,0)</x:f>
        <x:v>0</x:v>
      </x:c>
      <x:c r="J1078" s="2" t="str">
        <x:v>Extension pre-run 600</x:v>
      </x:c>
      <x:c r="K1078" s="10" t="n">
        <x:v>20000</x:v>
      </x:c>
      <x:c r="L1078" s="10" t="n">
        <x:v>4</x:v>
      </x:c>
      <x:c r="M1078" s="10" t="n">
        <x:v>4908</x:v>
      </x:c>
      <x:c r="N1078" s="2" t="str">
        <x:v>D10</x:v>
      </x:c>
      <x:c r="O1078" s="2" t="str">
        <x:v>apartment</x:v>
      </x:c>
      <x:c r="P1078" s="2" t="str">
        <x:v>https://www.propertyguru.com.sg/listing/for-rent-the-oliv-balmoral-20295746</x:v>
      </x:c>
      <x:c r="Q1078" s="12" t="str">
        <x:v>Pre-registered source-rubric-v1; grade applied before outputs.</x:v>
      </x:c>
      <x:c r="R1078" s="13"/>
    </x:row>
    <x:row r="1079" ht="15" hidden="0" customHeight="1">
      <x:c r="A1079" s="2" t="str">
        <x:v>S36|500229374</x:v>
      </x:c>
      <x:c r="B1079" s="2" t="str">
        <x:v>S36</x:v>
      </x:c>
      <x:c r="C1079" s="2" t="str">
        <x:v>500229374</x:v>
      </x:c>
      <x:c r="D1079" s="2" t="n">
        <x:v>0</x:v>
      </x:c>
      <x:c r="E1079" s="9"/>
      <x:c r="F1079" s="2" t="n">
        <x:f>IF(E1079="",D1079,IF(E1079="U","U",IF(AND(ISNUMBER(E1079),E1079&gt;=0,E1079&lt;=3,INT(E1079)=E1079),E1079,"Invalid")))</x:f>
        <x:v>0</x:v>
      </x:c>
      <x:c r="G1079" s="2" t="n">
        <x:f>IF(ISNUMBER(F1079),1,0)</x:f>
        <x:v>1</x:v>
      </x:c>
      <x:c r="H1079" s="2" t="n">
        <x:f>IF(ISNUMBER(F1079),IF(F1079&gt;=2,1,0),0)</x:f>
        <x:v>0</x:v>
      </x:c>
      <x:c r="I1079" s="11" t="n">
        <x:f>IF(ISNUMBER(F1079),2^F1079-1,0)</x:f>
        <x:v>0</x:v>
      </x:c>
      <x:c r="J1079" s="2" t="str">
        <x:v>Extension pre-run 600</x:v>
      </x:c>
      <x:c r="K1079" s="10" t="n">
        <x:v>700</x:v>
      </x:c>
      <x:c r="L1079" s="10" t="n">
        <x:v>0</x:v>
      </x:c>
      <x:c r="M1079" s="10"/>
      <x:c r="N1079" s="2" t="str">
        <x:v>D23</x:v>
      </x:c>
      <x:c r="O1079" s="2" t="str">
        <x:v>hdb flat</x:v>
      </x:c>
      <x:c r="P1079" s="2" t="str">
        <x:v>https://www.propertyguru.com.sg/listing/hdb-for-rent-413-saujana-road-500229374</x:v>
      </x:c>
      <x:c r="Q1079" s="12" t="str">
        <x:v>Pre-registered source-rubric-v1; grade applied before outputs.</x:v>
      </x:c>
      <x:c r="R1079" s="13"/>
    </x:row>
    <x:row r="1080" ht="15" hidden="0" customHeight="1">
      <x:c r="A1080" s="2" t="str">
        <x:v>S36|18296016</x:v>
      </x:c>
      <x:c r="B1080" s="2" t="str">
        <x:v>S36</x:v>
      </x:c>
      <x:c r="C1080" s="2" t="str">
        <x:v>18296016</x:v>
      </x:c>
      <x:c r="D1080" s="2" t="n">
        <x:v>0</x:v>
      </x:c>
      <x:c r="E1080" s="9"/>
      <x:c r="F1080" s="2" t="n">
        <x:f>IF(E1080="",D1080,IF(E1080="U","U",IF(AND(ISNUMBER(E1080),E1080&gt;=0,E1080&lt;=3,INT(E1080)=E1080),E1080,"Invalid")))</x:f>
        <x:v>0</x:v>
      </x:c>
      <x:c r="G1080" s="2" t="n">
        <x:f>IF(ISNUMBER(F1080),1,0)</x:f>
        <x:v>1</x:v>
      </x:c>
      <x:c r="H1080" s="2" t="n">
        <x:f>IF(ISNUMBER(F1080),IF(F1080&gt;=2,1,0),0)</x:f>
        <x:v>0</x:v>
      </x:c>
      <x:c r="I1080" s="11" t="n">
        <x:f>IF(ISNUMBER(F1080),2^F1080-1,0)</x:f>
        <x:v>0</x:v>
      </x:c>
      <x:c r="J1080" s="2" t="str">
        <x:v>Extension pre-run 600</x:v>
      </x:c>
      <x:c r="K1080" s="10" t="n">
        <x:v>7600</x:v>
      </x:c>
      <x:c r="L1080" s="10" t="n">
        <x:v>3</x:v>
      </x:c>
      <x:c r="M1080" s="10" t="n">
        <x:v>1281</x:v>
      </x:c>
      <x:c r="N1080" s="2" t="str">
        <x:v>D03</x:v>
      </x:c>
      <x:c r="O1080" s="2" t="str">
        <x:v>condominium</x:v>
      </x:c>
      <x:c r="P1080" s="2" t="str">
        <x:v>https://www.propertyguru.com.sg/listing/for-rent-the-regency-at-tiong-bahru-18296016</x:v>
      </x:c>
      <x:c r="Q1080" s="12" t="str">
        <x:v>Pre-registered source-rubric-v1; grade applied before outputs.</x:v>
      </x:c>
      <x:c r="R1080" s="13"/>
    </x:row>
    <x:row r="1081" ht="15" hidden="0" customHeight="1">
      <x:c r="A1081" s="2" t="str">
        <x:v>S36|500242909</x:v>
      </x:c>
      <x:c r="B1081" s="2" t="str">
        <x:v>S36</x:v>
      </x:c>
      <x:c r="C1081" s="2" t="str">
        <x:v>500242909</x:v>
      </x:c>
      <x:c r="D1081" s="2" t="n">
        <x:v>0</x:v>
      </x:c>
      <x:c r="E1081" s="9"/>
      <x:c r="F1081" s="2" t="n">
        <x:f>IF(E1081="",D1081,IF(E1081="U","U",IF(AND(ISNUMBER(E1081),E1081&gt;=0,E1081&lt;=3,INT(E1081)=E1081),E1081,"Invalid")))</x:f>
        <x:v>0</x:v>
      </x:c>
      <x:c r="G1081" s="2" t="n">
        <x:f>IF(ISNUMBER(F1081),1,0)</x:f>
        <x:v>1</x:v>
      </x:c>
      <x:c r="H1081" s="2" t="n">
        <x:f>IF(ISNUMBER(F1081),IF(F1081&gt;=2,1,0),0)</x:f>
        <x:v>0</x:v>
      </x:c>
      <x:c r="I1081" s="11" t="n">
        <x:f>IF(ISNUMBER(F1081),2^F1081-1,0)</x:f>
        <x:v>0</x:v>
      </x:c>
      <x:c r="J1081" s="2" t="str">
        <x:v>Extension pre-run 600</x:v>
      </x:c>
      <x:c r="K1081" s="10" t="n">
        <x:v>1200</x:v>
      </x:c>
      <x:c r="L1081" s="10" t="n">
        <x:v>0</x:v>
      </x:c>
      <x:c r="M1081" s="10"/>
      <x:c r="N1081" s="2" t="str">
        <x:v>D09</x:v>
      </x:c>
      <x:c r="O1081" s="2" t="str">
        <x:v>apartment</x:v>
      </x:c>
      <x:c r="P1081" s="2" t="str">
        <x:v>https://www.propertyguru.com.sg/listing/for-rent-the-mkz-500242909</x:v>
      </x:c>
      <x:c r="Q1081" s="12" t="str">
        <x:v>Pre-registered source-rubric-v1; grade applied before outputs.</x:v>
      </x:c>
      <x:c r="R1081" s="13"/>
    </x:row>
    <x:row r="1082" ht="15" hidden="0" customHeight="1">
      <x:c r="A1082" s="2" t="str">
        <x:v>S36|500260424</x:v>
      </x:c>
      <x:c r="B1082" s="2" t="str">
        <x:v>S36</x:v>
      </x:c>
      <x:c r="C1082" s="2" t="str">
        <x:v>500260424</x:v>
      </x:c>
      <x:c r="D1082" s="2" t="n">
        <x:v>0</x:v>
      </x:c>
      <x:c r="E1082" s="9"/>
      <x:c r="F1082" s="2" t="n">
        <x:f>IF(E1082="",D1082,IF(E1082="U","U",IF(AND(ISNUMBER(E1082),E1082&gt;=0,E1082&lt;=3,INT(E1082)=E1082),E1082,"Invalid")))</x:f>
        <x:v>0</x:v>
      </x:c>
      <x:c r="G1082" s="2" t="n">
        <x:f>IF(ISNUMBER(F1082),1,0)</x:f>
        <x:v>1</x:v>
      </x:c>
      <x:c r="H1082" s="2" t="n">
        <x:f>IF(ISNUMBER(F1082),IF(F1082&gt;=2,1,0),0)</x:f>
        <x:v>0</x:v>
      </x:c>
      <x:c r="I1082" s="11" t="n">
        <x:f>IF(ISNUMBER(F1082),2^F1082-1,0)</x:f>
        <x:v>0</x:v>
      </x:c>
      <x:c r="J1082" s="2" t="str">
        <x:v>Extension pre-run 600</x:v>
      </x:c>
      <x:c r="K1082" s="10" t="n">
        <x:v>2950</x:v>
      </x:c>
      <x:c r="L1082" s="10" t="n">
        <x:v>2</x:v>
      </x:c>
      <x:c r="M1082" s="10" t="n">
        <x:v>797</x:v>
      </x:c>
      <x:c r="N1082" s="2" t="str">
        <x:v>D27</x:v>
      </x:c>
      <x:c r="O1082" s="2" t="str">
        <x:v>hdb flat</x:v>
      </x:c>
      <x:c r="P1082" s="2" t="str">
        <x:v>https://www.propertyguru.com.sg/listing/hdb-for-rent-778-yishun-avenue-2-500260424</x:v>
      </x:c>
      <x:c r="Q1082" s="12" t="str">
        <x:v>Pre-registered source-rubric-v1; grade applied before outputs.</x:v>
      </x:c>
      <x:c r="R1082" s="13"/>
    </x:row>
    <x:row r="1083" ht="15" hidden="0" customHeight="1">
      <x:c r="A1083" s="2" t="str">
        <x:v>S36|24364101</x:v>
      </x:c>
      <x:c r="B1083" s="2" t="str">
        <x:v>S36</x:v>
      </x:c>
      <x:c r="C1083" s="2" t="str">
        <x:v>24364101</x:v>
      </x:c>
      <x:c r="D1083" s="2" t="str">
        <x:v>U</x:v>
      </x:c>
      <x:c r="E1083" s="9"/>
      <x:c r="F1083" s="2" t="str">
        <x:f>IF(E1083="",D1083,IF(E1083="U","U",IF(AND(ISNUMBER(E1083),E1083&gt;=0,E1083&lt;=3,INT(E1083)=E1083),E1083,"Invalid")))</x:f>
        <x:v>U</x:v>
      </x:c>
      <x:c r="G1083" s="2" t="n">
        <x:f>IF(ISNUMBER(F1083),1,0)</x:f>
        <x:v>0</x:v>
      </x:c>
      <x:c r="H1083" s="2" t="n">
        <x:f>IF(ISNUMBER(F1083),IF(F1083&gt;=2,1,0),0)</x:f>
        <x:v>0</x:v>
      </x:c>
      <x:c r="I1083" s="11" t="n">
        <x:f>IF(ISNUMBER(F1083),2^F1083-1,0)</x:f>
        <x:v>0</x:v>
      </x:c>
      <x:c r="J1083" s="2" t="str">
        <x:v>Extension pre-run 600</x:v>
      </x:c>
      <x:c r="K1083" s="10" t="n">
        <x:v>2000</x:v>
      </x:c>
      <x:c r="L1083" s="10"/>
      <x:c r="M1083" s="10" t="n">
        <x:v>250</x:v>
      </x:c>
      <x:c r="N1083" s="2" t="str">
        <x:v>D10</x:v>
      </x:c>
      <x:c r="O1083" s="2" t="str">
        <x:v>apartment</x:v>
      </x:c>
      <x:c r="P1083" s="2" t="str">
        <x:v>https://www.propertyguru.com.sg/listing/for-rent-coliwoo-lutheran-convenient-for-nus-curtin-student-24364101</x:v>
      </x:c>
      <x:c r="Q1083" s="12" t="str">
        <x:v>Pre-registered source-rubric-v1; grade applied before outputs.</x:v>
      </x:c>
      <x:c r="R1083" s="13"/>
    </x:row>
    <x:row r="1084" ht="15" hidden="0" customHeight="1">
      <x:c r="A1084" s="2" t="str">
        <x:v>S36|500119189</x:v>
      </x:c>
      <x:c r="B1084" s="2" t="str">
        <x:v>S36</x:v>
      </x:c>
      <x:c r="C1084" s="2" t="str">
        <x:v>500119189</x:v>
      </x:c>
      <x:c r="D1084" s="2" t="str">
        <x:v>U</x:v>
      </x:c>
      <x:c r="E1084" s="9"/>
      <x:c r="F1084" s="2" t="str">
        <x:f>IF(E1084="",D1084,IF(E1084="U","U",IF(AND(ISNUMBER(E1084),E1084&gt;=0,E1084&lt;=3,INT(E1084)=E1084),E1084,"Invalid")))</x:f>
        <x:v>U</x:v>
      </x:c>
      <x:c r="G1084" s="2" t="n">
        <x:f>IF(ISNUMBER(F1084),1,0)</x:f>
        <x:v>0</x:v>
      </x:c>
      <x:c r="H1084" s="2" t="n">
        <x:f>IF(ISNUMBER(F1084),IF(F1084&gt;=2,1,0),0)</x:f>
        <x:v>0</x:v>
      </x:c>
      <x:c r="I1084" s="11" t="n">
        <x:f>IF(ISNUMBER(F1084),2^F1084-1,0)</x:f>
        <x:v>0</x:v>
      </x:c>
      <x:c r="J1084" s="2" t="str">
        <x:v>Extension pre-run 600</x:v>
      </x:c>
      <x:c r="K1084" s="10" t="n">
        <x:v>2000</x:v>
      </x:c>
      <x:c r="L1084" s="10"/>
      <x:c r="M1084" s="10" t="n">
        <x:v>240</x:v>
      </x:c>
      <x:c r="N1084" s="2" t="str">
        <x:v>D10</x:v>
      </x:c>
      <x:c r="O1084" s="2" t="str">
        <x:v>apartment</x:v>
      </x:c>
      <x:c r="P1084" s="2" t="str">
        <x:v>https://www.propertyguru.com.sg/listing/for-rent-coliwoo-lutheran-suites-prime-location-near-nus-sim-curtin-no-agent-fee-500119189</x:v>
      </x:c>
      <x:c r="Q1084" s="12" t="str">
        <x:v>Pre-registered source-rubric-v1; grade applied before outputs.</x:v>
      </x:c>
      <x:c r="R1084" s="13"/>
    </x:row>
    <x:row r="1085" ht="15" hidden="0" customHeight="1">
      <x:c r="A1085" s="2" t="str">
        <x:v>S36|500155897</x:v>
      </x:c>
      <x:c r="B1085" s="2" t="str">
        <x:v>S36</x:v>
      </x:c>
      <x:c r="C1085" s="2" t="str">
        <x:v>500155897</x:v>
      </x:c>
      <x:c r="D1085" s="2" t="n">
        <x:v>0</x:v>
      </x:c>
      <x:c r="E1085" s="9"/>
      <x:c r="F1085" s="2" t="n">
        <x:f>IF(E1085="",D1085,IF(E1085="U","U",IF(AND(ISNUMBER(E1085),E1085&gt;=0,E1085&lt;=3,INT(E1085)=E1085),E1085,"Invalid")))</x:f>
        <x:v>0</x:v>
      </x:c>
      <x:c r="G1085" s="2" t="n">
        <x:f>IF(ISNUMBER(F1085),1,0)</x:f>
        <x:v>1</x:v>
      </x:c>
      <x:c r="H1085" s="2" t="n">
        <x:f>IF(ISNUMBER(F1085),IF(F1085&gt;=2,1,0),0)</x:f>
        <x:v>0</x:v>
      </x:c>
      <x:c r="I1085" s="11" t="n">
        <x:f>IF(ISNUMBER(F1085),2^F1085-1,0)</x:f>
        <x:v>0</x:v>
      </x:c>
      <x:c r="J1085" s="2" t="str">
        <x:v>Extension pre-run 600</x:v>
      </x:c>
      <x:c r="K1085" s="10" t="n">
        <x:v>1280</x:v>
      </x:c>
      <x:c r="L1085" s="10" t="n">
        <x:v>0</x:v>
      </x:c>
      <x:c r="M1085" s="10"/>
      <x:c r="N1085" s="2" t="str">
        <x:v>D19</x:v>
      </x:c>
      <x:c r="O1085" s="2" t="str">
        <x:v>hdb flat</x:v>
      </x:c>
      <x:c r="P1085" s="2" t="str">
        <x:v>https://www.propertyguru.com.sg/listing/hdb-for-rent-701-hougang-avenue-2-500155897</x:v>
      </x:c>
      <x:c r="Q1085" s="12" t="str">
        <x:v>Pre-registered source-rubric-v1; grade applied before outputs.</x:v>
      </x:c>
      <x:c r="R1085" s="13"/>
    </x:row>
    <x:row r="1086" ht="15" hidden="0" customHeight="1">
      <x:c r="A1086" s="2" t="str">
        <x:v>S36|500275790</x:v>
      </x:c>
      <x:c r="B1086" s="2" t="str">
        <x:v>S36</x:v>
      </x:c>
      <x:c r="C1086" s="2" t="str">
        <x:v>500275790</x:v>
      </x:c>
      <x:c r="D1086" s="2" t="n">
        <x:v>0</x:v>
      </x:c>
      <x:c r="E1086" s="9"/>
      <x:c r="F1086" s="2" t="n">
        <x:f>IF(E1086="",D1086,IF(E1086="U","U",IF(AND(ISNUMBER(E1086),E1086&gt;=0,E1086&lt;=3,INT(E1086)=E1086),E1086,"Invalid")))</x:f>
        <x:v>0</x:v>
      </x:c>
      <x:c r="G1086" s="2" t="n">
        <x:f>IF(ISNUMBER(F1086),1,0)</x:f>
        <x:v>1</x:v>
      </x:c>
      <x:c r="H1086" s="2" t="n">
        <x:f>IF(ISNUMBER(F1086),IF(F1086&gt;=2,1,0),0)</x:f>
        <x:v>0</x:v>
      </x:c>
      <x:c r="I1086" s="11" t="n">
        <x:f>IF(ISNUMBER(F1086),2^F1086-1,0)</x:f>
        <x:v>0</x:v>
      </x:c>
      <x:c r="J1086" s="2" t="str">
        <x:v>Extension pre-run 600</x:v>
      </x:c>
      <x:c r="K1086" s="10" t="n">
        <x:v>3400</x:v>
      </x:c>
      <x:c r="L1086" s="10" t="n">
        <x:v>2</x:v>
      </x:c>
      <x:c r="M1086" s="10" t="n">
        <x:v>753</x:v>
      </x:c>
      <x:c r="N1086" s="2" t="str">
        <x:v>D19</x:v>
      </x:c>
      <x:c r="O1086" s="2" t="str">
        <x:v>hdb flat</x:v>
      </x:c>
      <x:c r="P1086" s="2" t="str">
        <x:v>https://www.propertyguru.com.sg/listing/hdb-for-rent-601a-punggol-central-500275790</x:v>
      </x:c>
      <x:c r="Q1086" s="12" t="str">
        <x:v>Pre-registered source-rubric-v1; grade applied before outputs.</x:v>
      </x:c>
      <x:c r="R1086" s="13"/>
    </x:row>
    <x:row r="1087" ht="15" hidden="0" customHeight="1">
      <x:c r="A1087" s="2" t="str">
        <x:v>S36|500165426</x:v>
      </x:c>
      <x:c r="B1087" s="2" t="str">
        <x:v>S36</x:v>
      </x:c>
      <x:c r="C1087" s="2" t="str">
        <x:v>500165426</x:v>
      </x:c>
      <x:c r="D1087" s="2" t="n">
        <x:v>0</x:v>
      </x:c>
      <x:c r="E1087" s="9"/>
      <x:c r="F1087" s="2" t="n">
        <x:f>IF(E1087="",D1087,IF(E1087="U","U",IF(AND(ISNUMBER(E1087),E1087&gt;=0,E1087&lt;=3,INT(E1087)=E1087),E1087,"Invalid")))</x:f>
        <x:v>0</x:v>
      </x:c>
      <x:c r="G1087" s="2" t="n">
        <x:f>IF(ISNUMBER(F1087),1,0)</x:f>
        <x:v>1</x:v>
      </x:c>
      <x:c r="H1087" s="2" t="n">
        <x:f>IF(ISNUMBER(F1087),IF(F1087&gt;=2,1,0),0)</x:f>
        <x:v>0</x:v>
      </x:c>
      <x:c r="I1087" s="11" t="n">
        <x:f>IF(ISNUMBER(F1087),2^F1087-1,0)</x:f>
        <x:v>0</x:v>
      </x:c>
      <x:c r="J1087" s="2" t="str">
        <x:v>Extension pre-run 600</x:v>
      </x:c>
      <x:c r="K1087" s="10" t="n">
        <x:v>1000</x:v>
      </x:c>
      <x:c r="L1087" s="10" t="n">
        <x:v>0</x:v>
      </x:c>
      <x:c r="M1087" s="10"/>
      <x:c r="N1087" s="2" t="str">
        <x:v>D16</x:v>
      </x:c>
      <x:c r="O1087" s="2" t="str">
        <x:v>hdb flat</x:v>
      </x:c>
      <x:c r="P1087" s="2" t="str">
        <x:v>https://www.propertyguru.com.sg/listing/hdb-for-rent-602-bedok-reservoir-road-500165426</x:v>
      </x:c>
      <x:c r="Q1087" s="12" t="str">
        <x:v>Pre-registered source-rubric-v1; grade applied before outputs.</x:v>
      </x:c>
      <x:c r="R1087" s="13"/>
    </x:row>
    <x:row r="1088" ht="15" hidden="0" customHeight="1">
      <x:c r="A1088" s="2" t="str">
        <x:v>S36|25179538</x:v>
      </x:c>
      <x:c r="B1088" s="2" t="str">
        <x:v>S36</x:v>
      </x:c>
      <x:c r="C1088" s="2" t="str">
        <x:v>25179538</x:v>
      </x:c>
      <x:c r="D1088" s="2" t="n">
        <x:v>0</x:v>
      </x:c>
      <x:c r="E1088" s="9"/>
      <x:c r="F1088" s="2" t="n">
        <x:f>IF(E1088="",D1088,IF(E1088="U","U",IF(AND(ISNUMBER(E1088),E1088&gt;=0,E1088&lt;=3,INT(E1088)=E1088),E1088,"Invalid")))</x:f>
        <x:v>0</x:v>
      </x:c>
      <x:c r="G1088" s="2" t="n">
        <x:f>IF(ISNUMBER(F1088),1,0)</x:f>
        <x:v>1</x:v>
      </x:c>
      <x:c r="H1088" s="2" t="n">
        <x:f>IF(ISNUMBER(F1088),IF(F1088&gt;=2,1,0),0)</x:f>
        <x:v>0</x:v>
      </x:c>
      <x:c r="I1088" s="11" t="n">
        <x:f>IF(ISNUMBER(F1088),2^F1088-1,0)</x:f>
        <x:v>0</x:v>
      </x:c>
      <x:c r="J1088" s="2" t="str">
        <x:v>Extension pre-run 600</x:v>
      </x:c>
      <x:c r="K1088" s="10" t="n">
        <x:v>20000</x:v>
      </x:c>
      <x:c r="L1088" s="10" t="n">
        <x:v>4</x:v>
      </x:c>
      <x:c r="M1088" s="10" t="n">
        <x:v>3348</x:v>
      </x:c>
      <x:c r="N1088" s="2" t="str">
        <x:v>D09</x:v>
      </x:c>
      <x:c r="O1088" s="2" t="str">
        <x:v>condominium</x:v>
      </x:c>
      <x:c r="P1088" s="2" t="str">
        <x:v>https://www.propertyguru.com.sg/listing/for-rent-the-claymore-25179538</x:v>
      </x:c>
      <x:c r="Q1088" s="12" t="str">
        <x:v>Pre-registered source-rubric-v1; grade applied before outputs.</x:v>
      </x:c>
      <x:c r="R1088" s="13"/>
    </x:row>
    <x:row r="1089" ht="15" hidden="0" customHeight="1">
      <x:c r="A1089" s="2" t="str">
        <x:v>S36|500117459</x:v>
      </x:c>
      <x:c r="B1089" s="2" t="str">
        <x:v>S36</x:v>
      </x:c>
      <x:c r="C1089" s="2" t="str">
        <x:v>500117459</x:v>
      </x:c>
      <x:c r="D1089" s="2" t="n">
        <x:v>0</x:v>
      </x:c>
      <x:c r="E1089" s="9"/>
      <x:c r="F1089" s="2" t="n">
        <x:f>IF(E1089="",D1089,IF(E1089="U","U",IF(AND(ISNUMBER(E1089),E1089&gt;=0,E1089&lt;=3,INT(E1089)=E1089),E1089,"Invalid")))</x:f>
        <x:v>0</x:v>
      </x:c>
      <x:c r="G1089" s="2" t="n">
        <x:f>IF(ISNUMBER(F1089),1,0)</x:f>
        <x:v>1</x:v>
      </x:c>
      <x:c r="H1089" s="2" t="n">
        <x:f>IF(ISNUMBER(F1089),IF(F1089&gt;=2,1,0),0)</x:f>
        <x:v>0</x:v>
      </x:c>
      <x:c r="I1089" s="11" t="n">
        <x:f>IF(ISNUMBER(F1089),2^F1089-1,0)</x:f>
        <x:v>0</x:v>
      </x:c>
      <x:c r="J1089" s="2" t="str">
        <x:v>Extension pre-run 600</x:v>
      </x:c>
      <x:c r="K1089" s="10" t="n">
        <x:v>40000</x:v>
      </x:c>
      <x:c r="L1089" s="10" t="n">
        <x:v>5</x:v>
      </x:c>
      <x:c r="M1089" s="10" t="n">
        <x:v>7000</x:v>
      </x:c>
      <x:c r="N1089" s="2" t="str">
        <x:v>D10</x:v>
      </x:c>
      <x:c r="O1089" s="2" t="str">
        <x:v>good class bungalow</x:v>
      </x:c>
      <x:c r="P1089" s="2" t="str">
        <x:v>https://www.propertyguru.com.sg/listing/for-rent-ford-avenue-500117459</x:v>
      </x:c>
      <x:c r="Q1089" s="12" t="str">
        <x:v>Pre-registered source-rubric-v1; grade applied before outputs.</x:v>
      </x:c>
      <x:c r="R1089" s="13"/>
    </x:row>
    <x:row r="1090" ht="15" hidden="0" customHeight="1">
      <x:c r="A1090" s="2" t="str">
        <x:v>S36|21345080</x:v>
      </x:c>
      <x:c r="B1090" s="2" t="str">
        <x:v>S36</x:v>
      </x:c>
      <x:c r="C1090" s="2" t="str">
        <x:v>21345080</x:v>
      </x:c>
      <x:c r="D1090" s="2" t="n">
        <x:v>0</x:v>
      </x:c>
      <x:c r="E1090" s="9"/>
      <x:c r="F1090" s="2" t="n">
        <x:f>IF(E1090="",D1090,IF(E1090="U","U",IF(AND(ISNUMBER(E1090),E1090&gt;=0,E1090&lt;=3,INT(E1090)=E1090),E1090,"Invalid")))</x:f>
        <x:v>0</x:v>
      </x:c>
      <x:c r="G1090" s="2" t="n">
        <x:f>IF(ISNUMBER(F1090),1,0)</x:f>
        <x:v>1</x:v>
      </x:c>
      <x:c r="H1090" s="2" t="n">
        <x:f>IF(ISNUMBER(F1090),IF(F1090&gt;=2,1,0),0)</x:f>
        <x:v>0</x:v>
      </x:c>
      <x:c r="I1090" s="11" t="n">
        <x:f>IF(ISNUMBER(F1090),2^F1090-1,0)</x:f>
        <x:v>0</x:v>
      </x:c>
      <x:c r="J1090" s="2" t="str">
        <x:v>Extension pre-run 600</x:v>
      </x:c>
      <x:c r="K1090" s="10" t="n">
        <x:v>10800</x:v>
      </x:c>
      <x:c r="L1090" s="10" t="n">
        <x:v>8</x:v>
      </x:c>
      <x:c r="M1090" s="10" t="n">
        <x:v>5800</x:v>
      </x:c>
      <x:c r="N1090" s="2" t="str">
        <x:v>D15</x:v>
      </x:c>
      <x:c r="O1090" s="2" t="str">
        <x:v>semi-detached house</x:v>
      </x:c>
      <x:c r="P1090" s="2" t="str">
        <x:v>https://www.propertyguru.com.sg/listing/for-rent-lor-g-telok-kurau-21345080</x:v>
      </x:c>
      <x:c r="Q1090" s="12" t="str">
        <x:v>Pre-registered source-rubric-v1; grade applied before outputs.</x:v>
      </x:c>
      <x:c r="R1090" s="13"/>
    </x:row>
    <x:row r="1091" ht="15" hidden="0" customHeight="1">
      <x:c r="A1091" s="2" t="str">
        <x:v>S36|500278919</x:v>
      </x:c>
      <x:c r="B1091" s="2" t="str">
        <x:v>S36</x:v>
      </x:c>
      <x:c r="C1091" s="2" t="str">
        <x:v>500278919</x:v>
      </x:c>
      <x:c r="D1091" s="2" t="n">
        <x:v>0</x:v>
      </x:c>
      <x:c r="E1091" s="9"/>
      <x:c r="F1091" s="2" t="n">
        <x:f>IF(E1091="",D1091,IF(E1091="U","U",IF(AND(ISNUMBER(E1091),E1091&gt;=0,E1091&lt;=3,INT(E1091)=E1091),E1091,"Invalid")))</x:f>
        <x:v>0</x:v>
      </x:c>
      <x:c r="G1091" s="2" t="n">
        <x:f>IF(ISNUMBER(F1091),1,0)</x:f>
        <x:v>1</x:v>
      </x:c>
      <x:c r="H1091" s="2" t="n">
        <x:f>IF(ISNUMBER(F1091),IF(F1091&gt;=2,1,0),0)</x:f>
        <x:v>0</x:v>
      </x:c>
      <x:c r="I1091" s="11" t="n">
        <x:f>IF(ISNUMBER(F1091),2^F1091-1,0)</x:f>
        <x:v>0</x:v>
      </x:c>
      <x:c r="J1091" s="2" t="str">
        <x:v>Extension pre-run 600</x:v>
      </x:c>
      <x:c r="K1091" s="10" t="n">
        <x:v>4388</x:v>
      </x:c>
      <x:c r="L1091" s="10" t="n">
        <x:v>1</x:v>
      </x:c>
      <x:c r="M1091" s="10" t="n">
        <x:v>581</x:v>
      </x:c>
      <x:c r="N1091" s="2" t="str">
        <x:v>D15</x:v>
      </x:c>
      <x:c r="O1091" s="2" t="str">
        <x:v>condominium</x:v>
      </x:c>
      <x:c r="P1091" s="2" t="str">
        <x:v>https://www.propertyguru.com.sg/listing/for-rent-grand-dunman-500278919</x:v>
      </x:c>
      <x:c r="Q1091" s="12" t="str">
        <x:v>Pre-registered source-rubric-v1; grade applied before outputs.</x:v>
      </x:c>
      <x:c r="R1091" s="13"/>
    </x:row>
    <x:row r="1092" ht="15" hidden="0" customHeight="1">
      <x:c r="A1092" s="2" t="str">
        <x:v>S36|21326192</x:v>
      </x:c>
      <x:c r="B1092" s="2" t="str">
        <x:v>S36</x:v>
      </x:c>
      <x:c r="C1092" s="2" t="str">
        <x:v>21326192</x:v>
      </x:c>
      <x:c r="D1092" s="2" t="n">
        <x:v>0</x:v>
      </x:c>
      <x:c r="E1092" s="9"/>
      <x:c r="F1092" s="2" t="n">
        <x:f>IF(E1092="",D1092,IF(E1092="U","U",IF(AND(ISNUMBER(E1092),E1092&gt;=0,E1092&lt;=3,INT(E1092)=E1092),E1092,"Invalid")))</x:f>
        <x:v>0</x:v>
      </x:c>
      <x:c r="G1092" s="2" t="n">
        <x:f>IF(ISNUMBER(F1092),1,0)</x:f>
        <x:v>1</x:v>
      </x:c>
      <x:c r="H1092" s="2" t="n">
        <x:f>IF(ISNUMBER(F1092),IF(F1092&gt;=2,1,0),0)</x:f>
        <x:v>0</x:v>
      </x:c>
      <x:c r="I1092" s="11" t="n">
        <x:f>IF(ISNUMBER(F1092),2^F1092-1,0)</x:f>
        <x:v>0</x:v>
      </x:c>
      <x:c r="J1092" s="2" t="str">
        <x:v>Extension pre-run 600</x:v>
      </x:c>
      <x:c r="K1092" s="10" t="n">
        <x:v>3800</x:v>
      </x:c>
      <x:c r="L1092" s="10" t="n">
        <x:v>3</x:v>
      </x:c>
      <x:c r="M1092" s="10" t="n">
        <x:v>1300</x:v>
      </x:c>
      <x:c r="N1092" s="2" t="str">
        <x:v>D19</x:v>
      </x:c>
      <x:c r="O1092" s="2" t="str">
        <x:v>hdb flat</x:v>
      </x:c>
      <x:c r="P1092" s="2" t="str">
        <x:v>https://www.propertyguru.com.sg/listing/hdb-for-rent-16-hougang-avenue-3-21326192</x:v>
      </x:c>
      <x:c r="Q1092" s="12" t="str">
        <x:v>Pre-registered source-rubric-v1; grade applied before outputs.</x:v>
      </x:c>
      <x:c r="R1092" s="13"/>
    </x:row>
    <x:row r="1093" ht="15" hidden="0" customHeight="1">
      <x:c r="A1093" s="2" t="str">
        <x:v>S36|25260426</x:v>
      </x:c>
      <x:c r="B1093" s="2" t="str">
        <x:v>S36</x:v>
      </x:c>
      <x:c r="C1093" s="2" t="str">
        <x:v>25260426</x:v>
      </x:c>
      <x:c r="D1093" s="2" t="n">
        <x:v>0</x:v>
      </x:c>
      <x:c r="E1093" s="9"/>
      <x:c r="F1093" s="2" t="n">
        <x:f>IF(E1093="",D1093,IF(E1093="U","U",IF(AND(ISNUMBER(E1093),E1093&gt;=0,E1093&lt;=3,INT(E1093)=E1093),E1093,"Invalid")))</x:f>
        <x:v>0</x:v>
      </x:c>
      <x:c r="G1093" s="2" t="n">
        <x:f>IF(ISNUMBER(F1093),1,0)</x:f>
        <x:v>1</x:v>
      </x:c>
      <x:c r="H1093" s="2" t="n">
        <x:f>IF(ISNUMBER(F1093),IF(F1093&gt;=2,1,0),0)</x:f>
        <x:v>0</x:v>
      </x:c>
      <x:c r="I1093" s="11" t="n">
        <x:f>IF(ISNUMBER(F1093),2^F1093-1,0)</x:f>
        <x:v>0</x:v>
      </x:c>
      <x:c r="J1093" s="2" t="str">
        <x:v>Extension pre-run 600</x:v>
      </x:c>
      <x:c r="K1093" s="10" t="n">
        <x:v>2500</x:v>
      </x:c>
      <x:c r="L1093" s="10" t="n">
        <x:v>0</x:v>
      </x:c>
      <x:c r="M1093" s="10"/>
      <x:c r="N1093" s="2" t="str">
        <x:v>D09</x:v>
      </x:c>
      <x:c r="O1093" s="2" t="str">
        <x:v>apartment</x:v>
      </x:c>
      <x:c r="P1093" s="2" t="str">
        <x:v>https://www.propertyguru.com.sg/listing/for-rent-coliwoo-studio-orchard-25260426</x:v>
      </x:c>
      <x:c r="Q1093" s="12" t="str">
        <x:v>Pre-registered source-rubric-v1; grade applied before outputs.</x:v>
      </x:c>
      <x:c r="R1093" s="13"/>
    </x:row>
    <x:row r="1094" ht="15" hidden="0" customHeight="1">
      <x:c r="A1094" s="2" t="str">
        <x:v>S36|500188949</x:v>
      </x:c>
      <x:c r="B1094" s="2" t="str">
        <x:v>S36</x:v>
      </x:c>
      <x:c r="C1094" s="2" t="str">
        <x:v>500188949</x:v>
      </x:c>
      <x:c r="D1094" s="2" t="n">
        <x:v>0</x:v>
      </x:c>
      <x:c r="E1094" s="9"/>
      <x:c r="F1094" s="2" t="n">
        <x:f>IF(E1094="",D1094,IF(E1094="U","U",IF(AND(ISNUMBER(E1094),E1094&gt;=0,E1094&lt;=3,INT(E1094)=E1094),E1094,"Invalid")))</x:f>
        <x:v>0</x:v>
      </x:c>
      <x:c r="G1094" s="2" t="n">
        <x:f>IF(ISNUMBER(F1094),1,0)</x:f>
        <x:v>1</x:v>
      </x:c>
      <x:c r="H1094" s="2" t="n">
        <x:f>IF(ISNUMBER(F1094),IF(F1094&gt;=2,1,0),0)</x:f>
        <x:v>0</x:v>
      </x:c>
      <x:c r="I1094" s="11" t="n">
        <x:f>IF(ISNUMBER(F1094),2^F1094-1,0)</x:f>
        <x:v>0</x:v>
      </x:c>
      <x:c r="J1094" s="2" t="str">
        <x:v>Extension pre-run 600</x:v>
      </x:c>
      <x:c r="K1094" s="10" t="n">
        <x:v>6950</x:v>
      </x:c>
      <x:c r="L1094" s="10" t="n">
        <x:v>3</x:v>
      </x:c>
      <x:c r="M1094" s="10" t="n">
        <x:v>1305</x:v>
      </x:c>
      <x:c r="N1094" s="2" t="str">
        <x:v>D05</x:v>
      </x:c>
      <x:c r="O1094" s="2" t="str">
        <x:v>condominium</x:v>
      </x:c>
      <x:c r="P1094" s="2" t="str">
        <x:v>https://www.propertyguru.com.sg/listing/for-rent-botannia-500188949</x:v>
      </x:c>
      <x:c r="Q1094" s="12" t="str">
        <x:v>Pre-registered source-rubric-v1; grade applied before outputs.</x:v>
      </x:c>
      <x:c r="R1094" s="13"/>
    </x:row>
    <x:row r="1095" ht="15" hidden="0" customHeight="1">
      <x:c r="A1095" s="2" t="str">
        <x:v>S36|25407577</x:v>
      </x:c>
      <x:c r="B1095" s="2" t="str">
        <x:v>S36</x:v>
      </x:c>
      <x:c r="C1095" s="2" t="str">
        <x:v>25407577</x:v>
      </x:c>
      <x:c r="D1095" s="2" t="n">
        <x:v>0</x:v>
      </x:c>
      <x:c r="E1095" s="9"/>
      <x:c r="F1095" s="2" t="n">
        <x:f>IF(E1095="",D1095,IF(E1095="U","U",IF(AND(ISNUMBER(E1095),E1095&gt;=0,E1095&lt;=3,INT(E1095)=E1095),E1095,"Invalid")))</x:f>
        <x:v>0</x:v>
      </x:c>
      <x:c r="G1095" s="2" t="n">
        <x:f>IF(ISNUMBER(F1095),1,0)</x:f>
        <x:v>1</x:v>
      </x:c>
      <x:c r="H1095" s="2" t="n">
        <x:f>IF(ISNUMBER(F1095),IF(F1095&gt;=2,1,0),0)</x:f>
        <x:v>0</x:v>
      </x:c>
      <x:c r="I1095" s="11" t="n">
        <x:f>IF(ISNUMBER(F1095),2^F1095-1,0)</x:f>
        <x:v>0</x:v>
      </x:c>
      <x:c r="J1095" s="2" t="str">
        <x:v>Extension pre-run 600</x:v>
      </x:c>
      <x:c r="K1095" s="10" t="n">
        <x:v>18000</x:v>
      </x:c>
      <x:c r="L1095" s="10" t="n">
        <x:v>6</x:v>
      </x:c>
      <x:c r="M1095" s="10" t="n">
        <x:v>3300</x:v>
      </x:c>
      <x:c r="N1095" s="2" t="str">
        <x:v>D10</x:v>
      </x:c>
      <x:c r="O1095" s="2" t="str">
        <x:v>semi-detached house</x:v>
      </x:c>
      <x:c r="P1095" s="2" t="str">
        <x:v>https://www.propertyguru.com.sg/listing/for-rent-coronation-road-25407577</x:v>
      </x:c>
      <x:c r="Q1095" s="12" t="str">
        <x:v>Pre-registered source-rubric-v1; grade applied before outputs.</x:v>
      </x:c>
      <x:c r="R1095" s="13"/>
    </x:row>
    <x:row r="1096" ht="15" hidden="0" customHeight="1">
      <x:c r="A1096" s="2" t="str">
        <x:v>S36|60217817</x:v>
      </x:c>
      <x:c r="B1096" s="2" t="str">
        <x:v>S36</x:v>
      </x:c>
      <x:c r="C1096" s="2" t="str">
        <x:v>60217817</x:v>
      </x:c>
      <x:c r="D1096" s="2" t="n">
        <x:v>0</x:v>
      </x:c>
      <x:c r="E1096" s="9"/>
      <x:c r="F1096" s="2" t="n">
        <x:f>IF(E1096="",D1096,IF(E1096="U","U",IF(AND(ISNUMBER(E1096),E1096&gt;=0,E1096&lt;=3,INT(E1096)=E1096),E1096,"Invalid")))</x:f>
        <x:v>0</x:v>
      </x:c>
      <x:c r="G1096" s="2" t="n">
        <x:f>IF(ISNUMBER(F1096),1,0)</x:f>
        <x:v>1</x:v>
      </x:c>
      <x:c r="H1096" s="2" t="n">
        <x:f>IF(ISNUMBER(F1096),IF(F1096&gt;=2,1,0),0)</x:f>
        <x:v>0</x:v>
      </x:c>
      <x:c r="I1096" s="11" t="n">
        <x:f>IF(ISNUMBER(F1096),2^F1096-1,0)</x:f>
        <x:v>0</x:v>
      </x:c>
      <x:c r="J1096" s="2" t="str">
        <x:v>Extension pre-run 600</x:v>
      </x:c>
      <x:c r="K1096" s="10" t="n">
        <x:v>2500</x:v>
      </x:c>
      <x:c r="L1096" s="10" t="n">
        <x:v>0</x:v>
      </x:c>
      <x:c r="M1096" s="10"/>
      <x:c r="N1096" s="2" t="str">
        <x:v>D08</x:v>
      </x:c>
      <x:c r="O1096" s="2" t="str">
        <x:v>condominium</x:v>
      </x:c>
      <x:c r="P1096" s="2" t="str">
        <x:v>https://www.propertyguru.com.sg/listing/for-rent-city-square-residences-60217817</x:v>
      </x:c>
      <x:c r="Q1096" s="12" t="str">
        <x:v>Pre-registered source-rubric-v1; grade applied before outputs.</x:v>
      </x:c>
      <x:c r="R1096" s="13"/>
    </x:row>
    <x:row r="1097" ht="15" hidden="0" customHeight="1">
      <x:c r="A1097" s="2" t="str">
        <x:v>S36|500172223</x:v>
      </x:c>
      <x:c r="B1097" s="2" t="str">
        <x:v>S36</x:v>
      </x:c>
      <x:c r="C1097" s="2" t="str">
        <x:v>500172223</x:v>
      </x:c>
      <x:c r="D1097" s="2" t="n">
        <x:v>0</x:v>
      </x:c>
      <x:c r="E1097" s="9"/>
      <x:c r="F1097" s="2" t="n">
        <x:f>IF(E1097="",D1097,IF(E1097="U","U",IF(AND(ISNUMBER(E1097),E1097&gt;=0,E1097&lt;=3,INT(E1097)=E1097),E1097,"Invalid")))</x:f>
        <x:v>0</x:v>
      </x:c>
      <x:c r="G1097" s="2" t="n">
        <x:f>IF(ISNUMBER(F1097),1,0)</x:f>
        <x:v>1</x:v>
      </x:c>
      <x:c r="H1097" s="2" t="n">
        <x:f>IF(ISNUMBER(F1097),IF(F1097&gt;=2,1,0),0)</x:f>
        <x:v>0</x:v>
      </x:c>
      <x:c r="I1097" s="11" t="n">
        <x:f>IF(ISNUMBER(F1097),2^F1097-1,0)</x:f>
        <x:v>0</x:v>
      </x:c>
      <x:c r="J1097" s="2" t="str">
        <x:v>Extension pre-run 600</x:v>
      </x:c>
      <x:c r="K1097" s="10" t="n">
        <x:v>880</x:v>
      </x:c>
      <x:c r="L1097" s="10" t="n">
        <x:v>0</x:v>
      </x:c>
      <x:c r="M1097" s="10"/>
      <x:c r="N1097" s="2" t="str">
        <x:v>D23</x:v>
      </x:c>
      <x:c r="O1097" s="2" t="str">
        <x:v>hdb flat</x:v>
      </x:c>
      <x:c r="P1097" s="2" t="str">
        <x:v>https://www.propertyguru.com.sg/listing/hdb-for-rent-289f-bukit-batok-street-25-500172223</x:v>
      </x:c>
      <x:c r="Q1097" s="12" t="str">
        <x:v>Pre-registered source-rubric-v1; grade applied before outputs.</x:v>
      </x:c>
      <x:c r="R1097" s="13"/>
    </x:row>
    <x:row r="1098" ht="15" hidden="0" customHeight="1">
      <x:c r="A1098" s="2" t="str">
        <x:v>S36|500256585</x:v>
      </x:c>
      <x:c r="B1098" s="2" t="str">
        <x:v>S36</x:v>
      </x:c>
      <x:c r="C1098" s="2" t="str">
        <x:v>500256585</x:v>
      </x:c>
      <x:c r="D1098" s="2" t="n">
        <x:v>0</x:v>
      </x:c>
      <x:c r="E1098" s="9"/>
      <x:c r="F1098" s="2" t="n">
        <x:f>IF(E1098="",D1098,IF(E1098="U","U",IF(AND(ISNUMBER(E1098),E1098&gt;=0,E1098&lt;=3,INT(E1098)=E1098),E1098,"Invalid")))</x:f>
        <x:v>0</x:v>
      </x:c>
      <x:c r="G1098" s="2" t="n">
        <x:f>IF(ISNUMBER(F1098),1,0)</x:f>
        <x:v>1</x:v>
      </x:c>
      <x:c r="H1098" s="2" t="n">
        <x:f>IF(ISNUMBER(F1098),IF(F1098&gt;=2,1,0),0)</x:f>
        <x:v>0</x:v>
      </x:c>
      <x:c r="I1098" s="11" t="n">
        <x:f>IF(ISNUMBER(F1098),2^F1098-1,0)</x:f>
        <x:v>0</x:v>
      </x:c>
      <x:c r="J1098" s="2" t="str">
        <x:v>Extension pre-run 600</x:v>
      </x:c>
      <x:c r="K1098" s="10" t="n">
        <x:v>3100</x:v>
      </x:c>
      <x:c r="L1098" s="10" t="n">
        <x:v>2</x:v>
      </x:c>
      <x:c r="M1098" s="10" t="n">
        <x:v>635</x:v>
      </x:c>
      <x:c r="N1098" s="2" t="str">
        <x:v>D04</x:v>
      </x:c>
      <x:c r="O1098" s="2" t="str">
        <x:v>hdb flat</x:v>
      </x:c>
      <x:c r="P1098" s="2" t="str">
        <x:v>https://www.propertyguru.com.sg/listing/hdb-for-rent-42-telok-blangah-rise-500256585</x:v>
      </x:c>
      <x:c r="Q1098" s="12" t="str">
        <x:v>Pre-registered source-rubric-v1; grade applied before outputs.</x:v>
      </x:c>
      <x:c r="R1098" s="13"/>
    </x:row>
    <x:row r="1099" ht="15" hidden="0" customHeight="1">
      <x:c r="A1099" s="2" t="str">
        <x:v>S36|500246866</x:v>
      </x:c>
      <x:c r="B1099" s="2" t="str">
        <x:v>S36</x:v>
      </x:c>
      <x:c r="C1099" s="2" t="str">
        <x:v>500246866</x:v>
      </x:c>
      <x:c r="D1099" s="2" t="n">
        <x:v>0</x:v>
      </x:c>
      <x:c r="E1099" s="9"/>
      <x:c r="F1099" s="2" t="n">
        <x:f>IF(E1099="",D1099,IF(E1099="U","U",IF(AND(ISNUMBER(E1099),E1099&gt;=0,E1099&lt;=3,INT(E1099)=E1099),E1099,"Invalid")))</x:f>
        <x:v>0</x:v>
      </x:c>
      <x:c r="G1099" s="2" t="n">
        <x:f>IF(ISNUMBER(F1099),1,0)</x:f>
        <x:v>1</x:v>
      </x:c>
      <x:c r="H1099" s="2" t="n">
        <x:f>IF(ISNUMBER(F1099),IF(F1099&gt;=2,1,0),0)</x:f>
        <x:v>0</x:v>
      </x:c>
      <x:c r="I1099" s="11" t="n">
        <x:f>IF(ISNUMBER(F1099),2^F1099-1,0)</x:f>
        <x:v>0</x:v>
      </x:c>
      <x:c r="J1099" s="2" t="str">
        <x:v>Extension pre-run 600</x:v>
      </x:c>
      <x:c r="K1099" s="10" t="n">
        <x:v>750</x:v>
      </x:c>
      <x:c r="L1099" s="10" t="n">
        <x:v>0</x:v>
      </x:c>
      <x:c r="M1099" s="10"/>
      <x:c r="N1099" s="2" t="str">
        <x:v>D20</x:v>
      </x:c>
      <x:c r="O1099" s="2" t="str">
        <x:v>hdb flat</x:v>
      </x:c>
      <x:c r="P1099" s="2" t="str">
        <x:v>https://www.propertyguru.com.sg/listing/hdb-for-rent-171-ang-mo-kio-avenue-4-500246866</x:v>
      </x:c>
      <x:c r="Q1099" s="12" t="str">
        <x:v>Pre-registered source-rubric-v1; grade applied before outputs.</x:v>
      </x:c>
      <x:c r="R1099" s="13"/>
    </x:row>
    <x:row r="1100" ht="15" hidden="0" customHeight="1">
      <x:c r="A1100" s="2" t="str">
        <x:v>S36|500284614</x:v>
      </x:c>
      <x:c r="B1100" s="2" t="str">
        <x:v>S36</x:v>
      </x:c>
      <x:c r="C1100" s="2" t="str">
        <x:v>500284614</x:v>
      </x:c>
      <x:c r="D1100" s="2" t="n">
        <x:v>0</x:v>
      </x:c>
      <x:c r="E1100" s="9"/>
      <x:c r="F1100" s="2" t="n">
        <x:f>IF(E1100="",D1100,IF(E1100="U","U",IF(AND(ISNUMBER(E1100),E1100&gt;=0,E1100&lt;=3,INT(E1100)=E1100),E1100,"Invalid")))</x:f>
        <x:v>0</x:v>
      </x:c>
      <x:c r="G1100" s="2" t="n">
        <x:f>IF(ISNUMBER(F1100),1,0)</x:f>
        <x:v>1</x:v>
      </x:c>
      <x:c r="H1100" s="2" t="n">
        <x:f>IF(ISNUMBER(F1100),IF(F1100&gt;=2,1,0),0)</x:f>
        <x:v>0</x:v>
      </x:c>
      <x:c r="I1100" s="11" t="n">
        <x:f>IF(ISNUMBER(F1100),2^F1100-1,0)</x:f>
        <x:v>0</x:v>
      </x:c>
      <x:c r="J1100" s="2" t="str">
        <x:v>Extension pre-run 600</x:v>
      </x:c>
      <x:c r="K1100" s="10" t="n">
        <x:v>3600</x:v>
      </x:c>
      <x:c r="L1100" s="10" t="n">
        <x:v>4</x:v>
      </x:c>
      <x:c r="M1100" s="10" t="n">
        <x:v>1410</x:v>
      </x:c>
      <x:c r="N1100" s="2" t="str">
        <x:v>D27</x:v>
      </x:c>
      <x:c r="O1100" s="2" t="str">
        <x:v>hdb flat</x:v>
      </x:c>
      <x:c r="P1100" s="2" t="str">
        <x:v>https://www.propertyguru.com.sg/listing/hdb-for-rent-341-sembawang-close-500284614</x:v>
      </x:c>
      <x:c r="Q1100" s="12" t="str">
        <x:v>Pre-registered source-rubric-v1; grade applied before outputs.</x:v>
      </x:c>
      <x:c r="R1100" s="13"/>
    </x:row>
    <x:row r="1101" ht="15" hidden="0" customHeight="1">
      <x:c r="A1101" s="2" t="str">
        <x:v>S36|500287054</x:v>
      </x:c>
      <x:c r="B1101" s="2" t="str">
        <x:v>S36</x:v>
      </x:c>
      <x:c r="C1101" s="2" t="str">
        <x:v>500287054</x:v>
      </x:c>
      <x:c r="D1101" s="2" t="n">
        <x:v>0</x:v>
      </x:c>
      <x:c r="E1101" s="9"/>
      <x:c r="F1101" s="2" t="n">
        <x:f>IF(E1101="",D1101,IF(E1101="U","U",IF(AND(ISNUMBER(E1101),E1101&gt;=0,E1101&lt;=3,INT(E1101)=E1101),E1101,"Invalid")))</x:f>
        <x:v>0</x:v>
      </x:c>
      <x:c r="G1101" s="2" t="n">
        <x:f>IF(ISNUMBER(F1101),1,0)</x:f>
        <x:v>1</x:v>
      </x:c>
      <x:c r="H1101" s="2" t="n">
        <x:f>IF(ISNUMBER(F1101),IF(F1101&gt;=2,1,0),0)</x:f>
        <x:v>0</x:v>
      </x:c>
      <x:c r="I1101" s="11" t="n">
        <x:f>IF(ISNUMBER(F1101),2^F1101-1,0)</x:f>
        <x:v>0</x:v>
      </x:c>
      <x:c r="J1101" s="2" t="str">
        <x:v>Extension pre-run 600</x:v>
      </x:c>
      <x:c r="K1101" s="10" t="n">
        <x:v>4000</x:v>
      </x:c>
      <x:c r="L1101" s="10" t="n">
        <x:v>1</x:v>
      </x:c>
      <x:c r="M1101" s="10" t="n">
        <x:v>506</x:v>
      </x:c>
      <x:c r="N1101" s="2" t="str">
        <x:v>D22</x:v>
      </x:c>
      <x:c r="O1101" s="2" t="str">
        <x:v>condominium</x:v>
      </x:c>
      <x:c r="P1101" s="2" t="str">
        <x:v>https://www.propertyguru.com.sg/listing/for-rent-j-gateway-500287054</x:v>
      </x:c>
      <x:c r="Q1101" s="12" t="str">
        <x:v>Pre-registered source-rubric-v1; grade applied before outputs.</x:v>
      </x:c>
      <x:c r="R1101" s="13"/>
    </x:row>
    <x:row r="1102" ht="15" hidden="0" customHeight="1">
      <x:c r="A1102" s="2" t="str">
        <x:v>S36|500254482</x:v>
      </x:c>
      <x:c r="B1102" s="2" t="str">
        <x:v>S36</x:v>
      </x:c>
      <x:c r="C1102" s="2" t="str">
        <x:v>500254482</x:v>
      </x:c>
      <x:c r="D1102" s="2" t="n">
        <x:v>0</x:v>
      </x:c>
      <x:c r="E1102" s="9"/>
      <x:c r="F1102" s="2" t="n">
        <x:f>IF(E1102="",D1102,IF(E1102="U","U",IF(AND(ISNUMBER(E1102),E1102&gt;=0,E1102&lt;=3,INT(E1102)=E1102),E1102,"Invalid")))</x:f>
        <x:v>0</x:v>
      </x:c>
      <x:c r="G1102" s="2" t="n">
        <x:f>IF(ISNUMBER(F1102),1,0)</x:f>
        <x:v>1</x:v>
      </x:c>
      <x:c r="H1102" s="2" t="n">
        <x:f>IF(ISNUMBER(F1102),IF(F1102&gt;=2,1,0),0)</x:f>
        <x:v>0</x:v>
      </x:c>
      <x:c r="I1102" s="11" t="n">
        <x:f>IF(ISNUMBER(F1102),2^F1102-1,0)</x:f>
        <x:v>0</x:v>
      </x:c>
      <x:c r="J1102" s="2" t="str">
        <x:v>Extension pre-run 600</x:v>
      </x:c>
      <x:c r="K1102" s="10" t="n">
        <x:v>3990</x:v>
      </x:c>
      <x:c r="L1102" s="10" t="n">
        <x:v>1</x:v>
      </x:c>
      <x:c r="M1102" s="10" t="n">
        <x:v>549</x:v>
      </x:c>
      <x:c r="N1102" s="2" t="str">
        <x:v>D15</x:v>
      </x:c>
      <x:c r="O1102" s="2" t="str">
        <x:v>condominium</x:v>
      </x:c>
      <x:c r="P1102" s="2" t="str">
        <x:v>https://www.propertyguru.com.sg/listing/for-rent-grand-dunman-500254482</x:v>
      </x:c>
      <x:c r="Q1102" s="12" t="str">
        <x:v>Pre-registered source-rubric-v1; grade applied before outputs.</x:v>
      </x:c>
      <x:c r="R1102" s="13"/>
    </x:row>
    <x:row r="1103" ht="15" hidden="0" customHeight="1">
      <x:c r="A1103" s="2" t="str">
        <x:v>S36|500258621</x:v>
      </x:c>
      <x:c r="B1103" s="2" t="str">
        <x:v>S36</x:v>
      </x:c>
      <x:c r="C1103" s="2" t="str">
        <x:v>500258621</x:v>
      </x:c>
      <x:c r="D1103" s="2" t="n">
        <x:v>0</x:v>
      </x:c>
      <x:c r="E1103" s="9"/>
      <x:c r="F1103" s="2" t="n">
        <x:f>IF(E1103="",D1103,IF(E1103="U","U",IF(AND(ISNUMBER(E1103),E1103&gt;=0,E1103&lt;=3,INT(E1103)=E1103),E1103,"Invalid")))</x:f>
        <x:v>0</x:v>
      </x:c>
      <x:c r="G1103" s="2" t="n">
        <x:f>IF(ISNUMBER(F1103),1,0)</x:f>
        <x:v>1</x:v>
      </x:c>
      <x:c r="H1103" s="2" t="n">
        <x:f>IF(ISNUMBER(F1103),IF(F1103&gt;=2,1,0),0)</x:f>
        <x:v>0</x:v>
      </x:c>
      <x:c r="I1103" s="11" t="n">
        <x:f>IF(ISNUMBER(F1103),2^F1103-1,0)</x:f>
        <x:v>0</x:v>
      </x:c>
      <x:c r="J1103" s="2" t="str">
        <x:v>Extension pre-run 600</x:v>
      </x:c>
      <x:c r="K1103" s="10" t="n">
        <x:v>950</x:v>
      </x:c>
      <x:c r="L1103" s="10" t="n">
        <x:v>0</x:v>
      </x:c>
      <x:c r="M1103" s="10"/>
      <x:c r="N1103" s="2" t="str">
        <x:v>D20</x:v>
      </x:c>
      <x:c r="O1103" s="2" t="str">
        <x:v>hdb flat</x:v>
      </x:c>
      <x:c r="P1103" s="2" t="str">
        <x:v>https://www.propertyguru.com.sg/listing/hdb-for-rent-211-bishan-street-23-500258621</x:v>
      </x:c>
      <x:c r="Q1103" s="12" t="str">
        <x:v>Pre-registered source-rubric-v1; grade applied before outputs.</x:v>
      </x:c>
      <x:c r="R1103" s="13"/>
    </x:row>
    <x:row r="1104" ht="15" hidden="0" customHeight="1">
      <x:c r="A1104" s="2" t="str">
        <x:v>S36|25041173</x:v>
      </x:c>
      <x:c r="B1104" s="2" t="str">
        <x:v>S36</x:v>
      </x:c>
      <x:c r="C1104" s="2" t="str">
        <x:v>25041173</x:v>
      </x:c>
      <x:c r="D1104" s="2" t="n">
        <x:v>0</x:v>
      </x:c>
      <x:c r="E1104" s="9"/>
      <x:c r="F1104" s="2" t="n">
        <x:f>IF(E1104="",D1104,IF(E1104="U","U",IF(AND(ISNUMBER(E1104),E1104&gt;=0,E1104&lt;=3,INT(E1104)=E1104),E1104,"Invalid")))</x:f>
        <x:v>0</x:v>
      </x:c>
      <x:c r="G1104" s="2" t="n">
        <x:f>IF(ISNUMBER(F1104),1,0)</x:f>
        <x:v>1</x:v>
      </x:c>
      <x:c r="H1104" s="2" t="n">
        <x:f>IF(ISNUMBER(F1104),IF(F1104&gt;=2,1,0),0)</x:f>
        <x:v>0</x:v>
      </x:c>
      <x:c r="I1104" s="11" t="n">
        <x:f>IF(ISNUMBER(F1104),2^F1104-1,0)</x:f>
        <x:v>0</x:v>
      </x:c>
      <x:c r="J1104" s="2" t="str">
        <x:v>Extension pre-run 600</x:v>
      </x:c>
      <x:c r="K1104" s="10" t="n">
        <x:v>2200</x:v>
      </x:c>
      <x:c r="L1104" s="10" t="n">
        <x:v>0</x:v>
      </x:c>
      <x:c r="M1104" s="10"/>
      <x:c r="N1104" s="2" t="str">
        <x:v>D07</x:v>
      </x:c>
      <x:c r="O1104" s="2" t="str">
        <x:v>apartment</x:v>
      </x:c>
      <x:c r="P1104" s="2" t="str">
        <x:v>https://www.propertyguru.com.sg/listing/for-rent-no-owner-newly-renovated-master-room-near-boon-keng-mrt-25041173</x:v>
      </x:c>
      <x:c r="Q1104" s="12" t="str">
        <x:v>Pre-registered source-rubric-v1; grade applied before outputs.</x:v>
      </x:c>
      <x:c r="R1104" s="13"/>
    </x:row>
    <x:row r="1105" ht="15" hidden="0" customHeight="1">
      <x:c r="A1105" s="2" t="str">
        <x:v>S37|9594504</x:v>
      </x:c>
      <x:c r="B1105" s="2" t="str">
        <x:v>S37</x:v>
      </x:c>
      <x:c r="C1105" s="2" t="str">
        <x:v>9594504</x:v>
      </x:c>
      <x:c r="D1105" s="2" t="n">
        <x:v>3</x:v>
      </x:c>
      <x:c r="E1105" s="9"/>
      <x:c r="F1105" s="2" t="n">
        <x:f>IF(E1105="",D1105,IF(E1105="U","U",IF(AND(ISNUMBER(E1105),E1105&gt;=0,E1105&lt;=3,INT(E1105)=E1105),E1105,"Invalid")))</x:f>
        <x:v>3</x:v>
      </x:c>
      <x:c r="G1105" s="2" t="n">
        <x:f>IF(ISNUMBER(F1105),1,0)</x:f>
        <x:v>1</x:v>
      </x:c>
      <x:c r="H1105" s="2" t="n">
        <x:f>IF(ISNUMBER(F1105),IF(F1105&gt;=2,1,0),0)</x:f>
        <x:v>1</x:v>
      </x:c>
      <x:c r="I1105" s="11" t="n">
        <x:f>IF(ISNUMBER(F1105),2^F1105-1,0)</x:f>
        <x:v>7</x:v>
      </x:c>
      <x:c r="J1105" s="2" t="str">
        <x:v>Extension pre-run 600</x:v>
      </x:c>
      <x:c r="K1105" s="10" t="n">
        <x:v>2950</x:v>
      </x:c>
      <x:c r="L1105" s="10" t="n">
        <x:v>2</x:v>
      </x:c>
      <x:c r="M1105" s="10" t="n">
        <x:v>1500</x:v>
      </x:c>
      <x:c r="N1105" s="2" t="str">
        <x:v>D18</x:v>
      </x:c>
      <x:c r="O1105" s="2" t="str">
        <x:v>hdb flat</x:v>
      </x:c>
      <x:c r="P1105" s="2" t="str">
        <x:v>https://www.propertyguru.com.sg/listing/hdb-for-rent-601-elias-road-9594504</x:v>
      </x:c>
      <x:c r="Q1105" s="12" t="str">
        <x:v>Pre-registered source-rubric-v1; grade applied before outputs.</x:v>
      </x:c>
      <x:c r="R1105" s="13"/>
    </x:row>
    <x:row r="1106" ht="15" hidden="0" customHeight="1">
      <x:c r="A1106" s="2" t="str">
        <x:v>S37|500272797</x:v>
      </x:c>
      <x:c r="B1106" s="2" t="str">
        <x:v>S37</x:v>
      </x:c>
      <x:c r="C1106" s="2" t="str">
        <x:v>500272797</x:v>
      </x:c>
      <x:c r="D1106" s="2" t="n">
        <x:v>3</x:v>
      </x:c>
      <x:c r="E1106" s="9"/>
      <x:c r="F1106" s="2" t="n">
        <x:f>IF(E1106="",D1106,IF(E1106="U","U",IF(AND(ISNUMBER(E1106),E1106&gt;=0,E1106&lt;=3,INT(E1106)=E1106),E1106,"Invalid")))</x:f>
        <x:v>3</x:v>
      </x:c>
      <x:c r="G1106" s="2" t="n">
        <x:f>IF(ISNUMBER(F1106),1,0)</x:f>
        <x:v>1</x:v>
      </x:c>
      <x:c r="H1106" s="2" t="n">
        <x:f>IF(ISNUMBER(F1106),IF(F1106&gt;=2,1,0),0)</x:f>
        <x:v>1</x:v>
      </x:c>
      <x:c r="I1106" s="11" t="n">
        <x:f>IF(ISNUMBER(F1106),2^F1106-1,0)</x:f>
        <x:v>7</x:v>
      </x:c>
      <x:c r="J1106" s="2" t="str">
        <x:v>Extension pre-run 600</x:v>
      </x:c>
      <x:c r="K1106" s="10" t="n">
        <x:v>2999</x:v>
      </x:c>
      <x:c r="L1106" s="10" t="n">
        <x:v>3</x:v>
      </x:c>
      <x:c r="M1106" s="10" t="n">
        <x:v>1119</x:v>
      </x:c>
      <x:c r="N1106" s="2" t="str">
        <x:v>D18</x:v>
      </x:c>
      <x:c r="O1106" s="2" t="str">
        <x:v>hdb flat</x:v>
      </x:c>
      <x:c r="P1106" s="2" t="str">
        <x:v>https://www.propertyguru.com.sg/listing/hdb-for-rent-637-pasir-ris-drive-1-500272797</x:v>
      </x:c>
      <x:c r="Q1106" s="12" t="str">
        <x:v>Pre-registered source-rubric-v1; grade applied before outputs.</x:v>
      </x:c>
      <x:c r="R1106" s="13"/>
    </x:row>
    <x:row r="1107" ht="15" hidden="0" customHeight="1">
      <x:c r="A1107" s="2" t="str">
        <x:v>S37|500220418</x:v>
      </x:c>
      <x:c r="B1107" s="2" t="str">
        <x:v>S37</x:v>
      </x:c>
      <x:c r="C1107" s="2" t="str">
        <x:v>500220418</x:v>
      </x:c>
      <x:c r="D1107" s="2" t="n">
        <x:v>2</x:v>
      </x:c>
      <x:c r="E1107" s="9"/>
      <x:c r="F1107" s="2" t="n">
        <x:f>IF(E1107="",D1107,IF(E1107="U","U",IF(AND(ISNUMBER(E1107),E1107&gt;=0,E1107&lt;=3,INT(E1107)=E1107),E1107,"Invalid")))</x:f>
        <x:v>2</x:v>
      </x:c>
      <x:c r="G1107" s="2" t="n">
        <x:f>IF(ISNUMBER(F1107),1,0)</x:f>
        <x:v>1</x:v>
      </x:c>
      <x:c r="H1107" s="2" t="n">
        <x:f>IF(ISNUMBER(F1107),IF(F1107&gt;=2,1,0),0)</x:f>
        <x:v>1</x:v>
      </x:c>
      <x:c r="I1107" s="11" t="n">
        <x:f>IF(ISNUMBER(F1107),2^F1107-1,0)</x:f>
        <x:v>3</x:v>
      </x:c>
      <x:c r="J1107" s="2" t="str">
        <x:v>Extension pre-run 600</x:v>
      </x:c>
      <x:c r="K1107" s="10" t="n">
        <x:v>3200</x:v>
      </x:c>
      <x:c r="L1107" s="10" t="n">
        <x:v>2</x:v>
      </x:c>
      <x:c r="M1107" s="10" t="n">
        <x:v>1100</x:v>
      </x:c>
      <x:c r="N1107" s="2" t="str">
        <x:v>D19</x:v>
      </x:c>
      <x:c r="O1107" s="2" t="str">
        <x:v>hdb flat</x:v>
      </x:c>
      <x:c r="P1107" s="2" t="str">
        <x:v>https://www.propertyguru.com.sg/listing/hdb-for-rent-534-serangoon-north-avenue-4-500220418</x:v>
      </x:c>
      <x:c r="Q1107" s="12" t="str">
        <x:v>Pre-registered source-rubric-v1; grade applied before outputs.</x:v>
      </x:c>
      <x:c r="R1107" s="13"/>
    </x:row>
    <x:row r="1108" ht="15" hidden="0" customHeight="1">
      <x:c r="A1108" s="2" t="str">
        <x:v>S37|24474262</x:v>
      </x:c>
      <x:c r="B1108" s="2" t="str">
        <x:v>S37</x:v>
      </x:c>
      <x:c r="C1108" s="2" t="str">
        <x:v>24474262</x:v>
      </x:c>
      <x:c r="D1108" s="2" t="n">
        <x:v>2</x:v>
      </x:c>
      <x:c r="E1108" s="9"/>
      <x:c r="F1108" s="2" t="n">
        <x:f>IF(E1108="",D1108,IF(E1108="U","U",IF(AND(ISNUMBER(E1108),E1108&gt;=0,E1108&lt;=3,INT(E1108)=E1108),E1108,"Invalid")))</x:f>
        <x:v>2</x:v>
      </x:c>
      <x:c r="G1108" s="2" t="n">
        <x:f>IF(ISNUMBER(F1108),1,0)</x:f>
        <x:v>1</x:v>
      </x:c>
      <x:c r="H1108" s="2" t="n">
        <x:f>IF(ISNUMBER(F1108),IF(F1108&gt;=2,1,0),0)</x:f>
        <x:v>1</x:v>
      </x:c>
      <x:c r="I1108" s="11" t="n">
        <x:f>IF(ISNUMBER(F1108),2^F1108-1,0)</x:f>
        <x:v>3</x:v>
      </x:c>
      <x:c r="J1108" s="2" t="str">
        <x:v>Extension pre-run 600</x:v>
      </x:c>
      <x:c r="K1108" s="10" t="n">
        <x:v>3200</x:v>
      </x:c>
      <x:c r="L1108" s="10" t="n">
        <x:v>3</x:v>
      </x:c>
      <x:c r="M1108" s="10" t="n">
        <x:v>1184</x:v>
      </x:c>
      <x:c r="N1108" s="2" t="str">
        <x:v>D19</x:v>
      </x:c>
      <x:c r="O1108" s="2" t="str">
        <x:v>hdb flat</x:v>
      </x:c>
      <x:c r="P1108" s="2" t="str">
        <x:v>https://www.propertyguru.com.sg/listing/hdb-for-rent-183a-rivervale-crescent-24474262</x:v>
      </x:c>
      <x:c r="Q1108" s="12" t="str">
        <x:v>Pre-registered source-rubric-v1; grade applied before outputs.</x:v>
      </x:c>
      <x:c r="R1108" s="13"/>
    </x:row>
    <x:row r="1109" ht="15" hidden="0" customHeight="1">
      <x:c r="A1109" s="2" t="str">
        <x:v>S37|24148463</x:v>
      </x:c>
      <x:c r="B1109" s="2" t="str">
        <x:v>S37</x:v>
      </x:c>
      <x:c r="C1109" s="2" t="str">
        <x:v>24148463</x:v>
      </x:c>
      <x:c r="D1109" s="2" t="n">
        <x:v>2</x:v>
      </x:c>
      <x:c r="E1109" s="9"/>
      <x:c r="F1109" s="2" t="n">
        <x:f>IF(E1109="",D1109,IF(E1109="U","U",IF(AND(ISNUMBER(E1109),E1109&gt;=0,E1109&lt;=3,INT(E1109)=E1109),E1109,"Invalid")))</x:f>
        <x:v>2</x:v>
      </x:c>
      <x:c r="G1109" s="2" t="n">
        <x:f>IF(ISNUMBER(F1109),1,0)</x:f>
        <x:v>1</x:v>
      </x:c>
      <x:c r="H1109" s="2" t="n">
        <x:f>IF(ISNUMBER(F1109),IF(F1109&gt;=2,1,0),0)</x:f>
        <x:v>1</x:v>
      </x:c>
      <x:c r="I1109" s="11" t="n">
        <x:f>IF(ISNUMBER(F1109),2^F1109-1,0)</x:f>
        <x:v>3</x:v>
      </x:c>
      <x:c r="J1109" s="2" t="str">
        <x:v>Extension pre-run 600</x:v>
      </x:c>
      <x:c r="K1109" s="10" t="n">
        <x:v>3300</x:v>
      </x:c>
      <x:c r="L1109" s="10" t="n">
        <x:v>3</x:v>
      </x:c>
      <x:c r="M1109" s="10" t="n">
        <x:v>1001</x:v>
      </x:c>
      <x:c r="N1109" s="2" t="str">
        <x:v>D19</x:v>
      </x:c>
      <x:c r="O1109" s="2" t="str">
        <x:v>hdb flat</x:v>
      </x:c>
      <x:c r="P1109" s="2" t="str">
        <x:v>https://www.propertyguru.com.sg/listing/hdb-for-rent-234b-sumang-lane-24148463</x:v>
      </x:c>
      <x:c r="Q1109" s="12" t="str">
        <x:v>Pre-registered source-rubric-v1; grade applied before outputs.</x:v>
      </x:c>
      <x:c r="R1109" s="13"/>
    </x:row>
    <x:row r="1110" ht="15" hidden="0" customHeight="1">
      <x:c r="A1110" s="2" t="str">
        <x:v>S37|19578583</x:v>
      </x:c>
      <x:c r="B1110" s="2" t="str">
        <x:v>S37</x:v>
      </x:c>
      <x:c r="C1110" s="2" t="str">
        <x:v>19578583</x:v>
      </x:c>
      <x:c r="D1110" s="2" t="n">
        <x:v>2</x:v>
      </x:c>
      <x:c r="E1110" s="9"/>
      <x:c r="F1110" s="2" t="n">
        <x:f>IF(E1110="",D1110,IF(E1110="U","U",IF(AND(ISNUMBER(E1110),E1110&gt;=0,E1110&lt;=3,INT(E1110)=E1110),E1110,"Invalid")))</x:f>
        <x:v>2</x:v>
      </x:c>
      <x:c r="G1110" s="2" t="n">
        <x:f>IF(ISNUMBER(F1110),1,0)</x:f>
        <x:v>1</x:v>
      </x:c>
      <x:c r="H1110" s="2" t="n">
        <x:f>IF(ISNUMBER(F1110),IF(F1110&gt;=2,1,0),0)</x:f>
        <x:v>1</x:v>
      </x:c>
      <x:c r="I1110" s="11" t="n">
        <x:f>IF(ISNUMBER(F1110),2^F1110-1,0)</x:f>
        <x:v>3</x:v>
      </x:c>
      <x:c r="J1110" s="2" t="str">
        <x:v>Extension pre-run 600</x:v>
      </x:c>
      <x:c r="K1110" s="10" t="n">
        <x:v>3500</x:v>
      </x:c>
      <x:c r="L1110" s="10" t="n">
        <x:v>3</x:v>
      </x:c>
      <x:c r="M1110" s="10" t="n">
        <x:v>1119</x:v>
      </x:c>
      <x:c r="N1110" s="2" t="str">
        <x:v>D18</x:v>
      </x:c>
      <x:c r="O1110" s="2" t="str">
        <x:v>hdb flat</x:v>
      </x:c>
      <x:c r="P1110" s="2" t="str">
        <x:v>https://www.propertyguru.com.sg/listing/hdb-for-rent-634-pasir-ris-drive-1-19578583</x:v>
      </x:c>
      <x:c r="Q1110" s="12" t="str">
        <x:v>Pre-registered source-rubric-v1; grade applied before outputs.</x:v>
      </x:c>
      <x:c r="R1110" s="13"/>
    </x:row>
    <x:row r="1111" ht="15" hidden="0" customHeight="1">
      <x:c r="A1111" s="2" t="str">
        <x:v>S37|500216950</x:v>
      </x:c>
      <x:c r="B1111" s="2" t="str">
        <x:v>S37</x:v>
      </x:c>
      <x:c r="C1111" s="2" t="str">
        <x:v>500216950</x:v>
      </x:c>
      <x:c r="D1111" s="2" t="n">
        <x:v>2</x:v>
      </x:c>
      <x:c r="E1111" s="9"/>
      <x:c r="F1111" s="2" t="n">
        <x:f>IF(E1111="",D1111,IF(E1111="U","U",IF(AND(ISNUMBER(E1111),E1111&gt;=0,E1111&lt;=3,INT(E1111)=E1111),E1111,"Invalid")))</x:f>
        <x:v>2</x:v>
      </x:c>
      <x:c r="G1111" s="2" t="n">
        <x:f>IF(ISNUMBER(F1111),1,0)</x:f>
        <x:v>1</x:v>
      </x:c>
      <x:c r="H1111" s="2" t="n">
        <x:f>IF(ISNUMBER(F1111),IF(F1111&gt;=2,1,0),0)</x:f>
        <x:v>1</x:v>
      </x:c>
      <x:c r="I1111" s="11" t="n">
        <x:f>IF(ISNUMBER(F1111),2^F1111-1,0)</x:f>
        <x:v>3</x:v>
      </x:c>
      <x:c r="J1111" s="2" t="str">
        <x:v>Extension pre-run 600</x:v>
      </x:c>
      <x:c r="K1111" s="10" t="n">
        <x:v>3500</x:v>
      </x:c>
      <x:c r="L1111" s="10" t="n">
        <x:v>3</x:v>
      </x:c>
      <x:c r="M1111" s="10" t="n">
        <x:v>1119</x:v>
      </x:c>
      <x:c r="N1111" s="2" t="str">
        <x:v>D18</x:v>
      </x:c>
      <x:c r="O1111" s="2" t="str">
        <x:v>hdb flat</x:v>
      </x:c>
      <x:c r="P1111" s="2" t="str">
        <x:v>https://www.propertyguru.com.sg/listing/hdb-for-rent-438-tampines-street-43-500216950</x:v>
      </x:c>
      <x:c r="Q1111" s="12" t="str">
        <x:v>Pre-registered source-rubric-v1; grade applied before outputs.</x:v>
      </x:c>
      <x:c r="R1111" s="13"/>
    </x:row>
    <x:row r="1112" ht="15" hidden="0" customHeight="1">
      <x:c r="A1112" s="2" t="str">
        <x:v>S37|21417388</x:v>
      </x:c>
      <x:c r="B1112" s="2" t="str">
        <x:v>S37</x:v>
      </x:c>
      <x:c r="C1112" s="2" t="str">
        <x:v>21417388</x:v>
      </x:c>
      <x:c r="D1112" s="2" t="n">
        <x:v>2</x:v>
      </x:c>
      <x:c r="E1112" s="9"/>
      <x:c r="F1112" s="2" t="n">
        <x:f>IF(E1112="",D1112,IF(E1112="U","U",IF(AND(ISNUMBER(E1112),E1112&gt;=0,E1112&lt;=3,INT(E1112)=E1112),E1112,"Invalid")))</x:f>
        <x:v>2</x:v>
      </x:c>
      <x:c r="G1112" s="2" t="n">
        <x:f>IF(ISNUMBER(F1112),1,0)</x:f>
        <x:v>1</x:v>
      </x:c>
      <x:c r="H1112" s="2" t="n">
        <x:f>IF(ISNUMBER(F1112),IF(F1112&gt;=2,1,0),0)</x:f>
        <x:v>1</x:v>
      </x:c>
      <x:c r="I1112" s="11" t="n">
        <x:f>IF(ISNUMBER(F1112),2^F1112-1,0)</x:f>
        <x:v>3</x:v>
      </x:c>
      <x:c r="J1112" s="2" t="str">
        <x:v>Extension pre-run 600</x:v>
      </x:c>
      <x:c r="K1112" s="10" t="n">
        <x:v>3500</x:v>
      </x:c>
      <x:c r="L1112" s="10" t="n">
        <x:v>3</x:v>
      </x:c>
      <x:c r="M1112" s="10" t="n">
        <x:v>1237</x:v>
      </x:c>
      <x:c r="N1112" s="2" t="str">
        <x:v>D19</x:v>
      </x:c>
      <x:c r="O1112" s="2" t="str">
        <x:v>hdb flat</x:v>
      </x:c>
      <x:c r="P1112" s="2" t="str">
        <x:v>https://www.propertyguru.com.sg/listing/hdb-for-rent-188c-rivervale-drive-21417388</x:v>
      </x:c>
      <x:c r="Q1112" s="12" t="str">
        <x:v>Pre-registered source-rubric-v1; grade applied before outputs.</x:v>
      </x:c>
      <x:c r="R1112" s="13"/>
    </x:row>
    <x:row r="1113" ht="15" hidden="0" customHeight="1">
      <x:c r="A1113" s="2" t="str">
        <x:v>S37|500272998</x:v>
      </x:c>
      <x:c r="B1113" s="2" t="str">
        <x:v>S37</x:v>
      </x:c>
      <x:c r="C1113" s="2" t="str">
        <x:v>500272998</x:v>
      </x:c>
      <x:c r="D1113" s="2" t="n">
        <x:v>2</x:v>
      </x:c>
      <x:c r="E1113" s="9"/>
      <x:c r="F1113" s="2" t="n">
        <x:f>IF(E1113="",D1113,IF(E1113="U","U",IF(AND(ISNUMBER(E1113),E1113&gt;=0,E1113&lt;=3,INT(E1113)=E1113),E1113,"Invalid")))</x:f>
        <x:v>2</x:v>
      </x:c>
      <x:c r="G1113" s="2" t="n">
        <x:f>IF(ISNUMBER(F1113),1,0)</x:f>
        <x:v>1</x:v>
      </x:c>
      <x:c r="H1113" s="2" t="n">
        <x:f>IF(ISNUMBER(F1113),IF(F1113&gt;=2,1,0),0)</x:f>
        <x:v>1</x:v>
      </x:c>
      <x:c r="I1113" s="11" t="n">
        <x:f>IF(ISNUMBER(F1113),2^F1113-1,0)</x:f>
        <x:v>3</x:v>
      </x:c>
      <x:c r="J1113" s="2" t="str">
        <x:v>Extension pre-run 600</x:v>
      </x:c>
      <x:c r="K1113" s="10" t="n">
        <x:v>3458</x:v>
      </x:c>
      <x:c r="L1113" s="10" t="n">
        <x:v>3</x:v>
      </x:c>
      <x:c r="M1113" s="10" t="n">
        <x:v>1119</x:v>
      </x:c>
      <x:c r="N1113" s="2" t="str">
        <x:v>D18</x:v>
      </x:c>
      <x:c r="O1113" s="2" t="str">
        <x:v>hdb flat</x:v>
      </x:c>
      <x:c r="P1113" s="2" t="str">
        <x:v>https://www.propertyguru.com.sg/listing/hdb-for-rent-634-pasir-ris-drive-1-500272998</x:v>
      </x:c>
      <x:c r="Q1113" s="12" t="str">
        <x:v>Pre-registered source-rubric-v1; grade applied before outputs.</x:v>
      </x:c>
      <x:c r="R1113" s="13"/>
    </x:row>
    <x:row r="1114" ht="15" hidden="0" customHeight="1">
      <x:c r="A1114" s="2" t="str">
        <x:v>S37|25275228</x:v>
      </x:c>
      <x:c r="B1114" s="2" t="str">
        <x:v>S37</x:v>
      </x:c>
      <x:c r="C1114" s="2" t="str">
        <x:v>25275228</x:v>
      </x:c>
      <x:c r="D1114" s="2" t="n">
        <x:v>2</x:v>
      </x:c>
      <x:c r="E1114" s="9"/>
      <x:c r="F1114" s="2" t="n">
        <x:f>IF(E1114="",D1114,IF(E1114="U","U",IF(AND(ISNUMBER(E1114),E1114&gt;=0,E1114&lt;=3,INT(E1114)=E1114),E1114,"Invalid")))</x:f>
        <x:v>2</x:v>
      </x:c>
      <x:c r="G1114" s="2" t="n">
        <x:f>IF(ISNUMBER(F1114),1,0)</x:f>
        <x:v>1</x:v>
      </x:c>
      <x:c r="H1114" s="2" t="n">
        <x:f>IF(ISNUMBER(F1114),IF(F1114&gt;=2,1,0),0)</x:f>
        <x:v>1</x:v>
      </x:c>
      <x:c r="I1114" s="11" t="n">
        <x:f>IF(ISNUMBER(F1114),2^F1114-1,0)</x:f>
        <x:v>3</x:v>
      </x:c>
      <x:c r="J1114" s="2" t="str">
        <x:v>Extension pre-run 600</x:v>
      </x:c>
      <x:c r="K1114" s="10" t="n">
        <x:v>3500</x:v>
      </x:c>
      <x:c r="L1114" s="10" t="n">
        <x:v>3</x:v>
      </x:c>
      <x:c r="M1114" s="10" t="n">
        <x:v>1001</x:v>
      </x:c>
      <x:c r="N1114" s="2" t="str">
        <x:v>D19</x:v>
      </x:c>
      <x:c r="O1114" s="2" t="str">
        <x:v>hdb flat</x:v>
      </x:c>
      <x:c r="P1114" s="2" t="str">
        <x:v>https://www.propertyguru.com.sg/listing/hdb-for-rent-303d-punggol-place-25275228</x:v>
      </x:c>
      <x:c r="Q1114" s="12" t="str">
        <x:v>Pre-registered source-rubric-v1; grade applied before outputs.</x:v>
      </x:c>
      <x:c r="R1114" s="13"/>
    </x:row>
    <x:row r="1115" ht="15" hidden="0" customHeight="1">
      <x:c r="A1115" s="2" t="str">
        <x:v>S37|500264016</x:v>
      </x:c>
      <x:c r="B1115" s="2" t="str">
        <x:v>S37</x:v>
      </x:c>
      <x:c r="C1115" s="2" t="str">
        <x:v>500264016</x:v>
      </x:c>
      <x:c r="D1115" s="2" t="n">
        <x:v>1</x:v>
      </x:c>
      <x:c r="E1115" s="9"/>
      <x:c r="F1115" s="2" t="n">
        <x:f>IF(E1115="",D1115,IF(E1115="U","U",IF(AND(ISNUMBER(E1115),E1115&gt;=0,E1115&lt;=3,INT(E1115)=E1115),E1115,"Invalid")))</x:f>
        <x:v>1</x:v>
      </x:c>
      <x:c r="G1115" s="2" t="n">
        <x:f>IF(ISNUMBER(F1115),1,0)</x:f>
        <x:v>1</x:v>
      </x:c>
      <x:c r="H1115" s="2" t="n">
        <x:f>IF(ISNUMBER(F1115),IF(F1115&gt;=2,1,0),0)</x:f>
        <x:v>0</x:v>
      </x:c>
      <x:c r="I1115" s="11" t="n">
        <x:f>IF(ISNUMBER(F1115),2^F1115-1,0)</x:f>
        <x:v>1</x:v>
      </x:c>
      <x:c r="J1115" s="2" t="str">
        <x:v>Extension pre-run 600</x:v>
      </x:c>
      <x:c r="K1115" s="10" t="n">
        <x:v>3500</x:v>
      </x:c>
      <x:c r="L1115" s="10" t="n">
        <x:v>2</x:v>
      </x:c>
      <x:c r="M1115" s="10" t="n">
        <x:v>657</x:v>
      </x:c>
      <x:c r="N1115" s="2" t="str">
        <x:v>D19</x:v>
      </x:c>
      <x:c r="O1115" s="2" t="str">
        <x:v>condominium</x:v>
      </x:c>
      <x:c r="P1115" s="2" t="str">
        <x:v>https://www.propertyguru.com.sg/listing/for-rent-midtown-residences-500264016</x:v>
      </x:c>
      <x:c r="Q1115" s="12" t="str">
        <x:v>Pre-registered source-rubric-v1; grade applied before outputs.</x:v>
      </x:c>
      <x:c r="R1115" s="13"/>
    </x:row>
    <x:row r="1116" ht="15" hidden="0" customHeight="1">
      <x:c r="A1116" s="2" t="str">
        <x:v>S37|500242969</x:v>
      </x:c>
      <x:c r="B1116" s="2" t="str">
        <x:v>S37</x:v>
      </x:c>
      <x:c r="C1116" s="2" t="str">
        <x:v>500242969</x:v>
      </x:c>
      <x:c r="D1116" s="2" t="n">
        <x:v>1</x:v>
      </x:c>
      <x:c r="E1116" s="9"/>
      <x:c r="F1116" s="2" t="n">
        <x:f>IF(E1116="",D1116,IF(E1116="U","U",IF(AND(ISNUMBER(E1116),E1116&gt;=0,E1116&lt;=3,INT(E1116)=E1116),E1116,"Invalid")))</x:f>
        <x:v>1</x:v>
      </x:c>
      <x:c r="G1116" s="2" t="n">
        <x:f>IF(ISNUMBER(F1116),1,0)</x:f>
        <x:v>1</x:v>
      </x:c>
      <x:c r="H1116" s="2" t="n">
        <x:f>IF(ISNUMBER(F1116),IF(F1116&gt;=2,1,0),0)</x:f>
        <x:v>0</x:v>
      </x:c>
      <x:c r="I1116" s="11" t="n">
        <x:f>IF(ISNUMBER(F1116),2^F1116-1,0)</x:f>
        <x:v>1</x:v>
      </x:c>
      <x:c r="J1116" s="2" t="str">
        <x:v>Extension pre-run 600</x:v>
      </x:c>
      <x:c r="K1116" s="10" t="n">
        <x:v>3100</x:v>
      </x:c>
      <x:c r="L1116" s="10" t="n">
        <x:v>3</x:v>
      </x:c>
      <x:c r="M1116" s="10" t="n">
        <x:v>969</x:v>
      </x:c>
      <x:c r="N1116" s="2" t="str">
        <x:v>D19</x:v>
      </x:c>
      <x:c r="O1116" s="2" t="str">
        <x:v>hdb flat</x:v>
      </x:c>
      <x:c r="P1116" s="2" t="str">
        <x:v>https://www.propertyguru.com.sg/listing/hdb-for-rent-174d-edgedale-plains-500242969</x:v>
      </x:c>
      <x:c r="Q1116" s="12" t="str">
        <x:v>Pre-registered source-rubric-v1; grade applied before outputs.</x:v>
      </x:c>
      <x:c r="R1116" s="13"/>
    </x:row>
    <x:row r="1117" ht="15" hidden="0" customHeight="1">
      <x:c r="A1117" s="2" t="str">
        <x:v>S37|500280174</x:v>
      </x:c>
      <x:c r="B1117" s="2" t="str">
        <x:v>S37</x:v>
      </x:c>
      <x:c r="C1117" s="2" t="str">
        <x:v>500280174</x:v>
      </x:c>
      <x:c r="D1117" s="2" t="n">
        <x:v>1</x:v>
      </x:c>
      <x:c r="E1117" s="9"/>
      <x:c r="F1117" s="2" t="n">
        <x:f>IF(E1117="",D1117,IF(E1117="U","U",IF(AND(ISNUMBER(E1117),E1117&gt;=0,E1117&lt;=3,INT(E1117)=E1117),E1117,"Invalid")))</x:f>
        <x:v>1</x:v>
      </x:c>
      <x:c r="G1117" s="2" t="n">
        <x:f>IF(ISNUMBER(F1117),1,0)</x:f>
        <x:v>1</x:v>
      </x:c>
      <x:c r="H1117" s="2" t="n">
        <x:f>IF(ISNUMBER(F1117),IF(F1117&gt;=2,1,0),0)</x:f>
        <x:v>0</x:v>
      </x:c>
      <x:c r="I1117" s="11" t="n">
        <x:f>IF(ISNUMBER(F1117),2^F1117-1,0)</x:f>
        <x:v>1</x:v>
      </x:c>
      <x:c r="J1117" s="2" t="str">
        <x:v>Extension pre-run 600</x:v>
      </x:c>
      <x:c r="K1117" s="10" t="n">
        <x:v>3200</x:v>
      </x:c>
      <x:c r="L1117" s="10" t="n">
        <x:v>3</x:v>
      </x:c>
      <x:c r="M1117" s="10" t="n">
        <x:v>969</x:v>
      </x:c>
      <x:c r="N1117" s="2" t="str">
        <x:v>D19</x:v>
      </x:c>
      <x:c r="O1117" s="2" t="str">
        <x:v>hdb flat</x:v>
      </x:c>
      <x:c r="P1117" s="2" t="str">
        <x:v>https://www.propertyguru.com.sg/listing/hdb-for-rent-351d-anchorvale-road-500280174</x:v>
      </x:c>
      <x:c r="Q1117" s="12" t="str">
        <x:v>Pre-registered source-rubric-v1; grade applied before outputs.</x:v>
      </x:c>
      <x:c r="R1117" s="13"/>
    </x:row>
    <x:row r="1118" ht="15" hidden="0" customHeight="1">
      <x:c r="A1118" s="2" t="str">
        <x:v>S37|500282795</x:v>
      </x:c>
      <x:c r="B1118" s="2" t="str">
        <x:v>S37</x:v>
      </x:c>
      <x:c r="C1118" s="2" t="str">
        <x:v>500282795</x:v>
      </x:c>
      <x:c r="D1118" s="2" t="n">
        <x:v>1</x:v>
      </x:c>
      <x:c r="E1118" s="9"/>
      <x:c r="F1118" s="2" t="n">
        <x:f>IF(E1118="",D1118,IF(E1118="U","U",IF(AND(ISNUMBER(E1118),E1118&gt;=0,E1118&lt;=3,INT(E1118)=E1118),E1118,"Invalid")))</x:f>
        <x:v>1</x:v>
      </x:c>
      <x:c r="G1118" s="2" t="n">
        <x:f>IF(ISNUMBER(F1118),1,0)</x:f>
        <x:v>1</x:v>
      </x:c>
      <x:c r="H1118" s="2" t="n">
        <x:f>IF(ISNUMBER(F1118),IF(F1118&gt;=2,1,0),0)</x:f>
        <x:v>0</x:v>
      </x:c>
      <x:c r="I1118" s="11" t="n">
        <x:f>IF(ISNUMBER(F1118),2^F1118-1,0)</x:f>
        <x:v>1</x:v>
      </x:c>
      <x:c r="J1118" s="2" t="str">
        <x:v>Extension pre-run 600</x:v>
      </x:c>
      <x:c r="K1118" s="10" t="n">
        <x:v>3300</x:v>
      </x:c>
      <x:c r="L1118" s="10" t="n">
        <x:v>2</x:v>
      </x:c>
      <x:c r="M1118" s="10" t="n">
        <x:v>614</x:v>
      </x:c>
      <x:c r="N1118" s="2" t="str">
        <x:v>D19</x:v>
      </x:c>
      <x:c r="O1118" s="2" t="str">
        <x:v>condominium</x:v>
      </x:c>
      <x:c r="P1118" s="2" t="str">
        <x:v>https://www.propertyguru.com.sg/listing/for-rent-riverfront-residences-500282795</x:v>
      </x:c>
      <x:c r="Q1118" s="12" t="str">
        <x:v>Pre-registered source-rubric-v1; grade applied before outputs.</x:v>
      </x:c>
      <x:c r="R1118" s="13"/>
    </x:row>
    <x:row r="1119" ht="15" hidden="0" customHeight="1">
      <x:c r="A1119" s="2" t="str">
        <x:v>S37|500242926</x:v>
      </x:c>
      <x:c r="B1119" s="2" t="str">
        <x:v>S37</x:v>
      </x:c>
      <x:c r="C1119" s="2" t="str">
        <x:v>500242926</x:v>
      </x:c>
      <x:c r="D1119" s="2" t="n">
        <x:v>1</x:v>
      </x:c>
      <x:c r="E1119" s="9"/>
      <x:c r="F1119" s="2" t="n">
        <x:f>IF(E1119="",D1119,IF(E1119="U","U",IF(AND(ISNUMBER(E1119),E1119&gt;=0,E1119&lt;=3,INT(E1119)=E1119),E1119,"Invalid")))</x:f>
        <x:v>1</x:v>
      </x:c>
      <x:c r="G1119" s="2" t="n">
        <x:f>IF(ISNUMBER(F1119),1,0)</x:f>
        <x:v>1</x:v>
      </x:c>
      <x:c r="H1119" s="2" t="n">
        <x:f>IF(ISNUMBER(F1119),IF(F1119&gt;=2,1,0),0)</x:f>
        <x:v>0</x:v>
      </x:c>
      <x:c r="I1119" s="11" t="n">
        <x:f>IF(ISNUMBER(F1119),2^F1119-1,0)</x:f>
        <x:v>1</x:v>
      </x:c>
      <x:c r="J1119" s="2" t="str">
        <x:v>Extension pre-run 600</x:v>
      </x:c>
      <x:c r="K1119" s="10" t="n">
        <x:v>3500</x:v>
      </x:c>
      <x:c r="L1119" s="10" t="n">
        <x:v>2</x:v>
      </x:c>
      <x:c r="M1119" s="10" t="n">
        <x:v>667</x:v>
      </x:c>
      <x:c r="N1119" s="2" t="str">
        <x:v>D19</x:v>
      </x:c>
      <x:c r="O1119" s="2" t="str">
        <x:v>condominium</x:v>
      </x:c>
      <x:c r="P1119" s="2" t="str">
        <x:v>https://www.propertyguru.com.sg/listing/for-rent-the-florence-residences-500242926</x:v>
      </x:c>
      <x:c r="Q1119" s="12" t="str">
        <x:v>Pre-registered source-rubric-v1; grade applied before outputs.</x:v>
      </x:c>
      <x:c r="R1119" s="13"/>
    </x:row>
    <x:row r="1120" ht="15" hidden="0" customHeight="1">
      <x:c r="A1120" s="2" t="str">
        <x:v>S37|20943216</x:v>
      </x:c>
      <x:c r="B1120" s="2" t="str">
        <x:v>S37</x:v>
      </x:c>
      <x:c r="C1120" s="2" t="str">
        <x:v>20943216</x:v>
      </x:c>
      <x:c r="D1120" s="2" t="n">
        <x:v>1</x:v>
      </x:c>
      <x:c r="E1120" s="9"/>
      <x:c r="F1120" s="2" t="n">
        <x:f>IF(E1120="",D1120,IF(E1120="U","U",IF(AND(ISNUMBER(E1120),E1120&gt;=0,E1120&lt;=3,INT(E1120)=E1120),E1120,"Invalid")))</x:f>
        <x:v>1</x:v>
      </x:c>
      <x:c r="G1120" s="2" t="n">
        <x:f>IF(ISNUMBER(F1120),1,0)</x:f>
        <x:v>1</x:v>
      </x:c>
      <x:c r="H1120" s="2" t="n">
        <x:f>IF(ISNUMBER(F1120),IF(F1120&gt;=2,1,0),0)</x:f>
        <x:v>0</x:v>
      </x:c>
      <x:c r="I1120" s="11" t="n">
        <x:f>IF(ISNUMBER(F1120),2^F1120-1,0)</x:f>
        <x:v>1</x:v>
      </x:c>
      <x:c r="J1120" s="2" t="str">
        <x:v>Extension pre-run 600</x:v>
      </x:c>
      <x:c r="K1120" s="10" t="n">
        <x:v>3500</x:v>
      </x:c>
      <x:c r="L1120" s="10" t="n">
        <x:v>2</x:v>
      </x:c>
      <x:c r="M1120" s="10" t="n">
        <x:v>775</x:v>
      </x:c>
      <x:c r="N1120" s="2" t="str">
        <x:v>D19</x:v>
      </x:c>
      <x:c r="O1120" s="2" t="str">
        <x:v>condominium</x:v>
      </x:c>
      <x:c r="P1120" s="2" t="str">
        <x:v>https://www.propertyguru.com.sg/listing/for-rent-the-luxurie-20943216</x:v>
      </x:c>
      <x:c r="Q1120" s="12" t="str">
        <x:v>Pre-registered source-rubric-v1; grade applied before outputs.</x:v>
      </x:c>
      <x:c r="R1120" s="13"/>
    </x:row>
    <x:row r="1121" ht="15" hidden="0" customHeight="1">
      <x:c r="A1121" s="2" t="str">
        <x:v>S37|25317867</x:v>
      </x:c>
      <x:c r="B1121" s="2" t="str">
        <x:v>S37</x:v>
      </x:c>
      <x:c r="C1121" s="2" t="str">
        <x:v>25317867</x:v>
      </x:c>
      <x:c r="D1121" s="2" t="n">
        <x:v>0</x:v>
      </x:c>
      <x:c r="E1121" s="9"/>
      <x:c r="F1121" s="2" t="n">
        <x:f>IF(E1121="",D1121,IF(E1121="U","U",IF(AND(ISNUMBER(E1121),E1121&gt;=0,E1121&lt;=3,INT(E1121)=E1121),E1121,"Invalid")))</x:f>
        <x:v>0</x:v>
      </x:c>
      <x:c r="G1121" s="2" t="n">
        <x:f>IF(ISNUMBER(F1121),1,0)</x:f>
        <x:v>1</x:v>
      </x:c>
      <x:c r="H1121" s="2" t="n">
        <x:f>IF(ISNUMBER(F1121),IF(F1121&gt;=2,1,0),0)</x:f>
        <x:v>0</x:v>
      </x:c>
      <x:c r="I1121" s="11" t="n">
        <x:f>IF(ISNUMBER(F1121),2^F1121-1,0)</x:f>
        <x:v>0</x:v>
      </x:c>
      <x:c r="J1121" s="2" t="str">
        <x:v>Extension pre-run 600</x:v>
      </x:c>
      <x:c r="K1121" s="10" t="n">
        <x:v>8999</x:v>
      </x:c>
      <x:c r="L1121" s="10" t="n">
        <x:v>3</x:v>
      </x:c>
      <x:c r="M1121" s="10" t="n">
        <x:v>1098</x:v>
      </x:c>
      <x:c r="N1121" s="2" t="str">
        <x:v>D03</x:v>
      </x:c>
      <x:c r="O1121" s="2" t="str">
        <x:v>condominium</x:v>
      </x:c>
      <x:c r="P1121" s="2" t="str">
        <x:v>https://www.propertyguru.com.sg/listing/for-rent-one-pearl-bank-25317867</x:v>
      </x:c>
      <x:c r="Q1121" s="12" t="str">
        <x:v>Pre-registered source-rubric-v1; grade applied before outputs.</x:v>
      </x:c>
      <x:c r="R1121" s="13"/>
    </x:row>
    <x:row r="1122" ht="15" hidden="0" customHeight="1">
      <x:c r="A1122" s="2" t="str">
        <x:v>S37|500263974</x:v>
      </x:c>
      <x:c r="B1122" s="2" t="str">
        <x:v>S37</x:v>
      </x:c>
      <x:c r="C1122" s="2" t="str">
        <x:v>500263974</x:v>
      </x:c>
      <x:c r="D1122" s="2" t="n">
        <x:v>0</x:v>
      </x:c>
      <x:c r="E1122" s="9"/>
      <x:c r="F1122" s="2" t="n">
        <x:f>IF(E1122="",D1122,IF(E1122="U","U",IF(AND(ISNUMBER(E1122),E1122&gt;=0,E1122&lt;=3,INT(E1122)=E1122),E1122,"Invalid")))</x:f>
        <x:v>0</x:v>
      </x:c>
      <x:c r="G1122" s="2" t="n">
        <x:f>IF(ISNUMBER(F1122),1,0)</x:f>
        <x:v>1</x:v>
      </x:c>
      <x:c r="H1122" s="2" t="n">
        <x:f>IF(ISNUMBER(F1122),IF(F1122&gt;=2,1,0),0)</x:f>
        <x:v>0</x:v>
      </x:c>
      <x:c r="I1122" s="11" t="n">
        <x:f>IF(ISNUMBER(F1122),2^F1122-1,0)</x:f>
        <x:v>0</x:v>
      </x:c>
      <x:c r="J1122" s="2" t="str">
        <x:v>Extension pre-run 600</x:v>
      </x:c>
      <x:c r="K1122" s="10" t="n">
        <x:v>4800</x:v>
      </x:c>
      <x:c r="L1122" s="10" t="n">
        <x:v>3</x:v>
      </x:c>
      <x:c r="M1122" s="10" t="n">
        <x:v>1098</x:v>
      </x:c>
      <x:c r="N1122" s="2" t="str">
        <x:v>D23</x:v>
      </x:c>
      <x:c r="O1122" s="2" t="str">
        <x:v>condominium</x:v>
      </x:c>
      <x:c r="P1122" s="2" t="str">
        <x:v>https://www.propertyguru.com.sg/listing/for-rent-sol-acres-500263974</x:v>
      </x:c>
      <x:c r="Q1122" s="12" t="str">
        <x:v>Pre-registered source-rubric-v1; grade applied before outputs.</x:v>
      </x:c>
      <x:c r="R1122" s="13"/>
    </x:row>
    <x:row r="1123" ht="15" hidden="0" customHeight="1">
      <x:c r="A1123" s="2" t="str">
        <x:v>S37|23898840</x:v>
      </x:c>
      <x:c r="B1123" s="2" t="str">
        <x:v>S37</x:v>
      </x:c>
      <x:c r="C1123" s="2" t="str">
        <x:v>23898840</x:v>
      </x:c>
      <x:c r="D1123" s="2" t="n">
        <x:v>0</x:v>
      </x:c>
      <x:c r="E1123" s="9"/>
      <x:c r="F1123" s="2" t="n">
        <x:f>IF(E1123="",D1123,IF(E1123="U","U",IF(AND(ISNUMBER(E1123),E1123&gt;=0,E1123&lt;=3,INT(E1123)=E1123),E1123,"Invalid")))</x:f>
        <x:v>0</x:v>
      </x:c>
      <x:c r="G1123" s="2" t="n">
        <x:f>IF(ISNUMBER(F1123),1,0)</x:f>
        <x:v>1</x:v>
      </x:c>
      <x:c r="H1123" s="2" t="n">
        <x:f>IF(ISNUMBER(F1123),IF(F1123&gt;=2,1,0),0)</x:f>
        <x:v>0</x:v>
      </x:c>
      <x:c r="I1123" s="11" t="n">
        <x:f>IF(ISNUMBER(F1123),2^F1123-1,0)</x:f>
        <x:v>0</x:v>
      </x:c>
      <x:c r="J1123" s="2" t="str">
        <x:v>Extension pre-run 600</x:v>
      </x:c>
      <x:c r="K1123" s="10" t="n">
        <x:v>1700</x:v>
      </x:c>
      <x:c r="L1123" s="10" t="n">
        <x:v>0</x:v>
      </x:c>
      <x:c r="M1123" s="10"/>
      <x:c r="N1123" s="2" t="str">
        <x:v>D15</x:v>
      </x:c>
      <x:c r="O1123" s="2" t="str">
        <x:v>condominium</x:v>
      </x:c>
      <x:c r="P1123" s="2" t="str">
        <x:v>https://www.propertyguru.com.sg/listing/for-rent-eastern-lagoon-ii-23898840</x:v>
      </x:c>
      <x:c r="Q1123" s="12" t="str">
        <x:v>Pre-registered source-rubric-v1; grade applied before outputs.</x:v>
      </x:c>
      <x:c r="R1123" s="13"/>
    </x:row>
    <x:row r="1124" ht="15" hidden="0" customHeight="1">
      <x:c r="A1124" s="2" t="str">
        <x:v>S37|500243355</x:v>
      </x:c>
      <x:c r="B1124" s="2" t="str">
        <x:v>S37</x:v>
      </x:c>
      <x:c r="C1124" s="2" t="str">
        <x:v>500243355</x:v>
      </x:c>
      <x:c r="D1124" s="2" t="n">
        <x:v>0</x:v>
      </x:c>
      <x:c r="E1124" s="9"/>
      <x:c r="F1124" s="2" t="n">
        <x:f>IF(E1124="",D1124,IF(E1124="U","U",IF(AND(ISNUMBER(E1124),E1124&gt;=0,E1124&lt;=3,INT(E1124)=E1124),E1124,"Invalid")))</x:f>
        <x:v>0</x:v>
      </x:c>
      <x:c r="G1124" s="2" t="n">
        <x:f>IF(ISNUMBER(F1124),1,0)</x:f>
        <x:v>1</x:v>
      </x:c>
      <x:c r="H1124" s="2" t="n">
        <x:f>IF(ISNUMBER(F1124),IF(F1124&gt;=2,1,0),0)</x:f>
        <x:v>0</x:v>
      </x:c>
      <x:c r="I1124" s="11" t="n">
        <x:f>IF(ISNUMBER(F1124),2^F1124-1,0)</x:f>
        <x:v>0</x:v>
      </x:c>
      <x:c r="J1124" s="2" t="str">
        <x:v>Extension pre-run 600</x:v>
      </x:c>
      <x:c r="K1124" s="10" t="n">
        <x:v>4500</x:v>
      </x:c>
      <x:c r="L1124" s="10" t="n">
        <x:v>3</x:v>
      </x:c>
      <x:c r="M1124" s="10" t="n">
        <x:v>1312</x:v>
      </x:c>
      <x:c r="N1124" s="2" t="str">
        <x:v>D03</x:v>
      </x:c>
      <x:c r="O1124" s="2" t="str">
        <x:v>hdb flat</x:v>
      </x:c>
      <x:c r="P1124" s="2" t="str">
        <x:v>https://www.propertyguru.com.sg/listing/hdb-for-rent-51-lengkok-bahru-500243355</x:v>
      </x:c>
      <x:c r="Q1124" s="12" t="str">
        <x:v>Pre-registered source-rubric-v1; grade applied before outputs.</x:v>
      </x:c>
      <x:c r="R1124" s="13"/>
    </x:row>
    <x:row r="1125" ht="15" hidden="0" customHeight="1">
      <x:c r="A1125" s="2" t="str">
        <x:v>S37|500072283</x:v>
      </x:c>
      <x:c r="B1125" s="2" t="str">
        <x:v>S37</x:v>
      </x:c>
      <x:c r="C1125" s="2" t="str">
        <x:v>500072283</x:v>
      </x:c>
      <x:c r="D1125" s="2" t="n">
        <x:v>0</x:v>
      </x:c>
      <x:c r="E1125" s="9"/>
      <x:c r="F1125" s="2" t="n">
        <x:f>IF(E1125="",D1125,IF(E1125="U","U",IF(AND(ISNUMBER(E1125),E1125&gt;=0,E1125&lt;=3,INT(E1125)=E1125),E1125,"Invalid")))</x:f>
        <x:v>0</x:v>
      </x:c>
      <x:c r="G1125" s="2" t="n">
        <x:f>IF(ISNUMBER(F1125),1,0)</x:f>
        <x:v>1</x:v>
      </x:c>
      <x:c r="H1125" s="2" t="n">
        <x:f>IF(ISNUMBER(F1125),IF(F1125&gt;=2,1,0),0)</x:f>
        <x:v>0</x:v>
      </x:c>
      <x:c r="I1125" s="11" t="n">
        <x:f>IF(ISNUMBER(F1125),2^F1125-1,0)</x:f>
        <x:v>0</x:v>
      </x:c>
      <x:c r="J1125" s="2" t="str">
        <x:v>Extension pre-run 600</x:v>
      </x:c>
      <x:c r="K1125" s="10" t="n">
        <x:v>500</x:v>
      </x:c>
      <x:c r="L1125" s="10" t="n">
        <x:v>0</x:v>
      </x:c>
      <x:c r="M1125" s="10"/>
      <x:c r="N1125" s="2" t="str">
        <x:v>D27</x:v>
      </x:c>
      <x:c r="O1125" s="2" t="str">
        <x:v>hdb flat</x:v>
      </x:c>
      <x:c r="P1125" s="2" t="str">
        <x:v>https://www.propertyguru.com.sg/listing/hdb-for-rent-863-yishun-avenue-4-500072283</x:v>
      </x:c>
      <x:c r="Q1125" s="12" t="str">
        <x:v>Pre-registered source-rubric-v1; grade applied before outputs.</x:v>
      </x:c>
      <x:c r="R1125" s="13"/>
    </x:row>
    <x:row r="1126" ht="15" hidden="0" customHeight="1">
      <x:c r="A1126" s="2" t="str">
        <x:v>S37|21803225</x:v>
      </x:c>
      <x:c r="B1126" s="2" t="str">
        <x:v>S37</x:v>
      </x:c>
      <x:c r="C1126" s="2" t="str">
        <x:v>21803225</x:v>
      </x:c>
      <x:c r="D1126" s="2" t="n">
        <x:v>0</x:v>
      </x:c>
      <x:c r="E1126" s="9"/>
      <x:c r="F1126" s="2" t="n">
        <x:f>IF(E1126="",D1126,IF(E1126="U","U",IF(AND(ISNUMBER(E1126),E1126&gt;=0,E1126&lt;=3,INT(E1126)=E1126),E1126,"Invalid")))</x:f>
        <x:v>0</x:v>
      </x:c>
      <x:c r="G1126" s="2" t="n">
        <x:f>IF(ISNUMBER(F1126),1,0)</x:f>
        <x:v>1</x:v>
      </x:c>
      <x:c r="H1126" s="2" t="n">
        <x:f>IF(ISNUMBER(F1126),IF(F1126&gt;=2,1,0),0)</x:f>
        <x:v>0</x:v>
      </x:c>
      <x:c r="I1126" s="11" t="n">
        <x:f>IF(ISNUMBER(F1126),2^F1126-1,0)</x:f>
        <x:v>0</x:v>
      </x:c>
      <x:c r="J1126" s="2" t="str">
        <x:v>Extension pre-run 600</x:v>
      </x:c>
      <x:c r="K1126" s="10" t="n">
        <x:v>3300</x:v>
      </x:c>
      <x:c r="L1126" s="10" t="n">
        <x:v>2</x:v>
      </x:c>
      <x:c r="M1126" s="10" t="n">
        <x:v>699</x:v>
      </x:c>
      <x:c r="N1126" s="2" t="str">
        <x:v>D15</x:v>
      </x:c>
      <x:c r="O1126" s="2" t="str">
        <x:v>hdb flat</x:v>
      </x:c>
      <x:c r="P1126" s="2" t="str">
        <x:v>https://www.propertyguru.com.sg/listing/hdb-for-rent-6-marine-terrace-21803225</x:v>
      </x:c>
      <x:c r="Q1126" s="12" t="str">
        <x:v>Pre-registered source-rubric-v1; grade applied before outputs.</x:v>
      </x:c>
      <x:c r="R1126" s="13"/>
    </x:row>
    <x:row r="1127" ht="15" hidden="0" customHeight="1">
      <x:c r="A1127" s="2" t="str">
        <x:v>S37|500257755</x:v>
      </x:c>
      <x:c r="B1127" s="2" t="str">
        <x:v>S37</x:v>
      </x:c>
      <x:c r="C1127" s="2" t="str">
        <x:v>500257755</x:v>
      </x:c>
      <x:c r="D1127" s="2" t="n">
        <x:v>0</x:v>
      </x:c>
      <x:c r="E1127" s="9"/>
      <x:c r="F1127" s="2" t="n">
        <x:f>IF(E1127="",D1127,IF(E1127="U","U",IF(AND(ISNUMBER(E1127),E1127&gt;=0,E1127&lt;=3,INT(E1127)=E1127),E1127,"Invalid")))</x:f>
        <x:v>0</x:v>
      </x:c>
      <x:c r="G1127" s="2" t="n">
        <x:f>IF(ISNUMBER(F1127),1,0)</x:f>
        <x:v>1</x:v>
      </x:c>
      <x:c r="H1127" s="2" t="n">
        <x:f>IF(ISNUMBER(F1127),IF(F1127&gt;=2,1,0),0)</x:f>
        <x:v>0</x:v>
      </x:c>
      <x:c r="I1127" s="11" t="n">
        <x:f>IF(ISNUMBER(F1127),2^F1127-1,0)</x:f>
        <x:v>0</x:v>
      </x:c>
      <x:c r="J1127" s="2" t="str">
        <x:v>Extension pre-run 600</x:v>
      </x:c>
      <x:c r="K1127" s="10" t="n">
        <x:v>3200</x:v>
      </x:c>
      <x:c r="L1127" s="10"/>
      <x:c r="M1127" s="10" t="n">
        <x:v>340</x:v>
      </x:c>
      <x:c r="N1127" s="2" t="str">
        <x:v>D15</x:v>
      </x:c>
      <x:c r="O1127" s="2" t="str">
        <x:v>condominium</x:v>
      </x:c>
      <x:c r="P1127" s="2" t="str">
        <x:v>https://www.propertyguru.com.sg/listing/for-rent-grand-dunman-500257755</x:v>
      </x:c>
      <x:c r="Q1127" s="12" t="str">
        <x:v>Pre-registered source-rubric-v1; grade applied before outputs.</x:v>
      </x:c>
      <x:c r="R1127" s="13"/>
    </x:row>
    <x:row r="1128" ht="15" hidden="0" customHeight="1">
      <x:c r="A1128" s="2" t="str">
        <x:v>S37|500275197</x:v>
      </x:c>
      <x:c r="B1128" s="2" t="str">
        <x:v>S37</x:v>
      </x:c>
      <x:c r="C1128" s="2" t="str">
        <x:v>500275197</x:v>
      </x:c>
      <x:c r="D1128" s="2" t="n">
        <x:v>0</x:v>
      </x:c>
      <x:c r="E1128" s="9"/>
      <x:c r="F1128" s="2" t="n">
        <x:f>IF(E1128="",D1128,IF(E1128="U","U",IF(AND(ISNUMBER(E1128),E1128&gt;=0,E1128&lt;=3,INT(E1128)=E1128),E1128,"Invalid")))</x:f>
        <x:v>0</x:v>
      </x:c>
      <x:c r="G1128" s="2" t="n">
        <x:f>IF(ISNUMBER(F1128),1,0)</x:f>
        <x:v>1</x:v>
      </x:c>
      <x:c r="H1128" s="2" t="n">
        <x:f>IF(ISNUMBER(F1128),IF(F1128&gt;=2,1,0),0)</x:f>
        <x:v>0</x:v>
      </x:c>
      <x:c r="I1128" s="11" t="n">
        <x:f>IF(ISNUMBER(F1128),2^F1128-1,0)</x:f>
        <x:v>0</x:v>
      </x:c>
      <x:c r="J1128" s="2" t="str">
        <x:v>Extension pre-run 600</x:v>
      </x:c>
      <x:c r="K1128" s="10" t="n">
        <x:v>21800</x:v>
      </x:c>
      <x:c r="L1128" s="10" t="n">
        <x:v>4</x:v>
      </x:c>
      <x:c r="M1128" s="10" t="n">
        <x:v>2885</x:v>
      </x:c>
      <x:c r="N1128" s="2" t="str">
        <x:v>D10</x:v>
      </x:c>
      <x:c r="O1128" s="2" t="str">
        <x:v>condominium</x:v>
      </x:c>
      <x:c r="P1128" s="2" t="str">
        <x:v>https://www.propertyguru.com.sg/listing/for-rent-ardmore-park-500275197</x:v>
      </x:c>
      <x:c r="Q1128" s="12" t="str">
        <x:v>Pre-registered source-rubric-v1; grade applied before outputs.</x:v>
      </x:c>
      <x:c r="R1128" s="13"/>
    </x:row>
    <x:row r="1129" ht="15" hidden="0" customHeight="1">
      <x:c r="A1129" s="2" t="str">
        <x:v>S37|23638470</x:v>
      </x:c>
      <x:c r="B1129" s="2" t="str">
        <x:v>S37</x:v>
      </x:c>
      <x:c r="C1129" s="2" t="str">
        <x:v>23638470</x:v>
      </x:c>
      <x:c r="D1129" s="2" t="str">
        <x:v>U</x:v>
      </x:c>
      <x:c r="E1129" s="9"/>
      <x:c r="F1129" s="2" t="str">
        <x:f>IF(E1129="",D1129,IF(E1129="U","U",IF(AND(ISNUMBER(E1129),E1129&gt;=0,E1129&lt;=3,INT(E1129)=E1129),E1129,"Invalid")))</x:f>
        <x:v>U</x:v>
      </x:c>
      <x:c r="G1129" s="2" t="n">
        <x:f>IF(ISNUMBER(F1129),1,0)</x:f>
        <x:v>0</x:v>
      </x:c>
      <x:c r="H1129" s="2" t="n">
        <x:f>IF(ISNUMBER(F1129),IF(F1129&gt;=2,1,0),0)</x:f>
        <x:v>0</x:v>
      </x:c>
      <x:c r="I1129" s="11" t="n">
        <x:f>IF(ISNUMBER(F1129),2^F1129-1,0)</x:f>
        <x:v>0</x:v>
      </x:c>
      <x:c r="J1129" s="2" t="str">
        <x:v>Extension pre-run 600</x:v>
      </x:c>
      <x:c r="K1129" s="10" t="n">
        <x:v>2300</x:v>
      </x:c>
      <x:c r="L1129" s="10"/>
      <x:c r="M1129" s="10" t="n">
        <x:v>300</x:v>
      </x:c>
      <x:c r="N1129" s="2" t="str">
        <x:v>D19</x:v>
      </x:c>
      <x:c r="O1129" s="2" t="str">
        <x:v>executive condominium</x:v>
      </x:c>
      <x:c r="P1129" s="2" t="str">
        <x:v>https://www.propertyguru.com.sg/listing/for-rent-heron-bay-23638470</x:v>
      </x:c>
      <x:c r="Q1129" s="12" t="str">
        <x:v>Pre-registered source-rubric-v1; grade applied before outputs.</x:v>
      </x:c>
      <x:c r="R1129" s="13"/>
    </x:row>
    <x:row r="1130" ht="15" hidden="0" customHeight="1">
      <x:c r="A1130" s="2" t="str">
        <x:v>S37|500279760</x:v>
      </x:c>
      <x:c r="B1130" s="2" t="str">
        <x:v>S37</x:v>
      </x:c>
      <x:c r="C1130" s="2" t="str">
        <x:v>500279760</x:v>
      </x:c>
      <x:c r="D1130" s="2" t="str">
        <x:v>U</x:v>
      </x:c>
      <x:c r="E1130" s="9"/>
      <x:c r="F1130" s="2" t="str">
        <x:f>IF(E1130="",D1130,IF(E1130="U","U",IF(AND(ISNUMBER(E1130),E1130&gt;=0,E1130&lt;=3,INT(E1130)=E1130),E1130,"Invalid")))</x:f>
        <x:v>U</x:v>
      </x:c>
      <x:c r="G1130" s="2" t="n">
        <x:f>IF(ISNUMBER(F1130),1,0)</x:f>
        <x:v>0</x:v>
      </x:c>
      <x:c r="H1130" s="2" t="n">
        <x:f>IF(ISNUMBER(F1130),IF(F1130&gt;=2,1,0),0)</x:f>
        <x:v>0</x:v>
      </x:c>
      <x:c r="I1130" s="11" t="n">
        <x:f>IF(ISNUMBER(F1130),2^F1130-1,0)</x:f>
        <x:v>0</x:v>
      </x:c>
      <x:c r="J1130" s="2" t="str">
        <x:v>Extension pre-run 600</x:v>
      </x:c>
      <x:c r="K1130" s="10" t="n">
        <x:v>2800</x:v>
      </x:c>
      <x:c r="L1130" s="10"/>
      <x:c r="M1130" s="10" t="n">
        <x:v>400</x:v>
      </x:c>
      <x:c r="N1130" s="2" t="str">
        <x:v>D19</x:v>
      </x:c>
      <x:c r="O1130" s="2" t="str">
        <x:v>condominium</x:v>
      </x:c>
      <x:c r="P1130" s="2" t="str">
        <x:v>https://www.propertyguru.com.sg/listing/for-rent-esparina-residences-500279760</x:v>
      </x:c>
      <x:c r="Q1130" s="12" t="str">
        <x:v>Pre-registered source-rubric-v1; grade applied before outputs.</x:v>
      </x:c>
      <x:c r="R1130" s="13"/>
    </x:row>
    <x:row r="1131" ht="15" hidden="0" customHeight="1">
      <x:c r="A1131" s="2" t="str">
        <x:v>S37|500255930</x:v>
      </x:c>
      <x:c r="B1131" s="2" t="str">
        <x:v>S37</x:v>
      </x:c>
      <x:c r="C1131" s="2" t="str">
        <x:v>500255930</x:v>
      </x:c>
      <x:c r="D1131" s="2" t="n">
        <x:v>0</x:v>
      </x:c>
      <x:c r="E1131" s="9"/>
      <x:c r="F1131" s="2" t="n">
        <x:f>IF(E1131="",D1131,IF(E1131="U","U",IF(AND(ISNUMBER(E1131),E1131&gt;=0,E1131&lt;=3,INT(E1131)=E1131),E1131,"Invalid")))</x:f>
        <x:v>0</x:v>
      </x:c>
      <x:c r="G1131" s="2" t="n">
        <x:f>IF(ISNUMBER(F1131),1,0)</x:f>
        <x:v>1</x:v>
      </x:c>
      <x:c r="H1131" s="2" t="n">
        <x:f>IF(ISNUMBER(F1131),IF(F1131&gt;=2,1,0),0)</x:f>
        <x:v>0</x:v>
      </x:c>
      <x:c r="I1131" s="11" t="n">
        <x:f>IF(ISNUMBER(F1131),2^F1131-1,0)</x:f>
        <x:v>0</x:v>
      </x:c>
      <x:c r="J1131" s="2" t="str">
        <x:v>Extension pre-run 600</x:v>
      </x:c>
      <x:c r="K1131" s="10" t="n">
        <x:v>1050</x:v>
      </x:c>
      <x:c r="L1131" s="10" t="n">
        <x:v>0</x:v>
      </x:c>
      <x:c r="M1131" s="10"/>
      <x:c r="N1131" s="2" t="str">
        <x:v>D27</x:v>
      </x:c>
      <x:c r="O1131" s="2" t="str">
        <x:v>hdb flat</x:v>
      </x:c>
      <x:c r="P1131" s="2" t="str">
        <x:v>https://www.propertyguru.com.sg/listing/hdb-for-rent-136-yishun-ring-road-500255930</x:v>
      </x:c>
      <x:c r="Q1131" s="12" t="str">
        <x:v>Pre-registered source-rubric-v1; grade applied before outputs.</x:v>
      </x:c>
      <x:c r="R1131" s="13"/>
    </x:row>
    <x:row r="1132" ht="15" hidden="0" customHeight="1">
      <x:c r="A1132" s="2" t="str">
        <x:v>S37|500272851</x:v>
      </x:c>
      <x:c r="B1132" s="2" t="str">
        <x:v>S37</x:v>
      </x:c>
      <x:c r="C1132" s="2" t="str">
        <x:v>500272851</x:v>
      </x:c>
      <x:c r="D1132" s="2" t="n">
        <x:v>0</x:v>
      </x:c>
      <x:c r="E1132" s="9"/>
      <x:c r="F1132" s="2" t="n">
        <x:f>IF(E1132="",D1132,IF(E1132="U","U",IF(AND(ISNUMBER(E1132),E1132&gt;=0,E1132&lt;=3,INT(E1132)=E1132),E1132,"Invalid")))</x:f>
        <x:v>0</x:v>
      </x:c>
      <x:c r="G1132" s="2" t="n">
        <x:f>IF(ISNUMBER(F1132),1,0)</x:f>
        <x:v>1</x:v>
      </x:c>
      <x:c r="H1132" s="2" t="n">
        <x:f>IF(ISNUMBER(F1132),IF(F1132&gt;=2,1,0),0)</x:f>
        <x:v>0</x:v>
      </x:c>
      <x:c r="I1132" s="11" t="n">
        <x:f>IF(ISNUMBER(F1132),2^F1132-1,0)</x:f>
        <x:v>0</x:v>
      </x:c>
      <x:c r="J1132" s="2" t="str">
        <x:v>Extension pre-run 600</x:v>
      </x:c>
      <x:c r="K1132" s="10" t="n">
        <x:v>1450</x:v>
      </x:c>
      <x:c r="L1132" s="10" t="n">
        <x:v>0</x:v>
      </x:c>
      <x:c r="M1132" s="10"/>
      <x:c r="N1132" s="2" t="str">
        <x:v>D12</x:v>
      </x:c>
      <x:c r="O1132" s="2" t="str">
        <x:v>hdb flat</x:v>
      </x:c>
      <x:c r="P1132" s="2" t="str">
        <x:v>https://www.propertyguru.com.sg/listing/hdb-for-rent-99-whampoa-drive-500272851</x:v>
      </x:c>
      <x:c r="Q1132" s="12" t="str">
        <x:v>Pre-registered source-rubric-v1; grade applied before outputs.</x:v>
      </x:c>
      <x:c r="R1132" s="13"/>
    </x:row>
    <x:row r="1133" ht="15" hidden="0" customHeight="1">
      <x:c r="A1133" s="2" t="str">
        <x:v>S37|500275215</x:v>
      </x:c>
      <x:c r="B1133" s="2" t="str">
        <x:v>S37</x:v>
      </x:c>
      <x:c r="C1133" s="2" t="str">
        <x:v>500275215</x:v>
      </x:c>
      <x:c r="D1133" s="2" t="n">
        <x:v>0</x:v>
      </x:c>
      <x:c r="E1133" s="9"/>
      <x:c r="F1133" s="2" t="n">
        <x:f>IF(E1133="",D1133,IF(E1133="U","U",IF(AND(ISNUMBER(E1133),E1133&gt;=0,E1133&lt;=3,INT(E1133)=E1133),E1133,"Invalid")))</x:f>
        <x:v>0</x:v>
      </x:c>
      <x:c r="G1133" s="2" t="n">
        <x:f>IF(ISNUMBER(F1133),1,0)</x:f>
        <x:v>1</x:v>
      </x:c>
      <x:c r="H1133" s="2" t="n">
        <x:f>IF(ISNUMBER(F1133),IF(F1133&gt;=2,1,0),0)</x:f>
        <x:v>0</x:v>
      </x:c>
      <x:c r="I1133" s="11" t="n">
        <x:f>IF(ISNUMBER(F1133),2^F1133-1,0)</x:f>
        <x:v>0</x:v>
      </x:c>
      <x:c r="J1133" s="2" t="str">
        <x:v>Extension pre-run 600</x:v>
      </x:c>
      <x:c r="K1133" s="10" t="n">
        <x:v>650</x:v>
      </x:c>
      <x:c r="L1133" s="10" t="n">
        <x:v>0</x:v>
      </x:c>
      <x:c r="M1133" s="10"/>
      <x:c r="N1133" s="2" t="str">
        <x:v>D23</x:v>
      </x:c>
      <x:c r="O1133" s="2" t="str">
        <x:v>hdb flat</x:v>
      </x:c>
      <x:c r="P1133" s="2" t="str">
        <x:v>https://www.propertyguru.com.sg/listing/hdb-for-rent-449-choa-chu-kang-avenue-4-500275215</x:v>
      </x:c>
      <x:c r="Q1133" s="12" t="str">
        <x:v>Pre-registered source-rubric-v1; grade applied before outputs.</x:v>
      </x:c>
      <x:c r="R1133" s="13"/>
    </x:row>
    <x:row r="1134" ht="15" hidden="0" customHeight="1">
      <x:c r="A1134" s="2" t="str">
        <x:v>S37|500279175</x:v>
      </x:c>
      <x:c r="B1134" s="2" t="str">
        <x:v>S37</x:v>
      </x:c>
      <x:c r="C1134" s="2" t="str">
        <x:v>500279175</x:v>
      </x:c>
      <x:c r="D1134" s="2" t="n">
        <x:v>0</x:v>
      </x:c>
      <x:c r="E1134" s="9"/>
      <x:c r="F1134" s="2" t="n">
        <x:f>IF(E1134="",D1134,IF(E1134="U","U",IF(AND(ISNUMBER(E1134),E1134&gt;=0,E1134&lt;=3,INT(E1134)=E1134),E1134,"Invalid")))</x:f>
        <x:v>0</x:v>
      </x:c>
      <x:c r="G1134" s="2" t="n">
        <x:f>IF(ISNUMBER(F1134),1,0)</x:f>
        <x:v>1</x:v>
      </x:c>
      <x:c r="H1134" s="2" t="n">
        <x:f>IF(ISNUMBER(F1134),IF(F1134&gt;=2,1,0),0)</x:f>
        <x:v>0</x:v>
      </x:c>
      <x:c r="I1134" s="11" t="n">
        <x:f>IF(ISNUMBER(F1134),2^F1134-1,0)</x:f>
        <x:v>0</x:v>
      </x:c>
      <x:c r="J1134" s="2" t="str">
        <x:v>Extension pre-run 600</x:v>
      </x:c>
      <x:c r="K1134" s="10" t="n">
        <x:v>5500</x:v>
      </x:c>
      <x:c r="L1134" s="10" t="n">
        <x:v>3</x:v>
      </x:c>
      <x:c r="M1134" s="10" t="n">
        <x:v>1044</x:v>
      </x:c>
      <x:c r="N1134" s="2" t="str">
        <x:v>D25</x:v>
      </x:c>
      <x:c r="O1134" s="2" t="str">
        <x:v>condominium</x:v>
      </x:c>
      <x:c r="P1134" s="2" t="str">
        <x:v>https://www.propertyguru.com.sg/listing/for-rent-norwood-grand-500279175</x:v>
      </x:c>
      <x:c r="Q1134" s="12" t="str">
        <x:v>Pre-registered source-rubric-v1; grade applied before outputs.</x:v>
      </x:c>
      <x:c r="R1134" s="13"/>
    </x:row>
    <x:row r="1135" ht="15" hidden="0" customHeight="1">
      <x:c r="A1135" s="2" t="str">
        <x:v>S38|500266415</x:v>
      </x:c>
      <x:c r="B1135" s="2" t="str">
        <x:v>S38</x:v>
      </x:c>
      <x:c r="C1135" s="2" t="str">
        <x:v>500266415</x:v>
      </x:c>
      <x:c r="D1135" s="2" t="n">
        <x:v>3</x:v>
      </x:c>
      <x:c r="E1135" s="9"/>
      <x:c r="F1135" s="2" t="n">
        <x:f>IF(E1135="",D1135,IF(E1135="U","U",IF(AND(ISNUMBER(E1135),E1135&gt;=0,E1135&lt;=3,INT(E1135)=E1135),E1135,"Invalid")))</x:f>
        <x:v>3</x:v>
      </x:c>
      <x:c r="G1135" s="2" t="n">
        <x:f>IF(ISNUMBER(F1135),1,0)</x:f>
        <x:v>1</x:v>
      </x:c>
      <x:c r="H1135" s="2" t="n">
        <x:f>IF(ISNUMBER(F1135),IF(F1135&gt;=2,1,0),0)</x:f>
        <x:v>1</x:v>
      </x:c>
      <x:c r="I1135" s="11" t="n">
        <x:f>IF(ISNUMBER(F1135),2^F1135-1,0)</x:f>
        <x:v>7</x:v>
      </x:c>
      <x:c r="J1135" s="2" t="str">
        <x:v>Extension pre-run 600</x:v>
      </x:c>
      <x:c r="K1135" s="10" t="n">
        <x:v>3300</x:v>
      </x:c>
      <x:c r="L1135" s="10" t="n">
        <x:v>2</x:v>
      </x:c>
      <x:c r="M1135" s="10" t="n">
        <x:v>980</x:v>
      </x:c>
      <x:c r="N1135" s="2" t="str">
        <x:v>D05</x:v>
      </x:c>
      <x:c r="O1135" s="2" t="str">
        <x:v>hdb flat</x:v>
      </x:c>
      <x:c r="P1135" s="2" t="str">
        <x:v>https://www.propertyguru.com.sg/listing/hdb-for-rent-511-west-coast-drive-500266415</x:v>
      </x:c>
      <x:c r="Q1135" s="12" t="str">
        <x:v>Pre-registered source-rubric-v1; grade applied before outputs.</x:v>
      </x:c>
      <x:c r="R1135" s="13"/>
    </x:row>
    <x:row r="1136" ht="15" hidden="0" customHeight="1">
      <x:c r="A1136" s="2" t="str">
        <x:v>S38|18689152</x:v>
      </x:c>
      <x:c r="B1136" s="2" t="str">
        <x:v>S38</x:v>
      </x:c>
      <x:c r="C1136" s="2" t="str">
        <x:v>18689152</x:v>
      </x:c>
      <x:c r="D1136" s="2" t="n">
        <x:v>3</x:v>
      </x:c>
      <x:c r="E1136" s="9"/>
      <x:c r="F1136" s="2" t="n">
        <x:f>IF(E1136="",D1136,IF(E1136="U","U",IF(AND(ISNUMBER(E1136),E1136&gt;=0,E1136&lt;=3,INT(E1136)=E1136),E1136,"Invalid")))</x:f>
        <x:v>3</x:v>
      </x:c>
      <x:c r="G1136" s="2" t="n">
        <x:f>IF(ISNUMBER(F1136),1,0)</x:f>
        <x:v>1</x:v>
      </x:c>
      <x:c r="H1136" s="2" t="n">
        <x:f>IF(ISNUMBER(F1136),IF(F1136&gt;=2,1,0),0)</x:f>
        <x:v>1</x:v>
      </x:c>
      <x:c r="I1136" s="11" t="n">
        <x:f>IF(ISNUMBER(F1136),2^F1136-1,0)</x:f>
        <x:v>7</x:v>
      </x:c>
      <x:c r="J1136" s="2" t="str">
        <x:v>Extension pre-run 600</x:v>
      </x:c>
      <x:c r="K1136" s="10" t="n">
        <x:v>3350</x:v>
      </x:c>
      <x:c r="L1136" s="10" t="n">
        <x:v>2</x:v>
      </x:c>
      <x:c r="M1136" s="10" t="n">
        <x:v>969</x:v>
      </x:c>
      <x:c r="N1136" s="2" t="str">
        <x:v>D05</x:v>
      </x:c>
      <x:c r="O1136" s="2" t="str">
        <x:v>hdb flat</x:v>
      </x:c>
      <x:c r="P1136" s="2" t="str">
        <x:v>https://www.propertyguru.com.sg/listing/hdb-for-rent-508-west-coast-drive-18689152</x:v>
      </x:c>
      <x:c r="Q1136" s="12" t="str">
        <x:v>Pre-registered source-rubric-v1; grade applied before outputs.</x:v>
      </x:c>
      <x:c r="R1136" s="13"/>
    </x:row>
    <x:row r="1137" ht="15" hidden="0" customHeight="1">
      <x:c r="A1137" s="2" t="str">
        <x:v>S38|500154790</x:v>
      </x:c>
      <x:c r="B1137" s="2" t="str">
        <x:v>S38</x:v>
      </x:c>
      <x:c r="C1137" s="2" t="str">
        <x:v>500154790</x:v>
      </x:c>
      <x:c r="D1137" s="2" t="n">
        <x:v>2</x:v>
      </x:c>
      <x:c r="E1137" s="9"/>
      <x:c r="F1137" s="2" t="n">
        <x:f>IF(E1137="",D1137,IF(E1137="U","U",IF(AND(ISNUMBER(E1137),E1137&gt;=0,E1137&lt;=3,INT(E1137)=E1137),E1137,"Invalid")))</x:f>
        <x:v>2</x:v>
      </x:c>
      <x:c r="G1137" s="2" t="n">
        <x:f>IF(ISNUMBER(F1137),1,0)</x:f>
        <x:v>1</x:v>
      </x:c>
      <x:c r="H1137" s="2" t="n">
        <x:f>IF(ISNUMBER(F1137),IF(F1137&gt;=2,1,0),0)</x:f>
        <x:v>1</x:v>
      </x:c>
      <x:c r="I1137" s="11" t="n">
        <x:f>IF(ISNUMBER(F1137),2^F1137-1,0)</x:f>
        <x:v>3</x:v>
      </x:c>
      <x:c r="J1137" s="2" t="str">
        <x:v>Extension pre-run 600</x:v>
      </x:c>
      <x:c r="K1137" s="10" t="n">
        <x:v>3500</x:v>
      </x:c>
      <x:c r="L1137" s="10" t="n">
        <x:v>3</x:v>
      </x:c>
      <x:c r="M1137" s="10" t="n">
        <x:v>800</x:v>
      </x:c>
      <x:c r="N1137" s="2" t="str">
        <x:v>D03</x:v>
      </x:c>
      <x:c r="O1137" s="2" t="str">
        <x:v>hdb flat</x:v>
      </x:c>
      <x:c r="P1137" s="2" t="str">
        <x:v>https://www.propertyguru.com.sg/listing/hdb-for-rent-37-jalan-rumah-tinggi-500154790</x:v>
      </x:c>
      <x:c r="Q1137" s="12" t="str">
        <x:v>Pre-registered source-rubric-v1; grade applied before outputs.</x:v>
      </x:c>
      <x:c r="R1137" s="13"/>
    </x:row>
    <x:row r="1138" ht="15" hidden="0" customHeight="1">
      <x:c r="A1138" s="2" t="str">
        <x:v>S38|24276169</x:v>
      </x:c>
      <x:c r="B1138" s="2" t="str">
        <x:v>S38</x:v>
      </x:c>
      <x:c r="C1138" s="2" t="str">
        <x:v>24276169</x:v>
      </x:c>
      <x:c r="D1138" s="2" t="n">
        <x:v>2</x:v>
      </x:c>
      <x:c r="E1138" s="9"/>
      <x:c r="F1138" s="2" t="n">
        <x:f>IF(E1138="",D1138,IF(E1138="U","U",IF(AND(ISNUMBER(E1138),E1138&gt;=0,E1138&lt;=3,INT(E1138)=E1138),E1138,"Invalid")))</x:f>
        <x:v>2</x:v>
      </x:c>
      <x:c r="G1138" s="2" t="n">
        <x:f>IF(ISNUMBER(F1138),1,0)</x:f>
        <x:v>1</x:v>
      </x:c>
      <x:c r="H1138" s="2" t="n">
        <x:f>IF(ISNUMBER(F1138),IF(F1138&gt;=2,1,0),0)</x:f>
        <x:v>1</x:v>
      </x:c>
      <x:c r="I1138" s="11" t="n">
        <x:f>IF(ISNUMBER(F1138),2^F1138-1,0)</x:f>
        <x:v>3</x:v>
      </x:c>
      <x:c r="J1138" s="2" t="str">
        <x:v>Extension pre-run 600</x:v>
      </x:c>
      <x:c r="K1138" s="10" t="n">
        <x:v>3350</x:v>
      </x:c>
      <x:c r="L1138" s="10" t="n">
        <x:v>2</x:v>
      </x:c>
      <x:c r="M1138" s="10" t="n">
        <x:v>753</x:v>
      </x:c>
      <x:c r="N1138" s="2" t="str">
        <x:v>D03</x:v>
      </x:c>
      <x:c r="O1138" s="2" t="str">
        <x:v>hdb flat</x:v>
      </x:c>
      <x:c r="P1138" s="2" t="str">
        <x:v>https://www.propertyguru.com.sg/listing/hdb-for-rent-170-stirling-road-24276169</x:v>
      </x:c>
      <x:c r="Q1138" s="12" t="str">
        <x:v>Pre-registered source-rubric-v1; grade applied before outputs.</x:v>
      </x:c>
      <x:c r="R1138" s="13"/>
    </x:row>
    <x:row r="1139" ht="15" hidden="0" customHeight="1">
      <x:c r="A1139" s="2" t="str">
        <x:v>S38|500266960</x:v>
      </x:c>
      <x:c r="B1139" s="2" t="str">
        <x:v>S38</x:v>
      </x:c>
      <x:c r="C1139" s="2" t="str">
        <x:v>500266960</x:v>
      </x:c>
      <x:c r="D1139" s="2" t="n">
        <x:v>2</x:v>
      </x:c>
      <x:c r="E1139" s="9"/>
      <x:c r="F1139" s="2" t="n">
        <x:f>IF(E1139="",D1139,IF(E1139="U","U",IF(AND(ISNUMBER(E1139),E1139&gt;=0,E1139&lt;=3,INT(E1139)=E1139),E1139,"Invalid")))</x:f>
        <x:v>2</x:v>
      </x:c>
      <x:c r="G1139" s="2" t="n">
        <x:f>IF(ISNUMBER(F1139),1,0)</x:f>
        <x:v>1</x:v>
      </x:c>
      <x:c r="H1139" s="2" t="n">
        <x:f>IF(ISNUMBER(F1139),IF(F1139&gt;=2,1,0),0)</x:f>
        <x:v>1</x:v>
      </x:c>
      <x:c r="I1139" s="11" t="n">
        <x:f>IF(ISNUMBER(F1139),2^F1139-1,0)</x:f>
        <x:v>3</x:v>
      </x:c>
      <x:c r="J1139" s="2" t="str">
        <x:v>Extension pre-run 600</x:v>
      </x:c>
      <x:c r="K1139" s="10" t="n">
        <x:v>3300</x:v>
      </x:c>
      <x:c r="L1139" s="10" t="n">
        <x:v>2</x:v>
      </x:c>
      <x:c r="M1139" s="10" t="n">
        <x:v>400</x:v>
      </x:c>
      <x:c r="N1139" s="2" t="str">
        <x:v>D03</x:v>
      </x:c>
      <x:c r="O1139" s="2" t="str">
        <x:v>hdb flat</x:v>
      </x:c>
      <x:c r="P1139" s="2" t="str">
        <x:v>https://www.propertyguru.com.sg/listing/hdb-for-rent-37-jalan-rumah-tinggi-500266960</x:v>
      </x:c>
      <x:c r="Q1139" s="12" t="str">
        <x:v>Pre-registered source-rubric-v1; grade applied before outputs.</x:v>
      </x:c>
      <x:c r="R1139" s="13"/>
    </x:row>
    <x:row r="1140" ht="15" hidden="0" customHeight="1">
      <x:c r="A1140" s="2" t="str">
        <x:v>S38|60126094</x:v>
      </x:c>
      <x:c r="B1140" s="2" t="str">
        <x:v>S38</x:v>
      </x:c>
      <x:c r="C1140" s="2" t="str">
        <x:v>60126094</x:v>
      </x:c>
      <x:c r="D1140" s="2" t="n">
        <x:v>2</x:v>
      </x:c>
      <x:c r="E1140" s="9"/>
      <x:c r="F1140" s="2" t="n">
        <x:f>IF(E1140="",D1140,IF(E1140="U","U",IF(AND(ISNUMBER(E1140),E1140&gt;=0,E1140&lt;=3,INT(E1140)=E1140),E1140,"Invalid")))</x:f>
        <x:v>2</x:v>
      </x:c>
      <x:c r="G1140" s="2" t="n">
        <x:f>IF(ISNUMBER(F1140),1,0)</x:f>
        <x:v>1</x:v>
      </x:c>
      <x:c r="H1140" s="2" t="n">
        <x:f>IF(ISNUMBER(F1140),IF(F1140&gt;=2,1,0),0)</x:f>
        <x:v>1</x:v>
      </x:c>
      <x:c r="I1140" s="11" t="n">
        <x:f>IF(ISNUMBER(F1140),2^F1140-1,0)</x:f>
        <x:v>3</x:v>
      </x:c>
      <x:c r="J1140" s="2" t="str">
        <x:v>Extension pre-run 600</x:v>
      </x:c>
      <x:c r="K1140" s="10" t="n">
        <x:v>3100</x:v>
      </x:c>
      <x:c r="L1140" s="10" t="n">
        <x:v>2</x:v>
      </x:c>
      <x:c r="M1140" s="10" t="n">
        <x:v>721</x:v>
      </x:c>
      <x:c r="N1140" s="2" t="str">
        <x:v>D05</x:v>
      </x:c>
      <x:c r="O1140" s="2" t="str">
        <x:v>hdb flat</x:v>
      </x:c>
      <x:c r="P1140" s="2" t="str">
        <x:v>https://www.propertyguru.com.sg/listing/hdb-for-rent-339-clementi-avenue-5-60126094</x:v>
      </x:c>
      <x:c r="Q1140" s="12" t="str">
        <x:v>Pre-registered source-rubric-v1; grade applied before outputs.</x:v>
      </x:c>
      <x:c r="R1140" s="13"/>
    </x:row>
    <x:row r="1141" ht="15" hidden="0" customHeight="1">
      <x:c r="A1141" s="2" t="str">
        <x:v>S38|500250159</x:v>
      </x:c>
      <x:c r="B1141" s="2" t="str">
        <x:v>S38</x:v>
      </x:c>
      <x:c r="C1141" s="2" t="str">
        <x:v>500250159</x:v>
      </x:c>
      <x:c r="D1141" s="2" t="n">
        <x:v>2</x:v>
      </x:c>
      <x:c r="E1141" s="9"/>
      <x:c r="F1141" s="2" t="n">
        <x:f>IF(E1141="",D1141,IF(E1141="U","U",IF(AND(ISNUMBER(E1141),E1141&gt;=0,E1141&lt;=3,INT(E1141)=E1141),E1141,"Invalid")))</x:f>
        <x:v>2</x:v>
      </x:c>
      <x:c r="G1141" s="2" t="n">
        <x:f>IF(ISNUMBER(F1141),1,0)</x:f>
        <x:v>1</x:v>
      </x:c>
      <x:c r="H1141" s="2" t="n">
        <x:f>IF(ISNUMBER(F1141),IF(F1141&gt;=2,1,0),0)</x:f>
        <x:v>1</x:v>
      </x:c>
      <x:c r="I1141" s="11" t="n">
        <x:f>IF(ISNUMBER(F1141),2^F1141-1,0)</x:f>
        <x:v>3</x:v>
      </x:c>
      <x:c r="J1141" s="2" t="str">
        <x:v>Extension pre-run 600</x:v>
      </x:c>
      <x:c r="K1141" s="10" t="n">
        <x:v>3400</x:v>
      </x:c>
      <x:c r="L1141" s="10" t="n">
        <x:v>2</x:v>
      </x:c>
      <x:c r="M1141" s="10" t="n">
        <x:v>647</x:v>
      </x:c>
      <x:c r="N1141" s="2" t="str">
        <x:v>D03</x:v>
      </x:c>
      <x:c r="O1141" s="2" t="str">
        <x:v>hdb flat</x:v>
      </x:c>
      <x:c r="P1141" s="2" t="str">
        <x:v>https://www.propertyguru.com.sg/listing/hdb-for-rent-168-stirling-road-500250159</x:v>
      </x:c>
      <x:c r="Q1141" s="12" t="str">
        <x:v>Pre-registered source-rubric-v1; grade applied before outputs.</x:v>
      </x:c>
      <x:c r="R1141" s="13"/>
    </x:row>
    <x:row r="1142" ht="15" hidden="0" customHeight="1">
      <x:c r="A1142" s="2" t="str">
        <x:v>S38|18819863</x:v>
      </x:c>
      <x:c r="B1142" s="2" t="str">
        <x:v>S38</x:v>
      </x:c>
      <x:c r="C1142" s="2" t="str">
        <x:v>18819863</x:v>
      </x:c>
      <x:c r="D1142" s="2" t="n">
        <x:v>2</x:v>
      </x:c>
      <x:c r="E1142" s="9"/>
      <x:c r="F1142" s="2" t="n">
        <x:f>IF(E1142="",D1142,IF(E1142="U","U",IF(AND(ISNUMBER(E1142),E1142&gt;=0,E1142&lt;=3,INT(E1142)=E1142),E1142,"Invalid")))</x:f>
        <x:v>2</x:v>
      </x:c>
      <x:c r="G1142" s="2" t="n">
        <x:f>IF(ISNUMBER(F1142),1,0)</x:f>
        <x:v>1</x:v>
      </x:c>
      <x:c r="H1142" s="2" t="n">
        <x:f>IF(ISNUMBER(F1142),IF(F1142&gt;=2,1,0),0)</x:f>
        <x:v>1</x:v>
      </x:c>
      <x:c r="I1142" s="11" t="n">
        <x:f>IF(ISNUMBER(F1142),2^F1142-1,0)</x:f>
        <x:v>3</x:v>
      </x:c>
      <x:c r="J1142" s="2" t="str">
        <x:v>Extension pre-run 600</x:v>
      </x:c>
      <x:c r="K1142" s="10" t="n">
        <x:v>2800</x:v>
      </x:c>
      <x:c r="L1142" s="10" t="n">
        <x:v>2</x:v>
      </x:c>
      <x:c r="M1142" s="10" t="n">
        <x:v>500</x:v>
      </x:c>
      <x:c r="N1142" s="2" t="str">
        <x:v>D03</x:v>
      </x:c>
      <x:c r="O1142" s="2" t="str">
        <x:v>hdb flat</x:v>
      </x:c>
      <x:c r="P1142" s="2" t="str">
        <x:v>https://www.propertyguru.com.sg/listing/hdb-for-rent-37-jalan-rumah-tinggi-18819863</x:v>
      </x:c>
      <x:c r="Q1142" s="12" t="str">
        <x:v>Pre-registered source-rubric-v1; grade applied before outputs.</x:v>
      </x:c>
      <x:c r="R1142" s="13"/>
    </x:row>
    <x:row r="1143" ht="15" hidden="0" customHeight="1">
      <x:c r="A1143" s="2" t="str">
        <x:v>S38|500267173</x:v>
      </x:c>
      <x:c r="B1143" s="2" t="str">
        <x:v>S38</x:v>
      </x:c>
      <x:c r="C1143" s="2" t="str">
        <x:v>500267173</x:v>
      </x:c>
      <x:c r="D1143" s="2" t="n">
        <x:v>2</x:v>
      </x:c>
      <x:c r="E1143" s="9"/>
      <x:c r="F1143" s="2" t="n">
        <x:f>IF(E1143="",D1143,IF(E1143="U","U",IF(AND(ISNUMBER(E1143),E1143&gt;=0,E1143&lt;=3,INT(E1143)=E1143),E1143,"Invalid")))</x:f>
        <x:v>2</x:v>
      </x:c>
      <x:c r="G1143" s="2" t="n">
        <x:f>IF(ISNUMBER(F1143),1,0)</x:f>
        <x:v>1</x:v>
      </x:c>
      <x:c r="H1143" s="2" t="n">
        <x:f>IF(ISNUMBER(F1143),IF(F1143&gt;=2,1,0),0)</x:f>
        <x:v>1</x:v>
      </x:c>
      <x:c r="I1143" s="11" t="n">
        <x:f>IF(ISNUMBER(F1143),2^F1143-1,0)</x:f>
        <x:v>3</x:v>
      </x:c>
      <x:c r="J1143" s="2" t="str">
        <x:v>Extension pre-run 600</x:v>
      </x:c>
      <x:c r="K1143" s="10" t="n">
        <x:v>3000</x:v>
      </x:c>
      <x:c r="L1143" s="10" t="n">
        <x:v>2</x:v>
      </x:c>
      <x:c r="M1143" s="10" t="n">
        <x:v>721</x:v>
      </x:c>
      <x:c r="N1143" s="2" t="str">
        <x:v>D05</x:v>
      </x:c>
      <x:c r="O1143" s="2" t="str">
        <x:v>hdb flat</x:v>
      </x:c>
      <x:c r="P1143" s="2" t="str">
        <x:v>https://www.propertyguru.com.sg/listing/hdb-for-rent-306-clementi-avenue-4-500267173</x:v>
      </x:c>
      <x:c r="Q1143" s="12" t="str">
        <x:v>Pre-registered source-rubric-v1; grade applied before outputs.</x:v>
      </x:c>
      <x:c r="R1143" s="13"/>
    </x:row>
    <x:row r="1144" ht="15" hidden="0" customHeight="1">
      <x:c r="A1144" s="2" t="str">
        <x:v>S38|500286637</x:v>
      </x:c>
      <x:c r="B1144" s="2" t="str">
        <x:v>S38</x:v>
      </x:c>
      <x:c r="C1144" s="2" t="str">
        <x:v>500286637</x:v>
      </x:c>
      <x:c r="D1144" s="2" t="n">
        <x:v>2</x:v>
      </x:c>
      <x:c r="E1144" s="9"/>
      <x:c r="F1144" s="2" t="n">
        <x:f>IF(E1144="",D1144,IF(E1144="U","U",IF(AND(ISNUMBER(E1144),E1144&gt;=0,E1144&lt;=3,INT(E1144)=E1144),E1144,"Invalid")))</x:f>
        <x:v>2</x:v>
      </x:c>
      <x:c r="G1144" s="2" t="n">
        <x:f>IF(ISNUMBER(F1144),1,0)</x:f>
        <x:v>1</x:v>
      </x:c>
      <x:c r="H1144" s="2" t="n">
        <x:f>IF(ISNUMBER(F1144),IF(F1144&gt;=2,1,0),0)</x:f>
        <x:v>1</x:v>
      </x:c>
      <x:c r="I1144" s="11" t="n">
        <x:f>IF(ISNUMBER(F1144),2^F1144-1,0)</x:f>
        <x:v>3</x:v>
      </x:c>
      <x:c r="J1144" s="2" t="str">
        <x:v>Extension pre-run 600</x:v>
      </x:c>
      <x:c r="K1144" s="10" t="n">
        <x:v>3200</x:v>
      </x:c>
      <x:c r="L1144" s="10" t="n">
        <x:v>2</x:v>
      </x:c>
      <x:c r="M1144" s="10" t="n">
        <x:v>732</x:v>
      </x:c>
      <x:c r="N1144" s="2" t="str">
        <x:v>D05</x:v>
      </x:c>
      <x:c r="O1144" s="2" t="str">
        <x:v>hdb flat</x:v>
      </x:c>
      <x:c r="P1144" s="2" t="str">
        <x:v>https://www.propertyguru.com.sg/listing/hdb-for-rent-375-clementi-avenue-4-500286637</x:v>
      </x:c>
      <x:c r="Q1144" s="12" t="str">
        <x:v>Pre-registered source-rubric-v1; grade applied before outputs.</x:v>
      </x:c>
      <x:c r="R1144" s="13"/>
    </x:row>
    <x:row r="1145" ht="15" hidden="0" customHeight="1">
      <x:c r="A1145" s="2" t="str">
        <x:v>S38|24401424</x:v>
      </x:c>
      <x:c r="B1145" s="2" t="str">
        <x:v>S38</x:v>
      </x:c>
      <x:c r="C1145" s="2" t="str">
        <x:v>24401424</x:v>
      </x:c>
      <x:c r="D1145" s="2" t="n">
        <x:v>1</x:v>
      </x:c>
      <x:c r="E1145" s="9"/>
      <x:c r="F1145" s="2" t="n">
        <x:f>IF(E1145="",D1145,IF(E1145="U","U",IF(AND(ISNUMBER(E1145),E1145&gt;=0,E1145&lt;=3,INT(E1145)=E1145),E1145,"Invalid")))</x:f>
        <x:v>1</x:v>
      </x:c>
      <x:c r="G1145" s="2" t="n">
        <x:f>IF(ISNUMBER(F1145),1,0)</x:f>
        <x:v>1</x:v>
      </x:c>
      <x:c r="H1145" s="2" t="n">
        <x:f>IF(ISNUMBER(F1145),IF(F1145&gt;=2,1,0),0)</x:f>
        <x:v>0</x:v>
      </x:c>
      <x:c r="I1145" s="11" t="n">
        <x:f>IF(ISNUMBER(F1145),2^F1145-1,0)</x:f>
        <x:v>1</x:v>
      </x:c>
      <x:c r="J1145" s="2" t="str">
        <x:v>Extension pre-run 600</x:v>
      </x:c>
      <x:c r="K1145" s="10" t="n">
        <x:v>4000</x:v>
      </x:c>
      <x:c r="L1145" s="10" t="n">
        <x:v>2</x:v>
      </x:c>
      <x:c r="M1145" s="10" t="n">
        <x:v>635</x:v>
      </x:c>
      <x:c r="N1145" s="2" t="str">
        <x:v>D05</x:v>
      </x:c>
      <x:c r="O1145" s="2" t="str">
        <x:v>condominium</x:v>
      </x:c>
      <x:c r="P1145" s="2" t="str">
        <x:v>https://www.propertyguru.com.sg/listing/for-rent-bijou-24401424</x:v>
      </x:c>
      <x:c r="Q1145" s="12" t="str">
        <x:v>Pre-registered source-rubric-v1; grade applied before outputs.</x:v>
      </x:c>
      <x:c r="R1145" s="13"/>
    </x:row>
    <x:row r="1146" ht="15" hidden="0" customHeight="1">
      <x:c r="A1146" s="2" t="str">
        <x:v>S38|24294135</x:v>
      </x:c>
      <x:c r="B1146" s="2" t="str">
        <x:v>S38</x:v>
      </x:c>
      <x:c r="C1146" s="2" t="str">
        <x:v>24294135</x:v>
      </x:c>
      <x:c r="D1146" s="2" t="n">
        <x:v>1</x:v>
      </x:c>
      <x:c r="E1146" s="9"/>
      <x:c r="F1146" s="2" t="n">
        <x:f>IF(E1146="",D1146,IF(E1146="U","U",IF(AND(ISNUMBER(E1146),E1146&gt;=0,E1146&lt;=3,INT(E1146)=E1146),E1146,"Invalid")))</x:f>
        <x:v>1</x:v>
      </x:c>
      <x:c r="G1146" s="2" t="n">
        <x:f>IF(ISNUMBER(F1146),1,0)</x:f>
        <x:v>1</x:v>
      </x:c>
      <x:c r="H1146" s="2" t="n">
        <x:f>IF(ISNUMBER(F1146),IF(F1146&gt;=2,1,0),0)</x:f>
        <x:v>0</x:v>
      </x:c>
      <x:c r="I1146" s="11" t="n">
        <x:f>IF(ISNUMBER(F1146),2^F1146-1,0)</x:f>
        <x:v>1</x:v>
      </x:c>
      <x:c r="J1146" s="2" t="str">
        <x:v>Extension pre-run 600</x:v>
      </x:c>
      <x:c r="K1146" s="10" t="n">
        <x:v>3800</x:v>
      </x:c>
      <x:c r="L1146" s="10" t="n">
        <x:v>2</x:v>
      </x:c>
      <x:c r="M1146" s="10" t="n">
        <x:v>818</x:v>
      </x:c>
      <x:c r="N1146" s="2" t="str">
        <x:v>D03</x:v>
      </x:c>
      <x:c r="O1146" s="2" t="str">
        <x:v>hdb flat</x:v>
      </x:c>
      <x:c r="P1146" s="2" t="str">
        <x:v>https://www.propertyguru.com.sg/listing/hdb-for-rent-23a-queen-s-close-24294135</x:v>
      </x:c>
      <x:c r="Q1146" s="12" t="str">
        <x:v>Pre-registered source-rubric-v1; grade applied before outputs.</x:v>
      </x:c>
      <x:c r="R1146" s="13"/>
    </x:row>
    <x:row r="1147" ht="15" hidden="0" customHeight="1">
      <x:c r="A1147" s="2" t="str">
        <x:v>S38|20646148</x:v>
      </x:c>
      <x:c r="B1147" s="2" t="str">
        <x:v>S38</x:v>
      </x:c>
      <x:c r="C1147" s="2" t="str">
        <x:v>20646148</x:v>
      </x:c>
      <x:c r="D1147" s="2" t="n">
        <x:v>1</x:v>
      </x:c>
      <x:c r="E1147" s="9"/>
      <x:c r="F1147" s="2" t="n">
        <x:f>IF(E1147="",D1147,IF(E1147="U","U",IF(AND(ISNUMBER(E1147),E1147&gt;=0,E1147&lt;=3,INT(E1147)=E1147),E1147,"Invalid")))</x:f>
        <x:v>1</x:v>
      </x:c>
      <x:c r="G1147" s="2" t="n">
        <x:f>IF(ISNUMBER(F1147),1,0)</x:f>
        <x:v>1</x:v>
      </x:c>
      <x:c r="H1147" s="2" t="n">
        <x:f>IF(ISNUMBER(F1147),IF(F1147&gt;=2,1,0),0)</x:f>
        <x:v>0</x:v>
      </x:c>
      <x:c r="I1147" s="11" t="n">
        <x:f>IF(ISNUMBER(F1147),2^F1147-1,0)</x:f>
        <x:v>1</x:v>
      </x:c>
      <x:c r="J1147" s="2" t="str">
        <x:v>Extension pre-run 600</x:v>
      </x:c>
      <x:c r="K1147" s="10" t="n">
        <x:v>4000</x:v>
      </x:c>
      <x:c r="L1147" s="10" t="n">
        <x:v>2</x:v>
      </x:c>
      <x:c r="M1147" s="10" t="n">
        <x:v>538</x:v>
      </x:c>
      <x:c r="N1147" s="2" t="str">
        <x:v>D05</x:v>
      </x:c>
      <x:c r="O1147" s="2" t="str">
        <x:v>apartment</x:v>
      </x:c>
      <x:c r="P1147" s="2" t="str">
        <x:v>https://www.propertyguru.com.sg/listing/for-rent-whitehaven-20646148</x:v>
      </x:c>
      <x:c r="Q1147" s="12" t="str">
        <x:v>Pre-registered source-rubric-v1; grade applied before outputs.</x:v>
      </x:c>
      <x:c r="R1147" s="13"/>
    </x:row>
    <x:row r="1148" ht="15" hidden="0" customHeight="1">
      <x:c r="A1148" s="2" t="str">
        <x:v>S38|24824256</x:v>
      </x:c>
      <x:c r="B1148" s="2" t="str">
        <x:v>S38</x:v>
      </x:c>
      <x:c r="C1148" s="2" t="str">
        <x:v>24824256</x:v>
      </x:c>
      <x:c r="D1148" s="2" t="n">
        <x:v>1</x:v>
      </x:c>
      <x:c r="E1148" s="9"/>
      <x:c r="F1148" s="2" t="n">
        <x:f>IF(E1148="",D1148,IF(E1148="U","U",IF(AND(ISNUMBER(E1148),E1148&gt;=0,E1148&lt;=3,INT(E1148)=E1148),E1148,"Invalid")))</x:f>
        <x:v>1</x:v>
      </x:c>
      <x:c r="G1148" s="2" t="n">
        <x:f>IF(ISNUMBER(F1148),1,0)</x:f>
        <x:v>1</x:v>
      </x:c>
      <x:c r="H1148" s="2" t="n">
        <x:f>IF(ISNUMBER(F1148),IF(F1148&gt;=2,1,0),0)</x:f>
        <x:v>0</x:v>
      </x:c>
      <x:c r="I1148" s="11" t="n">
        <x:f>IF(ISNUMBER(F1148),2^F1148-1,0)</x:f>
        <x:v>1</x:v>
      </x:c>
      <x:c r="J1148" s="2" t="str">
        <x:v>Extension pre-run 600</x:v>
      </x:c>
      <x:c r="K1148" s="10" t="n">
        <x:v>3800</x:v>
      </x:c>
      <x:c r="L1148" s="10" t="n">
        <x:v>2</x:v>
      </x:c>
      <x:c r="M1148" s="10" t="n">
        <x:v>678</x:v>
      </x:c>
      <x:c r="N1148" s="2" t="str">
        <x:v>D03</x:v>
      </x:c>
      <x:c r="O1148" s="2" t="str">
        <x:v>hdb flat</x:v>
      </x:c>
      <x:c r="P1148" s="2" t="str">
        <x:v>https://www.propertyguru.com.sg/listing/hdb-for-rent-53-commonwealth-drive-24824256</x:v>
      </x:c>
      <x:c r="Q1148" s="12" t="str">
        <x:v>Pre-registered source-rubric-v1; grade applied before outputs.</x:v>
      </x:c>
      <x:c r="R1148" s="13"/>
    </x:row>
    <x:row r="1149" ht="15" hidden="0" customHeight="1">
      <x:c r="A1149" s="2" t="str">
        <x:v>S38|23818798</x:v>
      </x:c>
      <x:c r="B1149" s="2" t="str">
        <x:v>S38</x:v>
      </x:c>
      <x:c r="C1149" s="2" t="str">
        <x:v>23818798</x:v>
      </x:c>
      <x:c r="D1149" s="2" t="n">
        <x:v>1</x:v>
      </x:c>
      <x:c r="E1149" s="9"/>
      <x:c r="F1149" s="2" t="n">
        <x:f>IF(E1149="",D1149,IF(E1149="U","U",IF(AND(ISNUMBER(E1149),E1149&gt;=0,E1149&lt;=3,INT(E1149)=E1149),E1149,"Invalid")))</x:f>
        <x:v>1</x:v>
      </x:c>
      <x:c r="G1149" s="2" t="n">
        <x:f>IF(ISNUMBER(F1149),1,0)</x:f>
        <x:v>1</x:v>
      </x:c>
      <x:c r="H1149" s="2" t="n">
        <x:f>IF(ISNUMBER(F1149),IF(F1149&gt;=2,1,0),0)</x:f>
        <x:v>0</x:v>
      </x:c>
      <x:c r="I1149" s="11" t="n">
        <x:f>IF(ISNUMBER(F1149),2^F1149-1,0)</x:f>
        <x:v>1</x:v>
      </x:c>
      <x:c r="J1149" s="2" t="str">
        <x:v>Extension pre-run 600</x:v>
      </x:c>
      <x:c r="K1149" s="10" t="n">
        <x:v>3900</x:v>
      </x:c>
      <x:c r="L1149" s="10" t="n">
        <x:v>3</x:v>
      </x:c>
      <x:c r="M1149" s="10" t="n">
        <x:v>968</x:v>
      </x:c>
      <x:c r="N1149" s="2" t="str">
        <x:v>D03</x:v>
      </x:c>
      <x:c r="O1149" s="2" t="str">
        <x:v>hdb flat</x:v>
      </x:c>
      <x:c r="P1149" s="2" t="str">
        <x:v>https://www.propertyguru.com.sg/listing/hdb-for-rent-168a-queensway-23818798</x:v>
      </x:c>
      <x:c r="Q1149" s="12" t="str">
        <x:v>Pre-registered source-rubric-v1; grade applied before outputs.</x:v>
      </x:c>
      <x:c r="R1149" s="13"/>
    </x:row>
    <x:row r="1150" ht="15" hidden="0" customHeight="1">
      <x:c r="A1150" s="2" t="str">
        <x:v>S38|500245892</x:v>
      </x:c>
      <x:c r="B1150" s="2" t="str">
        <x:v>S38</x:v>
      </x:c>
      <x:c r="C1150" s="2" t="str">
        <x:v>500245892</x:v>
      </x:c>
      <x:c r="D1150" s="2" t="n">
        <x:v>1</x:v>
      </x:c>
      <x:c r="E1150" s="9"/>
      <x:c r="F1150" s="2" t="n">
        <x:f>IF(E1150="",D1150,IF(E1150="U","U",IF(AND(ISNUMBER(E1150),E1150&gt;=0,E1150&lt;=3,INT(E1150)=E1150),E1150,"Invalid")))</x:f>
        <x:v>1</x:v>
      </x:c>
      <x:c r="G1150" s="2" t="n">
        <x:f>IF(ISNUMBER(F1150),1,0)</x:f>
        <x:v>1</x:v>
      </x:c>
      <x:c r="H1150" s="2" t="n">
        <x:f>IF(ISNUMBER(F1150),IF(F1150&gt;=2,1,0),0)</x:f>
        <x:v>0</x:v>
      </x:c>
      <x:c r="I1150" s="11" t="n">
        <x:f>IF(ISNUMBER(F1150),2^F1150-1,0)</x:f>
        <x:v>1</x:v>
      </x:c>
      <x:c r="J1150" s="2" t="str">
        <x:v>Extension pre-run 600</x:v>
      </x:c>
      <x:c r="K1150" s="10" t="n">
        <x:v>4000</x:v>
      </x:c>
      <x:c r="L1150" s="10" t="n">
        <x:v>2</x:v>
      </x:c>
      <x:c r="M1150" s="10" t="n">
        <x:v>731</x:v>
      </x:c>
      <x:c r="N1150" s="2" t="str">
        <x:v>D03</x:v>
      </x:c>
      <x:c r="O1150" s="2" t="str">
        <x:v>hdb flat</x:v>
      </x:c>
      <x:c r="P1150" s="2" t="str">
        <x:v>https://www.propertyguru.com.sg/listing/hdb-for-rent-166-stirling-road-500245892</x:v>
      </x:c>
      <x:c r="Q1150" s="12" t="str">
        <x:v>Pre-registered source-rubric-v1; grade applied before outputs.</x:v>
      </x:c>
      <x:c r="R1150" s="13"/>
    </x:row>
    <x:row r="1151" ht="15" hidden="0" customHeight="1">
      <x:c r="A1151" s="2" t="str">
        <x:v>S38|14790199</x:v>
      </x:c>
      <x:c r="B1151" s="2" t="str">
        <x:v>S38</x:v>
      </x:c>
      <x:c r="C1151" s="2" t="str">
        <x:v>14790199</x:v>
      </x:c>
      <x:c r="D1151" s="2" t="n">
        <x:v>0</x:v>
      </x:c>
      <x:c r="E1151" s="9"/>
      <x:c r="F1151" s="2" t="n">
        <x:f>IF(E1151="",D1151,IF(E1151="U","U",IF(AND(ISNUMBER(E1151),E1151&gt;=0,E1151&lt;=3,INT(E1151)=E1151),E1151,"Invalid")))</x:f>
        <x:v>0</x:v>
      </x:c>
      <x:c r="G1151" s="2" t="n">
        <x:f>IF(ISNUMBER(F1151),1,0)</x:f>
        <x:v>1</x:v>
      </x:c>
      <x:c r="H1151" s="2" t="n">
        <x:f>IF(ISNUMBER(F1151),IF(F1151&gt;=2,1,0),0)</x:f>
        <x:v>0</x:v>
      </x:c>
      <x:c r="I1151" s="11" t="n">
        <x:f>IF(ISNUMBER(F1151),2^F1151-1,0)</x:f>
        <x:v>0</x:v>
      </x:c>
      <x:c r="J1151" s="2" t="str">
        <x:v>Extension pre-run 600</x:v>
      </x:c>
      <x:c r="K1151" s="10" t="n">
        <x:v>3950</x:v>
      </x:c>
      <x:c r="L1151" s="10" t="n">
        <x:v>2</x:v>
      </x:c>
      <x:c r="M1151" s="10" t="n">
        <x:v>807</x:v>
      </x:c>
      <x:c r="N1151" s="2" t="str">
        <x:v>D09</x:v>
      </x:c>
      <x:c r="O1151" s="2" t="str">
        <x:v>apartment</x:v>
      </x:c>
      <x:c r="P1151" s="2" t="str">
        <x:v>https://www.propertyguru.com.sg/listing/for-rent-mackenzie-138-14790199</x:v>
      </x:c>
      <x:c r="Q1151" s="12" t="str">
        <x:v>Pre-registered source-rubric-v1; grade applied before outputs.</x:v>
      </x:c>
      <x:c r="R1151" s="13"/>
    </x:row>
    <x:row r="1152" ht="15" hidden="0" customHeight="1">
      <x:c r="A1152" s="2" t="str">
        <x:v>S38|500275372</x:v>
      </x:c>
      <x:c r="B1152" s="2" t="str">
        <x:v>S38</x:v>
      </x:c>
      <x:c r="C1152" s="2" t="str">
        <x:v>500275372</x:v>
      </x:c>
      <x:c r="D1152" s="2" t="n">
        <x:v>0</x:v>
      </x:c>
      <x:c r="E1152" s="9"/>
      <x:c r="F1152" s="2" t="n">
        <x:f>IF(E1152="",D1152,IF(E1152="U","U",IF(AND(ISNUMBER(E1152),E1152&gt;=0,E1152&lt;=3,INT(E1152)=E1152),E1152,"Invalid")))</x:f>
        <x:v>0</x:v>
      </x:c>
      <x:c r="G1152" s="2" t="n">
        <x:f>IF(ISNUMBER(F1152),1,0)</x:f>
        <x:v>1</x:v>
      </x:c>
      <x:c r="H1152" s="2" t="n">
        <x:f>IF(ISNUMBER(F1152),IF(F1152&gt;=2,1,0),0)</x:f>
        <x:v>0</x:v>
      </x:c>
      <x:c r="I1152" s="11" t="n">
        <x:f>IF(ISNUMBER(F1152),2^F1152-1,0)</x:f>
        <x:v>0</x:v>
      </x:c>
      <x:c r="J1152" s="2" t="str">
        <x:v>Extension pre-run 600</x:v>
      </x:c>
      <x:c r="K1152" s="10" t="n">
        <x:v>7800</x:v>
      </x:c>
      <x:c r="L1152" s="10" t="n">
        <x:v>3</x:v>
      </x:c>
      <x:c r="M1152" s="10" t="n">
        <x:v>1119</x:v>
      </x:c>
      <x:c r="N1152" s="2" t="str">
        <x:v>D15</x:v>
      </x:c>
      <x:c r="O1152" s="2" t="str">
        <x:v>condominium</x:v>
      </x:c>
      <x:c r="P1152" s="2" t="str">
        <x:v>https://www.propertyguru.com.sg/listing/for-rent-grand-dunman-500275372</x:v>
      </x:c>
      <x:c r="Q1152" s="12" t="str">
        <x:v>Pre-registered source-rubric-v1; grade applied before outputs.</x:v>
      </x:c>
      <x:c r="R1152" s="13"/>
    </x:row>
    <x:row r="1153" ht="15" hidden="0" customHeight="1">
      <x:c r="A1153" s="2" t="str">
        <x:v>S38|60224507</x:v>
      </x:c>
      <x:c r="B1153" s="2" t="str">
        <x:v>S38</x:v>
      </x:c>
      <x:c r="C1153" s="2" t="str">
        <x:v>60224507</x:v>
      </x:c>
      <x:c r="D1153" s="2" t="n">
        <x:v>0</x:v>
      </x:c>
      <x:c r="E1153" s="9"/>
      <x:c r="F1153" s="2" t="n">
        <x:f>IF(E1153="",D1153,IF(E1153="U","U",IF(AND(ISNUMBER(E1153),E1153&gt;=0,E1153&lt;=3,INT(E1153)=E1153),E1153,"Invalid")))</x:f>
        <x:v>0</x:v>
      </x:c>
      <x:c r="G1153" s="2" t="n">
        <x:f>IF(ISNUMBER(F1153),1,0)</x:f>
        <x:v>1</x:v>
      </x:c>
      <x:c r="H1153" s="2" t="n">
        <x:f>IF(ISNUMBER(F1153),IF(F1153&gt;=2,1,0),0)</x:f>
        <x:v>0</x:v>
      </x:c>
      <x:c r="I1153" s="11" t="n">
        <x:f>IF(ISNUMBER(F1153),2^F1153-1,0)</x:f>
        <x:v>0</x:v>
      </x:c>
      <x:c r="J1153" s="2" t="str">
        <x:v>Extension pre-run 600</x:v>
      </x:c>
      <x:c r="K1153" s="10" t="n">
        <x:v>7600</x:v>
      </x:c>
      <x:c r="L1153" s="10" t="n">
        <x:v>4</x:v>
      </x:c>
      <x:c r="M1153" s="10" t="n">
        <x:v>1776</x:v>
      </x:c>
      <x:c r="N1153" s="2" t="str">
        <x:v>D10</x:v>
      </x:c>
      <x:c r="O1153" s="2" t="str">
        <x:v>apartment</x:v>
      </x:c>
      <x:c r="P1153" s="2" t="str">
        <x:v>https://www.propertyguru.com.sg/listing/for-rent-orange-regency-60224507</x:v>
      </x:c>
      <x:c r="Q1153" s="12" t="str">
        <x:v>Pre-registered source-rubric-v1; grade applied before outputs.</x:v>
      </x:c>
      <x:c r="R1153" s="13"/>
    </x:row>
    <x:row r="1154" ht="15" hidden="0" customHeight="1">
      <x:c r="A1154" s="2" t="str">
        <x:v>S38|500107293</x:v>
      </x:c>
      <x:c r="B1154" s="2" t="str">
        <x:v>S38</x:v>
      </x:c>
      <x:c r="C1154" s="2" t="str">
        <x:v>500107293</x:v>
      </x:c>
      <x:c r="D1154" s="2" t="n">
        <x:v>0</x:v>
      </x:c>
      <x:c r="E1154" s="9"/>
      <x:c r="F1154" s="2" t="n">
        <x:f>IF(E1154="",D1154,IF(E1154="U","U",IF(AND(ISNUMBER(E1154),E1154&gt;=0,E1154&lt;=3,INT(E1154)=E1154),E1154,"Invalid")))</x:f>
        <x:v>0</x:v>
      </x:c>
      <x:c r="G1154" s="2" t="n">
        <x:f>IF(ISNUMBER(F1154),1,0)</x:f>
        <x:v>1</x:v>
      </x:c>
      <x:c r="H1154" s="2" t="n">
        <x:f>IF(ISNUMBER(F1154),IF(F1154&gt;=2,1,0),0)</x:f>
        <x:v>0</x:v>
      </x:c>
      <x:c r="I1154" s="11" t="n">
        <x:f>IF(ISNUMBER(F1154),2^F1154-1,0)</x:f>
        <x:v>0</x:v>
      </x:c>
      <x:c r="J1154" s="2" t="str">
        <x:v>Extension pre-run 600</x:v>
      </x:c>
      <x:c r="K1154" s="10" t="n">
        <x:v>4000</x:v>
      </x:c>
      <x:c r="L1154" s="10" t="n">
        <x:v>2</x:v>
      </x:c>
      <x:c r="M1154" s="10" t="n">
        <x:v>1023</x:v>
      </x:c>
      <x:c r="N1154" s="2" t="str">
        <x:v>D25</x:v>
      </x:c>
      <x:c r="O1154" s="2" t="str">
        <x:v>condominium</x:v>
      </x:c>
      <x:c r="P1154" s="2" t="str">
        <x:v>https://www.propertyguru.com.sg/listing/for-rent-rosewood-500107293</x:v>
      </x:c>
      <x:c r="Q1154" s="12" t="str">
        <x:v>Pre-registered source-rubric-v1; grade applied before outputs.</x:v>
      </x:c>
      <x:c r="R1154" s="13"/>
    </x:row>
    <x:row r="1155" ht="15" hidden="0" customHeight="1">
      <x:c r="A1155" s="2" t="str">
        <x:v>S38|500270126</x:v>
      </x:c>
      <x:c r="B1155" s="2" t="str">
        <x:v>S38</x:v>
      </x:c>
      <x:c r="C1155" s="2" t="str">
        <x:v>500270126</x:v>
      </x:c>
      <x:c r="D1155" s="2" t="n">
        <x:v>0</x:v>
      </x:c>
      <x:c r="E1155" s="9"/>
      <x:c r="F1155" s="2" t="n">
        <x:f>IF(E1155="",D1155,IF(E1155="U","U",IF(AND(ISNUMBER(E1155),E1155&gt;=0,E1155&lt;=3,INT(E1155)=E1155),E1155,"Invalid")))</x:f>
        <x:v>0</x:v>
      </x:c>
      <x:c r="G1155" s="2" t="n">
        <x:f>IF(ISNUMBER(F1155),1,0)</x:f>
        <x:v>1</x:v>
      </x:c>
      <x:c r="H1155" s="2" t="n">
        <x:f>IF(ISNUMBER(F1155),IF(F1155&gt;=2,1,0),0)</x:f>
        <x:v>0</x:v>
      </x:c>
      <x:c r="I1155" s="11" t="n">
        <x:f>IF(ISNUMBER(F1155),2^F1155-1,0)</x:f>
        <x:v>0</x:v>
      </x:c>
      <x:c r="J1155" s="2" t="str">
        <x:v>Extension pre-run 600</x:v>
      </x:c>
      <x:c r="K1155" s="10" t="n">
        <x:v>18000</x:v>
      </x:c>
      <x:c r="L1155" s="10" t="n">
        <x:v>5</x:v>
      </x:c>
      <x:c r="M1155" s="10" t="n">
        <x:v>7382</x:v>
      </x:c>
      <x:c r="N1155" s="2" t="str">
        <x:v>D11</x:v>
      </x:c>
      <x:c r="O1155" s="2" t="str">
        <x:v>detached house</x:v>
      </x:c>
      <x:c r="P1155" s="2" t="str">
        <x:v>https://www.propertyguru.com.sg/listing/for-rent-gentle-villas-500270126</x:v>
      </x:c>
      <x:c r="Q1155" s="12" t="str">
        <x:v>Pre-registered source-rubric-v1; grade applied before outputs.</x:v>
      </x:c>
      <x:c r="R1155" s="13"/>
    </x:row>
    <x:row r="1156" ht="15" hidden="0" customHeight="1">
      <x:c r="A1156" s="2" t="str">
        <x:v>S38|500098566</x:v>
      </x:c>
      <x:c r="B1156" s="2" t="str">
        <x:v>S38</x:v>
      </x:c>
      <x:c r="C1156" s="2" t="str">
        <x:v>500098566</x:v>
      </x:c>
      <x:c r="D1156" s="2" t="n">
        <x:v>0</x:v>
      </x:c>
      <x:c r="E1156" s="9"/>
      <x:c r="F1156" s="2" t="n">
        <x:f>IF(E1156="",D1156,IF(E1156="U","U",IF(AND(ISNUMBER(E1156),E1156&gt;=0,E1156&lt;=3,INT(E1156)=E1156),E1156,"Invalid")))</x:f>
        <x:v>0</x:v>
      </x:c>
      <x:c r="G1156" s="2" t="n">
        <x:f>IF(ISNUMBER(F1156),1,0)</x:f>
        <x:v>1</x:v>
      </x:c>
      <x:c r="H1156" s="2" t="n">
        <x:f>IF(ISNUMBER(F1156),IF(F1156&gt;=2,1,0),0)</x:f>
        <x:v>0</x:v>
      </x:c>
      <x:c r="I1156" s="11" t="n">
        <x:f>IF(ISNUMBER(F1156),2^F1156-1,0)</x:f>
        <x:v>0</x:v>
      </x:c>
      <x:c r="J1156" s="2" t="str">
        <x:v>Extension pre-run 600</x:v>
      </x:c>
      <x:c r="K1156" s="10" t="n">
        <x:v>1500</x:v>
      </x:c>
      <x:c r="L1156" s="10" t="n">
        <x:v>0</x:v>
      </x:c>
      <x:c r="M1156" s="10"/>
      <x:c r="N1156" s="2" t="str">
        <x:v>D22</x:v>
      </x:c>
      <x:c r="O1156" s="2" t="str">
        <x:v>condominium</x:v>
      </x:c>
      <x:c r="P1156" s="2" t="str">
        <x:v>https://www.propertyguru.com.sg/listing/for-rent-caspian-500098566</x:v>
      </x:c>
      <x:c r="Q1156" s="12" t="str">
        <x:v>Pre-registered source-rubric-v1; grade applied before outputs.</x:v>
      </x:c>
      <x:c r="R1156" s="13"/>
    </x:row>
    <x:row r="1157" ht="15" hidden="0" customHeight="1">
      <x:c r="A1157" s="2" t="str">
        <x:v>S38|25328390</x:v>
      </x:c>
      <x:c r="B1157" s="2" t="str">
        <x:v>S38</x:v>
      </x:c>
      <x:c r="C1157" s="2" t="str">
        <x:v>25328390</x:v>
      </x:c>
      <x:c r="D1157" s="2" t="n">
        <x:v>0</x:v>
      </x:c>
      <x:c r="E1157" s="9"/>
      <x:c r="F1157" s="2" t="n">
        <x:f>IF(E1157="",D1157,IF(E1157="U","U",IF(AND(ISNUMBER(E1157),E1157&gt;=0,E1157&lt;=3,INT(E1157)=E1157),E1157,"Invalid")))</x:f>
        <x:v>0</x:v>
      </x:c>
      <x:c r="G1157" s="2" t="n">
        <x:f>IF(ISNUMBER(F1157),1,0)</x:f>
        <x:v>1</x:v>
      </x:c>
      <x:c r="H1157" s="2" t="n">
        <x:f>IF(ISNUMBER(F1157),IF(F1157&gt;=2,1,0),0)</x:f>
        <x:v>0</x:v>
      </x:c>
      <x:c r="I1157" s="11" t="n">
        <x:f>IF(ISNUMBER(F1157),2^F1157-1,0)</x:f>
        <x:v>0</x:v>
      </x:c>
      <x:c r="J1157" s="2" t="str">
        <x:v>Extension pre-run 600</x:v>
      </x:c>
      <x:c r="K1157" s="10" t="n">
        <x:v>3999</x:v>
      </x:c>
      <x:c r="L1157" s="10" t="n">
        <x:v>3</x:v>
      </x:c>
      <x:c r="M1157" s="10" t="n">
        <x:v>1011</x:v>
      </x:c>
      <x:c r="N1157" s="2" t="str">
        <x:v>D19</x:v>
      </x:c>
      <x:c r="O1157" s="2" t="str">
        <x:v>hdb flat</x:v>
      </x:c>
      <x:c r="P1157" s="2" t="str">
        <x:v>https://www.propertyguru.com.sg/listing/hdb-for-rent-221-serangoon-avenue-4-25328390</x:v>
      </x:c>
      <x:c r="Q1157" s="12" t="str">
        <x:v>Pre-registered source-rubric-v1; grade applied before outputs.</x:v>
      </x:c>
      <x:c r="R1157" s="13"/>
    </x:row>
    <x:row r="1158" ht="15" hidden="0" customHeight="1">
      <x:c r="A1158" s="2" t="str">
        <x:v>S38|24638189</x:v>
      </x:c>
      <x:c r="B1158" s="2" t="str">
        <x:v>S38</x:v>
      </x:c>
      <x:c r="C1158" s="2" t="str">
        <x:v>24638189</x:v>
      </x:c>
      <x:c r="D1158" s="2" t="n">
        <x:v>0</x:v>
      </x:c>
      <x:c r="E1158" s="9"/>
      <x:c r="F1158" s="2" t="n">
        <x:f>IF(E1158="",D1158,IF(E1158="U","U",IF(AND(ISNUMBER(E1158),E1158&gt;=0,E1158&lt;=3,INT(E1158)=E1158),E1158,"Invalid")))</x:f>
        <x:v>0</x:v>
      </x:c>
      <x:c r="G1158" s="2" t="n">
        <x:f>IF(ISNUMBER(F1158),1,0)</x:f>
        <x:v>1</x:v>
      </x:c>
      <x:c r="H1158" s="2" t="n">
        <x:f>IF(ISNUMBER(F1158),IF(F1158&gt;=2,1,0),0)</x:f>
        <x:v>0</x:v>
      </x:c>
      <x:c r="I1158" s="11" t="n">
        <x:f>IF(ISNUMBER(F1158),2^F1158-1,0)</x:f>
        <x:v>0</x:v>
      </x:c>
      <x:c r="J1158" s="2" t="str">
        <x:v>Extension pre-run 600</x:v>
      </x:c>
      <x:c r="K1158" s="10" t="n">
        <x:v>6700</x:v>
      </x:c>
      <x:c r="L1158" s="10" t="n">
        <x:v>3</x:v>
      </x:c>
      <x:c r="M1158" s="10" t="n">
        <x:v>1550</x:v>
      </x:c>
      <x:c r="N1158" s="2" t="str">
        <x:v>D05</x:v>
      </x:c>
      <x:c r="O1158" s="2" t="str">
        <x:v>condominium</x:v>
      </x:c>
      <x:c r="P1158" s="2" t="str">
        <x:v>https://www.propertyguru.com.sg/listing/for-rent-the-spectrum-24638189</x:v>
      </x:c>
      <x:c r="Q1158" s="12" t="str">
        <x:v>Pre-registered source-rubric-v1; grade applied before outputs.</x:v>
      </x:c>
      <x:c r="R1158" s="13"/>
    </x:row>
    <x:row r="1159" ht="15" hidden="0" customHeight="1">
      <x:c r="A1159" s="2" t="str">
        <x:v>S38|25315003</x:v>
      </x:c>
      <x:c r="B1159" s="2" t="str">
        <x:v>S38</x:v>
      </x:c>
      <x:c r="C1159" s="2" t="str">
        <x:v>25315003</x:v>
      </x:c>
      <x:c r="D1159" s="2" t="str">
        <x:v>U</x:v>
      </x:c>
      <x:c r="E1159" s="9"/>
      <x:c r="F1159" s="2" t="str">
        <x:f>IF(E1159="",D1159,IF(E1159="U","U",IF(AND(ISNUMBER(E1159),E1159&gt;=0,E1159&lt;=3,INT(E1159)=E1159),E1159,"Invalid")))</x:f>
        <x:v>U</x:v>
      </x:c>
      <x:c r="G1159" s="2" t="n">
        <x:f>IF(ISNUMBER(F1159),1,0)</x:f>
        <x:v>0</x:v>
      </x:c>
      <x:c r="H1159" s="2" t="n">
        <x:f>IF(ISNUMBER(F1159),IF(F1159&gt;=2,1,0),0)</x:f>
        <x:v>0</x:v>
      </x:c>
      <x:c r="I1159" s="11" t="n">
        <x:f>IF(ISNUMBER(F1159),2^F1159-1,0)</x:f>
        <x:v>0</x:v>
      </x:c>
      <x:c r="J1159" s="2" t="str">
        <x:v>Extension pre-run 600</x:v>
      </x:c>
      <x:c r="K1159" s="10" t="n">
        <x:v>3700</x:v>
      </x:c>
      <x:c r="L1159" s="10"/>
      <x:c r="M1159" s="10" t="n">
        <x:v>431</x:v>
      </x:c>
      <x:c r="N1159" s="2" t="str">
        <x:v>D03</x:v>
      </x:c>
      <x:c r="O1159" s="2" t="str">
        <x:v>condominium</x:v>
      </x:c>
      <x:c r="P1159" s="2" t="str">
        <x:v>https://www.propertyguru.com.sg/listing/for-rent-one-pearl-bank-25315003</x:v>
      </x:c>
      <x:c r="Q1159" s="12" t="str">
        <x:v>Pre-registered source-rubric-v1; grade applied before outputs.</x:v>
      </x:c>
      <x:c r="R1159" s="13"/>
    </x:row>
    <x:row r="1160" ht="15" hidden="0" customHeight="1">
      <x:c r="A1160" s="2" t="str">
        <x:v>S38|20283326</x:v>
      </x:c>
      <x:c r="B1160" s="2" t="str">
        <x:v>S38</x:v>
      </x:c>
      <x:c r="C1160" s="2" t="str">
        <x:v>20283326</x:v>
      </x:c>
      <x:c r="D1160" s="2" t="str">
        <x:v>U</x:v>
      </x:c>
      <x:c r="E1160" s="9"/>
      <x:c r="F1160" s="2" t="str">
        <x:f>IF(E1160="",D1160,IF(E1160="U","U",IF(AND(ISNUMBER(E1160),E1160&gt;=0,E1160&lt;=3,INT(E1160)=E1160),E1160,"Invalid")))</x:f>
        <x:v>U</x:v>
      </x:c>
      <x:c r="G1160" s="2" t="n">
        <x:f>IF(ISNUMBER(F1160),1,0)</x:f>
        <x:v>0</x:v>
      </x:c>
      <x:c r="H1160" s="2" t="n">
        <x:f>IF(ISNUMBER(F1160),IF(F1160&gt;=2,1,0),0)</x:f>
        <x:v>0</x:v>
      </x:c>
      <x:c r="I1160" s="11" t="n">
        <x:f>IF(ISNUMBER(F1160),2^F1160-1,0)</x:f>
        <x:v>0</x:v>
      </x:c>
      <x:c r="J1160" s="2" t="str">
        <x:v>Extension pre-run 600</x:v>
      </x:c>
      <x:c r="K1160" s="10" t="n">
        <x:v>3200</x:v>
      </x:c>
      <x:c r="L1160" s="10"/>
      <x:c r="M1160" s="10" t="n">
        <x:v>463</x:v>
      </x:c>
      <x:c r="N1160" s="2" t="str">
        <x:v>D05</x:v>
      </x:c>
      <x:c r="O1160" s="2" t="str">
        <x:v>apartment</x:v>
      </x:c>
      <x:c r="P1160" s="2" t="str">
        <x:v>https://www.propertyguru.com.sg/listing/for-rent-newest-20283326</x:v>
      </x:c>
      <x:c r="Q1160" s="12" t="str">
        <x:v>Pre-registered source-rubric-v1; grade applied before outputs.</x:v>
      </x:c>
      <x:c r="R1160" s="13"/>
    </x:row>
    <x:row r="1161" ht="15" hidden="0" customHeight="1">
      <x:c r="A1161" s="2" t="str">
        <x:v>S38|500237549</x:v>
      </x:c>
      <x:c r="B1161" s="2" t="str">
        <x:v>S38</x:v>
      </x:c>
      <x:c r="C1161" s="2" t="str">
        <x:v>500237549</x:v>
      </x:c>
      <x:c r="D1161" s="2" t="n">
        <x:v>0</x:v>
      </x:c>
      <x:c r="E1161" s="9"/>
      <x:c r="F1161" s="2" t="n">
        <x:f>IF(E1161="",D1161,IF(E1161="U","U",IF(AND(ISNUMBER(E1161),E1161&gt;=0,E1161&lt;=3,INT(E1161)=E1161),E1161,"Invalid")))</x:f>
        <x:v>0</x:v>
      </x:c>
      <x:c r="G1161" s="2" t="n">
        <x:f>IF(ISNUMBER(F1161),1,0)</x:f>
        <x:v>1</x:v>
      </x:c>
      <x:c r="H1161" s="2" t="n">
        <x:f>IF(ISNUMBER(F1161),IF(F1161&gt;=2,1,0),0)</x:f>
        <x:v>0</x:v>
      </x:c>
      <x:c r="I1161" s="11" t="n">
        <x:f>IF(ISNUMBER(F1161),2^F1161-1,0)</x:f>
        <x:v>0</x:v>
      </x:c>
      <x:c r="J1161" s="2" t="str">
        <x:v>Extension pre-run 600</x:v>
      </x:c>
      <x:c r="K1161" s="10" t="n">
        <x:v>2500</x:v>
      </x:c>
      <x:c r="L1161" s="10" t="n">
        <x:v>0</x:v>
      </x:c>
      <x:c r="M1161" s="10"/>
      <x:c r="N1161" s="2" t="str">
        <x:v>D03</x:v>
      </x:c>
      <x:c r="O1161" s="2" t="str">
        <x:v>condominium</x:v>
      </x:c>
      <x:c r="P1161" s="2" t="str">
        <x:v>https://www.propertyguru.com.sg/listing/for-rent-queens-500237549</x:v>
      </x:c>
      <x:c r="Q1161" s="12" t="str">
        <x:v>Pre-registered source-rubric-v1; grade applied before outputs.</x:v>
      </x:c>
      <x:c r="R1161" s="13"/>
    </x:row>
    <x:row r="1162" ht="15" hidden="0" customHeight="1">
      <x:c r="A1162" s="2" t="str">
        <x:v>S38|24731783</x:v>
      </x:c>
      <x:c r="B1162" s="2" t="str">
        <x:v>S38</x:v>
      </x:c>
      <x:c r="C1162" s="2" t="str">
        <x:v>24731783</x:v>
      </x:c>
      <x:c r="D1162" s="2" t="n">
        <x:v>0</x:v>
      </x:c>
      <x:c r="E1162" s="9"/>
      <x:c r="F1162" s="2" t="n">
        <x:f>IF(E1162="",D1162,IF(E1162="U","U",IF(AND(ISNUMBER(E1162),E1162&gt;=0,E1162&lt;=3,INT(E1162)=E1162),E1162,"Invalid")))</x:f>
        <x:v>0</x:v>
      </x:c>
      <x:c r="G1162" s="2" t="n">
        <x:f>IF(ISNUMBER(F1162),1,0)</x:f>
        <x:v>1</x:v>
      </x:c>
      <x:c r="H1162" s="2" t="n">
        <x:f>IF(ISNUMBER(F1162),IF(F1162&gt;=2,1,0),0)</x:f>
        <x:v>0</x:v>
      </x:c>
      <x:c r="I1162" s="11" t="n">
        <x:f>IF(ISNUMBER(F1162),2^F1162-1,0)</x:f>
        <x:v>0</x:v>
      </x:c>
      <x:c r="J1162" s="2" t="str">
        <x:v>Extension pre-run 600</x:v>
      </x:c>
      <x:c r="K1162" s="10" t="n">
        <x:v>3400</x:v>
      </x:c>
      <x:c r="L1162" s="10" t="n">
        <x:v>2</x:v>
      </x:c>
      <x:c r="M1162" s="10" t="n">
        <x:v>635</x:v>
      </x:c>
      <x:c r="N1162" s="2" t="str">
        <x:v>D19</x:v>
      </x:c>
      <x:c r="O1162" s="2" t="str">
        <x:v>condominium</x:v>
      </x:c>
      <x:c r="P1162" s="2" t="str">
        <x:v>https://www.propertyguru.com.sg/listing/for-rent-the-florence-residences-24731783</x:v>
      </x:c>
      <x:c r="Q1162" s="12" t="str">
        <x:v>Pre-registered source-rubric-v1; grade applied before outputs.</x:v>
      </x:c>
      <x:c r="R1162" s="13"/>
    </x:row>
    <x:row r="1163" ht="15" hidden="0" customHeight="1">
      <x:c r="A1163" s="2" t="str">
        <x:v>S38|60003135</x:v>
      </x:c>
      <x:c r="B1163" s="2" t="str">
        <x:v>S38</x:v>
      </x:c>
      <x:c r="C1163" s="2" t="str">
        <x:v>60003135</x:v>
      </x:c>
      <x:c r="D1163" s="2" t="n">
        <x:v>0</x:v>
      </x:c>
      <x:c r="E1163" s="9"/>
      <x:c r="F1163" s="2" t="n">
        <x:f>IF(E1163="",D1163,IF(E1163="U","U",IF(AND(ISNUMBER(E1163),E1163&gt;=0,E1163&lt;=3,INT(E1163)=E1163),E1163,"Invalid")))</x:f>
        <x:v>0</x:v>
      </x:c>
      <x:c r="G1163" s="2" t="n">
        <x:f>IF(ISNUMBER(F1163),1,0)</x:f>
        <x:v>1</x:v>
      </x:c>
      <x:c r="H1163" s="2" t="n">
        <x:f>IF(ISNUMBER(F1163),IF(F1163&gt;=2,1,0),0)</x:f>
        <x:v>0</x:v>
      </x:c>
      <x:c r="I1163" s="11" t="n">
        <x:f>IF(ISNUMBER(F1163),2^F1163-1,0)</x:f>
        <x:v>0</x:v>
      </x:c>
      <x:c r="J1163" s="2" t="str">
        <x:v>Extension pre-run 600</x:v>
      </x:c>
      <x:c r="K1163" s="10" t="n">
        <x:v>4400</x:v>
      </x:c>
      <x:c r="L1163" s="10" t="n">
        <x:v>1</x:v>
      </x:c>
      <x:c r="M1163" s="10" t="n">
        <x:v>527</x:v>
      </x:c>
      <x:c r="N1163" s="2" t="str">
        <x:v>D07</x:v>
      </x:c>
      <x:c r="O1163" s="2" t="str">
        <x:v>condominium</x:v>
      </x:c>
      <x:c r="P1163" s="2" t="str">
        <x:v>https://www.propertyguru.com.sg/listing/for-rent-the-m-60003135</x:v>
      </x:c>
      <x:c r="Q1163" s="12" t="str">
        <x:v>Pre-registered source-rubric-v1; grade applied before outputs.</x:v>
      </x:c>
      <x:c r="R1163" s="13"/>
    </x:row>
    <x:row r="1164" ht="15" hidden="0" customHeight="1">
      <x:c r="A1164" s="2" t="str">
        <x:v>S38|22384066</x:v>
      </x:c>
      <x:c r="B1164" s="2" t="str">
        <x:v>S38</x:v>
      </x:c>
      <x:c r="C1164" s="2" t="str">
        <x:v>22384066</x:v>
      </x:c>
      <x:c r="D1164" s="2" t="n">
        <x:v>0</x:v>
      </x:c>
      <x:c r="E1164" s="9"/>
      <x:c r="F1164" s="2" t="n">
        <x:f>IF(E1164="",D1164,IF(E1164="U","U",IF(AND(ISNUMBER(E1164),E1164&gt;=0,E1164&lt;=3,INT(E1164)=E1164),E1164,"Invalid")))</x:f>
        <x:v>0</x:v>
      </x:c>
      <x:c r="G1164" s="2" t="n">
        <x:f>IF(ISNUMBER(F1164),1,0)</x:f>
        <x:v>1</x:v>
      </x:c>
      <x:c r="H1164" s="2" t="n">
        <x:f>IF(ISNUMBER(F1164),IF(F1164&gt;=2,1,0),0)</x:f>
        <x:v>0</x:v>
      </x:c>
      <x:c r="I1164" s="11" t="n">
        <x:f>IF(ISNUMBER(F1164),2^F1164-1,0)</x:f>
        <x:v>0</x:v>
      </x:c>
      <x:c r="J1164" s="2" t="str">
        <x:v>Extension pre-run 600</x:v>
      </x:c>
      <x:c r="K1164" s="10" t="n">
        <x:v>1600</x:v>
      </x:c>
      <x:c r="L1164" s="10" t="n">
        <x:v>0</x:v>
      </x:c>
      <x:c r="M1164" s="10"/>
      <x:c r="N1164" s="2" t="str">
        <x:v>D19</x:v>
      </x:c>
      <x:c r="O1164" s="2" t="str">
        <x:v>condominium</x:v>
      </x:c>
      <x:c r="P1164" s="2" t="str">
        <x:v>https://www.propertyguru.com.sg/listing/for-rent-chiltern-park-22384066</x:v>
      </x:c>
      <x:c r="Q1164" s="12" t="str">
        <x:v>Pre-registered source-rubric-v1; grade applied before outputs.</x:v>
      </x:c>
      <x:c r="R1164" s="13"/>
    </x:row>
    <x:row r="1165" ht="15" hidden="0" customHeight="1">
      <x:c r="A1165" s="2" t="str">
        <x:v>S39|20079919</x:v>
      </x:c>
      <x:c r="B1165" s="2" t="str">
        <x:v>S39</x:v>
      </x:c>
      <x:c r="C1165" s="2" t="str">
        <x:v>20079919</x:v>
      </x:c>
      <x:c r="D1165" s="2" t="n">
        <x:v>3</x:v>
      </x:c>
      <x:c r="E1165" s="9"/>
      <x:c r="F1165" s="2" t="n">
        <x:f>IF(E1165="",D1165,IF(E1165="U","U",IF(AND(ISNUMBER(E1165),E1165&gt;=0,E1165&lt;=3,INT(E1165)=E1165),E1165,"Invalid")))</x:f>
        <x:v>3</x:v>
      </x:c>
      <x:c r="G1165" s="2" t="n">
        <x:f>IF(ISNUMBER(F1165),1,0)</x:f>
        <x:v>1</x:v>
      </x:c>
      <x:c r="H1165" s="2" t="n">
        <x:f>IF(ISNUMBER(F1165),IF(F1165&gt;=2,1,0),0)</x:f>
        <x:v>1</x:v>
      </x:c>
      <x:c r="I1165" s="11" t="n">
        <x:f>IF(ISNUMBER(F1165),2^F1165-1,0)</x:f>
        <x:v>7</x:v>
      </x:c>
      <x:c r="J1165" s="2" t="str">
        <x:v>Extension pre-run 600</x:v>
      </x:c>
      <x:c r="K1165" s="10" t="n">
        <x:v>3300</x:v>
      </x:c>
      <x:c r="L1165" s="10" t="n">
        <x:v>3</x:v>
      </x:c>
      <x:c r="M1165" s="10" t="n">
        <x:v>1302</x:v>
      </x:c>
      <x:c r="N1165" s="2" t="str">
        <x:v>D25</x:v>
      </x:c>
      <x:c r="O1165" s="2" t="str">
        <x:v>hdb flat</x:v>
      </x:c>
      <x:c r="P1165" s="2" t="str">
        <x:v>https://www.propertyguru.com.sg/listing/hdb-for-rent-786f-woodlands-drive-60-20079919</x:v>
      </x:c>
      <x:c r="Q1165" s="12" t="str">
        <x:v>Pre-registered source-rubric-v1; grade applied before outputs.</x:v>
      </x:c>
      <x:c r="R1165" s="13"/>
    </x:row>
    <x:row r="1166" ht="15" hidden="0" customHeight="1">
      <x:c r="A1166" s="2" t="str">
        <x:v>S39|21838468</x:v>
      </x:c>
      <x:c r="B1166" s="2" t="str">
        <x:v>S39</x:v>
      </x:c>
      <x:c r="C1166" s="2" t="str">
        <x:v>21838468</x:v>
      </x:c>
      <x:c r="D1166" s="2" t="n">
        <x:v>3</x:v>
      </x:c>
      <x:c r="E1166" s="9"/>
      <x:c r="F1166" s="2" t="n">
        <x:f>IF(E1166="",D1166,IF(E1166="U","U",IF(AND(ISNUMBER(E1166),E1166&gt;=0,E1166&lt;=3,INT(E1166)=E1166),E1166,"Invalid")))</x:f>
        <x:v>3</x:v>
      </x:c>
      <x:c r="G1166" s="2" t="n">
        <x:f>IF(ISNUMBER(F1166),1,0)</x:f>
        <x:v>1</x:v>
      </x:c>
      <x:c r="H1166" s="2" t="n">
        <x:f>IF(ISNUMBER(F1166),IF(F1166&gt;=2,1,0),0)</x:f>
        <x:v>1</x:v>
      </x:c>
      <x:c r="I1166" s="11" t="n">
        <x:f>IF(ISNUMBER(F1166),2^F1166-1,0)</x:f>
        <x:v>7</x:v>
      </x:c>
      <x:c r="J1166" s="2" t="str">
        <x:v>Extension pre-run 600</x:v>
      </x:c>
      <x:c r="K1166" s="10" t="n">
        <x:v>3500</x:v>
      </x:c>
      <x:c r="L1166" s="10" t="n">
        <x:v>3</x:v>
      </x:c>
      <x:c r="M1166" s="10" t="n">
        <x:v>1302</x:v>
      </x:c>
      <x:c r="N1166" s="2" t="str">
        <x:v>D25</x:v>
      </x:c>
      <x:c r="O1166" s="2" t="str">
        <x:v>hdb flat</x:v>
      </x:c>
      <x:c r="P1166" s="2" t="str">
        <x:v>https://www.propertyguru.com.sg/listing/hdb-for-rent-638-woodlands-ring-road-21838468</x:v>
      </x:c>
      <x:c r="Q1166" s="12" t="str">
        <x:v>Pre-registered source-rubric-v1; grade applied before outputs.</x:v>
      </x:c>
      <x:c r="R1166" s="13"/>
    </x:row>
    <x:row r="1167" ht="15" hidden="0" customHeight="1">
      <x:c r="A1167" s="2" t="str">
        <x:v>S39|500178981</x:v>
      </x:c>
      <x:c r="B1167" s="2" t="str">
        <x:v>S39</x:v>
      </x:c>
      <x:c r="C1167" s="2" t="str">
        <x:v>500178981</x:v>
      </x:c>
      <x:c r="D1167" s="2" t="n">
        <x:v>3</x:v>
      </x:c>
      <x:c r="E1167" s="9"/>
      <x:c r="F1167" s="2" t="n">
        <x:f>IF(E1167="",D1167,IF(E1167="U","U",IF(AND(ISNUMBER(E1167),E1167&gt;=0,E1167&lt;=3,INT(E1167)=E1167),E1167,"Invalid")))</x:f>
        <x:v>3</x:v>
      </x:c>
      <x:c r="G1167" s="2" t="n">
        <x:f>IF(ISNUMBER(F1167),1,0)</x:f>
        <x:v>1</x:v>
      </x:c>
      <x:c r="H1167" s="2" t="n">
        <x:f>IF(ISNUMBER(F1167),IF(F1167&gt;=2,1,0),0)</x:f>
        <x:v>1</x:v>
      </x:c>
      <x:c r="I1167" s="11" t="n">
        <x:f>IF(ISNUMBER(F1167),2^F1167-1,0)</x:f>
        <x:v>7</x:v>
      </x:c>
      <x:c r="J1167" s="2" t="str">
        <x:v>Extension pre-run 600</x:v>
      </x:c>
      <x:c r="K1167" s="10" t="n">
        <x:v>3000</x:v>
      </x:c>
      <x:c r="L1167" s="10" t="n">
        <x:v>2</x:v>
      </x:c>
      <x:c r="M1167" s="10" t="n">
        <x:v>1539</x:v>
      </x:c>
      <x:c r="N1167" s="2" t="str">
        <x:v>D25</x:v>
      </x:c>
      <x:c r="O1167" s="2" t="str">
        <x:v>hdb flat</x:v>
      </x:c>
      <x:c r="P1167" s="2" t="str">
        <x:v>https://www.propertyguru.com.sg/listing/hdb-for-rent-821-woodlands-street-82-500178981</x:v>
      </x:c>
      <x:c r="Q1167" s="12" t="str">
        <x:v>Pre-registered source-rubric-v1; grade applied before outputs.</x:v>
      </x:c>
      <x:c r="R1167" s="13"/>
    </x:row>
    <x:row r="1168" ht="15" hidden="0" customHeight="1">
      <x:c r="A1168" s="2" t="str">
        <x:v>S39|25113769</x:v>
      </x:c>
      <x:c r="B1168" s="2" t="str">
        <x:v>S39</x:v>
      </x:c>
      <x:c r="C1168" s="2" t="str">
        <x:v>25113769</x:v>
      </x:c>
      <x:c r="D1168" s="2" t="n">
        <x:v>3</x:v>
      </x:c>
      <x:c r="E1168" s="9"/>
      <x:c r="F1168" s="2" t="n">
        <x:f>IF(E1168="",D1168,IF(E1168="U","U",IF(AND(ISNUMBER(E1168),E1168&gt;=0,E1168&lt;=3,INT(E1168)=E1168),E1168,"Invalid")))</x:f>
        <x:v>3</x:v>
      </x:c>
      <x:c r="G1168" s="2" t="n">
        <x:f>IF(ISNUMBER(F1168),1,0)</x:f>
        <x:v>1</x:v>
      </x:c>
      <x:c r="H1168" s="2" t="n">
        <x:f>IF(ISNUMBER(F1168),IF(F1168&gt;=2,1,0),0)</x:f>
        <x:v>1</x:v>
      </x:c>
      <x:c r="I1168" s="11" t="n">
        <x:f>IF(ISNUMBER(F1168),2^F1168-1,0)</x:f>
        <x:v>7</x:v>
      </x:c>
      <x:c r="J1168" s="2" t="str">
        <x:v>Extension pre-run 600</x:v>
      </x:c>
      <x:c r="K1168" s="10" t="n">
        <x:v>3300</x:v>
      </x:c>
      <x:c r="L1168" s="10" t="n">
        <x:v>3</x:v>
      </x:c>
      <x:c r="M1168" s="10" t="n">
        <x:v>1184</x:v>
      </x:c>
      <x:c r="N1168" s="2" t="str">
        <x:v>D23</x:v>
      </x:c>
      <x:c r="O1168" s="2" t="str">
        <x:v>hdb flat</x:v>
      </x:c>
      <x:c r="P1168" s="2" t="str">
        <x:v>https://www.propertyguru.com.sg/listing/hdb-for-rent-471-segar-road-25113769</x:v>
      </x:c>
      <x:c r="Q1168" s="12" t="str">
        <x:v>Pre-registered source-rubric-v1; grade applied before outputs.</x:v>
      </x:c>
      <x:c r="R1168" s="13"/>
    </x:row>
    <x:row r="1169" ht="15" hidden="0" customHeight="1">
      <x:c r="A1169" s="2" t="str">
        <x:v>S39|23505966</x:v>
      </x:c>
      <x:c r="B1169" s="2" t="str">
        <x:v>S39</x:v>
      </x:c>
      <x:c r="C1169" s="2" t="str">
        <x:v>23505966</x:v>
      </x:c>
      <x:c r="D1169" s="2" t="n">
        <x:v>3</x:v>
      </x:c>
      <x:c r="E1169" s="9"/>
      <x:c r="F1169" s="2" t="n">
        <x:f>IF(E1169="",D1169,IF(E1169="U","U",IF(AND(ISNUMBER(E1169),E1169&gt;=0,E1169&lt;=3,INT(E1169)=E1169),E1169,"Invalid")))</x:f>
        <x:v>3</x:v>
      </x:c>
      <x:c r="G1169" s="2" t="n">
        <x:f>IF(ISNUMBER(F1169),1,0)</x:f>
        <x:v>1</x:v>
      </x:c>
      <x:c r="H1169" s="2" t="n">
        <x:f>IF(ISNUMBER(F1169),IF(F1169&gt;=2,1,0),0)</x:f>
        <x:v>1</x:v>
      </x:c>
      <x:c r="I1169" s="11" t="n">
        <x:f>IF(ISNUMBER(F1169),2^F1169-1,0)</x:f>
        <x:v>7</x:v>
      </x:c>
      <x:c r="J1169" s="2" t="str">
        <x:v>Extension pre-run 600</x:v>
      </x:c>
      <x:c r="K1169" s="10" t="n">
        <x:v>3500</x:v>
      </x:c>
      <x:c r="L1169" s="10" t="n">
        <x:v>3</x:v>
      </x:c>
      <x:c r="M1169" s="10" t="n">
        <x:v>1119</x:v>
      </x:c>
      <x:c r="N1169" s="2" t="str">
        <x:v>D23</x:v>
      </x:c>
      <x:c r="O1169" s="2" t="str">
        <x:v>hdb flat</x:v>
      </x:c>
      <x:c r="P1169" s="2" t="str">
        <x:v>https://www.propertyguru.com.sg/listing/hdb-for-rent-404-choa-chu-kang-avenue-3-23505966</x:v>
      </x:c>
      <x:c r="Q1169" s="12" t="str">
        <x:v>Pre-registered source-rubric-v1; grade applied before outputs.</x:v>
      </x:c>
      <x:c r="R1169" s="13"/>
    </x:row>
    <x:row r="1170" ht="15" hidden="0" customHeight="1">
      <x:c r="A1170" s="2" t="str">
        <x:v>S39|24729640</x:v>
      </x:c>
      <x:c r="B1170" s="2" t="str">
        <x:v>S39</x:v>
      </x:c>
      <x:c r="C1170" s="2" t="str">
        <x:v>24729640</x:v>
      </x:c>
      <x:c r="D1170" s="2" t="n">
        <x:v>3</x:v>
      </x:c>
      <x:c r="E1170" s="9"/>
      <x:c r="F1170" s="2" t="n">
        <x:f>IF(E1170="",D1170,IF(E1170="U","U",IF(AND(ISNUMBER(E1170),E1170&gt;=0,E1170&lt;=3,INT(E1170)=E1170),E1170,"Invalid")))</x:f>
        <x:v>3</x:v>
      </x:c>
      <x:c r="G1170" s="2" t="n">
        <x:f>IF(ISNUMBER(F1170),1,0)</x:f>
        <x:v>1</x:v>
      </x:c>
      <x:c r="H1170" s="2" t="n">
        <x:f>IF(ISNUMBER(F1170),IF(F1170&gt;=2,1,0),0)</x:f>
        <x:v>1</x:v>
      </x:c>
      <x:c r="I1170" s="11" t="n">
        <x:f>IF(ISNUMBER(F1170),2^F1170-1,0)</x:f>
        <x:v>7</x:v>
      </x:c>
      <x:c r="J1170" s="2" t="str">
        <x:v>Extension pre-run 600</x:v>
      </x:c>
      <x:c r="K1170" s="10" t="n">
        <x:v>3200</x:v>
      </x:c>
      <x:c r="L1170" s="10" t="n">
        <x:v>2</x:v>
      </x:c>
      <x:c r="M1170" s="10" t="n">
        <x:v>1119</x:v>
      </x:c>
      <x:c r="N1170" s="2" t="str">
        <x:v>D23</x:v>
      </x:c>
      <x:c r="O1170" s="2" t="str">
        <x:v>hdb flat</x:v>
      </x:c>
      <x:c r="P1170" s="2" t="str">
        <x:v>https://www.propertyguru.com.sg/listing/hdb-for-rent-204-petir-road-24729640</x:v>
      </x:c>
      <x:c r="Q1170" s="12" t="str">
        <x:v>Pre-registered source-rubric-v1; grade applied before outputs.</x:v>
      </x:c>
      <x:c r="R1170" s="13"/>
    </x:row>
    <x:row r="1171" ht="15" hidden="0" customHeight="1">
      <x:c r="A1171" s="2" t="str">
        <x:v>S39|24895604</x:v>
      </x:c>
      <x:c r="B1171" s="2" t="str">
        <x:v>S39</x:v>
      </x:c>
      <x:c r="C1171" s="2" t="str">
        <x:v>24895604</x:v>
      </x:c>
      <x:c r="D1171" s="2" t="n">
        <x:v>2</x:v>
      </x:c>
      <x:c r="E1171" s="9"/>
      <x:c r="F1171" s="2" t="n">
        <x:f>IF(E1171="",D1171,IF(E1171="U","U",IF(AND(ISNUMBER(E1171),E1171&gt;=0,E1171&lt;=3,INT(E1171)=E1171),E1171,"Invalid")))</x:f>
        <x:v>2</x:v>
      </x:c>
      <x:c r="G1171" s="2" t="n">
        <x:f>IF(ISNUMBER(F1171),1,0)</x:f>
        <x:v>1</x:v>
      </x:c>
      <x:c r="H1171" s="2" t="n">
        <x:f>IF(ISNUMBER(F1171),IF(F1171&gt;=2,1,0),0)</x:f>
        <x:v>1</x:v>
      </x:c>
      <x:c r="I1171" s="11" t="n">
        <x:f>IF(ISNUMBER(F1171),2^F1171-1,0)</x:f>
        <x:v>3</x:v>
      </x:c>
      <x:c r="J1171" s="2" t="str">
        <x:v>Extension pre-run 600</x:v>
      </x:c>
      <x:c r="K1171" s="10" t="n">
        <x:v>3500</x:v>
      </x:c>
      <x:c r="L1171" s="10" t="n">
        <x:v>2</x:v>
      </x:c>
      <x:c r="M1171" s="10" t="n">
        <x:v>850</x:v>
      </x:c>
      <x:c r="N1171" s="2" t="str">
        <x:v>D23</x:v>
      </x:c>
      <x:c r="O1171" s="2" t="str">
        <x:v>condominium</x:v>
      </x:c>
      <x:c r="P1171" s="2" t="str">
        <x:v>https://www.propertyguru.com.sg/listing/for-rent-windermere-24895604</x:v>
      </x:c>
      <x:c r="Q1171" s="12" t="str">
        <x:v>Pre-registered source-rubric-v1; grade applied before outputs.</x:v>
      </x:c>
      <x:c r="R1171" s="13"/>
    </x:row>
    <x:row r="1172" ht="15" hidden="0" customHeight="1">
      <x:c r="A1172" s="2" t="str">
        <x:v>S39|60246188</x:v>
      </x:c>
      <x:c r="B1172" s="2" t="str">
        <x:v>S39</x:v>
      </x:c>
      <x:c r="C1172" s="2" t="str">
        <x:v>60246188</x:v>
      </x:c>
      <x:c r="D1172" s="2" t="n">
        <x:v>2</x:v>
      </x:c>
      <x:c r="E1172" s="9"/>
      <x:c r="F1172" s="2" t="n">
        <x:f>IF(E1172="",D1172,IF(E1172="U","U",IF(AND(ISNUMBER(E1172),E1172&gt;=0,E1172&lt;=3,INT(E1172)=E1172),E1172,"Invalid")))</x:f>
        <x:v>2</x:v>
      </x:c>
      <x:c r="G1172" s="2" t="n">
        <x:f>IF(ISNUMBER(F1172),1,0)</x:f>
        <x:v>1</x:v>
      </x:c>
      <x:c r="H1172" s="2" t="n">
        <x:f>IF(ISNUMBER(F1172),IF(F1172&gt;=2,1,0),0)</x:f>
        <x:v>1</x:v>
      </x:c>
      <x:c r="I1172" s="11" t="n">
        <x:f>IF(ISNUMBER(F1172),2^F1172-1,0)</x:f>
        <x:v>3</x:v>
      </x:c>
      <x:c r="J1172" s="2" t="str">
        <x:v>Extension pre-run 600</x:v>
      </x:c>
      <x:c r="K1172" s="10" t="n">
        <x:v>3200</x:v>
      </x:c>
      <x:c r="L1172" s="10" t="n">
        <x:v>3</x:v>
      </x:c>
      <x:c r="M1172" s="10" t="n">
        <x:v>990</x:v>
      </x:c>
      <x:c r="N1172" s="2" t="str">
        <x:v>D23</x:v>
      </x:c>
      <x:c r="O1172" s="2" t="str">
        <x:v>hdb flat</x:v>
      </x:c>
      <x:c r="P1172" s="2" t="str">
        <x:v>https://www.propertyguru.com.sg/listing/hdb-for-rent-25-teck-whye-lane-60246188</x:v>
      </x:c>
      <x:c r="Q1172" s="12" t="str">
        <x:v>Pre-registered source-rubric-v1; grade applied before outputs.</x:v>
      </x:c>
      <x:c r="R1172" s="13"/>
    </x:row>
    <x:row r="1173" ht="15" hidden="0" customHeight="1">
      <x:c r="A1173" s="2" t="str">
        <x:v>S39|500231404</x:v>
      </x:c>
      <x:c r="B1173" s="2" t="str">
        <x:v>S39</x:v>
      </x:c>
      <x:c r="C1173" s="2" t="str">
        <x:v>500231404</x:v>
      </x:c>
      <x:c r="D1173" s="2" t="n">
        <x:v>2</x:v>
      </x:c>
      <x:c r="E1173" s="9"/>
      <x:c r="F1173" s="2" t="n">
        <x:f>IF(E1173="",D1173,IF(E1173="U","U",IF(AND(ISNUMBER(E1173),E1173&gt;=0,E1173&lt;=3,INT(E1173)=E1173),E1173,"Invalid")))</x:f>
        <x:v>2</x:v>
      </x:c>
      <x:c r="G1173" s="2" t="n">
        <x:f>IF(ISNUMBER(F1173),1,0)</x:f>
        <x:v>1</x:v>
      </x:c>
      <x:c r="H1173" s="2" t="n">
        <x:f>IF(ISNUMBER(F1173),IF(F1173&gt;=2,1,0),0)</x:f>
        <x:v>1</x:v>
      </x:c>
      <x:c r="I1173" s="11" t="n">
        <x:f>IF(ISNUMBER(F1173),2^F1173-1,0)</x:f>
        <x:v>3</x:v>
      </x:c>
      <x:c r="J1173" s="2" t="str">
        <x:v>Extension pre-run 600</x:v>
      </x:c>
      <x:c r="K1173" s="10" t="n">
        <x:v>2800</x:v>
      </x:c>
      <x:c r="L1173" s="10" t="n">
        <x:v>2</x:v>
      </x:c>
      <x:c r="M1173" s="10" t="n">
        <x:v>734</x:v>
      </x:c>
      <x:c r="N1173" s="2" t="str">
        <x:v>D25</x:v>
      </x:c>
      <x:c r="O1173" s="2" t="str">
        <x:v>hdb flat</x:v>
      </x:c>
      <x:c r="P1173" s="2" t="str">
        <x:v>https://www.propertyguru.com.sg/listing/hdb-for-rent-202-marsiling-drive-500231404</x:v>
      </x:c>
      <x:c r="Q1173" s="12" t="str">
        <x:v>Pre-registered source-rubric-v1; grade applied before outputs.</x:v>
      </x:c>
      <x:c r="R1173" s="13"/>
    </x:row>
    <x:row r="1174" ht="15" hidden="0" customHeight="1">
      <x:c r="A1174" s="2" t="str">
        <x:v>S39|500270876</x:v>
      </x:c>
      <x:c r="B1174" s="2" t="str">
        <x:v>S39</x:v>
      </x:c>
      <x:c r="C1174" s="2" t="str">
        <x:v>500270876</x:v>
      </x:c>
      <x:c r="D1174" s="2" t="n">
        <x:v>2</x:v>
      </x:c>
      <x:c r="E1174" s="9"/>
      <x:c r="F1174" s="2" t="n">
        <x:f>IF(E1174="",D1174,IF(E1174="U","U",IF(AND(ISNUMBER(E1174),E1174&gt;=0,E1174&lt;=3,INT(E1174)=E1174),E1174,"Invalid")))</x:f>
        <x:v>2</x:v>
      </x:c>
      <x:c r="G1174" s="2" t="n">
        <x:f>IF(ISNUMBER(F1174),1,0)</x:f>
        <x:v>1</x:v>
      </x:c>
      <x:c r="H1174" s="2" t="n">
        <x:f>IF(ISNUMBER(F1174),IF(F1174&gt;=2,1,0),0)</x:f>
        <x:v>1</x:v>
      </x:c>
      <x:c r="I1174" s="11" t="n">
        <x:f>IF(ISNUMBER(F1174),2^F1174-1,0)</x:f>
        <x:v>3</x:v>
      </x:c>
      <x:c r="J1174" s="2" t="str">
        <x:v>Extension pre-run 600</x:v>
      </x:c>
      <x:c r="K1174" s="10" t="n">
        <x:v>3000</x:v>
      </x:c>
      <x:c r="L1174" s="10" t="n">
        <x:v>2</x:v>
      </x:c>
      <x:c r="M1174" s="10" t="n">
        <x:v>731</x:v>
      </x:c>
      <x:c r="N1174" s="2" t="str">
        <x:v>D25</x:v>
      </x:c>
      <x:c r="O1174" s="2" t="str">
        <x:v>hdb flat</x:v>
      </x:c>
      <x:c r="P1174" s="2" t="str">
        <x:v>https://www.propertyguru.com.sg/listing/hdb-for-rent-694d-woodlands-drive-62-500270876</x:v>
      </x:c>
      <x:c r="Q1174" s="12" t="str">
        <x:v>Pre-registered source-rubric-v1; grade applied before outputs.</x:v>
      </x:c>
      <x:c r="R1174" s="13"/>
    </x:row>
    <x:row r="1175" ht="15" hidden="0" customHeight="1">
      <x:c r="A1175" s="2" t="str">
        <x:v>S39|24593875</x:v>
      </x:c>
      <x:c r="B1175" s="2" t="str">
        <x:v>S39</x:v>
      </x:c>
      <x:c r="C1175" s="2" t="str">
        <x:v>24593875</x:v>
      </x:c>
      <x:c r="D1175" s="2" t="n">
        <x:v>2</x:v>
      </x:c>
      <x:c r="E1175" s="9"/>
      <x:c r="F1175" s="2" t="n">
        <x:f>IF(E1175="",D1175,IF(E1175="U","U",IF(AND(ISNUMBER(E1175),E1175&gt;=0,E1175&lt;=3,INT(E1175)=E1175),E1175,"Invalid")))</x:f>
        <x:v>2</x:v>
      </x:c>
      <x:c r="G1175" s="2" t="n">
        <x:f>IF(ISNUMBER(F1175),1,0)</x:f>
        <x:v>1</x:v>
      </x:c>
      <x:c r="H1175" s="2" t="n">
        <x:f>IF(ISNUMBER(F1175),IF(F1175&gt;=2,1,0),0)</x:f>
        <x:v>1</x:v>
      </x:c>
      <x:c r="I1175" s="11" t="n">
        <x:f>IF(ISNUMBER(F1175),2^F1175-1,0)</x:f>
        <x:v>3</x:v>
      </x:c>
      <x:c r="J1175" s="2" t="str">
        <x:v>Extension pre-run 600</x:v>
      </x:c>
      <x:c r="K1175" s="10" t="n">
        <x:v>3500</x:v>
      </x:c>
      <x:c r="L1175" s="10" t="n">
        <x:v>3</x:v>
      </x:c>
      <x:c r="M1175" s="10" t="n">
        <x:v>1087</x:v>
      </x:c>
      <x:c r="N1175" s="2" t="str">
        <x:v>D23</x:v>
      </x:c>
      <x:c r="O1175" s="2" t="str">
        <x:v>hdb flat</x:v>
      </x:c>
      <x:c r="P1175" s="2" t="str">
        <x:v>https://www.propertyguru.com.sg/listing/hdb-for-rent-449-bukit-panjang-ring-road-24593875</x:v>
      </x:c>
      <x:c r="Q1175" s="12" t="str">
        <x:v>Pre-registered source-rubric-v1; grade applied before outputs.</x:v>
      </x:c>
      <x:c r="R1175" s="13"/>
    </x:row>
    <x:row r="1176" ht="15" hidden="0" customHeight="1">
      <x:c r="A1176" s="2" t="str">
        <x:v>S39|500288139</x:v>
      </x:c>
      <x:c r="B1176" s="2" t="str">
        <x:v>S39</x:v>
      </x:c>
      <x:c r="C1176" s="2" t="str">
        <x:v>500288139</x:v>
      </x:c>
      <x:c r="D1176" s="2" t="n">
        <x:v>2</x:v>
      </x:c>
      <x:c r="E1176" s="9"/>
      <x:c r="F1176" s="2" t="n">
        <x:f>IF(E1176="",D1176,IF(E1176="U","U",IF(AND(ISNUMBER(E1176),E1176&gt;=0,E1176&lt;=3,INT(E1176)=E1176),E1176,"Invalid")))</x:f>
        <x:v>2</x:v>
      </x:c>
      <x:c r="G1176" s="2" t="n">
        <x:f>IF(ISNUMBER(F1176),1,0)</x:f>
        <x:v>1</x:v>
      </x:c>
      <x:c r="H1176" s="2" t="n">
        <x:f>IF(ISNUMBER(F1176),IF(F1176&gt;=2,1,0),0)</x:f>
        <x:v>1</x:v>
      </x:c>
      <x:c r="I1176" s="11" t="n">
        <x:f>IF(ISNUMBER(F1176),2^F1176-1,0)</x:f>
        <x:v>3</x:v>
      </x:c>
      <x:c r="J1176" s="2" t="str">
        <x:v>Extension pre-run 600</x:v>
      </x:c>
      <x:c r="K1176" s="10" t="n">
        <x:v>3000</x:v>
      </x:c>
      <x:c r="L1176" s="10" t="n">
        <x:v>2</x:v>
      </x:c>
      <x:c r="M1176" s="10" t="n">
        <x:v>785</x:v>
      </x:c>
      <x:c r="N1176" s="2" t="str">
        <x:v>D23</x:v>
      </x:c>
      <x:c r="O1176" s="2" t="str">
        <x:v>hdb flat</x:v>
      </x:c>
      <x:c r="P1176" s="2" t="str">
        <x:v>https://www.propertyguru.com.sg/listing/hdb-for-rent-228-bukit-batok-central-500288139</x:v>
      </x:c>
      <x:c r="Q1176" s="12" t="str">
        <x:v>Pre-registered source-rubric-v1; grade applied before outputs.</x:v>
      </x:c>
      <x:c r="R1176" s="13"/>
    </x:row>
    <x:row r="1177" ht="15" hidden="0" customHeight="1">
      <x:c r="A1177" s="2" t="str">
        <x:v>S39|500160099</x:v>
      </x:c>
      <x:c r="B1177" s="2" t="str">
        <x:v>S39</x:v>
      </x:c>
      <x:c r="C1177" s="2" t="str">
        <x:v>500160099</x:v>
      </x:c>
      <x:c r="D1177" s="2" t="n">
        <x:v>2</x:v>
      </x:c>
      <x:c r="E1177" s="9"/>
      <x:c r="F1177" s="2" t="n">
        <x:f>IF(E1177="",D1177,IF(E1177="U","U",IF(AND(ISNUMBER(E1177),E1177&gt;=0,E1177&lt;=3,INT(E1177)=E1177),E1177,"Invalid")))</x:f>
        <x:v>2</x:v>
      </x:c>
      <x:c r="G1177" s="2" t="n">
        <x:f>IF(ISNUMBER(F1177),1,0)</x:f>
        <x:v>1</x:v>
      </x:c>
      <x:c r="H1177" s="2" t="n">
        <x:f>IF(ISNUMBER(F1177),IF(F1177&gt;=2,1,0),0)</x:f>
        <x:v>1</x:v>
      </x:c>
      <x:c r="I1177" s="11" t="n">
        <x:f>IF(ISNUMBER(F1177),2^F1177-1,0)</x:f>
        <x:v>3</x:v>
      </x:c>
      <x:c r="J1177" s="2" t="str">
        <x:v>Extension pre-run 600</x:v>
      </x:c>
      <x:c r="K1177" s="10" t="n">
        <x:v>3300</x:v>
      </x:c>
      <x:c r="L1177" s="10" t="n">
        <x:v>3</x:v>
      </x:c>
      <x:c r="M1177" s="10" t="n">
        <x:v>1013</x:v>
      </x:c>
      <x:c r="N1177" s="2" t="str">
        <x:v>D25</x:v>
      </x:c>
      <x:c r="O1177" s="2" t="str">
        <x:v>hdb flat</x:v>
      </x:c>
      <x:c r="P1177" s="2" t="str">
        <x:v>https://www.propertyguru.com.sg/listing/hdb-for-rent-686a-woodlands-drive-73-500160099</x:v>
      </x:c>
      <x:c r="Q1177" s="12" t="str">
        <x:v>Pre-registered source-rubric-v1; grade applied before outputs.</x:v>
      </x:c>
      <x:c r="R1177" s="13"/>
    </x:row>
    <x:row r="1178" ht="15" hidden="0" customHeight="1">
      <x:c r="A1178" s="2" t="str">
        <x:v>S39|500270228</x:v>
      </x:c>
      <x:c r="B1178" s="2" t="str">
        <x:v>S39</x:v>
      </x:c>
      <x:c r="C1178" s="2" t="str">
        <x:v>500270228</x:v>
      </x:c>
      <x:c r="D1178" s="2" t="n">
        <x:v>2</x:v>
      </x:c>
      <x:c r="E1178" s="9"/>
      <x:c r="F1178" s="2" t="n">
        <x:f>IF(E1178="",D1178,IF(E1178="U","U",IF(AND(ISNUMBER(E1178),E1178&gt;=0,E1178&lt;=3,INT(E1178)=E1178),E1178,"Invalid")))</x:f>
        <x:v>2</x:v>
      </x:c>
      <x:c r="G1178" s="2" t="n">
        <x:f>IF(ISNUMBER(F1178),1,0)</x:f>
        <x:v>1</x:v>
      </x:c>
      <x:c r="H1178" s="2" t="n">
        <x:f>IF(ISNUMBER(F1178),IF(F1178&gt;=2,1,0),0)</x:f>
        <x:v>1</x:v>
      </x:c>
      <x:c r="I1178" s="11" t="n">
        <x:f>IF(ISNUMBER(F1178),2^F1178-1,0)</x:f>
        <x:v>3</x:v>
      </x:c>
      <x:c r="J1178" s="2" t="str">
        <x:v>Extension pre-run 600</x:v>
      </x:c>
      <x:c r="K1178" s="10" t="n">
        <x:v>3400</x:v>
      </x:c>
      <x:c r="L1178" s="10" t="n">
        <x:v>3</x:v>
      </x:c>
      <x:c r="M1178" s="10" t="n">
        <x:v>980</x:v>
      </x:c>
      <x:c r="N1178" s="2" t="str">
        <x:v>D25</x:v>
      </x:c>
      <x:c r="O1178" s="2" t="str">
        <x:v>hdb flat</x:v>
      </x:c>
      <x:c r="P1178" s="2" t="str">
        <x:v>https://www.propertyguru.com.sg/listing/hdb-for-rent-786e-woodlands-drive-60-500270228</x:v>
      </x:c>
      <x:c r="Q1178" s="12" t="str">
        <x:v>Pre-registered source-rubric-v1; grade applied before outputs.</x:v>
      </x:c>
      <x:c r="R1178" s="13"/>
    </x:row>
    <x:row r="1179" ht="15" hidden="0" customHeight="1">
      <x:c r="A1179" s="2" t="str">
        <x:v>S39|500063143</x:v>
      </x:c>
      <x:c r="B1179" s="2" t="str">
        <x:v>S39</x:v>
      </x:c>
      <x:c r="C1179" s="2" t="str">
        <x:v>500063143</x:v>
      </x:c>
      <x:c r="D1179" s="2" t="n">
        <x:v>1</x:v>
      </x:c>
      <x:c r="E1179" s="9"/>
      <x:c r="F1179" s="2" t="n">
        <x:f>IF(E1179="",D1179,IF(E1179="U","U",IF(AND(ISNUMBER(E1179),E1179&gt;=0,E1179&lt;=3,INT(E1179)=E1179),E1179,"Invalid")))</x:f>
        <x:v>1</x:v>
      </x:c>
      <x:c r="G1179" s="2" t="n">
        <x:f>IF(ISNUMBER(F1179),1,0)</x:f>
        <x:v>1</x:v>
      </x:c>
      <x:c r="H1179" s="2" t="n">
        <x:f>IF(ISNUMBER(F1179),IF(F1179&gt;=2,1,0),0)</x:f>
        <x:v>0</x:v>
      </x:c>
      <x:c r="I1179" s="11" t="n">
        <x:f>IF(ISNUMBER(F1179),2^F1179-1,0)</x:f>
        <x:v>1</x:v>
      </x:c>
      <x:c r="J1179" s="2" t="str">
        <x:v>Extension pre-run 600</x:v>
      </x:c>
      <x:c r="K1179" s="10" t="n">
        <x:v>4200</x:v>
      </x:c>
      <x:c r="L1179" s="10" t="n">
        <x:v>2</x:v>
      </x:c>
      <x:c r="M1179" s="10" t="n">
        <x:v>1324</x:v>
      </x:c>
      <x:c r="N1179" s="2" t="str">
        <x:v>D23</x:v>
      </x:c>
      <x:c r="O1179" s="2" t="str">
        <x:v>condominium</x:v>
      </x:c>
      <x:c r="P1179" s="2" t="str">
        <x:v>https://www.propertyguru.com.sg/listing/for-rent-natura-hillview-500063143</x:v>
      </x:c>
      <x:c r="Q1179" s="12" t="str">
        <x:v>Pre-registered source-rubric-v1; grade applied before outputs.</x:v>
      </x:c>
      <x:c r="R1179" s="13"/>
    </x:row>
    <x:row r="1180" ht="15" hidden="0" customHeight="1">
      <x:c r="A1180" s="2" t="str">
        <x:v>S39|500229900</x:v>
      </x:c>
      <x:c r="B1180" s="2" t="str">
        <x:v>S39</x:v>
      </x:c>
      <x:c r="C1180" s="2" t="str">
        <x:v>500229900</x:v>
      </x:c>
      <x:c r="D1180" s="2" t="n">
        <x:v>1</x:v>
      </x:c>
      <x:c r="E1180" s="9"/>
      <x:c r="F1180" s="2" t="n">
        <x:f>IF(E1180="",D1180,IF(E1180="U","U",IF(AND(ISNUMBER(E1180),E1180&gt;=0,E1180&lt;=3,INT(E1180)=E1180),E1180,"Invalid")))</x:f>
        <x:v>1</x:v>
      </x:c>
      <x:c r="G1180" s="2" t="n">
        <x:f>IF(ISNUMBER(F1180),1,0)</x:f>
        <x:v>1</x:v>
      </x:c>
      <x:c r="H1180" s="2" t="n">
        <x:f>IF(ISNUMBER(F1180),IF(F1180&gt;=2,1,0),0)</x:f>
        <x:v>0</x:v>
      </x:c>
      <x:c r="I1180" s="11" t="n">
        <x:f>IF(ISNUMBER(F1180),2^F1180-1,0)</x:f>
        <x:v>1</x:v>
      </x:c>
      <x:c r="J1180" s="2" t="str">
        <x:v>Extension pre-run 600</x:v>
      </x:c>
      <x:c r="K1180" s="10" t="n">
        <x:v>3700</x:v>
      </x:c>
      <x:c r="L1180" s="10" t="n">
        <x:v>4</x:v>
      </x:c>
      <x:c r="M1180" s="10" t="n">
        <x:v>1388</x:v>
      </x:c>
      <x:c r="N1180" s="2" t="str">
        <x:v>D25</x:v>
      </x:c>
      <x:c r="O1180" s="2" t="str">
        <x:v>hdb flat</x:v>
      </x:c>
      <x:c r="P1180" s="2" t="str">
        <x:v>https://www.propertyguru.com.sg/listing/hdb-for-rent-822-woodlands-street-82-500229900</x:v>
      </x:c>
      <x:c r="Q1180" s="12" t="str">
        <x:v>Pre-registered source-rubric-v1; grade applied before outputs.</x:v>
      </x:c>
      <x:c r="R1180" s="13"/>
    </x:row>
    <x:row r="1181" ht="15" hidden="0" customHeight="1">
      <x:c r="A1181" s="2" t="str">
        <x:v>S39|60135875</x:v>
      </x:c>
      <x:c r="B1181" s="2" t="str">
        <x:v>S39</x:v>
      </x:c>
      <x:c r="C1181" s="2" t="str">
        <x:v>60135875</x:v>
      </x:c>
      <x:c r="D1181" s="2" t="n">
        <x:v>1</x:v>
      </x:c>
      <x:c r="E1181" s="9"/>
      <x:c r="F1181" s="2" t="n">
        <x:f>IF(E1181="",D1181,IF(E1181="U","U",IF(AND(ISNUMBER(E1181),E1181&gt;=0,E1181&lt;=3,INT(E1181)=E1181),E1181,"Invalid")))</x:f>
        <x:v>1</x:v>
      </x:c>
      <x:c r="G1181" s="2" t="n">
        <x:f>IF(ISNUMBER(F1181),1,0)</x:f>
        <x:v>1</x:v>
      </x:c>
      <x:c r="H1181" s="2" t="n">
        <x:f>IF(ISNUMBER(F1181),IF(F1181&gt;=2,1,0),0)</x:f>
        <x:v>0</x:v>
      </x:c>
      <x:c r="I1181" s="11" t="n">
        <x:f>IF(ISNUMBER(F1181),2^F1181-1,0)</x:f>
        <x:v>1</x:v>
      </x:c>
      <x:c r="J1181" s="2" t="str">
        <x:v>Extension pre-run 600</x:v>
      </x:c>
      <x:c r="K1181" s="10" t="n">
        <x:v>3600</x:v>
      </x:c>
      <x:c r="L1181" s="10" t="n">
        <x:v>3</x:v>
      </x:c>
      <x:c r="M1181" s="10" t="n">
        <x:v>1001</x:v>
      </x:c>
      <x:c r="N1181" s="2" t="str">
        <x:v>D23</x:v>
      </x:c>
      <x:c r="O1181" s="2" t="str">
        <x:v>hdb flat</x:v>
      </x:c>
      <x:c r="P1181" s="2" t="str">
        <x:v>https://www.propertyguru.com.sg/listing/hdb-for-rent-442b-fajar-road-60135875</x:v>
      </x:c>
      <x:c r="Q1181" s="12" t="str">
        <x:v>Pre-registered source-rubric-v1; grade applied before outputs.</x:v>
      </x:c>
      <x:c r="R1181" s="13"/>
    </x:row>
    <x:row r="1182" ht="15" hidden="0" customHeight="1">
      <x:c r="A1182" s="2" t="str">
        <x:v>S39|500236697</x:v>
      </x:c>
      <x:c r="B1182" s="2" t="str">
        <x:v>S39</x:v>
      </x:c>
      <x:c r="C1182" s="2" t="str">
        <x:v>500236697</x:v>
      </x:c>
      <x:c r="D1182" s="2" t="n">
        <x:v>1</x:v>
      </x:c>
      <x:c r="E1182" s="9"/>
      <x:c r="F1182" s="2" t="n">
        <x:f>IF(E1182="",D1182,IF(E1182="U","U",IF(AND(ISNUMBER(E1182),E1182&gt;=0,E1182&lt;=3,INT(E1182)=E1182),E1182,"Invalid")))</x:f>
        <x:v>1</x:v>
      </x:c>
      <x:c r="G1182" s="2" t="n">
        <x:f>IF(ISNUMBER(F1182),1,0)</x:f>
        <x:v>1</x:v>
      </x:c>
      <x:c r="H1182" s="2" t="n">
        <x:f>IF(ISNUMBER(F1182),IF(F1182&gt;=2,1,0),0)</x:f>
        <x:v>0</x:v>
      </x:c>
      <x:c r="I1182" s="11" t="n">
        <x:f>IF(ISNUMBER(F1182),2^F1182-1,0)</x:f>
        <x:v>1</x:v>
      </x:c>
      <x:c r="J1182" s="2" t="str">
        <x:v>Extension pre-run 600</x:v>
      </x:c>
      <x:c r="K1182" s="10" t="n">
        <x:v>3600</x:v>
      </x:c>
      <x:c r="L1182" s="10" t="n">
        <x:v>3</x:v>
      </x:c>
      <x:c r="M1182" s="10" t="n">
        <x:v>1421</x:v>
      </x:c>
      <x:c r="N1182" s="2" t="str">
        <x:v>D25</x:v>
      </x:c>
      <x:c r="O1182" s="2" t="str">
        <x:v>hdb flat</x:v>
      </x:c>
      <x:c r="P1182" s="2" t="str">
        <x:v>https://www.propertyguru.com.sg/listing/hdb-for-rent-844-woodlands-avenue-4-500236697</x:v>
      </x:c>
      <x:c r="Q1182" s="12" t="str">
        <x:v>Pre-registered source-rubric-v1; grade applied before outputs.</x:v>
      </x:c>
      <x:c r="R1182" s="13"/>
    </x:row>
    <x:row r="1183" ht="15" hidden="0" customHeight="1">
      <x:c r="A1183" s="2" t="str">
        <x:v>S39|24713064</x:v>
      </x:c>
      <x:c r="B1183" s="2" t="str">
        <x:v>S39</x:v>
      </x:c>
      <x:c r="C1183" s="2" t="str">
        <x:v>24713064</x:v>
      </x:c>
      <x:c r="D1183" s="2" t="n">
        <x:v>1</x:v>
      </x:c>
      <x:c r="E1183" s="9"/>
      <x:c r="F1183" s="2" t="n">
        <x:f>IF(E1183="",D1183,IF(E1183="U","U",IF(AND(ISNUMBER(E1183),E1183&gt;=0,E1183&lt;=3,INT(E1183)=E1183),E1183,"Invalid")))</x:f>
        <x:v>1</x:v>
      </x:c>
      <x:c r="G1183" s="2" t="n">
        <x:f>IF(ISNUMBER(F1183),1,0)</x:f>
        <x:v>1</x:v>
      </x:c>
      <x:c r="H1183" s="2" t="n">
        <x:f>IF(ISNUMBER(F1183),IF(F1183&gt;=2,1,0),0)</x:f>
        <x:v>0</x:v>
      </x:c>
      <x:c r="I1183" s="11" t="n">
        <x:f>IF(ISNUMBER(F1183),2^F1183-1,0)</x:f>
        <x:v>1</x:v>
      </x:c>
      <x:c r="J1183" s="2" t="str">
        <x:v>Extension pre-run 600</x:v>
      </x:c>
      <x:c r="K1183" s="10" t="n">
        <x:v>3688</x:v>
      </x:c>
      <x:c r="L1183" s="10" t="n">
        <x:v>2</x:v>
      </x:c>
      <x:c r="M1183" s="10" t="n">
        <x:v>710</x:v>
      </x:c>
      <x:c r="N1183" s="2" t="str">
        <x:v>D23</x:v>
      </x:c>
      <x:c r="O1183" s="2" t="str">
        <x:v>executive condominium</x:v>
      </x:c>
      <x:c r="P1183" s="2" t="str">
        <x:v>https://www.propertyguru.com.sg/listing/for-rent-sol-acres-24713064</x:v>
      </x:c>
      <x:c r="Q1183" s="12" t="str">
        <x:v>Pre-registered source-rubric-v1; grade applied before outputs.</x:v>
      </x:c>
      <x:c r="R1183" s="13"/>
    </x:row>
    <x:row r="1184" ht="15" hidden="0" customHeight="1">
      <x:c r="A1184" s="2" t="str">
        <x:v>S39|500259692</x:v>
      </x:c>
      <x:c r="B1184" s="2" t="str">
        <x:v>S39</x:v>
      </x:c>
      <x:c r="C1184" s="2" t="str">
        <x:v>500259692</x:v>
      </x:c>
      <x:c r="D1184" s="2" t="n">
        <x:v>1</x:v>
      </x:c>
      <x:c r="E1184" s="9"/>
      <x:c r="F1184" s="2" t="n">
        <x:f>IF(E1184="",D1184,IF(E1184="U","U",IF(AND(ISNUMBER(E1184),E1184&gt;=0,E1184&lt;=3,INT(E1184)=E1184),E1184,"Invalid")))</x:f>
        <x:v>1</x:v>
      </x:c>
      <x:c r="G1184" s="2" t="n">
        <x:f>IF(ISNUMBER(F1184),1,0)</x:f>
        <x:v>1</x:v>
      </x:c>
      <x:c r="H1184" s="2" t="n">
        <x:f>IF(ISNUMBER(F1184),IF(F1184&gt;=2,1,0),0)</x:f>
        <x:v>0</x:v>
      </x:c>
      <x:c r="I1184" s="11" t="n">
        <x:f>IF(ISNUMBER(F1184),2^F1184-1,0)</x:f>
        <x:v>1</x:v>
      </x:c>
      <x:c r="J1184" s="2" t="str">
        <x:v>Extension pre-run 600</x:v>
      </x:c>
      <x:c r="K1184" s="10" t="n">
        <x:v>3750</x:v>
      </x:c>
      <x:c r="L1184" s="10" t="n">
        <x:v>2</x:v>
      </x:c>
      <x:c r="M1184" s="10" t="n">
        <x:v>1000</x:v>
      </x:c>
      <x:c r="N1184" s="2" t="str">
        <x:v>D25</x:v>
      </x:c>
      <x:c r="O1184" s="2" t="str">
        <x:v>condominium</x:v>
      </x:c>
      <x:c r="P1184" s="2" t="str">
        <x:v>https://www.propertyguru.com.sg/listing/for-rent-forestville-500259692</x:v>
      </x:c>
      <x:c r="Q1184" s="12" t="str">
        <x:v>Pre-registered source-rubric-v1; grade applied before outputs.</x:v>
      </x:c>
      <x:c r="R1184" s="13"/>
    </x:row>
    <x:row r="1185" ht="15" hidden="0" customHeight="1">
      <x:c r="A1185" s="2" t="str">
        <x:v>S39|500271962</x:v>
      </x:c>
      <x:c r="B1185" s="2" t="str">
        <x:v>S39</x:v>
      </x:c>
      <x:c r="C1185" s="2" t="str">
        <x:v>500271962</x:v>
      </x:c>
      <x:c r="D1185" s="2" t="n">
        <x:v>0</x:v>
      </x:c>
      <x:c r="E1185" s="9"/>
      <x:c r="F1185" s="2" t="n">
        <x:f>IF(E1185="",D1185,IF(E1185="U","U",IF(AND(ISNUMBER(E1185),E1185&gt;=0,E1185&lt;=3,INT(E1185)=E1185),E1185,"Invalid")))</x:f>
        <x:v>0</x:v>
      </x:c>
      <x:c r="G1185" s="2" t="n">
        <x:f>IF(ISNUMBER(F1185),1,0)</x:f>
        <x:v>1</x:v>
      </x:c>
      <x:c r="H1185" s="2" t="n">
        <x:f>IF(ISNUMBER(F1185),IF(F1185&gt;=2,1,0),0)</x:f>
        <x:v>0</x:v>
      </x:c>
      <x:c r="I1185" s="11" t="n">
        <x:f>IF(ISNUMBER(F1185),2^F1185-1,0)</x:f>
        <x:v>0</x:v>
      </x:c>
      <x:c r="J1185" s="2" t="str">
        <x:v>Extension pre-run 600</x:v>
      </x:c>
      <x:c r="K1185" s="10" t="n">
        <x:v>5200</x:v>
      </x:c>
      <x:c r="L1185" s="10" t="n">
        <x:v>2</x:v>
      </x:c>
      <x:c r="M1185" s="10" t="n">
        <x:v>1496</x:v>
      </x:c>
      <x:c r="N1185" s="2" t="str">
        <x:v>D26</x:v>
      </x:c>
      <x:c r="O1185" s="2" t="str">
        <x:v>condominium</x:v>
      </x:c>
      <x:c r="P1185" s="2" t="str">
        <x:v>https://www.propertyguru.com.sg/listing/for-rent-seasons-park-500271962</x:v>
      </x:c>
      <x:c r="Q1185" s="12" t="str">
        <x:v>Pre-registered source-rubric-v1; grade applied before outputs.</x:v>
      </x:c>
      <x:c r="R1185" s="13"/>
    </x:row>
    <x:row r="1186" ht="15" hidden="0" customHeight="1">
      <x:c r="A1186" s="2" t="str">
        <x:v>S39|25307816</x:v>
      </x:c>
      <x:c r="B1186" s="2" t="str">
        <x:v>S39</x:v>
      </x:c>
      <x:c r="C1186" s="2" t="str">
        <x:v>25307816</x:v>
      </x:c>
      <x:c r="D1186" s="2" t="n">
        <x:v>0</x:v>
      </x:c>
      <x:c r="E1186" s="9"/>
      <x:c r="F1186" s="2" t="n">
        <x:f>IF(E1186="",D1186,IF(E1186="U","U",IF(AND(ISNUMBER(E1186),E1186&gt;=0,E1186&lt;=3,INT(E1186)=E1186),E1186,"Invalid")))</x:f>
        <x:v>0</x:v>
      </x:c>
      <x:c r="G1186" s="2" t="n">
        <x:f>IF(ISNUMBER(F1186),1,0)</x:f>
        <x:v>1</x:v>
      </x:c>
      <x:c r="H1186" s="2" t="n">
        <x:f>IF(ISNUMBER(F1186),IF(F1186&gt;=2,1,0),0)</x:f>
        <x:v>0</x:v>
      </x:c>
      <x:c r="I1186" s="11" t="n">
        <x:f>IF(ISNUMBER(F1186),2^F1186-1,0)</x:f>
        <x:v>0</x:v>
      </x:c>
      <x:c r="J1186" s="2" t="str">
        <x:v>Extension pre-run 600</x:v>
      </x:c>
      <x:c r="K1186" s="10" t="n">
        <x:v>4600</x:v>
      </x:c>
      <x:c r="L1186" s="10" t="n">
        <x:v>2</x:v>
      </x:c>
      <x:c r="M1186" s="10" t="n">
        <x:v>764</x:v>
      </x:c>
      <x:c r="N1186" s="2" t="str">
        <x:v>D03</x:v>
      </x:c>
      <x:c r="O1186" s="2" t="str">
        <x:v>condominium</x:v>
      </x:c>
      <x:c r="P1186" s="2" t="str">
        <x:v>https://www.propertyguru.com.sg/listing/for-rent-principal-garden-25307816</x:v>
      </x:c>
      <x:c r="Q1186" s="12" t="str">
        <x:v>Pre-registered source-rubric-v1; grade applied before outputs.</x:v>
      </x:c>
      <x:c r="R1186" s="13"/>
    </x:row>
    <x:row r="1187" ht="15" hidden="0" customHeight="1">
      <x:c r="A1187" s="2" t="str">
        <x:v>S39|500286485</x:v>
      </x:c>
      <x:c r="B1187" s="2" t="str">
        <x:v>S39</x:v>
      </x:c>
      <x:c r="C1187" s="2" t="str">
        <x:v>500286485</x:v>
      </x:c>
      <x:c r="D1187" s="2" t="n">
        <x:v>0</x:v>
      </x:c>
      <x:c r="E1187" s="9"/>
      <x:c r="F1187" s="2" t="n">
        <x:f>IF(E1187="",D1187,IF(E1187="U","U",IF(AND(ISNUMBER(E1187),E1187&gt;=0,E1187&lt;=3,INT(E1187)=E1187),E1187,"Invalid")))</x:f>
        <x:v>0</x:v>
      </x:c>
      <x:c r="G1187" s="2" t="n">
        <x:f>IF(ISNUMBER(F1187),1,0)</x:f>
        <x:v>1</x:v>
      </x:c>
      <x:c r="H1187" s="2" t="n">
        <x:f>IF(ISNUMBER(F1187),IF(F1187&gt;=2,1,0),0)</x:f>
        <x:v>0</x:v>
      </x:c>
      <x:c r="I1187" s="11" t="n">
        <x:f>IF(ISNUMBER(F1187),2^F1187-1,0)</x:f>
        <x:v>0</x:v>
      </x:c>
      <x:c r="J1187" s="2" t="str">
        <x:v>Extension pre-run 600</x:v>
      </x:c>
      <x:c r="K1187" s="10" t="n">
        <x:v>1700</x:v>
      </x:c>
      <x:c r="L1187" s="10" t="n">
        <x:v>0</x:v>
      </x:c>
      <x:c r="M1187" s="10"/>
      <x:c r="N1187" s="2" t="str">
        <x:v>D19</x:v>
      </x:c>
      <x:c r="O1187" s="2" t="str">
        <x:v>condominium</x:v>
      </x:c>
      <x:c r="P1187" s="2" t="str">
        <x:v>https://www.propertyguru.com.sg/listing/for-rent-amaranda-gardens-500286485</x:v>
      </x:c>
      <x:c r="Q1187" s="12" t="str">
        <x:v>Pre-registered source-rubric-v1; grade applied before outputs.</x:v>
      </x:c>
      <x:c r="R1187" s="13"/>
    </x:row>
    <x:row r="1188" ht="15" hidden="0" customHeight="1">
      <x:c r="A1188" s="2" t="str">
        <x:v>S39|500211799</x:v>
      </x:c>
      <x:c r="B1188" s="2" t="str">
        <x:v>S39</x:v>
      </x:c>
      <x:c r="C1188" s="2" t="str">
        <x:v>500211799</x:v>
      </x:c>
      <x:c r="D1188" s="2" t="n">
        <x:v>0</x:v>
      </x:c>
      <x:c r="E1188" s="9"/>
      <x:c r="F1188" s="2" t="n">
        <x:f>IF(E1188="",D1188,IF(E1188="U","U",IF(AND(ISNUMBER(E1188),E1188&gt;=0,E1188&lt;=3,INT(E1188)=E1188),E1188,"Invalid")))</x:f>
        <x:v>0</x:v>
      </x:c>
      <x:c r="G1188" s="2" t="n">
        <x:f>IF(ISNUMBER(F1188),1,0)</x:f>
        <x:v>1</x:v>
      </x:c>
      <x:c r="H1188" s="2" t="n">
        <x:f>IF(ISNUMBER(F1188),IF(F1188&gt;=2,1,0),0)</x:f>
        <x:v>0</x:v>
      </x:c>
      <x:c r="I1188" s="11" t="n">
        <x:f>IF(ISNUMBER(F1188),2^F1188-1,0)</x:f>
        <x:v>0</x:v>
      </x:c>
      <x:c r="J1188" s="2" t="str">
        <x:v>Extension pre-run 600</x:v>
      </x:c>
      <x:c r="K1188" s="10" t="n">
        <x:v>1450</x:v>
      </x:c>
      <x:c r="L1188" s="10" t="n">
        <x:v>0</x:v>
      </x:c>
      <x:c r="M1188" s="10"/>
      <x:c r="N1188" s="2" t="str">
        <x:v>D05</x:v>
      </x:c>
      <x:c r="O1188" s="2" t="str">
        <x:v>condominium</x:v>
      </x:c>
      <x:c r="P1188" s="2" t="str">
        <x:v>https://www.propertyguru.com.sg/listing/for-rent-blue-horizon-500211799</x:v>
      </x:c>
      <x:c r="Q1188" s="12" t="str">
        <x:v>Pre-registered source-rubric-v1; grade applied before outputs.</x:v>
      </x:c>
      <x:c r="R1188" s="13"/>
    </x:row>
    <x:row r="1189" ht="15" hidden="0" customHeight="1">
      <x:c r="A1189" s="2" t="str">
        <x:v>S39|500215342</x:v>
      </x:c>
      <x:c r="B1189" s="2" t="str">
        <x:v>S39</x:v>
      </x:c>
      <x:c r="C1189" s="2" t="str">
        <x:v>500215342</x:v>
      </x:c>
      <x:c r="D1189" s="2" t="n">
        <x:v>0</x:v>
      </x:c>
      <x:c r="E1189" s="9"/>
      <x:c r="F1189" s="2" t="n">
        <x:f>IF(E1189="",D1189,IF(E1189="U","U",IF(AND(ISNUMBER(E1189),E1189&gt;=0,E1189&lt;=3,INT(E1189)=E1189),E1189,"Invalid")))</x:f>
        <x:v>0</x:v>
      </x:c>
      <x:c r="G1189" s="2" t="n">
        <x:f>IF(ISNUMBER(F1189),1,0)</x:f>
        <x:v>1</x:v>
      </x:c>
      <x:c r="H1189" s="2" t="n">
        <x:f>IF(ISNUMBER(F1189),IF(F1189&gt;=2,1,0),0)</x:f>
        <x:v>0</x:v>
      </x:c>
      <x:c r="I1189" s="11" t="n">
        <x:f>IF(ISNUMBER(F1189),2^F1189-1,0)</x:f>
        <x:v>0</x:v>
      </x:c>
      <x:c r="J1189" s="2" t="str">
        <x:v>Extension pre-run 600</x:v>
      </x:c>
      <x:c r="K1189" s="10" t="n">
        <x:v>1200</x:v>
      </x:c>
      <x:c r="L1189" s="10" t="n">
        <x:v>0</x:v>
      </x:c>
      <x:c r="M1189" s="10"/>
      <x:c r="N1189" s="2" t="str">
        <x:v>D18</x:v>
      </x:c>
      <x:c r="O1189" s="2" t="str">
        <x:v>hdb flat</x:v>
      </x:c>
      <x:c r="P1189" s="2" t="str">
        <x:v>https://www.propertyguru.com.sg/listing/hdb-for-rent-519a-tampines-central-8-500215342</x:v>
      </x:c>
      <x:c r="Q1189" s="12" t="str">
        <x:v>Pre-registered source-rubric-v1; grade applied before outputs.</x:v>
      </x:c>
      <x:c r="R1189" s="13"/>
    </x:row>
    <x:row r="1190" ht="15" hidden="0" customHeight="1">
      <x:c r="A1190" s="2" t="str">
        <x:v>S39|500089020</x:v>
      </x:c>
      <x:c r="B1190" s="2" t="str">
        <x:v>S39</x:v>
      </x:c>
      <x:c r="C1190" s="2" t="str">
        <x:v>500089020</x:v>
      </x:c>
      <x:c r="D1190" s="2" t="n">
        <x:v>0</x:v>
      </x:c>
      <x:c r="E1190" s="9"/>
      <x:c r="F1190" s="2" t="n">
        <x:f>IF(E1190="",D1190,IF(E1190="U","U",IF(AND(ISNUMBER(E1190),E1190&gt;=0,E1190&lt;=3,INT(E1190)=E1190),E1190,"Invalid")))</x:f>
        <x:v>0</x:v>
      </x:c>
      <x:c r="G1190" s="2" t="n">
        <x:f>IF(ISNUMBER(F1190),1,0)</x:f>
        <x:v>1</x:v>
      </x:c>
      <x:c r="H1190" s="2" t="n">
        <x:f>IF(ISNUMBER(F1190),IF(F1190&gt;=2,1,0),0)</x:f>
        <x:v>0</x:v>
      </x:c>
      <x:c r="I1190" s="11" t="n">
        <x:f>IF(ISNUMBER(F1190),2^F1190-1,0)</x:f>
        <x:v>0</x:v>
      </x:c>
      <x:c r="J1190" s="2" t="str">
        <x:v>Extension pre-run 600</x:v>
      </x:c>
      <x:c r="K1190" s="10" t="n">
        <x:v>480</x:v>
      </x:c>
      <x:c r="L1190" s="10" t="n">
        <x:v>0</x:v>
      </x:c>
      <x:c r="M1190" s="10"/>
      <x:c r="N1190" s="2" t="str">
        <x:v>D18</x:v>
      </x:c>
      <x:c r="O1190" s="2" t="str">
        <x:v>hdb flat</x:v>
      </x:c>
      <x:c r="P1190" s="2" t="str">
        <x:v>https://www.propertyguru.com.sg/listing/hdb-for-rent-252-tampines-street-21-500089020</x:v>
      </x:c>
      <x:c r="Q1190" s="12" t="str">
        <x:v>Pre-registered source-rubric-v1; grade applied before outputs.</x:v>
      </x:c>
      <x:c r="R1190" s="13"/>
    </x:row>
    <x:row r="1191" ht="15" hidden="0" customHeight="1">
      <x:c r="A1191" s="2" t="str">
        <x:v>S39|500285886</x:v>
      </x:c>
      <x:c r="B1191" s="2" t="str">
        <x:v>S39</x:v>
      </x:c>
      <x:c r="C1191" s="2" t="str">
        <x:v>500285886</x:v>
      </x:c>
      <x:c r="D1191" s="2" t="n">
        <x:v>0</x:v>
      </x:c>
      <x:c r="E1191" s="9"/>
      <x:c r="F1191" s="2" t="n">
        <x:f>IF(E1191="",D1191,IF(E1191="U","U",IF(AND(ISNUMBER(E1191),E1191&gt;=0,E1191&lt;=3,INT(E1191)=E1191),E1191,"Invalid")))</x:f>
        <x:v>0</x:v>
      </x:c>
      <x:c r="G1191" s="2" t="n">
        <x:f>IF(ISNUMBER(F1191),1,0)</x:f>
        <x:v>1</x:v>
      </x:c>
      <x:c r="H1191" s="2" t="n">
        <x:f>IF(ISNUMBER(F1191),IF(F1191&gt;=2,1,0),0)</x:f>
        <x:v>0</x:v>
      </x:c>
      <x:c r="I1191" s="11" t="n">
        <x:f>IF(ISNUMBER(F1191),2^F1191-1,0)</x:f>
        <x:v>0</x:v>
      </x:c>
      <x:c r="J1191" s="2" t="str">
        <x:v>Extension pre-run 600</x:v>
      </x:c>
      <x:c r="K1191" s="10" t="n">
        <x:v>1500</x:v>
      </x:c>
      <x:c r="L1191" s="10" t="n">
        <x:v>0</x:v>
      </x:c>
      <x:c r="M1191" s="10"/>
      <x:c r="N1191" s="2" t="str">
        <x:v>D19</x:v>
      </x:c>
      <x:c r="O1191" s="2" t="str">
        <x:v>terraced house</x:v>
      </x:c>
      <x:c r="P1191" s="2" t="str">
        <x:v>https://www.propertyguru.com.sg/listing/for-rent-chuan-villas-500285886</x:v>
      </x:c>
      <x:c r="Q1191" s="12" t="str">
        <x:v>Pre-registered source-rubric-v1; grade applied before outputs.</x:v>
      </x:c>
      <x:c r="R1191" s="13"/>
    </x:row>
    <x:row r="1192" ht="15" hidden="0" customHeight="1">
      <x:c r="A1192" s="2" t="str">
        <x:v>S39|500271491</x:v>
      </x:c>
      <x:c r="B1192" s="2" t="str">
        <x:v>S39</x:v>
      </x:c>
      <x:c r="C1192" s="2" t="str">
        <x:v>500271491</x:v>
      </x:c>
      <x:c r="D1192" s="2" t="n">
        <x:v>0</x:v>
      </x:c>
      <x:c r="E1192" s="9"/>
      <x:c r="F1192" s="2" t="n">
        <x:f>IF(E1192="",D1192,IF(E1192="U","U",IF(AND(ISNUMBER(E1192),E1192&gt;=0,E1192&lt;=3,INT(E1192)=E1192),E1192,"Invalid")))</x:f>
        <x:v>0</x:v>
      </x:c>
      <x:c r="G1192" s="2" t="n">
        <x:f>IF(ISNUMBER(F1192),1,0)</x:f>
        <x:v>1</x:v>
      </x:c>
      <x:c r="H1192" s="2" t="n">
        <x:f>IF(ISNUMBER(F1192),IF(F1192&gt;=2,1,0),0)</x:f>
        <x:v>0</x:v>
      </x:c>
      <x:c r="I1192" s="11" t="n">
        <x:f>IF(ISNUMBER(F1192),2^F1192-1,0)</x:f>
        <x:v>0</x:v>
      </x:c>
      <x:c r="J1192" s="2" t="str">
        <x:v>Extension pre-run 600</x:v>
      </x:c>
      <x:c r="K1192" s="10" t="n">
        <x:v>12500</x:v>
      </x:c>
      <x:c r="L1192" s="10" t="n">
        <x:v>6</x:v>
      </x:c>
      <x:c r="M1192" s="10" t="n">
        <x:v>5000</x:v>
      </x:c>
      <x:c r="N1192" s="2" t="str">
        <x:v>D15</x:v>
      </x:c>
      <x:c r="O1192" s="2" t="str">
        <x:v>detached house</x:v>
      </x:c>
      <x:c r="P1192" s="2" t="str">
        <x:v>https://www.propertyguru.com.sg/listing/for-rent-available-immediate-3-sty-detached-house-near-amenities-500271491</x:v>
      </x:c>
      <x:c r="Q1192" s="12" t="str">
        <x:v>Pre-registered source-rubric-v1; grade applied before outputs.</x:v>
      </x:c>
      <x:c r="R1192" s="13"/>
    </x:row>
    <x:row r="1193" ht="15" hidden="0" customHeight="1">
      <x:c r="A1193" s="2" t="str">
        <x:v>S39|500181685</x:v>
      </x:c>
      <x:c r="B1193" s="2" t="str">
        <x:v>S39</x:v>
      </x:c>
      <x:c r="C1193" s="2" t="str">
        <x:v>500181685</x:v>
      </x:c>
      <x:c r="D1193" s="2" t="n">
        <x:v>0</x:v>
      </x:c>
      <x:c r="E1193" s="9"/>
      <x:c r="F1193" s="2" t="n">
        <x:f>IF(E1193="",D1193,IF(E1193="U","U",IF(AND(ISNUMBER(E1193),E1193&gt;=0,E1193&lt;=3,INT(E1193)=E1193),E1193,"Invalid")))</x:f>
        <x:v>0</x:v>
      </x:c>
      <x:c r="G1193" s="2" t="n">
        <x:f>IF(ISNUMBER(F1193),1,0)</x:f>
        <x:v>1</x:v>
      </x:c>
      <x:c r="H1193" s="2" t="n">
        <x:f>IF(ISNUMBER(F1193),IF(F1193&gt;=2,1,0),0)</x:f>
        <x:v>0</x:v>
      </x:c>
      <x:c r="I1193" s="11" t="n">
        <x:f>IF(ISNUMBER(F1193),2^F1193-1,0)</x:f>
        <x:v>0</x:v>
      </x:c>
      <x:c r="J1193" s="2" t="str">
        <x:v>Extension pre-run 600</x:v>
      </x:c>
      <x:c r="K1193" s="10" t="n">
        <x:v>1000</x:v>
      </x:c>
      <x:c r="L1193" s="10" t="n">
        <x:v>0</x:v>
      </x:c>
      <x:c r="M1193" s="10"/>
      <x:c r="N1193" s="2" t="str">
        <x:v>D21</x:v>
      </x:c>
      <x:c r="O1193" s="2" t="str">
        <x:v>apartment</x:v>
      </x:c>
      <x:c r="P1193" s="2" t="str">
        <x:v>https://www.propertyguru.com.sg/listing/for-rent-sherwood-towers-500181685</x:v>
      </x:c>
      <x:c r="Q1193" s="12" t="str">
        <x:v>Pre-registered source-rubric-v1; grade applied before outputs.</x:v>
      </x:c>
      <x:c r="R1193" s="13"/>
    </x:row>
    <x:row r="1194" ht="15" hidden="0" customHeight="1">
      <x:c r="A1194" s="2" t="str">
        <x:v>S39|25565500</x:v>
      </x:c>
      <x:c r="B1194" s="2" t="str">
        <x:v>S39</x:v>
      </x:c>
      <x:c r="C1194" s="2" t="str">
        <x:v>25565500</x:v>
      </x:c>
      <x:c r="D1194" s="2" t="n">
        <x:v>0</x:v>
      </x:c>
      <x:c r="E1194" s="9"/>
      <x:c r="F1194" s="2" t="n">
        <x:f>IF(E1194="",D1194,IF(E1194="U","U",IF(AND(ISNUMBER(E1194),E1194&gt;=0,E1194&lt;=3,INT(E1194)=E1194),E1194,"Invalid")))</x:f>
        <x:v>0</x:v>
      </x:c>
      <x:c r="G1194" s="2" t="n">
        <x:f>IF(ISNUMBER(F1194),1,0)</x:f>
        <x:v>1</x:v>
      </x:c>
      <x:c r="H1194" s="2" t="n">
        <x:f>IF(ISNUMBER(F1194),IF(F1194&gt;=2,1,0),0)</x:f>
        <x:v>0</x:v>
      </x:c>
      <x:c r="I1194" s="11" t="n">
        <x:f>IF(ISNUMBER(F1194),2^F1194-1,0)</x:f>
        <x:v>0</x:v>
      </x:c>
      <x:c r="J1194" s="2" t="str">
        <x:v>Extension pre-run 600</x:v>
      </x:c>
      <x:c r="K1194" s="10" t="n">
        <x:v>1800</x:v>
      </x:c>
      <x:c r="L1194" s="10" t="n">
        <x:v>0</x:v>
      </x:c>
      <x:c r="M1194" s="10"/>
      <x:c r="N1194" s="2" t="str">
        <x:v>D09</x:v>
      </x:c>
      <x:c r="O1194" s="2" t="str">
        <x:v>condominium</x:v>
      </x:c>
      <x:c r="P1194" s="2" t="str">
        <x:v>https://www.propertyguru.com.sg/listing/for-rent-watermark-robertson-quay-25565500</x:v>
      </x:c>
      <x:c r="Q1194" s="12" t="str">
        <x:v>Pre-registered source-rubric-v1; grade applied before outputs.</x:v>
      </x:c>
      <x:c r="R1194" s="13"/>
    </x:row>
    <x:row r="1195" ht="15" hidden="0" customHeight="1">
      <x:c r="A1195" s="2" t="str">
        <x:v>S40|500249229</x:v>
      </x:c>
      <x:c r="B1195" s="2" t="str">
        <x:v>S40</x:v>
      </x:c>
      <x:c r="C1195" s="2" t="str">
        <x:v>500249229</x:v>
      </x:c>
      <x:c r="D1195" s="2" t="n">
        <x:v>3</x:v>
      </x:c>
      <x:c r="E1195" s="9"/>
      <x:c r="F1195" s="2" t="n">
        <x:f>IF(E1195="",D1195,IF(E1195="U","U",IF(AND(ISNUMBER(E1195),E1195&gt;=0,E1195&lt;=3,INT(E1195)=E1195),E1195,"Invalid")))</x:f>
        <x:v>3</x:v>
      </x:c>
      <x:c r="G1195" s="2" t="n">
        <x:f>IF(ISNUMBER(F1195),1,0)</x:f>
        <x:v>1</x:v>
      </x:c>
      <x:c r="H1195" s="2" t="n">
        <x:f>IF(ISNUMBER(F1195),IF(F1195&gt;=2,1,0),0)</x:f>
        <x:v>1</x:v>
      </x:c>
      <x:c r="I1195" s="11" t="n">
        <x:f>IF(ISNUMBER(F1195),2^F1195-1,0)</x:f>
        <x:v>7</x:v>
      </x:c>
      <x:c r="J1195" s="2" t="str">
        <x:v>Extension pre-run 600</x:v>
      </x:c>
      <x:c r="K1195" s="10" t="n">
        <x:v>4500</x:v>
      </x:c>
      <x:c r="L1195" s="10" t="n">
        <x:v>3</x:v>
      </x:c>
      <x:c r="M1195" s="10" t="n">
        <x:v>958</x:v>
      </x:c>
      <x:c r="N1195" s="2" t="str">
        <x:v>D15</x:v>
      </x:c>
      <x:c r="O1195" s="2" t="str">
        <x:v>condominium</x:v>
      </x:c>
      <x:c r="P1195" s="2" t="str">
        <x:v>https://www.propertyguru.com.sg/listing/for-rent-flamingo-valley-500249229</x:v>
      </x:c>
      <x:c r="Q1195" s="12" t="str">
        <x:v>Pre-registered source-rubric-v1; grade applied before outputs.</x:v>
      </x:c>
      <x:c r="R1195" s="13"/>
    </x:row>
    <x:row r="1196" ht="15" hidden="0" customHeight="1">
      <x:c r="A1196" s="2" t="str">
        <x:v>S40|25339393</x:v>
      </x:c>
      <x:c r="B1196" s="2" t="str">
        <x:v>S40</x:v>
      </x:c>
      <x:c r="C1196" s="2" t="str">
        <x:v>25339393</x:v>
      </x:c>
      <x:c r="D1196" s="2" t="n">
        <x:v>3</x:v>
      </x:c>
      <x:c r="E1196" s="9"/>
      <x:c r="F1196" s="2" t="n">
        <x:f>IF(E1196="",D1196,IF(E1196="U","U",IF(AND(ISNUMBER(E1196),E1196&gt;=0,E1196&lt;=3,INT(E1196)=E1196),E1196,"Invalid")))</x:f>
        <x:v>3</x:v>
      </x:c>
      <x:c r="G1196" s="2" t="n">
        <x:f>IF(ISNUMBER(F1196),1,0)</x:f>
        <x:v>1</x:v>
      </x:c>
      <x:c r="H1196" s="2" t="n">
        <x:f>IF(ISNUMBER(F1196),IF(F1196&gt;=2,1,0),0)</x:f>
        <x:v>1</x:v>
      </x:c>
      <x:c r="I1196" s="11" t="n">
        <x:f>IF(ISNUMBER(F1196),2^F1196-1,0)</x:f>
        <x:v>7</x:v>
      </x:c>
      <x:c r="J1196" s="2" t="str">
        <x:v>Extension pre-run 600</x:v>
      </x:c>
      <x:c r="K1196" s="10" t="n">
        <x:v>4200</x:v>
      </x:c>
      <x:c r="L1196" s="10" t="n">
        <x:v>3</x:v>
      </x:c>
      <x:c r="M1196" s="10" t="n">
        <x:v>1100</x:v>
      </x:c>
      <x:c r="N1196" s="2" t="str">
        <x:v>D15</x:v>
      </x:c>
      <x:c r="O1196" s="2" t="str">
        <x:v>condominium</x:v>
      </x:c>
      <x:c r="P1196" s="2" t="str">
        <x:v>https://www.propertyguru.com.sg/listing/for-rent-fortune-spring-25339393</x:v>
      </x:c>
      <x:c r="Q1196" s="12" t="str">
        <x:v>Pre-registered source-rubric-v1; grade applied before outputs.</x:v>
      </x:c>
      <x:c r="R1196" s="13"/>
    </x:row>
    <x:row r="1197" ht="15" hidden="0" customHeight="1">
      <x:c r="A1197" s="2" t="str">
        <x:v>S40|20938412</x:v>
      </x:c>
      <x:c r="B1197" s="2" t="str">
        <x:v>S40</x:v>
      </x:c>
      <x:c r="C1197" s="2" t="str">
        <x:v>20938412</x:v>
      </x:c>
      <x:c r="D1197" s="2" t="n">
        <x:v>3</x:v>
      </x:c>
      <x:c r="E1197" s="9"/>
      <x:c r="F1197" s="2" t="n">
        <x:f>IF(E1197="",D1197,IF(E1197="U","U",IF(AND(ISNUMBER(E1197),E1197&gt;=0,E1197&lt;=3,INT(E1197)=E1197),E1197,"Invalid")))</x:f>
        <x:v>3</x:v>
      </x:c>
      <x:c r="G1197" s="2" t="n">
        <x:f>IF(ISNUMBER(F1197),1,0)</x:f>
        <x:v>1</x:v>
      </x:c>
      <x:c r="H1197" s="2" t="n">
        <x:f>IF(ISNUMBER(F1197),IF(F1197&gt;=2,1,0),0)</x:f>
        <x:v>1</x:v>
      </x:c>
      <x:c r="I1197" s="11" t="n">
        <x:f>IF(ISNUMBER(F1197),2^F1197-1,0)</x:f>
        <x:v>7</x:v>
      </x:c>
      <x:c r="J1197" s="2" t="str">
        <x:v>Extension pre-run 600</x:v>
      </x:c>
      <x:c r="K1197" s="10" t="n">
        <x:v>4500</x:v>
      </x:c>
      <x:c r="L1197" s="10" t="n">
        <x:v>3</x:v>
      </x:c>
      <x:c r="M1197" s="10" t="n">
        <x:v>948</x:v>
      </x:c>
      <x:c r="N1197" s="2" t="str">
        <x:v>D15</x:v>
      </x:c>
      <x:c r="O1197" s="2" t="str">
        <x:v>apartment</x:v>
      </x:c>
      <x:c r="P1197" s="2" t="str">
        <x:v>https://www.propertyguru.com.sg/listing/for-rent-the-silver-fir-20938412</x:v>
      </x:c>
      <x:c r="Q1197" s="12" t="str">
        <x:v>Pre-registered source-rubric-v1; grade applied before outputs.</x:v>
      </x:c>
      <x:c r="R1197" s="13"/>
    </x:row>
    <x:row r="1198" ht="15" hidden="0" customHeight="1">
      <x:c r="A1198" s="2" t="str">
        <x:v>S40|500282984</x:v>
      </x:c>
      <x:c r="B1198" s="2" t="str">
        <x:v>S40</x:v>
      </x:c>
      <x:c r="C1198" s="2" t="str">
        <x:v>500282984</x:v>
      </x:c>
      <x:c r="D1198" s="2" t="n">
        <x:v>3</x:v>
      </x:c>
      <x:c r="E1198" s="9"/>
      <x:c r="F1198" s="2" t="n">
        <x:f>IF(E1198="",D1198,IF(E1198="U","U",IF(AND(ISNUMBER(E1198),E1198&gt;=0,E1198&lt;=3,INT(E1198)=E1198),E1198,"Invalid")))</x:f>
        <x:v>3</x:v>
      </x:c>
      <x:c r="G1198" s="2" t="n">
        <x:f>IF(ISNUMBER(F1198),1,0)</x:f>
        <x:v>1</x:v>
      </x:c>
      <x:c r="H1198" s="2" t="n">
        <x:f>IF(ISNUMBER(F1198),IF(F1198&gt;=2,1,0),0)</x:f>
        <x:v>1</x:v>
      </x:c>
      <x:c r="I1198" s="11" t="n">
        <x:f>IF(ISNUMBER(F1198),2^F1198-1,0)</x:f>
        <x:v>7</x:v>
      </x:c>
      <x:c r="J1198" s="2" t="str">
        <x:v>Extension pre-run 600</x:v>
      </x:c>
      <x:c r="K1198" s="10" t="n">
        <x:v>4500</x:v>
      </x:c>
      <x:c r="L1198" s="10" t="n">
        <x:v>2</x:v>
      </x:c>
      <x:c r="M1198" s="10" t="n">
        <x:v>947</x:v>
      </x:c>
      <x:c r="N1198" s="2" t="str">
        <x:v>D15</x:v>
      </x:c>
      <x:c r="O1198" s="2" t="str">
        <x:v>hdb flat</x:v>
      </x:c>
      <x:c r="P1198" s="2" t="str">
        <x:v>https://www.propertyguru.com.sg/listing/hdb-for-rent-20-marine-terrace-500282984</x:v>
      </x:c>
      <x:c r="Q1198" s="12" t="str">
        <x:v>Pre-registered source-rubric-v1; grade applied before outputs.</x:v>
      </x:c>
      <x:c r="R1198" s="13"/>
    </x:row>
    <x:row r="1199" ht="15" hidden="0" customHeight="1">
      <x:c r="A1199" s="2" t="str">
        <x:v>S40|25280986</x:v>
      </x:c>
      <x:c r="B1199" s="2" t="str">
        <x:v>S40</x:v>
      </x:c>
      <x:c r="C1199" s="2" t="str">
        <x:v>25280986</x:v>
      </x:c>
      <x:c r="D1199" s="2" t="n">
        <x:v>3</x:v>
      </x:c>
      <x:c r="E1199" s="9"/>
      <x:c r="F1199" s="2" t="n">
        <x:f>IF(E1199="",D1199,IF(E1199="U","U",IF(AND(ISNUMBER(E1199),E1199&gt;=0,E1199&lt;=3,INT(E1199)=E1199),E1199,"Invalid")))</x:f>
        <x:v>3</x:v>
      </x:c>
      <x:c r="G1199" s="2" t="n">
        <x:f>IF(ISNUMBER(F1199),1,0)</x:f>
        <x:v>1</x:v>
      </x:c>
      <x:c r="H1199" s="2" t="n">
        <x:f>IF(ISNUMBER(F1199),IF(F1199&gt;=2,1,0),0)</x:f>
        <x:v>1</x:v>
      </x:c>
      <x:c r="I1199" s="11" t="n">
        <x:f>IF(ISNUMBER(F1199),2^F1199-1,0)</x:f>
        <x:v>7</x:v>
      </x:c>
      <x:c r="J1199" s="2" t="str">
        <x:v>Extension pre-run 600</x:v>
      </x:c>
      <x:c r="K1199" s="10" t="n">
        <x:v>4500</x:v>
      </x:c>
      <x:c r="L1199" s="10" t="n">
        <x:v>3</x:v>
      </x:c>
      <x:c r="M1199" s="10" t="n">
        <x:v>946</x:v>
      </x:c>
      <x:c r="N1199" s="2" t="str">
        <x:v>D15</x:v>
      </x:c>
      <x:c r="O1199" s="2" t="str">
        <x:v>condominium</x:v>
      </x:c>
      <x:c r="P1199" s="2" t="str">
        <x:v>https://www.propertyguru.com.sg/listing/for-rent-parc-elegance-25280986</x:v>
      </x:c>
      <x:c r="Q1199" s="12" t="str">
        <x:v>Pre-registered source-rubric-v1; grade applied before outputs.</x:v>
      </x:c>
      <x:c r="R1199" s="13"/>
    </x:row>
    <x:row r="1200" ht="15" hidden="0" customHeight="1">
      <x:c r="A1200" s="2" t="str">
        <x:v>S40|18370735</x:v>
      </x:c>
      <x:c r="B1200" s="2" t="str">
        <x:v>S40</x:v>
      </x:c>
      <x:c r="C1200" s="2" t="str">
        <x:v>18370735</x:v>
      </x:c>
      <x:c r="D1200" s="2" t="n">
        <x:v>3</x:v>
      </x:c>
      <x:c r="E1200" s="9"/>
      <x:c r="F1200" s="2" t="n">
        <x:f>IF(E1200="",D1200,IF(E1200="U","U",IF(AND(ISNUMBER(E1200),E1200&gt;=0,E1200&lt;=3,INT(E1200)=E1200),E1200,"Invalid")))</x:f>
        <x:v>3</x:v>
      </x:c>
      <x:c r="G1200" s="2" t="n">
        <x:f>IF(ISNUMBER(F1200),1,0)</x:f>
        <x:v>1</x:v>
      </x:c>
      <x:c r="H1200" s="2" t="n">
        <x:f>IF(ISNUMBER(F1200),IF(F1200&gt;=2,1,0),0)</x:f>
        <x:v>1</x:v>
      </x:c>
      <x:c r="I1200" s="11" t="n">
        <x:f>IF(ISNUMBER(F1200),2^F1200-1,0)</x:f>
        <x:v>7</x:v>
      </x:c>
      <x:c r="J1200" s="2" t="str">
        <x:v>Extension pre-run 600</x:v>
      </x:c>
      <x:c r="K1200" s="10" t="n">
        <x:v>4300</x:v>
      </x:c>
      <x:c r="L1200" s="10" t="n">
        <x:v>3</x:v>
      </x:c>
      <x:c r="M1200" s="10" t="n">
        <x:v>1496</x:v>
      </x:c>
      <x:c r="N1200" s="2" t="str">
        <x:v>D15</x:v>
      </x:c>
      <x:c r="O1200" s="2" t="str">
        <x:v>hdb flat</x:v>
      </x:c>
      <x:c r="P1200" s="2" t="str">
        <x:v>https://www.propertyguru.com.sg/listing/hdb-for-rent-11-jalan-batu-18370735</x:v>
      </x:c>
      <x:c r="Q1200" s="12" t="str">
        <x:v>Pre-registered source-rubric-v1; grade applied before outputs.</x:v>
      </x:c>
      <x:c r="R1200" s="13"/>
    </x:row>
    <x:row r="1201" ht="15" hidden="0" customHeight="1">
      <x:c r="A1201" s="2" t="str">
        <x:v>S40|500286851</x:v>
      </x:c>
      <x:c r="B1201" s="2" t="str">
        <x:v>S40</x:v>
      </x:c>
      <x:c r="C1201" s="2" t="str">
        <x:v>500286851</x:v>
      </x:c>
      <x:c r="D1201" s="2" t="n">
        <x:v>2</x:v>
      </x:c>
      <x:c r="E1201" s="9"/>
      <x:c r="F1201" s="2" t="n">
        <x:f>IF(E1201="",D1201,IF(E1201="U","U",IF(AND(ISNUMBER(E1201),E1201&gt;=0,E1201&lt;=3,INT(E1201)=E1201),E1201,"Invalid")))</x:f>
        <x:v>2</x:v>
      </x:c>
      <x:c r="G1201" s="2" t="n">
        <x:f>IF(ISNUMBER(F1201),1,0)</x:f>
        <x:v>1</x:v>
      </x:c>
      <x:c r="H1201" s="2" t="n">
        <x:f>IF(ISNUMBER(F1201),IF(F1201&gt;=2,1,0),0)</x:f>
        <x:v>1</x:v>
      </x:c>
      <x:c r="I1201" s="11" t="n">
        <x:f>IF(ISNUMBER(F1201),2^F1201-1,0)</x:f>
        <x:v>3</x:v>
      </x:c>
      <x:c r="J1201" s="2" t="str">
        <x:v>Extension pre-run 600</x:v>
      </x:c>
      <x:c r="K1201" s="10" t="n">
        <x:v>4900</x:v>
      </x:c>
      <x:c r="L1201" s="10" t="n">
        <x:v>2</x:v>
      </x:c>
      <x:c r="M1201" s="10" t="n">
        <x:v>937</x:v>
      </x:c>
      <x:c r="N1201" s="2" t="str">
        <x:v>D15</x:v>
      </x:c>
      <x:c r="O1201" s="2" t="str">
        <x:v>apartment</x:v>
      </x:c>
      <x:c r="P1201" s="2" t="str">
        <x:v>https://www.propertyguru.com.sg/listing/for-rent-ceylon-residence-500286851</x:v>
      </x:c>
      <x:c r="Q1201" s="12" t="str">
        <x:v>Pre-registered source-rubric-v1; grade applied before outputs.</x:v>
      </x:c>
      <x:c r="R1201" s="13"/>
    </x:row>
    <x:row r="1202" ht="15" hidden="0" customHeight="1">
      <x:c r="A1202" s="2" t="str">
        <x:v>S40|500280927</x:v>
      </x:c>
      <x:c r="B1202" s="2" t="str">
        <x:v>S40</x:v>
      </x:c>
      <x:c r="C1202" s="2" t="str">
        <x:v>500280927</x:v>
      </x:c>
      <x:c r="D1202" s="2" t="n">
        <x:v>2</x:v>
      </x:c>
      <x:c r="E1202" s="9"/>
      <x:c r="F1202" s="2" t="n">
        <x:f>IF(E1202="",D1202,IF(E1202="U","U",IF(AND(ISNUMBER(E1202),E1202&gt;=0,E1202&lt;=3,INT(E1202)=E1202),E1202,"Invalid")))</x:f>
        <x:v>2</x:v>
      </x:c>
      <x:c r="G1202" s="2" t="n">
        <x:f>IF(ISNUMBER(F1202),1,0)</x:f>
        <x:v>1</x:v>
      </x:c>
      <x:c r="H1202" s="2" t="n">
        <x:f>IF(ISNUMBER(F1202),IF(F1202&gt;=2,1,0),0)</x:f>
        <x:v>1</x:v>
      </x:c>
      <x:c r="I1202" s="11" t="n">
        <x:f>IF(ISNUMBER(F1202),2^F1202-1,0)</x:f>
        <x:v>3</x:v>
      </x:c>
      <x:c r="J1202" s="2" t="str">
        <x:v>Extension pre-run 600</x:v>
      </x:c>
      <x:c r="K1202" s="10" t="n">
        <x:v>4999</x:v>
      </x:c>
      <x:c r="L1202" s="10" t="n">
        <x:v>2</x:v>
      </x:c>
      <x:c r="M1202" s="10" t="n">
        <x:v>958</x:v>
      </x:c>
      <x:c r="N1202" s="2" t="str">
        <x:v>D15</x:v>
      </x:c>
      <x:c r="O1202" s="2" t="str">
        <x:v>condominium</x:v>
      </x:c>
      <x:c r="P1202" s="2" t="str">
        <x:v>https://www.propertyguru.com.sg/listing/for-rent-katong-regency-500280927</x:v>
      </x:c>
      <x:c r="Q1202" s="12" t="str">
        <x:v>Pre-registered source-rubric-v1; grade applied before outputs.</x:v>
      </x:c>
      <x:c r="R1202" s="13"/>
    </x:row>
    <x:row r="1203" ht="15" hidden="0" customHeight="1">
      <x:c r="A1203" s="2" t="str">
        <x:v>S40|500283161</x:v>
      </x:c>
      <x:c r="B1203" s="2" t="str">
        <x:v>S40</x:v>
      </x:c>
      <x:c r="C1203" s="2" t="str">
        <x:v>500283161</x:v>
      </x:c>
      <x:c r="D1203" s="2" t="n">
        <x:v>2</x:v>
      </x:c>
      <x:c r="E1203" s="9"/>
      <x:c r="F1203" s="2" t="n">
        <x:f>IF(E1203="",D1203,IF(E1203="U","U",IF(AND(ISNUMBER(E1203),E1203&gt;=0,E1203&lt;=3,INT(E1203)=E1203),E1203,"Invalid")))</x:f>
        <x:v>2</x:v>
      </x:c>
      <x:c r="G1203" s="2" t="n">
        <x:f>IF(ISNUMBER(F1203),1,0)</x:f>
        <x:v>1</x:v>
      </x:c>
      <x:c r="H1203" s="2" t="n">
        <x:f>IF(ISNUMBER(F1203),IF(F1203&gt;=2,1,0),0)</x:f>
        <x:v>1</x:v>
      </x:c>
      <x:c r="I1203" s="11" t="n">
        <x:f>IF(ISNUMBER(F1203),2^F1203-1,0)</x:f>
        <x:v>3</x:v>
      </x:c>
      <x:c r="J1203" s="2" t="str">
        <x:v>Extension pre-run 600</x:v>
      </x:c>
      <x:c r="K1203" s="10" t="n">
        <x:v>4800</x:v>
      </x:c>
      <x:c r="L1203" s="10" t="n">
        <x:v>3</x:v>
      </x:c>
      <x:c r="M1203" s="10" t="n">
        <x:v>1290</x:v>
      </x:c>
      <x:c r="N1203" s="2" t="str">
        <x:v>D15</x:v>
      </x:c>
      <x:c r="O1203" s="2" t="str">
        <x:v>apartment</x:v>
      </x:c>
      <x:c r="P1203" s="2" t="str">
        <x:v>https://www.propertyguru.com.sg/listing/for-rent-siglap-centre-500283161</x:v>
      </x:c>
      <x:c r="Q1203" s="12" t="str">
        <x:v>Pre-registered source-rubric-v1; grade applied before outputs.</x:v>
      </x:c>
      <x:c r="R1203" s="13"/>
    </x:row>
    <x:row r="1204" ht="15" hidden="0" customHeight="1">
      <x:c r="A1204" s="2" t="str">
        <x:v>S40|60048190</x:v>
      </x:c>
      <x:c r="B1204" s="2" t="str">
        <x:v>S40</x:v>
      </x:c>
      <x:c r="C1204" s="2" t="str">
        <x:v>60048190</x:v>
      </x:c>
      <x:c r="D1204" s="2" t="n">
        <x:v>2</x:v>
      </x:c>
      <x:c r="E1204" s="9"/>
      <x:c r="F1204" s="2" t="n">
        <x:f>IF(E1204="",D1204,IF(E1204="U","U",IF(AND(ISNUMBER(E1204),E1204&gt;=0,E1204&lt;=3,INT(E1204)=E1204),E1204,"Invalid")))</x:f>
        <x:v>2</x:v>
      </x:c>
      <x:c r="G1204" s="2" t="n">
        <x:f>IF(ISNUMBER(F1204),1,0)</x:f>
        <x:v>1</x:v>
      </x:c>
      <x:c r="H1204" s="2" t="n">
        <x:f>IF(ISNUMBER(F1204),IF(F1204&gt;=2,1,0),0)</x:f>
        <x:v>1</x:v>
      </x:c>
      <x:c r="I1204" s="11" t="n">
        <x:f>IF(ISNUMBER(F1204),2^F1204-1,0)</x:f>
        <x:v>3</x:v>
      </x:c>
      <x:c r="J1204" s="2" t="str">
        <x:v>Extension pre-run 600</x:v>
      </x:c>
      <x:c r="K1204" s="10" t="n">
        <x:v>4999</x:v>
      </x:c>
      <x:c r="L1204" s="10" t="n">
        <x:v>2</x:v>
      </x:c>
      <x:c r="M1204" s="10" t="n">
        <x:v>1130</x:v>
      </x:c>
      <x:c r="N1204" s="2" t="str">
        <x:v>D15</x:v>
      </x:c>
      <x:c r="O1204" s="2" t="str">
        <x:v>condominium</x:v>
      </x:c>
      <x:c r="P1204" s="2" t="str">
        <x:v>https://www.propertyguru.com.sg/listing/for-rent-villa-marina-60048190</x:v>
      </x:c>
      <x:c r="Q1204" s="12" t="str">
        <x:v>Pre-registered source-rubric-v1; grade applied before outputs.</x:v>
      </x:c>
      <x:c r="R1204" s="13"/>
    </x:row>
    <x:row r="1205" ht="15" hidden="0" customHeight="1">
      <x:c r="A1205" s="2" t="str">
        <x:v>S40|25534696</x:v>
      </x:c>
      <x:c r="B1205" s="2" t="str">
        <x:v>S40</x:v>
      </x:c>
      <x:c r="C1205" s="2" t="str">
        <x:v>25534696</x:v>
      </x:c>
      <x:c r="D1205" s="2" t="n">
        <x:v>2</x:v>
      </x:c>
      <x:c r="E1205" s="9"/>
      <x:c r="F1205" s="2" t="n">
        <x:f>IF(E1205="",D1205,IF(E1205="U","U",IF(AND(ISNUMBER(E1205),E1205&gt;=0,E1205&lt;=3,INT(E1205)=E1205),E1205,"Invalid")))</x:f>
        <x:v>2</x:v>
      </x:c>
      <x:c r="G1205" s="2" t="n">
        <x:f>IF(ISNUMBER(F1205),1,0)</x:f>
        <x:v>1</x:v>
      </x:c>
      <x:c r="H1205" s="2" t="n">
        <x:f>IF(ISNUMBER(F1205),IF(F1205&gt;=2,1,0),0)</x:f>
        <x:v>1</x:v>
      </x:c>
      <x:c r="I1205" s="11" t="n">
        <x:f>IF(ISNUMBER(F1205),2^F1205-1,0)</x:f>
        <x:v>3</x:v>
      </x:c>
      <x:c r="J1205" s="2" t="str">
        <x:v>Extension pre-run 600</x:v>
      </x:c>
      <x:c r="K1205" s="10" t="n">
        <x:v>4700</x:v>
      </x:c>
      <x:c r="L1205" s="10" t="n">
        <x:v>2</x:v>
      </x:c>
      <x:c r="M1205" s="10" t="n">
        <x:v>1230</x:v>
      </x:c>
      <x:c r="N1205" s="2" t="str">
        <x:v>D15</x:v>
      </x:c>
      <x:c r="O1205" s="2" t="str">
        <x:v>apartment</x:v>
      </x:c>
      <x:c r="P1205" s="2" t="str">
        <x:v>https://www.propertyguru.com.sg/listing/for-rent-siglap-centre-25534696</x:v>
      </x:c>
      <x:c r="Q1205" s="12" t="str">
        <x:v>Pre-registered source-rubric-v1; grade applied before outputs.</x:v>
      </x:c>
      <x:c r="R1205" s="13"/>
    </x:row>
    <x:row r="1206" ht="15" hidden="0" customHeight="1">
      <x:c r="A1206" s="2" t="str">
        <x:v>S40|500270918</x:v>
      </x:c>
      <x:c r="B1206" s="2" t="str">
        <x:v>S40</x:v>
      </x:c>
      <x:c r="C1206" s="2" t="str">
        <x:v>500270918</x:v>
      </x:c>
      <x:c r="D1206" s="2" t="n">
        <x:v>2</x:v>
      </x:c>
      <x:c r="E1206" s="9"/>
      <x:c r="F1206" s="2" t="n">
        <x:f>IF(E1206="",D1206,IF(E1206="U","U",IF(AND(ISNUMBER(E1206),E1206&gt;=0,E1206&lt;=3,INT(E1206)=E1206),E1206,"Invalid")))</x:f>
        <x:v>2</x:v>
      </x:c>
      <x:c r="G1206" s="2" t="n">
        <x:f>IF(ISNUMBER(F1206),1,0)</x:f>
        <x:v>1</x:v>
      </x:c>
      <x:c r="H1206" s="2" t="n">
        <x:f>IF(ISNUMBER(F1206),IF(F1206&gt;=2,1,0),0)</x:f>
        <x:v>1</x:v>
      </x:c>
      <x:c r="I1206" s="11" t="n">
        <x:f>IF(ISNUMBER(F1206),2^F1206-1,0)</x:f>
        <x:v>3</x:v>
      </x:c>
      <x:c r="J1206" s="2" t="str">
        <x:v>Extension pre-run 600</x:v>
      </x:c>
      <x:c r="K1206" s="10" t="n">
        <x:v>4800</x:v>
      </x:c>
      <x:c r="L1206" s="10" t="n">
        <x:v>3</x:v>
      </x:c>
      <x:c r="M1206" s="10" t="n">
        <x:v>1290</x:v>
      </x:c>
      <x:c r="N1206" s="2" t="str">
        <x:v>D15</x:v>
      </x:c>
      <x:c r="O1206" s="2" t="str">
        <x:v>apartment</x:v>
      </x:c>
      <x:c r="P1206" s="2" t="str">
        <x:v>https://www.propertyguru.com.sg/listing/for-rent-siglap-centre-500270918</x:v>
      </x:c>
      <x:c r="Q1206" s="12" t="str">
        <x:v>Pre-registered source-rubric-v1; grade applied before outputs.</x:v>
      </x:c>
      <x:c r="R1206" s="13"/>
    </x:row>
    <x:row r="1207" ht="15" hidden="0" customHeight="1">
      <x:c r="A1207" s="2" t="str">
        <x:v>S40|500279827</x:v>
      </x:c>
      <x:c r="B1207" s="2" t="str">
        <x:v>S40</x:v>
      </x:c>
      <x:c r="C1207" s="2" t="str">
        <x:v>500279827</x:v>
      </x:c>
      <x:c r="D1207" s="2" t="n">
        <x:v>2</x:v>
      </x:c>
      <x:c r="E1207" s="9"/>
      <x:c r="F1207" s="2" t="n">
        <x:f>IF(E1207="",D1207,IF(E1207="U","U",IF(AND(ISNUMBER(E1207),E1207&gt;=0,E1207&lt;=3,INT(E1207)=E1207),E1207,"Invalid")))</x:f>
        <x:v>2</x:v>
      </x:c>
      <x:c r="G1207" s="2" t="n">
        <x:f>IF(ISNUMBER(F1207),1,0)</x:f>
        <x:v>1</x:v>
      </x:c>
      <x:c r="H1207" s="2" t="n">
        <x:f>IF(ISNUMBER(F1207),IF(F1207&gt;=2,1,0),0)</x:f>
        <x:v>1</x:v>
      </x:c>
      <x:c r="I1207" s="11" t="n">
        <x:f>IF(ISNUMBER(F1207),2^F1207-1,0)</x:f>
        <x:v>3</x:v>
      </x:c>
      <x:c r="J1207" s="2" t="str">
        <x:v>Extension pre-run 600</x:v>
      </x:c>
      <x:c r="K1207" s="10" t="n">
        <x:v>4800</x:v>
      </x:c>
      <x:c r="L1207" s="10" t="n">
        <x:v>3</x:v>
      </x:c>
      <x:c r="M1207" s="10" t="n">
        <x:v>1290</x:v>
      </x:c>
      <x:c r="N1207" s="2" t="str">
        <x:v>D15</x:v>
      </x:c>
      <x:c r="O1207" s="2" t="str">
        <x:v>apartment</x:v>
      </x:c>
      <x:c r="P1207" s="2" t="str">
        <x:v>https://www.propertyguru.com.sg/listing/for-rent-siglap-centre-500279827</x:v>
      </x:c>
      <x:c r="Q1207" s="12" t="str">
        <x:v>Pre-registered source-rubric-v1; grade applied before outputs.</x:v>
      </x:c>
      <x:c r="R1207" s="13"/>
    </x:row>
    <x:row r="1208" ht="15" hidden="0" customHeight="1">
      <x:c r="A1208" s="2" t="str">
        <x:v>S40|500263716</x:v>
      </x:c>
      <x:c r="B1208" s="2" t="str">
        <x:v>S40</x:v>
      </x:c>
      <x:c r="C1208" s="2" t="str">
        <x:v>500263716</x:v>
      </x:c>
      <x:c r="D1208" s="2" t="n">
        <x:v>2</x:v>
      </x:c>
      <x:c r="E1208" s="9"/>
      <x:c r="F1208" s="2" t="n">
        <x:f>IF(E1208="",D1208,IF(E1208="U","U",IF(AND(ISNUMBER(E1208),E1208&gt;=0,E1208&lt;=3,INT(E1208)=E1208),E1208,"Invalid")))</x:f>
        <x:v>2</x:v>
      </x:c>
      <x:c r="G1208" s="2" t="n">
        <x:f>IF(ISNUMBER(F1208),1,0)</x:f>
        <x:v>1</x:v>
      </x:c>
      <x:c r="H1208" s="2" t="n">
        <x:f>IF(ISNUMBER(F1208),IF(F1208&gt;=2,1,0),0)</x:f>
        <x:v>1</x:v>
      </x:c>
      <x:c r="I1208" s="11" t="n">
        <x:f>IF(ISNUMBER(F1208),2^F1208-1,0)</x:f>
        <x:v>3</x:v>
      </x:c>
      <x:c r="J1208" s="2" t="str">
        <x:v>Extension pre-run 600</x:v>
      </x:c>
      <x:c r="K1208" s="10" t="n">
        <x:v>4700</x:v>
      </x:c>
      <x:c r="L1208" s="10" t="n">
        <x:v>2</x:v>
      </x:c>
      <x:c r="M1208" s="10" t="n">
        <x:v>1230</x:v>
      </x:c>
      <x:c r="N1208" s="2" t="str">
        <x:v>D15</x:v>
      </x:c>
      <x:c r="O1208" s="2" t="str">
        <x:v>apartment</x:v>
      </x:c>
      <x:c r="P1208" s="2" t="str">
        <x:v>https://www.propertyguru.com.sg/listing/for-rent-2br-unit-in-siglap-500263716</x:v>
      </x:c>
      <x:c r="Q1208" s="12" t="str">
        <x:v>Pre-registered source-rubric-v1; grade applied before outputs.</x:v>
      </x:c>
      <x:c r="R1208" s="13"/>
    </x:row>
    <x:row r="1209" ht="15" hidden="0" customHeight="1">
      <x:c r="A1209" s="2" t="str">
        <x:v>S40|24456320</x:v>
      </x:c>
      <x:c r="B1209" s="2" t="str">
        <x:v>S40</x:v>
      </x:c>
      <x:c r="C1209" s="2" t="str">
        <x:v>24456320</x:v>
      </x:c>
      <x:c r="D1209" s="2" t="n">
        <x:v>1</x:v>
      </x:c>
      <x:c r="E1209" s="9"/>
      <x:c r="F1209" s="2" t="n">
        <x:f>IF(E1209="",D1209,IF(E1209="U","U",IF(AND(ISNUMBER(E1209),E1209&gt;=0,E1209&lt;=3,INT(E1209)=E1209),E1209,"Invalid")))</x:f>
        <x:v>1</x:v>
      </x:c>
      <x:c r="G1209" s="2" t="n">
        <x:f>IF(ISNUMBER(F1209),1,0)</x:f>
        <x:v>1</x:v>
      </x:c>
      <x:c r="H1209" s="2" t="n">
        <x:f>IF(ISNUMBER(F1209),IF(F1209&gt;=2,1,0),0)</x:f>
        <x:v>0</x:v>
      </x:c>
      <x:c r="I1209" s="11" t="n">
        <x:f>IF(ISNUMBER(F1209),2^F1209-1,0)</x:f>
        <x:v>1</x:v>
      </x:c>
      <x:c r="J1209" s="2" t="str">
        <x:v>Extension pre-run 600</x:v>
      </x:c>
      <x:c r="K1209" s="10" t="n">
        <x:v>4700</x:v>
      </x:c>
      <x:c r="L1209" s="10" t="n">
        <x:v>2</x:v>
      </x:c>
      <x:c r="M1209" s="10" t="n">
        <x:v>818</x:v>
      </x:c>
      <x:c r="N1209" s="2" t="str">
        <x:v>D15</x:v>
      </x:c>
      <x:c r="O1209" s="2" t="str">
        <x:v>condominium</x:v>
      </x:c>
      <x:c r="P1209" s="2" t="str">
        <x:v>https://www.propertyguru.com.sg/listing/for-rent-the-lush-24456320</x:v>
      </x:c>
      <x:c r="Q1209" s="12" t="str">
        <x:v>Pre-registered source-rubric-v1; grade applied before outputs.</x:v>
      </x:c>
      <x:c r="R1209" s="13"/>
    </x:row>
    <x:row r="1210" ht="15" hidden="0" customHeight="1">
      <x:c r="A1210" s="2" t="str">
        <x:v>S40|500279073</x:v>
      </x:c>
      <x:c r="B1210" s="2" t="str">
        <x:v>S40</x:v>
      </x:c>
      <x:c r="C1210" s="2" t="str">
        <x:v>500279073</x:v>
      </x:c>
      <x:c r="D1210" s="2" t="n">
        <x:v>1</x:v>
      </x:c>
      <x:c r="E1210" s="9"/>
      <x:c r="F1210" s="2" t="n">
        <x:f>IF(E1210="",D1210,IF(E1210="U","U",IF(AND(ISNUMBER(E1210),E1210&gt;=0,E1210&lt;=3,INT(E1210)=E1210),E1210,"Invalid")))</x:f>
        <x:v>1</x:v>
      </x:c>
      <x:c r="G1210" s="2" t="n">
        <x:f>IF(ISNUMBER(F1210),1,0)</x:f>
        <x:v>1</x:v>
      </x:c>
      <x:c r="H1210" s="2" t="n">
        <x:f>IF(ISNUMBER(F1210),IF(F1210&gt;=2,1,0),0)</x:f>
        <x:v>0</x:v>
      </x:c>
      <x:c r="I1210" s="11" t="n">
        <x:f>IF(ISNUMBER(F1210),2^F1210-1,0)</x:f>
        <x:v>1</x:v>
      </x:c>
      <x:c r="J1210" s="2" t="str">
        <x:v>Extension pre-run 600</x:v>
      </x:c>
      <x:c r="K1210" s="10" t="n">
        <x:v>5000</x:v>
      </x:c>
      <x:c r="L1210" s="10" t="n">
        <x:v>2</x:v>
      </x:c>
      <x:c r="M1210" s="10" t="n">
        <x:v>797</x:v>
      </x:c>
      <x:c r="N1210" s="2" t="str">
        <x:v>D15</x:v>
      </x:c>
      <x:c r="O1210" s="2" t="str">
        <x:v>condominium</x:v>
      </x:c>
      <x:c r="P1210" s="2" t="str">
        <x:v>https://www.propertyguru.com.sg/listing/for-rent-grand-dunman-500279073</x:v>
      </x:c>
      <x:c r="Q1210" s="12" t="str">
        <x:v>Pre-registered source-rubric-v1; grade applied before outputs.</x:v>
      </x:c>
      <x:c r="R1210" s="13"/>
    </x:row>
    <x:row r="1211" ht="15" hidden="0" customHeight="1">
      <x:c r="A1211" s="2" t="str">
        <x:v>S40|60091094</x:v>
      </x:c>
      <x:c r="B1211" s="2" t="str">
        <x:v>S40</x:v>
      </x:c>
      <x:c r="C1211" s="2" t="str">
        <x:v>60091094</x:v>
      </x:c>
      <x:c r="D1211" s="2" t="n">
        <x:v>1</x:v>
      </x:c>
      <x:c r="E1211" s="9"/>
      <x:c r="F1211" s="2" t="n">
        <x:f>IF(E1211="",D1211,IF(E1211="U","U",IF(AND(ISNUMBER(E1211),E1211&gt;=0,E1211&lt;=3,INT(E1211)=E1211),E1211,"Invalid")))</x:f>
        <x:v>1</x:v>
      </x:c>
      <x:c r="G1211" s="2" t="n">
        <x:f>IF(ISNUMBER(F1211),1,0)</x:f>
        <x:v>1</x:v>
      </x:c>
      <x:c r="H1211" s="2" t="n">
        <x:f>IF(ISNUMBER(F1211),IF(F1211&gt;=2,1,0),0)</x:f>
        <x:v>0</x:v>
      </x:c>
      <x:c r="I1211" s="11" t="n">
        <x:f>IF(ISNUMBER(F1211),2^F1211-1,0)</x:f>
        <x:v>1</x:v>
      </x:c>
      <x:c r="J1211" s="2" t="str">
        <x:v>Extension pre-run 600</x:v>
      </x:c>
      <x:c r="K1211" s="10" t="n">
        <x:v>4700</x:v>
      </x:c>
      <x:c r="L1211" s="10" t="n">
        <x:v>2</x:v>
      </x:c>
      <x:c r="M1211" s="10" t="n">
        <x:v>893</x:v>
      </x:c>
      <x:c r="N1211" s="2" t="str">
        <x:v>D15</x:v>
      </x:c>
      <x:c r="O1211" s="2" t="str">
        <x:v>condominium</x:v>
      </x:c>
      <x:c r="P1211" s="2" t="str">
        <x:v>https://www.propertyguru.com.sg/listing/for-rent-the-sound-60091094</x:v>
      </x:c>
      <x:c r="Q1211" s="12" t="str">
        <x:v>Pre-registered source-rubric-v1; grade applied before outputs.</x:v>
      </x:c>
      <x:c r="R1211" s="13"/>
    </x:row>
    <x:row r="1212" ht="15" hidden="0" customHeight="1">
      <x:c r="A1212" s="2" t="str">
        <x:v>S40|500233431</x:v>
      </x:c>
      <x:c r="B1212" s="2" t="str">
        <x:v>S40</x:v>
      </x:c>
      <x:c r="C1212" s="2" t="str">
        <x:v>500233431</x:v>
      </x:c>
      <x:c r="D1212" s="2" t="n">
        <x:v>1</x:v>
      </x:c>
      <x:c r="E1212" s="9"/>
      <x:c r="F1212" s="2" t="n">
        <x:f>IF(E1212="",D1212,IF(E1212="U","U",IF(AND(ISNUMBER(E1212),E1212&gt;=0,E1212&lt;=3,INT(E1212)=E1212),E1212,"Invalid")))</x:f>
        <x:v>1</x:v>
      </x:c>
      <x:c r="G1212" s="2" t="n">
        <x:f>IF(ISNUMBER(F1212),1,0)</x:f>
        <x:v>1</x:v>
      </x:c>
      <x:c r="H1212" s="2" t="n">
        <x:f>IF(ISNUMBER(F1212),IF(F1212&gt;=2,1,0),0)</x:f>
        <x:v>0</x:v>
      </x:c>
      <x:c r="I1212" s="11" t="n">
        <x:f>IF(ISNUMBER(F1212),2^F1212-1,0)</x:f>
        <x:v>1</x:v>
      </x:c>
      <x:c r="J1212" s="2" t="str">
        <x:v>Extension pre-run 600</x:v>
      </x:c>
      <x:c r="K1212" s="10" t="n">
        <x:v>4500</x:v>
      </x:c>
      <x:c r="L1212" s="10" t="n">
        <x:v>3</x:v>
      </x:c>
      <x:c r="M1212" s="10" t="n">
        <x:v>883</x:v>
      </x:c>
      <x:c r="N1212" s="2" t="str">
        <x:v>D15</x:v>
      </x:c>
      <x:c r="O1212" s="2" t="str">
        <x:v>apartment</x:v>
      </x:c>
      <x:c r="P1212" s="2" t="str">
        <x:v>https://www.propertyguru.com.sg/listing/for-rent-garden-park-residences-500233431</x:v>
      </x:c>
      <x:c r="Q1212" s="12" t="str">
        <x:v>Pre-registered source-rubric-v1; grade applied before outputs.</x:v>
      </x:c>
      <x:c r="R1212" s="13"/>
    </x:row>
    <x:row r="1213" ht="15" hidden="0" customHeight="1">
      <x:c r="A1213" s="2" t="str">
        <x:v>S40|500248004</x:v>
      </x:c>
      <x:c r="B1213" s="2" t="str">
        <x:v>S40</x:v>
      </x:c>
      <x:c r="C1213" s="2" t="str">
        <x:v>500248004</x:v>
      </x:c>
      <x:c r="D1213" s="2" t="n">
        <x:v>1</x:v>
      </x:c>
      <x:c r="E1213" s="9"/>
      <x:c r="F1213" s="2" t="n">
        <x:f>IF(E1213="",D1213,IF(E1213="U","U",IF(AND(ISNUMBER(E1213),E1213&gt;=0,E1213&lt;=3,INT(E1213)=E1213),E1213,"Invalid")))</x:f>
        <x:v>1</x:v>
      </x:c>
      <x:c r="G1213" s="2" t="n">
        <x:f>IF(ISNUMBER(F1213),1,0)</x:f>
        <x:v>1</x:v>
      </x:c>
      <x:c r="H1213" s="2" t="n">
        <x:f>IF(ISNUMBER(F1213),IF(F1213&gt;=2,1,0),0)</x:f>
        <x:v>0</x:v>
      </x:c>
      <x:c r="I1213" s="11" t="n">
        <x:f>IF(ISNUMBER(F1213),2^F1213-1,0)</x:f>
        <x:v>1</x:v>
      </x:c>
      <x:c r="J1213" s="2" t="str">
        <x:v>Extension pre-run 600</x:v>
      </x:c>
      <x:c r="K1213" s="10" t="n">
        <x:v>4800</x:v>
      </x:c>
      <x:c r="L1213" s="10" t="n">
        <x:v>2</x:v>
      </x:c>
      <x:c r="M1213" s="10" t="n">
        <x:v>678</x:v>
      </x:c>
      <x:c r="N1213" s="2" t="str">
        <x:v>D15</x:v>
      </x:c>
      <x:c r="O1213" s="2" t="str">
        <x:v>apartment</x:v>
      </x:c>
      <x:c r="P1213" s="2" t="str">
        <x:v>https://www.propertyguru.com.sg/listing/for-rent-seaside-residences-500248004</x:v>
      </x:c>
      <x:c r="Q1213" s="12" t="str">
        <x:v>Pre-registered source-rubric-v1; grade applied before outputs.</x:v>
      </x:c>
      <x:c r="R1213" s="13"/>
    </x:row>
    <x:row r="1214" ht="15" hidden="0" customHeight="1">
      <x:c r="A1214" s="2" t="str">
        <x:v>S40|500266765</x:v>
      </x:c>
      <x:c r="B1214" s="2" t="str">
        <x:v>S40</x:v>
      </x:c>
      <x:c r="C1214" s="2" t="str">
        <x:v>500266765</x:v>
      </x:c>
      <x:c r="D1214" s="2" t="n">
        <x:v>1</x:v>
      </x:c>
      <x:c r="E1214" s="9"/>
      <x:c r="F1214" s="2" t="n">
        <x:f>IF(E1214="",D1214,IF(E1214="U","U",IF(AND(ISNUMBER(E1214),E1214&gt;=0,E1214&lt;=3,INT(E1214)=E1214),E1214,"Invalid")))</x:f>
        <x:v>1</x:v>
      </x:c>
      <x:c r="G1214" s="2" t="n">
        <x:f>IF(ISNUMBER(F1214),1,0)</x:f>
        <x:v>1</x:v>
      </x:c>
      <x:c r="H1214" s="2" t="n">
        <x:f>IF(ISNUMBER(F1214),IF(F1214&gt;=2,1,0),0)</x:f>
        <x:v>0</x:v>
      </x:c>
      <x:c r="I1214" s="11" t="n">
        <x:f>IF(ISNUMBER(F1214),2^F1214-1,0)</x:f>
        <x:v>1</x:v>
      </x:c>
      <x:c r="J1214" s="2" t="str">
        <x:v>Extension pre-run 600</x:v>
      </x:c>
      <x:c r="K1214" s="10" t="n">
        <x:v>5000</x:v>
      </x:c>
      <x:c r="L1214" s="10" t="n">
        <x:v>2</x:v>
      </x:c>
      <x:c r="M1214" s="10" t="n">
        <x:v>667</x:v>
      </x:c>
      <x:c r="N1214" s="2" t="str">
        <x:v>D15</x:v>
      </x:c>
      <x:c r="O1214" s="2" t="str">
        <x:v>condominium</x:v>
      </x:c>
      <x:c r="P1214" s="2" t="str">
        <x:v>https://www.propertyguru.com.sg/listing/for-rent-grand-dunman-500266765</x:v>
      </x:c>
      <x:c r="Q1214" s="12" t="str">
        <x:v>Pre-registered source-rubric-v1; grade applied before outputs.</x:v>
      </x:c>
      <x:c r="R1214" s="13"/>
    </x:row>
    <x:row r="1215" ht="15" hidden="0" customHeight="1">
      <x:c r="A1215" s="2" t="str">
        <x:v>S40|500204663</x:v>
      </x:c>
      <x:c r="B1215" s="2" t="str">
        <x:v>S40</x:v>
      </x:c>
      <x:c r="C1215" s="2" t="str">
        <x:v>500204663</x:v>
      </x:c>
      <x:c r="D1215" s="2" t="n">
        <x:v>0</x:v>
      </x:c>
      <x:c r="E1215" s="9"/>
      <x:c r="F1215" s="2" t="n">
        <x:f>IF(E1215="",D1215,IF(E1215="U","U",IF(AND(ISNUMBER(E1215),E1215&gt;=0,E1215&lt;=3,INT(E1215)=E1215),E1215,"Invalid")))</x:f>
        <x:v>0</x:v>
      </x:c>
      <x:c r="G1215" s="2" t="n">
        <x:f>IF(ISNUMBER(F1215),1,0)</x:f>
        <x:v>1</x:v>
      </x:c>
      <x:c r="H1215" s="2" t="n">
        <x:f>IF(ISNUMBER(F1215),IF(F1215&gt;=2,1,0),0)</x:f>
        <x:v>0</x:v>
      </x:c>
      <x:c r="I1215" s="11" t="n">
        <x:f>IF(ISNUMBER(F1215),2^F1215-1,0)</x:f>
        <x:v>0</x:v>
      </x:c>
      <x:c r="J1215" s="2" t="str">
        <x:v>Extension pre-run 600</x:v>
      </x:c>
      <x:c r="K1215" s="10" t="n">
        <x:v>1600</x:v>
      </x:c>
      <x:c r="L1215" s="10" t="n">
        <x:v>0</x:v>
      </x:c>
      <x:c r="M1215" s="10"/>
      <x:c r="N1215" s="2" t="str">
        <x:v>D09</x:v>
      </x:c>
      <x:c r="O1215" s="2" t="str">
        <x:v>apartment</x:v>
      </x:c>
      <x:c r="P1215" s="2" t="str">
        <x:v>https://www.propertyguru.com.sg/listing/for-rent-rhapsody-on-mount-elizabeth-500204663</x:v>
      </x:c>
      <x:c r="Q1215" s="12" t="str">
        <x:v>Pre-registered source-rubric-v1; grade applied before outputs.</x:v>
      </x:c>
      <x:c r="R1215" s="13"/>
    </x:row>
    <x:row r="1216" ht="15" hidden="0" customHeight="1">
      <x:c r="A1216" s="2" t="str">
        <x:v>S40|500248503</x:v>
      </x:c>
      <x:c r="B1216" s="2" t="str">
        <x:v>S40</x:v>
      </x:c>
      <x:c r="C1216" s="2" t="str">
        <x:v>500248503</x:v>
      </x:c>
      <x:c r="D1216" s="2" t="n">
        <x:v>0</x:v>
      </x:c>
      <x:c r="E1216" s="9"/>
      <x:c r="F1216" s="2" t="n">
        <x:f>IF(E1216="",D1216,IF(E1216="U","U",IF(AND(ISNUMBER(E1216),E1216&gt;=0,E1216&lt;=3,INT(E1216)=E1216),E1216,"Invalid")))</x:f>
        <x:v>0</x:v>
      </x:c>
      <x:c r="G1216" s="2" t="n">
        <x:f>IF(ISNUMBER(F1216),1,0)</x:f>
        <x:v>1</x:v>
      </x:c>
      <x:c r="H1216" s="2" t="n">
        <x:f>IF(ISNUMBER(F1216),IF(F1216&gt;=2,1,0),0)</x:f>
        <x:v>0</x:v>
      </x:c>
      <x:c r="I1216" s="11" t="n">
        <x:f>IF(ISNUMBER(F1216),2^F1216-1,0)</x:f>
        <x:v>0</x:v>
      </x:c>
      <x:c r="J1216" s="2" t="str">
        <x:v>Extension pre-run 600</x:v>
      </x:c>
      <x:c r="K1216" s="10" t="n">
        <x:v>38000</x:v>
      </x:c>
      <x:c r="L1216" s="10" t="n">
        <x:v>4</x:v>
      </x:c>
      <x:c r="M1216" s="10" t="n">
        <x:v>3089</x:v>
      </x:c>
      <x:c r="N1216" s="2" t="str">
        <x:v>D09</x:v>
      </x:c>
      <x:c r="O1216" s="2" t="str">
        <x:v>condominium</x:v>
      </x:c>
      <x:c r="P1216" s="2" t="str">
        <x:v>https://www.propertyguru.com.sg/listing/for-rent-the-marq-on-paterson-hill-500248503</x:v>
      </x:c>
      <x:c r="Q1216" s="12" t="str">
        <x:v>Pre-registered source-rubric-v1; grade applied before outputs.</x:v>
      </x:c>
      <x:c r="R1216" s="13"/>
    </x:row>
    <x:row r="1217" ht="15" hidden="0" customHeight="1">
      <x:c r="A1217" s="2" t="str">
        <x:v>S40|60057453</x:v>
      </x:c>
      <x:c r="B1217" s="2" t="str">
        <x:v>S40</x:v>
      </x:c>
      <x:c r="C1217" s="2" t="str">
        <x:v>60057453</x:v>
      </x:c>
      <x:c r="D1217" s="2" t="n">
        <x:v>0</x:v>
      </x:c>
      <x:c r="E1217" s="9"/>
      <x:c r="F1217" s="2" t="n">
        <x:f>IF(E1217="",D1217,IF(E1217="U","U",IF(AND(ISNUMBER(E1217),E1217&gt;=0,E1217&lt;=3,INT(E1217)=E1217),E1217,"Invalid")))</x:f>
        <x:v>0</x:v>
      </x:c>
      <x:c r="G1217" s="2" t="n">
        <x:f>IF(ISNUMBER(F1217),1,0)</x:f>
        <x:v>1</x:v>
      </x:c>
      <x:c r="H1217" s="2" t="n">
        <x:f>IF(ISNUMBER(F1217),IF(F1217&gt;=2,1,0),0)</x:f>
        <x:v>0</x:v>
      </x:c>
      <x:c r="I1217" s="11" t="n">
        <x:f>IF(ISNUMBER(F1217),2^F1217-1,0)</x:f>
        <x:v>0</x:v>
      </x:c>
      <x:c r="J1217" s="2" t="str">
        <x:v>Extension pre-run 600</x:v>
      </x:c>
      <x:c r="K1217" s="10" t="n">
        <x:v>1980</x:v>
      </x:c>
      <x:c r="L1217" s="10" t="n">
        <x:v>0</x:v>
      </x:c>
      <x:c r="M1217" s="10"/>
      <x:c r="N1217" s="2" t="str">
        <x:v>D15</x:v>
      </x:c>
      <x:c r="O1217" s="2" t="str">
        <x:v>apartment</x:v>
      </x:c>
      <x:c r="P1217" s="2" t="str">
        <x:v>https://www.propertyguru.com.sg/listing/for-rent-350-tanjong-katong-road-60057453</x:v>
      </x:c>
      <x:c r="Q1217" s="12" t="str">
        <x:v>Pre-registered source-rubric-v1; grade applied before outputs.</x:v>
      </x:c>
      <x:c r="R1217" s="13"/>
    </x:row>
    <x:row r="1218" ht="15" hidden="0" customHeight="1">
      <x:c r="A1218" s="2" t="str">
        <x:v>S40|23861716</x:v>
      </x:c>
      <x:c r="B1218" s="2" t="str">
        <x:v>S40</x:v>
      </x:c>
      <x:c r="C1218" s="2" t="str">
        <x:v>23861716</x:v>
      </x:c>
      <x:c r="D1218" s="2" t="n">
        <x:v>0</x:v>
      </x:c>
      <x:c r="E1218" s="9"/>
      <x:c r="F1218" s="2" t="n">
        <x:f>IF(E1218="",D1218,IF(E1218="U","U",IF(AND(ISNUMBER(E1218),E1218&gt;=0,E1218&lt;=3,INT(E1218)=E1218),E1218,"Invalid")))</x:f>
        <x:v>0</x:v>
      </x:c>
      <x:c r="G1218" s="2" t="n">
        <x:f>IF(ISNUMBER(F1218),1,0)</x:f>
        <x:v>1</x:v>
      </x:c>
      <x:c r="H1218" s="2" t="n">
        <x:f>IF(ISNUMBER(F1218),IF(F1218&gt;=2,1,0),0)</x:f>
        <x:v>0</x:v>
      </x:c>
      <x:c r="I1218" s="11" t="n">
        <x:f>IF(ISNUMBER(F1218),2^F1218-1,0)</x:f>
        <x:v>0</x:v>
      </x:c>
      <x:c r="J1218" s="2" t="str">
        <x:v>Extension pre-run 600</x:v>
      </x:c>
      <x:c r="K1218" s="10" t="n">
        <x:v>1400</x:v>
      </x:c>
      <x:c r="L1218" s="10" t="n">
        <x:v>0</x:v>
      </x:c>
      <x:c r="M1218" s="10"/>
      <x:c r="N1218" s="2" t="str">
        <x:v>D27</x:v>
      </x:c>
      <x:c r="O1218" s="2" t="str">
        <x:v>hdb flat</x:v>
      </x:c>
      <x:c r="P1218" s="2" t="str">
        <x:v>https://www.propertyguru.com.sg/listing/hdb-for-rent-147-yishun-street-11-23861716</x:v>
      </x:c>
      <x:c r="Q1218" s="12" t="str">
        <x:v>Pre-registered source-rubric-v1; grade applied before outputs.</x:v>
      </x:c>
      <x:c r="R1218" s="13"/>
    </x:row>
    <x:row r="1219" ht="15" hidden="0" customHeight="1">
      <x:c r="A1219" s="2" t="str">
        <x:v>S40|500265392</x:v>
      </x:c>
      <x:c r="B1219" s="2" t="str">
        <x:v>S40</x:v>
      </x:c>
      <x:c r="C1219" s="2" t="str">
        <x:v>500265392</x:v>
      </x:c>
      <x:c r="D1219" s="2" t="n">
        <x:v>0</x:v>
      </x:c>
      <x:c r="E1219" s="9"/>
      <x:c r="F1219" s="2" t="n">
        <x:f>IF(E1219="",D1219,IF(E1219="U","U",IF(AND(ISNUMBER(E1219),E1219&gt;=0,E1219&lt;=3,INT(E1219)=E1219),E1219,"Invalid")))</x:f>
        <x:v>0</x:v>
      </x:c>
      <x:c r="G1219" s="2" t="n">
        <x:f>IF(ISNUMBER(F1219),1,0)</x:f>
        <x:v>1</x:v>
      </x:c>
      <x:c r="H1219" s="2" t="n">
        <x:f>IF(ISNUMBER(F1219),IF(F1219&gt;=2,1,0),0)</x:f>
        <x:v>0</x:v>
      </x:c>
      <x:c r="I1219" s="11" t="n">
        <x:f>IF(ISNUMBER(F1219),2^F1219-1,0)</x:f>
        <x:v>0</x:v>
      </x:c>
      <x:c r="J1219" s="2" t="str">
        <x:v>Extension pre-run 600</x:v>
      </x:c>
      <x:c r="K1219" s="10" t="n">
        <x:v>1500</x:v>
      </x:c>
      <x:c r="L1219" s="10" t="n">
        <x:v>0</x:v>
      </x:c>
      <x:c r="M1219" s="10"/>
      <x:c r="N1219" s="2" t="str">
        <x:v>D11</x:v>
      </x:c>
      <x:c r="O1219" s="2" t="str">
        <x:v>apartment</x:v>
      </x:c>
      <x:c r="P1219" s="2" t="str">
        <x:v>https://www.propertyguru.com.sg/listing/for-rent-eng-aun-mansion-500265392</x:v>
      </x:c>
      <x:c r="Q1219" s="12" t="str">
        <x:v>Pre-registered source-rubric-v1; grade applied before outputs.</x:v>
      </x:c>
      <x:c r="R1219" s="13"/>
    </x:row>
    <x:row r="1220" ht="15" hidden="0" customHeight="1">
      <x:c r="A1220" s="2" t="str">
        <x:v>S40|25274661</x:v>
      </x:c>
      <x:c r="B1220" s="2" t="str">
        <x:v>S40</x:v>
      </x:c>
      <x:c r="C1220" s="2" t="str">
        <x:v>25274661</x:v>
      </x:c>
      <x:c r="D1220" s="2" t="n">
        <x:v>0</x:v>
      </x:c>
      <x:c r="E1220" s="9"/>
      <x:c r="F1220" s="2" t="n">
        <x:f>IF(E1220="",D1220,IF(E1220="U","U",IF(AND(ISNUMBER(E1220),E1220&gt;=0,E1220&lt;=3,INT(E1220)=E1220),E1220,"Invalid")))</x:f>
        <x:v>0</x:v>
      </x:c>
      <x:c r="G1220" s="2" t="n">
        <x:f>IF(ISNUMBER(F1220),1,0)</x:f>
        <x:v>1</x:v>
      </x:c>
      <x:c r="H1220" s="2" t="n">
        <x:f>IF(ISNUMBER(F1220),IF(F1220&gt;=2,1,0),0)</x:f>
        <x:v>0</x:v>
      </x:c>
      <x:c r="I1220" s="11" t="n">
        <x:f>IF(ISNUMBER(F1220),2^F1220-1,0)</x:f>
        <x:v>0</x:v>
      </x:c>
      <x:c r="J1220" s="2" t="str">
        <x:v>Extension pre-run 600</x:v>
      </x:c>
      <x:c r="K1220" s="10" t="n">
        <x:v>6000</x:v>
      </x:c>
      <x:c r="L1220" s="10" t="n">
        <x:v>2</x:v>
      </x:c>
      <x:c r="M1220" s="10" t="n">
        <x:v>797</x:v>
      </x:c>
      <x:c r="N1220" s="2" t="str">
        <x:v>D05</x:v>
      </x:c>
      <x:c r="O1220" s="2" t="str">
        <x:v>condominium</x:v>
      </x:c>
      <x:c r="P1220" s="2" t="str">
        <x:v>https://www.propertyguru.com.sg/listing/for-rent-one-north-eden-25274661</x:v>
      </x:c>
      <x:c r="Q1220" s="12" t="str">
        <x:v>Pre-registered source-rubric-v1; grade applied before outputs.</x:v>
      </x:c>
      <x:c r="R1220" s="13"/>
    </x:row>
    <x:row r="1221" ht="15" hidden="0" customHeight="1">
      <x:c r="A1221" s="2" t="str">
        <x:v>S40|500287584</x:v>
      </x:c>
      <x:c r="B1221" s="2" t="str">
        <x:v>S40</x:v>
      </x:c>
      <x:c r="C1221" s="2" t="str">
        <x:v>500287584</x:v>
      </x:c>
      <x:c r="D1221" s="2" t="n">
        <x:v>0</x:v>
      </x:c>
      <x:c r="E1221" s="9"/>
      <x:c r="F1221" s="2" t="n">
        <x:f>IF(E1221="",D1221,IF(E1221="U","U",IF(AND(ISNUMBER(E1221),E1221&gt;=0,E1221&lt;=3,INT(E1221)=E1221),E1221,"Invalid")))</x:f>
        <x:v>0</x:v>
      </x:c>
      <x:c r="G1221" s="2" t="n">
        <x:f>IF(ISNUMBER(F1221),1,0)</x:f>
        <x:v>1</x:v>
      </x:c>
      <x:c r="H1221" s="2" t="n">
        <x:f>IF(ISNUMBER(F1221),IF(F1221&gt;=2,1,0),0)</x:f>
        <x:v>0</x:v>
      </x:c>
      <x:c r="I1221" s="11" t="n">
        <x:f>IF(ISNUMBER(F1221),2^F1221-1,0)</x:f>
        <x:v>0</x:v>
      </x:c>
      <x:c r="J1221" s="2" t="str">
        <x:v>Extension pre-run 600</x:v>
      </x:c>
      <x:c r="K1221" s="10" t="n">
        <x:v>950</x:v>
      </x:c>
      <x:c r="L1221" s="10" t="n">
        <x:v>0</x:v>
      </x:c>
      <x:c r="M1221" s="10"/>
      <x:c r="N1221" s="2" t="str">
        <x:v>D18</x:v>
      </x:c>
      <x:c r="O1221" s="2" t="str">
        <x:v>hdb flat</x:v>
      </x:c>
      <x:c r="P1221" s="2" t="str">
        <x:v>https://www.propertyguru.com.sg/listing/hdb-for-rent-318-tampines-street-33-500287584</x:v>
      </x:c>
      <x:c r="Q1221" s="12" t="str">
        <x:v>Pre-registered source-rubric-v1; grade applied before outputs.</x:v>
      </x:c>
      <x:c r="R1221" s="13"/>
    </x:row>
    <x:row r="1222" ht="15" hidden="0" customHeight="1">
      <x:c r="A1222" s="2" t="str">
        <x:v>S40|24027907</x:v>
      </x:c>
      <x:c r="B1222" s="2" t="str">
        <x:v>S40</x:v>
      </x:c>
      <x:c r="C1222" s="2" t="str">
        <x:v>24027907</x:v>
      </x:c>
      <x:c r="D1222" s="2" t="n">
        <x:v>0</x:v>
      </x:c>
      <x:c r="E1222" s="9"/>
      <x:c r="F1222" s="2" t="n">
        <x:f>IF(E1222="",D1222,IF(E1222="U","U",IF(AND(ISNUMBER(E1222),E1222&gt;=0,E1222&lt;=3,INT(E1222)=E1222),E1222,"Invalid")))</x:f>
        <x:v>0</x:v>
      </x:c>
      <x:c r="G1222" s="2" t="n">
        <x:f>IF(ISNUMBER(F1222),1,0)</x:f>
        <x:v>1</x:v>
      </x:c>
      <x:c r="H1222" s="2" t="n">
        <x:f>IF(ISNUMBER(F1222),IF(F1222&gt;=2,1,0),0)</x:f>
        <x:v>0</x:v>
      </x:c>
      <x:c r="I1222" s="11" t="n">
        <x:f>IF(ISNUMBER(F1222),2^F1222-1,0)</x:f>
        <x:v>0</x:v>
      </x:c>
      <x:c r="J1222" s="2" t="str">
        <x:v>Extension pre-run 600</x:v>
      </x:c>
      <x:c r="K1222" s="10" t="n">
        <x:v>7300</x:v>
      </x:c>
      <x:c r="L1222" s="10" t="n">
        <x:v>3</x:v>
      </x:c>
      <x:c r="M1222" s="10" t="n">
        <x:v>1894</x:v>
      </x:c>
      <x:c r="N1222" s="2" t="str">
        <x:v>D03</x:v>
      </x:c>
      <x:c r="O1222" s="2" t="str">
        <x:v>condominium</x:v>
      </x:c>
      <x:c r="P1222" s="2" t="str">
        <x:v>https://www.propertyguru.com.sg/listing/for-rent-river-place-24027907</x:v>
      </x:c>
      <x:c r="Q1222" s="12" t="str">
        <x:v>Pre-registered source-rubric-v1; grade applied before outputs.</x:v>
      </x:c>
      <x:c r="R1222" s="13"/>
    </x:row>
    <x:row r="1223" ht="15" hidden="0" customHeight="1">
      <x:c r="A1223" s="2" t="str">
        <x:v>S40|500275572</x:v>
      </x:c>
      <x:c r="B1223" s="2" t="str">
        <x:v>S40</x:v>
      </x:c>
      <x:c r="C1223" s="2" t="str">
        <x:v>500275572</x:v>
      </x:c>
      <x:c r="D1223" s="2" t="str">
        <x:v>U</x:v>
      </x:c>
      <x:c r="E1223" s="9"/>
      <x:c r="F1223" s="2" t="str">
        <x:f>IF(E1223="",D1223,IF(E1223="U","U",IF(AND(ISNUMBER(E1223),E1223&gt;=0,E1223&lt;=3,INT(E1223)=E1223),E1223,"Invalid")))</x:f>
        <x:v>U</x:v>
      </x:c>
      <x:c r="G1223" s="2" t="n">
        <x:f>IF(ISNUMBER(F1223),1,0)</x:f>
        <x:v>0</x:v>
      </x:c>
      <x:c r="H1223" s="2" t="n">
        <x:f>IF(ISNUMBER(F1223),IF(F1223&gt;=2,1,0),0)</x:f>
        <x:v>0</x:v>
      </x:c>
      <x:c r="I1223" s="11" t="n">
        <x:f>IF(ISNUMBER(F1223),2^F1223-1,0)</x:f>
        <x:v>0</x:v>
      </x:c>
      <x:c r="J1223" s="2" t="str">
        <x:v>Extension pre-run 600</x:v>
      </x:c>
      <x:c r="K1223" s="10" t="n">
        <x:v>3000</x:v>
      </x:c>
      <x:c r="L1223" s="10"/>
      <x:c r="M1223" s="10" t="n">
        <x:v>300</x:v>
      </x:c>
      <x:c r="N1223" s="2" t="str">
        <x:v>D15</x:v>
      </x:c>
      <x:c r="O1223" s="2" t="str">
        <x:v>condominium</x:v>
      </x:c>
      <x:c r="P1223" s="2" t="str">
        <x:v>https://www.propertyguru.com.sg/listing/for-rent-grand-dunman-500275572</x:v>
      </x:c>
      <x:c r="Q1223" s="12" t="str">
        <x:v>Pre-registered source-rubric-v1; grade applied before outputs.</x:v>
      </x:c>
      <x:c r="R1223" s="13"/>
    </x:row>
    <x:row r="1224" ht="15" hidden="0" customHeight="1">
      <x:c r="A1224" s="2" t="str">
        <x:v>S40|500277573</x:v>
      </x:c>
      <x:c r="B1224" s="2" t="str">
        <x:v>S40</x:v>
      </x:c>
      <x:c r="C1224" s="2" t="str">
        <x:v>500277573</x:v>
      </x:c>
      <x:c r="D1224" s="2" t="str">
        <x:v>U</x:v>
      </x:c>
      <x:c r="E1224" s="9"/>
      <x:c r="F1224" s="2" t="str">
        <x:f>IF(E1224="",D1224,IF(E1224="U","U",IF(AND(ISNUMBER(E1224),E1224&gt;=0,E1224&lt;=3,INT(E1224)=E1224),E1224,"Invalid")))</x:f>
        <x:v>U</x:v>
      </x:c>
      <x:c r="G1224" s="2" t="n">
        <x:f>IF(ISNUMBER(F1224),1,0)</x:f>
        <x:v>0</x:v>
      </x:c>
      <x:c r="H1224" s="2" t="n">
        <x:f>IF(ISNUMBER(F1224),IF(F1224&gt;=2,1,0),0)</x:f>
        <x:v>0</x:v>
      </x:c>
      <x:c r="I1224" s="11" t="n">
        <x:f>IF(ISNUMBER(F1224),2^F1224-1,0)</x:f>
        <x:v>0</x:v>
      </x:c>
      <x:c r="J1224" s="2" t="str">
        <x:v>Extension pre-run 600</x:v>
      </x:c>
      <x:c r="K1224" s="10" t="n">
        <x:v>3000</x:v>
      </x:c>
      <x:c r="L1224" s="10"/>
      <x:c r="M1224" s="10" t="n">
        <x:v>300</x:v>
      </x:c>
      <x:c r="N1224" s="2" t="str">
        <x:v>D15</x:v>
      </x:c>
      <x:c r="O1224" s="2" t="str">
        <x:v>condominium</x:v>
      </x:c>
      <x:c r="P1224" s="2" t="str">
        <x:v>https://www.propertyguru.com.sg/listing/for-rent-grand-dunman-500277573</x:v>
      </x:c>
      <x:c r="Q1224" s="12" t="str">
        <x:v>Pre-registered source-rubric-v1; grade applied before outputs.</x:v>
      </x:c>
      <x:c r="R1224" s="13"/>
    </x:row>
    <x:row r="1225" ht="24" hidden="0" customHeight="1">
      <x:c r="A1225" s="2" t="str">
        <x:v>S21|500269618</x:v>
      </x:c>
      <x:c r="B1225" s="2" t="str">
        <x:v>S21</x:v>
      </x:c>
      <x:c r="C1225" s="2" t="str">
        <x:v>500269618</x:v>
      </x:c>
      <x:c r="D1225" s="2" t="n">
        <x:v>3</x:v>
      </x:c>
      <x:c r="E1225" s="9"/>
      <x:c r="F1225" s="2" t="n">
        <x:f>IF(E1225="",D1225,IF(E1225="U","U",IF(AND(ISNUMBER(E1225),E1225&gt;=0,E1225&lt;=3,INT(E1225)=E1225),E1225,"Invalid")))</x:f>
        <x:v>3</x:v>
      </x:c>
      <x:c r="G1225" s="2" t="n">
        <x:f>IF(ISNUMBER(F1225),1,0)</x:f>
        <x:v>1</x:v>
      </x:c>
      <x:c r="H1225" s="2" t="n">
        <x:f>IF(ISNUMBER(F1225),IF(F1225&gt;=2,1,0),0)</x:f>
        <x:v>1</x:v>
      </x:c>
      <x:c r="I1225" s="11" t="n">
        <x:f>IF(ISNUMBER(F1225),2^F1225-1,0)</x:f>
        <x:v>7</x:v>
      </x:c>
      <x:c r="J1225" s="2" t="str">
        <x:v>Extension pre-frozen corpus addition</x:v>
      </x:c>
      <x:c r="K1225" s="10" t="n">
        <x:v>1100</x:v>
      </x:c>
      <x:c r="L1225" s="10" t="n">
        <x:v>3</x:v>
      </x:c>
      <x:c r="M1225" s="10" t="n">
        <x:v>947</x:v>
      </x:c>
      <x:c r="N1225" s="2" t="str">
        <x:v>D20</x:v>
      </x:c>
      <x:c r="O1225" s="2" t="str">
        <x:v>hdb flat</x:v>
      </x:c>
      <x:c r="P1225" s="2" t="str">
        <x:v>https://www.propertyguru.com.sg/listing/hdb-for-rent-25-sin-ming-road-500269618</x:v>
      </x:c>
      <x:c r="Q1225" s="12" t="str">
        <x:v>Identity added to the common review pool after return; grade unchanged from the pre-run corpus freeze.</x:v>
      </x:c>
      <x:c r="R1225" s="13"/>
    </x:row>
    <x:row r="1226" ht="24" hidden="0" customHeight="1">
      <x:c r="A1226" s="2" t="str">
        <x:v>S21|500283878</x:v>
      </x:c>
      <x:c r="B1226" s="2" t="str">
        <x:v>S21</x:v>
      </x:c>
      <x:c r="C1226" s="2" t="str">
        <x:v>500283878</x:v>
      </x:c>
      <x:c r="D1226" s="2" t="n">
        <x:v>3</x:v>
      </x:c>
      <x:c r="E1226" s="9"/>
      <x:c r="F1226" s="2" t="n">
        <x:f>IF(E1226="",D1226,IF(E1226="U","U",IF(AND(ISNUMBER(E1226),E1226&gt;=0,E1226&lt;=3,INT(E1226)=E1226),E1226,"Invalid")))</x:f>
        <x:v>3</x:v>
      </x:c>
      <x:c r="G1226" s="2" t="n">
        <x:f>IF(ISNUMBER(F1226),1,0)</x:f>
        <x:v>1</x:v>
      </x:c>
      <x:c r="H1226" s="2" t="n">
        <x:f>IF(ISNUMBER(F1226),IF(F1226&gt;=2,1,0),0)</x:f>
        <x:v>1</x:v>
      </x:c>
      <x:c r="I1226" s="11" t="n">
        <x:f>IF(ISNUMBER(F1226),2^F1226-1,0)</x:f>
        <x:v>7</x:v>
      </x:c>
      <x:c r="J1226" s="2" t="str">
        <x:v>Extension pre-frozen corpus addition</x:v>
      </x:c>
      <x:c r="K1226" s="10" t="n">
        <x:v>1000</x:v>
      </x:c>
      <x:c r="L1226" s="10" t="n">
        <x:v>1</x:v>
      </x:c>
      <x:c r="M1226" s="10" t="n">
        <x:v>861</x:v>
      </x:c>
      <x:c r="N1226" s="2" t="str">
        <x:v>D03</x:v>
      </x:c>
      <x:c r="O1226" s="2" t="str">
        <x:v>hdb flat</x:v>
      </x:c>
      <x:c r="P1226" s="2" t="str">
        <x:v>https://www.propertyguru.com.sg/listing/hdb-for-rent-63a-lengkok-bahru-500283878</x:v>
      </x:c>
      <x:c r="Q1226" s="12" t="str">
        <x:v>Identity added to the common review pool after return; grade unchanged from the pre-run corpus freeze.</x:v>
      </x:c>
      <x:c r="R1226" s="13"/>
    </x:row>
    <x:row r="1227" ht="24" hidden="0" customHeight="1">
      <x:c r="A1227" s="2" t="str">
        <x:v>S22|21758066</x:v>
      </x:c>
      <x:c r="B1227" s="2" t="str">
        <x:v>S22</x:v>
      </x:c>
      <x:c r="C1227" s="2" t="str">
        <x:v>21758066</x:v>
      </x:c>
      <x:c r="D1227" s="2" t="n">
        <x:v>3</x:v>
      </x:c>
      <x:c r="E1227" s="9"/>
      <x:c r="F1227" s="2" t="n">
        <x:f>IF(E1227="",D1227,IF(E1227="U","U",IF(AND(ISNUMBER(E1227),E1227&gt;=0,E1227&lt;=3,INT(E1227)=E1227),E1227,"Invalid")))</x:f>
        <x:v>3</x:v>
      </x:c>
      <x:c r="G1227" s="2" t="n">
        <x:f>IF(ISNUMBER(F1227),1,0)</x:f>
        <x:v>1</x:v>
      </x:c>
      <x:c r="H1227" s="2" t="n">
        <x:f>IF(ISNUMBER(F1227),IF(F1227&gt;=2,1,0),0)</x:f>
        <x:v>1</x:v>
      </x:c>
      <x:c r="I1227" s="11" t="n">
        <x:f>IF(ISNUMBER(F1227),2^F1227-1,0)</x:f>
        <x:v>7</x:v>
      </x:c>
      <x:c r="J1227" s="2" t="str">
        <x:v>Extension pre-frozen corpus addition</x:v>
      </x:c>
      <x:c r="K1227" s="10" t="n">
        <x:v>3200</x:v>
      </x:c>
      <x:c r="L1227" s="10" t="n">
        <x:v>2</x:v>
      </x:c>
      <x:c r="M1227" s="10" t="n">
        <x:v>1200</x:v>
      </x:c>
      <x:c r="N1227" s="2" t="str">
        <x:v>D18</x:v>
      </x:c>
      <x:c r="O1227" s="2" t="str">
        <x:v>hdb flat</x:v>
      </x:c>
      <x:c r="P1227" s="2" t="str">
        <x:v>https://www.propertyguru.com.sg/listing/hdb-for-rent-886-tampines-street-83-21758066</x:v>
      </x:c>
      <x:c r="Q1227" s="12" t="str">
        <x:v>Identity added to the common review pool after return; grade unchanged from the pre-run corpus freeze.</x:v>
      </x:c>
      <x:c r="R1227" s="13"/>
    </x:row>
    <x:row r="1228" ht="24" hidden="0" customHeight="1">
      <x:c r="A1228" s="2" t="str">
        <x:v>S22|23482922</x:v>
      </x:c>
      <x:c r="B1228" s="2" t="str">
        <x:v>S22</x:v>
      </x:c>
      <x:c r="C1228" s="2" t="str">
        <x:v>23482922</x:v>
      </x:c>
      <x:c r="D1228" s="2" t="n">
        <x:v>3</x:v>
      </x:c>
      <x:c r="E1228" s="9"/>
      <x:c r="F1228" s="2" t="n">
        <x:f>IF(E1228="",D1228,IF(E1228="U","U",IF(AND(ISNUMBER(E1228),E1228&gt;=0,E1228&lt;=3,INT(E1228)=E1228),E1228,"Invalid")))</x:f>
        <x:v>3</x:v>
      </x:c>
      <x:c r="G1228" s="2" t="n">
        <x:f>IF(ISNUMBER(F1228),1,0)</x:f>
        <x:v>1</x:v>
      </x:c>
      <x:c r="H1228" s="2" t="n">
        <x:f>IF(ISNUMBER(F1228),IF(F1228&gt;=2,1,0),0)</x:f>
        <x:v>1</x:v>
      </x:c>
      <x:c r="I1228" s="11" t="n">
        <x:f>IF(ISNUMBER(F1228),2^F1228-1,0)</x:f>
        <x:v>7</x:v>
      </x:c>
      <x:c r="J1228" s="2" t="str">
        <x:v>Extension pre-frozen corpus addition</x:v>
      </x:c>
      <x:c r="K1228" s="10" t="n">
        <x:v>3500</x:v>
      </x:c>
      <x:c r="L1228" s="10" t="n">
        <x:v>3</x:v>
      </x:c>
      <x:c r="M1228" s="10" t="n">
        <x:v>1055</x:v>
      </x:c>
      <x:c r="N1228" s="2" t="str">
        <x:v>D17</x:v>
      </x:c>
      <x:c r="O1228" s="2" t="str">
        <x:v>condominium</x:v>
      </x:c>
      <x:c r="P1228" s="2" t="str">
        <x:v>https://www.propertyguru.com.sg/listing/for-rent-edelweiss-park-condo-23482922</x:v>
      </x:c>
      <x:c r="Q1228" s="12" t="str">
        <x:v>Identity added to the common review pool after return; grade unchanged from the pre-run corpus freeze.</x:v>
      </x:c>
      <x:c r="R1228" s="13"/>
    </x:row>
    <x:row r="1229" ht="24" hidden="0" customHeight="1">
      <x:c r="A1229" s="2" t="str">
        <x:v>S22|24135647</x:v>
      </x:c>
      <x:c r="B1229" s="2" t="str">
        <x:v>S22</x:v>
      </x:c>
      <x:c r="C1229" s="2" t="str">
        <x:v>24135647</x:v>
      </x:c>
      <x:c r="D1229" s="2" t="n">
        <x:v>3</x:v>
      </x:c>
      <x:c r="E1229" s="9"/>
      <x:c r="F1229" s="2" t="n">
        <x:f>IF(E1229="",D1229,IF(E1229="U","U",IF(AND(ISNUMBER(E1229),E1229&gt;=0,E1229&lt;=3,INT(E1229)=E1229),E1229,"Invalid")))</x:f>
        <x:v>3</x:v>
      </x:c>
      <x:c r="G1229" s="2" t="n">
        <x:f>IF(ISNUMBER(F1229),1,0)</x:f>
        <x:v>1</x:v>
      </x:c>
      <x:c r="H1229" s="2" t="n">
        <x:f>IF(ISNUMBER(F1229),IF(F1229&gt;=2,1,0),0)</x:f>
        <x:v>1</x:v>
      </x:c>
      <x:c r="I1229" s="11" t="n">
        <x:f>IF(ISNUMBER(F1229),2^F1229-1,0)</x:f>
        <x:v>7</x:v>
      </x:c>
      <x:c r="J1229" s="2" t="str">
        <x:v>Extension pre-frozen corpus addition</x:v>
      </x:c>
      <x:c r="K1229" s="10" t="n">
        <x:v>3500</x:v>
      </x:c>
      <x:c r="L1229" s="10" t="n">
        <x:v>3</x:v>
      </x:c>
      <x:c r="M1229" s="10" t="n">
        <x:v>1001</x:v>
      </x:c>
      <x:c r="N1229" s="2" t="str">
        <x:v>D27</x:v>
      </x:c>
      <x:c r="O1229" s="2" t="str">
        <x:v>hdb flat</x:v>
      </x:c>
      <x:c r="P1229" s="2" t="str">
        <x:v>https://www.propertyguru.com.sg/listing/hdb-for-rent-107a-canberra-street-24135647</x:v>
      </x:c>
      <x:c r="Q1229" s="12" t="str">
        <x:v>Identity added to the common review pool after return; grade unchanged from the pre-run corpus freeze.</x:v>
      </x:c>
      <x:c r="R1229" s="13"/>
    </x:row>
    <x:row r="1230" ht="24" hidden="0" customHeight="1">
      <x:c r="A1230" s="2" t="str">
        <x:v>S22|24200214</x:v>
      </x:c>
      <x:c r="B1230" s="2" t="str">
        <x:v>S22</x:v>
      </x:c>
      <x:c r="C1230" s="2" t="str">
        <x:v>24200214</x:v>
      </x:c>
      <x:c r="D1230" s="2" t="n">
        <x:v>3</x:v>
      </x:c>
      <x:c r="E1230" s="9"/>
      <x:c r="F1230" s="2" t="n">
        <x:f>IF(E1230="",D1230,IF(E1230="U","U",IF(AND(ISNUMBER(E1230),E1230&gt;=0,E1230&lt;=3,INT(E1230)=E1230),E1230,"Invalid")))</x:f>
        <x:v>3</x:v>
      </x:c>
      <x:c r="G1230" s="2" t="n">
        <x:f>IF(ISNUMBER(F1230),1,0)</x:f>
        <x:v>1</x:v>
      </x:c>
      <x:c r="H1230" s="2" t="n">
        <x:f>IF(ISNUMBER(F1230),IF(F1230&gt;=2,1,0),0)</x:f>
        <x:v>1</x:v>
      </x:c>
      <x:c r="I1230" s="11" t="n">
        <x:f>IF(ISNUMBER(F1230),2^F1230-1,0)</x:f>
        <x:v>7</x:v>
      </x:c>
      <x:c r="J1230" s="2" t="str">
        <x:v>Extension pre-frozen corpus addition</x:v>
      </x:c>
      <x:c r="K1230" s="10" t="n">
        <x:v>3300</x:v>
      </x:c>
      <x:c r="L1230" s="10" t="n">
        <x:v>3</x:v>
      </x:c>
      <x:c r="M1230" s="10" t="n">
        <x:v>904</x:v>
      </x:c>
      <x:c r="N1230" s="2" t="str">
        <x:v>D27</x:v>
      </x:c>
      <x:c r="O1230" s="2" t="str">
        <x:v>hdb flat</x:v>
      </x:c>
      <x:c r="P1230" s="2" t="str">
        <x:v>https://www.propertyguru.com.sg/listing/hdb-for-rent-642-yishun-street-61-24200214</x:v>
      </x:c>
      <x:c r="Q1230" s="12" t="str">
        <x:v>Identity added to the common review pool after return; grade unchanged from the pre-run corpus freeze.</x:v>
      </x:c>
      <x:c r="R1230" s="13"/>
    </x:row>
    <x:row r="1231" ht="24" hidden="0" customHeight="1">
      <x:c r="A1231" s="2" t="str">
        <x:v>S22|24593875</x:v>
      </x:c>
      <x:c r="B1231" s="2" t="str">
        <x:v>S22</x:v>
      </x:c>
      <x:c r="C1231" s="2" t="str">
        <x:v>24593875</x:v>
      </x:c>
      <x:c r="D1231" s="2" t="n">
        <x:v>3</x:v>
      </x:c>
      <x:c r="E1231" s="9"/>
      <x:c r="F1231" s="2" t="n">
        <x:f>IF(E1231="",D1231,IF(E1231="U","U",IF(AND(ISNUMBER(E1231),E1231&gt;=0,E1231&lt;=3,INT(E1231)=E1231),E1231,"Invalid")))</x:f>
        <x:v>3</x:v>
      </x:c>
      <x:c r="G1231" s="2" t="n">
        <x:f>IF(ISNUMBER(F1231),1,0)</x:f>
        <x:v>1</x:v>
      </x:c>
      <x:c r="H1231" s="2" t="n">
        <x:f>IF(ISNUMBER(F1231),IF(F1231&gt;=2,1,0),0)</x:f>
        <x:v>1</x:v>
      </x:c>
      <x:c r="I1231" s="11" t="n">
        <x:f>IF(ISNUMBER(F1231),2^F1231-1,0)</x:f>
        <x:v>7</x:v>
      </x:c>
      <x:c r="J1231" s="2" t="str">
        <x:v>Extension pre-frozen corpus addition</x:v>
      </x:c>
      <x:c r="K1231" s="10" t="n">
        <x:v>3500</x:v>
      </x:c>
      <x:c r="L1231" s="10" t="n">
        <x:v>3</x:v>
      </x:c>
      <x:c r="M1231" s="10" t="n">
        <x:v>1087</x:v>
      </x:c>
      <x:c r="N1231" s="2" t="str">
        <x:v>D23</x:v>
      </x:c>
      <x:c r="O1231" s="2" t="str">
        <x:v>hdb flat</x:v>
      </x:c>
      <x:c r="P1231" s="2" t="str">
        <x:v>https://www.propertyguru.com.sg/listing/hdb-for-rent-449-bukit-panjang-ring-road-24593875</x:v>
      </x:c>
      <x:c r="Q1231" s="12" t="str">
        <x:v>Identity added to the common review pool after return; grade unchanged from the pre-run corpus freeze.</x:v>
      </x:c>
      <x:c r="R1231" s="13"/>
    </x:row>
    <x:row r="1232" ht="24" hidden="0" customHeight="1">
      <x:c r="A1232" s="2" t="str">
        <x:v>S22|500270090</x:v>
      </x:c>
      <x:c r="B1232" s="2" t="str">
        <x:v>S22</x:v>
      </x:c>
      <x:c r="C1232" s="2" t="str">
        <x:v>500270090</x:v>
      </x:c>
      <x:c r="D1232" s="2" t="n">
        <x:v>3</x:v>
      </x:c>
      <x:c r="E1232" s="9"/>
      <x:c r="F1232" s="2" t="n">
        <x:f>IF(E1232="",D1232,IF(E1232="U","U",IF(AND(ISNUMBER(E1232),E1232&gt;=0,E1232&lt;=3,INT(E1232)=E1232),E1232,"Invalid")))</x:f>
        <x:v>3</x:v>
      </x:c>
      <x:c r="G1232" s="2" t="n">
        <x:f>IF(ISNUMBER(F1232),1,0)</x:f>
        <x:v>1</x:v>
      </x:c>
      <x:c r="H1232" s="2" t="n">
        <x:f>IF(ISNUMBER(F1232),IF(F1232&gt;=2,1,0),0)</x:f>
        <x:v>1</x:v>
      </x:c>
      <x:c r="I1232" s="11" t="n">
        <x:f>IF(ISNUMBER(F1232),2^F1232-1,0)</x:f>
        <x:v>7</x:v>
      </x:c>
      <x:c r="J1232" s="2" t="str">
        <x:v>Extension pre-frozen corpus addition</x:v>
      </x:c>
      <x:c r="K1232" s="10" t="n">
        <x:v>3500</x:v>
      </x:c>
      <x:c r="L1232" s="10" t="n">
        <x:v>2</x:v>
      </x:c>
      <x:c r="M1232" s="10" t="n">
        <x:v>1292</x:v>
      </x:c>
      <x:c r="N1232" s="2" t="str">
        <x:v>D17</x:v>
      </x:c>
      <x:c r="O1232" s="2" t="str">
        <x:v>terraced house</x:v>
      </x:c>
      <x:c r="P1232" s="2" t="str">
        <x:v>https://www.propertyguru.com.sg/listing/for-rent-60-upavon-road-03-500270090</x:v>
      </x:c>
      <x:c r="Q1232" s="12" t="str">
        <x:v>Identity added to the common review pool after return; grade unchanged from the pre-run corpus freeze.</x:v>
      </x:c>
      <x:c r="R1232" s="13"/>
    </x:row>
    <x:row r="1233" ht="24" hidden="0" customHeight="1">
      <x:c r="A1233" s="2" t="str">
        <x:v>S22|500275647</x:v>
      </x:c>
      <x:c r="B1233" s="2" t="str">
        <x:v>S22</x:v>
      </x:c>
      <x:c r="C1233" s="2" t="str">
        <x:v>500275647</x:v>
      </x:c>
      <x:c r="D1233" s="2" t="n">
        <x:v>3</x:v>
      </x:c>
      <x:c r="E1233" s="9"/>
      <x:c r="F1233" s="2" t="n">
        <x:f>IF(E1233="",D1233,IF(E1233="U","U",IF(AND(ISNUMBER(E1233),E1233&gt;=0,E1233&lt;=3,INT(E1233)=E1233),E1233,"Invalid")))</x:f>
        <x:v>3</x:v>
      </x:c>
      <x:c r="G1233" s="2" t="n">
        <x:f>IF(ISNUMBER(F1233),1,0)</x:f>
        <x:v>1</x:v>
      </x:c>
      <x:c r="H1233" s="2" t="n">
        <x:f>IF(ISNUMBER(F1233),IF(F1233&gt;=2,1,0),0)</x:f>
        <x:v>1</x:v>
      </x:c>
      <x:c r="I1233" s="11" t="n">
        <x:f>IF(ISNUMBER(F1233),2^F1233-1,0)</x:f>
        <x:v>7</x:v>
      </x:c>
      <x:c r="J1233" s="2" t="str">
        <x:v>Extension pre-frozen corpus addition</x:v>
      </x:c>
      <x:c r="K1233" s="10" t="n">
        <x:v>3300</x:v>
      </x:c>
      <x:c r="L1233" s="10" t="n">
        <x:v>3</x:v>
      </x:c>
      <x:c r="M1233" s="10" t="n">
        <x:v>990</x:v>
      </x:c>
      <x:c r="N1233" s="2" t="str">
        <x:v>D19</x:v>
      </x:c>
      <x:c r="O1233" s="2" t="str">
        <x:v>hdb flat</x:v>
      </x:c>
      <x:c r="P1233" s="2" t="str">
        <x:v>https://www.propertyguru.com.sg/listing/hdb-for-rent-318d-anchorvale-link-500275647</x:v>
      </x:c>
      <x:c r="Q1233" s="12" t="str">
        <x:v>Identity added to the common review pool after return; grade unchanged from the pre-run corpus freeze.</x:v>
      </x:c>
      <x:c r="R1233" s="13"/>
    </x:row>
    <x:row r="1234" ht="24" hidden="0" customHeight="1">
      <x:c r="A1234" s="2" t="str">
        <x:v>S22|500282537</x:v>
      </x:c>
      <x:c r="B1234" s="2" t="str">
        <x:v>S22</x:v>
      </x:c>
      <x:c r="C1234" s="2" t="str">
        <x:v>500282537</x:v>
      </x:c>
      <x:c r="D1234" s="2" t="n">
        <x:v>3</x:v>
      </x:c>
      <x:c r="E1234" s="9"/>
      <x:c r="F1234" s="2" t="n">
        <x:f>IF(E1234="",D1234,IF(E1234="U","U",IF(AND(ISNUMBER(E1234),E1234&gt;=0,E1234&lt;=3,INT(E1234)=E1234),E1234,"Invalid")))</x:f>
        <x:v>3</x:v>
      </x:c>
      <x:c r="G1234" s="2" t="n">
        <x:f>IF(ISNUMBER(F1234),1,0)</x:f>
        <x:v>1</x:v>
      </x:c>
      <x:c r="H1234" s="2" t="n">
        <x:f>IF(ISNUMBER(F1234),IF(F1234&gt;=2,1,0),0)</x:f>
        <x:v>1</x:v>
      </x:c>
      <x:c r="I1234" s="11" t="n">
        <x:f>IF(ISNUMBER(F1234),2^F1234-1,0)</x:f>
        <x:v>7</x:v>
      </x:c>
      <x:c r="J1234" s="2" t="str">
        <x:v>Extension pre-frozen corpus addition</x:v>
      </x:c>
      <x:c r="K1234" s="10" t="n">
        <x:v>3300</x:v>
      </x:c>
      <x:c r="L1234" s="10" t="n">
        <x:v>3</x:v>
      </x:c>
      <x:c r="M1234" s="10" t="n">
        <x:v>904</x:v>
      </x:c>
      <x:c r="N1234" s="2" t="str">
        <x:v>D27</x:v>
      </x:c>
      <x:c r="O1234" s="2" t="str">
        <x:v>hdb flat</x:v>
      </x:c>
      <x:c r="P1234" s="2" t="str">
        <x:v>https://www.propertyguru.com.sg/listing/hdb-for-rent-256-yishun-ring-road-500282537</x:v>
      </x:c>
      <x:c r="Q1234" s="12" t="str">
        <x:v>Identity added to the common review pool after return; grade unchanged from the pre-run corpus freeze.</x:v>
      </x:c>
      <x:c r="R1234" s="13"/>
    </x:row>
    <x:row r="1235" ht="24" hidden="0" customHeight="1">
      <x:c r="A1235" s="2" t="str">
        <x:v>S22|500283415</x:v>
      </x:c>
      <x:c r="B1235" s="2" t="str">
        <x:v>S22</x:v>
      </x:c>
      <x:c r="C1235" s="2" t="str">
        <x:v>500283415</x:v>
      </x:c>
      <x:c r="D1235" s="2" t="n">
        <x:v>3</x:v>
      </x:c>
      <x:c r="E1235" s="9"/>
      <x:c r="F1235" s="2" t="n">
        <x:f>IF(E1235="",D1235,IF(E1235="U","U",IF(AND(ISNUMBER(E1235),E1235&gt;=0,E1235&lt;=3,INT(E1235)=E1235),E1235,"Invalid")))</x:f>
        <x:v>3</x:v>
      </x:c>
      <x:c r="G1235" s="2" t="n">
        <x:f>IF(ISNUMBER(F1235),1,0)</x:f>
        <x:v>1</x:v>
      </x:c>
      <x:c r="H1235" s="2" t="n">
        <x:f>IF(ISNUMBER(F1235),IF(F1235&gt;=2,1,0),0)</x:f>
        <x:v>1</x:v>
      </x:c>
      <x:c r="I1235" s="11" t="n">
        <x:f>IF(ISNUMBER(F1235),2^F1235-1,0)</x:f>
        <x:v>7</x:v>
      </x:c>
      <x:c r="J1235" s="2" t="str">
        <x:v>Extension pre-frozen corpus addition</x:v>
      </x:c>
      <x:c r="K1235" s="10" t="n">
        <x:v>3288</x:v>
      </x:c>
      <x:c r="L1235" s="10" t="n">
        <x:v>3</x:v>
      </x:c>
      <x:c r="M1235" s="10" t="n">
        <x:v>1023</x:v>
      </x:c>
      <x:c r="N1235" s="2" t="str">
        <x:v>D27</x:v>
      </x:c>
      <x:c r="O1235" s="2" t="str">
        <x:v>hdb flat</x:v>
      </x:c>
      <x:c r="P1235" s="2" t="str">
        <x:v>https://www.propertyguru.com.sg/listing/hdb-for-rent-357b-admiralty-drive-500283415</x:v>
      </x:c>
      <x:c r="Q1235" s="12" t="str">
        <x:v>Identity added to the common review pool after return; grade unchanged from the pre-run corpus freeze.</x:v>
      </x:c>
      <x:c r="R1235" s="13"/>
    </x:row>
    <x:row r="1236" ht="24" hidden="0" customHeight="1">
      <x:c r="A1236" s="2" t="str">
        <x:v>S22|60214422</x:v>
      </x:c>
      <x:c r="B1236" s="2" t="str">
        <x:v>S22</x:v>
      </x:c>
      <x:c r="C1236" s="2" t="str">
        <x:v>60214422</x:v>
      </x:c>
      <x:c r="D1236" s="2" t="n">
        <x:v>3</x:v>
      </x:c>
      <x:c r="E1236" s="9"/>
      <x:c r="F1236" s="2" t="n">
        <x:f>IF(E1236="",D1236,IF(E1236="U","U",IF(AND(ISNUMBER(E1236),E1236&gt;=0,E1236&lt;=3,INT(E1236)=E1236),E1236,"Invalid")))</x:f>
        <x:v>3</x:v>
      </x:c>
      <x:c r="G1236" s="2" t="n">
        <x:f>IF(ISNUMBER(F1236),1,0)</x:f>
        <x:v>1</x:v>
      </x:c>
      <x:c r="H1236" s="2" t="n">
        <x:f>IF(ISNUMBER(F1236),IF(F1236&gt;=2,1,0),0)</x:f>
        <x:v>1</x:v>
      </x:c>
      <x:c r="I1236" s="11" t="n">
        <x:f>IF(ISNUMBER(F1236),2^F1236-1,0)</x:f>
        <x:v>7</x:v>
      </x:c>
      <x:c r="J1236" s="2" t="str">
        <x:v>Extension pre-frozen corpus addition</x:v>
      </x:c>
      <x:c r="K1236" s="10" t="n">
        <x:v>3500</x:v>
      </x:c>
      <x:c r="L1236" s="10" t="n">
        <x:v>3</x:v>
      </x:c>
      <x:c r="M1236" s="10" t="n">
        <x:v>1001</x:v>
      </x:c>
      <x:c r="N1236" s="2" t="str">
        <x:v>D28</x:v>
      </x:c>
      <x:c r="O1236" s="2" t="str">
        <x:v>hdb flat</x:v>
      </x:c>
      <x:c r="P1236" s="2" t="str">
        <x:v>https://www.propertyguru.com.sg/listing/hdb-for-rent-433b-sengkang-west-way-60214422</x:v>
      </x:c>
      <x:c r="Q1236" s="12" t="str">
        <x:v>Identity added to the common review pool after return; grade unchanged from the pre-run corpus freeze.</x:v>
      </x:c>
      <x:c r="R1236" s="13"/>
    </x:row>
    <x:row r="1237" ht="24" hidden="0" customHeight="1">
      <x:c r="A1237" s="2" t="str">
        <x:v>S23|21449474</x:v>
      </x:c>
      <x:c r="B1237" s="2" t="str">
        <x:v>S23</x:v>
      </x:c>
      <x:c r="C1237" s="2" t="str">
        <x:v>21449474</x:v>
      </x:c>
      <x:c r="D1237" s="2" t="n">
        <x:v>3</x:v>
      </x:c>
      <x:c r="E1237" s="9"/>
      <x:c r="F1237" s="2" t="n">
        <x:f>IF(E1237="",D1237,IF(E1237="U","U",IF(AND(ISNUMBER(E1237),E1237&gt;=0,E1237&lt;=3,INT(E1237)=E1237),E1237,"Invalid")))</x:f>
        <x:v>3</x:v>
      </x:c>
      <x:c r="G1237" s="2" t="n">
        <x:f>IF(ISNUMBER(F1237),1,0)</x:f>
        <x:v>1</x:v>
      </x:c>
      <x:c r="H1237" s="2" t="n">
        <x:f>IF(ISNUMBER(F1237),IF(F1237&gt;=2,1,0),0)</x:f>
        <x:v>1</x:v>
      </x:c>
      <x:c r="I1237" s="11" t="n">
        <x:f>IF(ISNUMBER(F1237),2^F1237-1,0)</x:f>
        <x:v>7</x:v>
      </x:c>
      <x:c r="J1237" s="2" t="str">
        <x:v>Extension pre-frozen corpus addition</x:v>
      </x:c>
      <x:c r="K1237" s="10" t="n">
        <x:v>3500</x:v>
      </x:c>
      <x:c r="L1237" s="10" t="n">
        <x:v>2</x:v>
      </x:c>
      <x:c r="M1237" s="10" t="n">
        <x:v>1205</x:v>
      </x:c>
      <x:c r="N1237" s="2" t="str">
        <x:v>D19</x:v>
      </x:c>
      <x:c r="O1237" s="2" t="str">
        <x:v>hdb flat</x:v>
      </x:c>
      <x:c r="P1237" s="2" t="str">
        <x:v>https://www.propertyguru.com.sg/listing/hdb-for-rent-170c-punggol-field-21449474</x:v>
      </x:c>
      <x:c r="Q1237" s="12" t="str">
        <x:v>Identity added to the common review pool after return; grade unchanged from the pre-run corpus freeze.</x:v>
      </x:c>
      <x:c r="R1237" s="13"/>
    </x:row>
    <x:row r="1238" ht="24" hidden="0" customHeight="1">
      <x:c r="A1238" s="2" t="str">
        <x:v>S23|24027721</x:v>
      </x:c>
      <x:c r="B1238" s="2" t="str">
        <x:v>S23</x:v>
      </x:c>
      <x:c r="C1238" s="2" t="str">
        <x:v>24027721</x:v>
      </x:c>
      <x:c r="D1238" s="2" t="n">
        <x:v>3</x:v>
      </x:c>
      <x:c r="E1238" s="9"/>
      <x:c r="F1238" s="2" t="n">
        <x:f>IF(E1238="",D1238,IF(E1238="U","U",IF(AND(ISNUMBER(E1238),E1238&gt;=0,E1238&lt;=3,INT(E1238)=E1238),E1238,"Invalid")))</x:f>
        <x:v>3</x:v>
      </x:c>
      <x:c r="G1238" s="2" t="n">
        <x:f>IF(ISNUMBER(F1238),1,0)</x:f>
        <x:v>1</x:v>
      </x:c>
      <x:c r="H1238" s="2" t="n">
        <x:f>IF(ISNUMBER(F1238),IF(F1238&gt;=2,1,0),0)</x:f>
        <x:v>1</x:v>
      </x:c>
      <x:c r="I1238" s="11" t="n">
        <x:f>IF(ISNUMBER(F1238),2^F1238-1,0)</x:f>
        <x:v>7</x:v>
      </x:c>
      <x:c r="J1238" s="2" t="str">
        <x:v>Extension pre-frozen corpus addition</x:v>
      </x:c>
      <x:c r="K1238" s="10" t="n">
        <x:v>3500</x:v>
      </x:c>
      <x:c r="L1238" s="10" t="n">
        <x:v>2</x:v>
      </x:c>
      <x:c r="M1238" s="10" t="n">
        <x:v>990</x:v>
      </x:c>
      <x:c r="N1238" s="2" t="str">
        <x:v>D19</x:v>
      </x:c>
      <x:c r="O1238" s="2" t="str">
        <x:v>condominium</x:v>
      </x:c>
      <x:c r="P1238" s="2" t="str">
        <x:v>https://www.propertyguru.com.sg/listing/for-rent-eden-view-24027721</x:v>
      </x:c>
      <x:c r="Q1238" s="12" t="str">
        <x:v>Identity added to the common review pool after return; grade unchanged from the pre-run corpus freeze.</x:v>
      </x:c>
      <x:c r="R1238" s="13"/>
    </x:row>
    <x:row r="1239" ht="24" hidden="0" customHeight="1">
      <x:c r="A1239" s="2" t="str">
        <x:v>S23|24883031</x:v>
      </x:c>
      <x:c r="B1239" s="2" t="str">
        <x:v>S23</x:v>
      </x:c>
      <x:c r="C1239" s="2" t="str">
        <x:v>24883031</x:v>
      </x:c>
      <x:c r="D1239" s="2" t="n">
        <x:v>3</x:v>
      </x:c>
      <x:c r="E1239" s="9"/>
      <x:c r="F1239" s="2" t="n">
        <x:f>IF(E1239="",D1239,IF(E1239="U","U",IF(AND(ISNUMBER(E1239),E1239&gt;=0,E1239&lt;=3,INT(E1239)=E1239),E1239,"Invalid")))</x:f>
        <x:v>3</x:v>
      </x:c>
      <x:c r="G1239" s="2" t="n">
        <x:f>IF(ISNUMBER(F1239),1,0)</x:f>
        <x:v>1</x:v>
      </x:c>
      <x:c r="H1239" s="2" t="n">
        <x:f>IF(ISNUMBER(F1239),IF(F1239&gt;=2,1,0),0)</x:f>
        <x:v>1</x:v>
      </x:c>
      <x:c r="I1239" s="11" t="n">
        <x:f>IF(ISNUMBER(F1239),2^F1239-1,0)</x:f>
        <x:v>7</x:v>
      </x:c>
      <x:c r="J1239" s="2" t="str">
        <x:v>Extension pre-frozen corpus addition</x:v>
      </x:c>
      <x:c r="K1239" s="10" t="n">
        <x:v>3400</x:v>
      </x:c>
      <x:c r="L1239" s="10" t="n">
        <x:v>2</x:v>
      </x:c>
      <x:c r="M1239" s="10" t="n">
        <x:v>800</x:v>
      </x:c>
      <x:c r="N1239" s="2" t="str">
        <x:v>D19</x:v>
      </x:c>
      <x:c r="O1239" s="2" t="str">
        <x:v>executive condominium</x:v>
      </x:c>
      <x:c r="P1239" s="2" t="str">
        <x:v>https://www.propertyguru.com.sg/listing/for-rent-riverparc-residence-24883031</x:v>
      </x:c>
      <x:c r="Q1239" s="12" t="str">
        <x:v>Identity added to the common review pool after return; grade unchanged from the pre-run corpus freeze.</x:v>
      </x:c>
      <x:c r="R1239" s="13"/>
    </x:row>
    <x:row r="1240" ht="24" hidden="0" customHeight="1">
      <x:c r="A1240" s="2" t="str">
        <x:v>S23|500069617</x:v>
      </x:c>
      <x:c r="B1240" s="2" t="str">
        <x:v>S23</x:v>
      </x:c>
      <x:c r="C1240" s="2" t="str">
        <x:v>500069617</x:v>
      </x:c>
      <x:c r="D1240" s="2" t="n">
        <x:v>3</x:v>
      </x:c>
      <x:c r="E1240" s="9"/>
      <x:c r="F1240" s="2" t="n">
        <x:f>IF(E1240="",D1240,IF(E1240="U","U",IF(AND(ISNUMBER(E1240),E1240&gt;=0,E1240&lt;=3,INT(E1240)=E1240),E1240,"Invalid")))</x:f>
        <x:v>3</x:v>
      </x:c>
      <x:c r="G1240" s="2" t="n">
        <x:f>IF(ISNUMBER(F1240),1,0)</x:f>
        <x:v>1</x:v>
      </x:c>
      <x:c r="H1240" s="2" t="n">
        <x:f>IF(ISNUMBER(F1240),IF(F1240&gt;=2,1,0),0)</x:f>
        <x:v>1</x:v>
      </x:c>
      <x:c r="I1240" s="11" t="n">
        <x:f>IF(ISNUMBER(F1240),2^F1240-1,0)</x:f>
        <x:v>7</x:v>
      </x:c>
      <x:c r="J1240" s="2" t="str">
        <x:v>Extension pre-frozen corpus addition</x:v>
      </x:c>
      <x:c r="K1240" s="10" t="n">
        <x:v>3300</x:v>
      </x:c>
      <x:c r="L1240" s="10" t="n">
        <x:v>2</x:v>
      </x:c>
      <x:c r="M1240" s="10" t="n">
        <x:v>968</x:v>
      </x:c>
      <x:c r="N1240" s="2" t="str">
        <x:v>D19</x:v>
      </x:c>
      <x:c r="O1240" s="2" t="str">
        <x:v>hdb flat</x:v>
      </x:c>
      <x:c r="P1240" s="2" t="str">
        <x:v>https://www.propertyguru.com.sg/listing/hdb-for-rent-208b-compassvale-lane-500069617</x:v>
      </x:c>
      <x:c r="Q1240" s="12" t="str">
        <x:v>Identity added to the common review pool after return; grade unchanged from the pre-run corpus freeze.</x:v>
      </x:c>
      <x:c r="R1240" s="13"/>
    </x:row>
    <x:row r="1241" ht="24" hidden="0" customHeight="1">
      <x:c r="A1241" s="2" t="str">
        <x:v>S23|500261379</x:v>
      </x:c>
      <x:c r="B1241" s="2" t="str">
        <x:v>S23</x:v>
      </x:c>
      <x:c r="C1241" s="2" t="str">
        <x:v>500261379</x:v>
      </x:c>
      <x:c r="D1241" s="2" t="n">
        <x:v>3</x:v>
      </x:c>
      <x:c r="E1241" s="9"/>
      <x:c r="F1241" s="2" t="n">
        <x:f>IF(E1241="",D1241,IF(E1241="U","U",IF(AND(ISNUMBER(E1241),E1241&gt;=0,E1241&lt;=3,INT(E1241)=E1241),E1241,"Invalid")))</x:f>
        <x:v>3</x:v>
      </x:c>
      <x:c r="G1241" s="2" t="n">
        <x:f>IF(ISNUMBER(F1241),1,0)</x:f>
        <x:v>1</x:v>
      </x:c>
      <x:c r="H1241" s="2" t="n">
        <x:f>IF(ISNUMBER(F1241),IF(F1241&gt;=2,1,0),0)</x:f>
        <x:v>1</x:v>
      </x:c>
      <x:c r="I1241" s="11" t="n">
        <x:f>IF(ISNUMBER(F1241),2^F1241-1,0)</x:f>
        <x:v>7</x:v>
      </x:c>
      <x:c r="J1241" s="2" t="str">
        <x:v>Extension pre-frozen corpus addition</x:v>
      </x:c>
      <x:c r="K1241" s="10" t="n">
        <x:v>3200</x:v>
      </x:c>
      <x:c r="L1241" s="10" t="n">
        <x:v>2</x:v>
      </x:c>
      <x:c r="M1241" s="10" t="n">
        <x:v>1067</x:v>
      </x:c>
      <x:c r="N1241" s="2" t="str">
        <x:v>D19</x:v>
      </x:c>
      <x:c r="O1241" s="2" t="str">
        <x:v>hdb flat</x:v>
      </x:c>
      <x:c r="P1241" s="2" t="str">
        <x:v>https://www.propertyguru.com.sg/listing/hdb-for-rent-950-hougang-street-91-500261379</x:v>
      </x:c>
      <x:c r="Q1241" s="12" t="str">
        <x:v>Identity added to the common review pool after return; grade unchanged from the pre-run corpus freeze.</x:v>
      </x:c>
      <x:c r="R1241" s="13"/>
    </x:row>
    <x:row r="1242" ht="24" hidden="0" customHeight="1">
      <x:c r="A1242" s="2" t="str">
        <x:v>S23|500273209</x:v>
      </x:c>
      <x:c r="B1242" s="2" t="str">
        <x:v>S23</x:v>
      </x:c>
      <x:c r="C1242" s="2" t="str">
        <x:v>500273209</x:v>
      </x:c>
      <x:c r="D1242" s="2" t="n">
        <x:v>3</x:v>
      </x:c>
      <x:c r="E1242" s="9"/>
      <x:c r="F1242" s="2" t="n">
        <x:f>IF(E1242="",D1242,IF(E1242="U","U",IF(AND(ISNUMBER(E1242),E1242&gt;=0,E1242&lt;=3,INT(E1242)=E1242),E1242,"Invalid")))</x:f>
        <x:v>3</x:v>
      </x:c>
      <x:c r="G1242" s="2" t="n">
        <x:f>IF(ISNUMBER(F1242),1,0)</x:f>
        <x:v>1</x:v>
      </x:c>
      <x:c r="H1242" s="2" t="n">
        <x:f>IF(ISNUMBER(F1242),IF(F1242&gt;=2,1,0),0)</x:f>
        <x:v>1</x:v>
      </x:c>
      <x:c r="I1242" s="11" t="n">
        <x:f>IF(ISNUMBER(F1242),2^F1242-1,0)</x:f>
        <x:v>7</x:v>
      </x:c>
      <x:c r="J1242" s="2" t="str">
        <x:v>Extension pre-frozen corpus addition</x:v>
      </x:c>
      <x:c r="K1242" s="10" t="n">
        <x:v>3300</x:v>
      </x:c>
      <x:c r="L1242" s="10" t="n">
        <x:v>2</x:v>
      </x:c>
      <x:c r="M1242" s="10" t="n">
        <x:v>818</x:v>
      </x:c>
      <x:c r="N1242" s="2" t="str">
        <x:v>D18</x:v>
      </x:c>
      <x:c r="O1242" s="2" t="str">
        <x:v>condominium</x:v>
      </x:c>
      <x:c r="P1242" s="2" t="str">
        <x:v>https://www.propertyguru.com.sg/listing/for-rent-sea-esta-500273209</x:v>
      </x:c>
      <x:c r="Q1242" s="12" t="str">
        <x:v>Identity added to the common review pool after return; grade unchanged from the pre-run corpus freeze.</x:v>
      </x:c>
      <x:c r="R1242" s="13"/>
    </x:row>
    <x:row r="1243" ht="24" hidden="0" customHeight="1">
      <x:c r="A1243" s="2" t="str">
        <x:v>S23|500287718</x:v>
      </x:c>
      <x:c r="B1243" s="2" t="str">
        <x:v>S23</x:v>
      </x:c>
      <x:c r="C1243" s="2" t="str">
        <x:v>500287718</x:v>
      </x:c>
      <x:c r="D1243" s="2" t="n">
        <x:v>3</x:v>
      </x:c>
      <x:c r="E1243" s="9"/>
      <x:c r="F1243" s="2" t="n">
        <x:f>IF(E1243="",D1243,IF(E1243="U","U",IF(AND(ISNUMBER(E1243),E1243&gt;=0,E1243&lt;=3,INT(E1243)=E1243),E1243,"Invalid")))</x:f>
        <x:v>3</x:v>
      </x:c>
      <x:c r="G1243" s="2" t="n">
        <x:f>IF(ISNUMBER(F1243),1,0)</x:f>
        <x:v>1</x:v>
      </x:c>
      <x:c r="H1243" s="2" t="n">
        <x:f>IF(ISNUMBER(F1243),IF(F1243&gt;=2,1,0),0)</x:f>
        <x:v>1</x:v>
      </x:c>
      <x:c r="I1243" s="11" t="n">
        <x:f>IF(ISNUMBER(F1243),2^F1243-1,0)</x:f>
        <x:v>7</x:v>
      </x:c>
      <x:c r="J1243" s="2" t="str">
        <x:v>Extension pre-frozen corpus addition</x:v>
      </x:c>
      <x:c r="K1243" s="10" t="n">
        <x:v>3000</x:v>
      </x:c>
      <x:c r="L1243" s="10" t="n">
        <x:v>2</x:v>
      </x:c>
      <x:c r="M1243" s="10" t="n">
        <x:v>800</x:v>
      </x:c>
      <x:c r="N1243" s="2" t="str">
        <x:v>D18</x:v>
      </x:c>
      <x:c r="O1243" s="2" t="str">
        <x:v>hdb flat</x:v>
      </x:c>
      <x:c r="P1243" s="2" t="str">
        <x:v>https://www.propertyguru.com.sg/listing/hdb-for-rent-420-tampines-street-41-500287718</x:v>
      </x:c>
      <x:c r="Q1243" s="12" t="str">
        <x:v>Identity added to the common review pool after return; grade unchanged from the pre-run corpus freeze.</x:v>
      </x:c>
      <x:c r="R1243" s="13"/>
    </x:row>
    <x:row r="1244" ht="24" hidden="0" customHeight="1">
      <x:c r="A1244" s="2" t="str">
        <x:v>S23|60060332</x:v>
      </x:c>
      <x:c r="B1244" s="2" t="str">
        <x:v>S23</x:v>
      </x:c>
      <x:c r="C1244" s="2" t="str">
        <x:v>60060332</x:v>
      </x:c>
      <x:c r="D1244" s="2" t="n">
        <x:v>3</x:v>
      </x:c>
      <x:c r="E1244" s="9"/>
      <x:c r="F1244" s="2" t="n">
        <x:f>IF(E1244="",D1244,IF(E1244="U","U",IF(AND(ISNUMBER(E1244),E1244&gt;=0,E1244&lt;=3,INT(E1244)=E1244),E1244,"Invalid")))</x:f>
        <x:v>3</x:v>
      </x:c>
      <x:c r="G1244" s="2" t="n">
        <x:f>IF(ISNUMBER(F1244),1,0)</x:f>
        <x:v>1</x:v>
      </x:c>
      <x:c r="H1244" s="2" t="n">
        <x:f>IF(ISNUMBER(F1244),IF(F1244&gt;=2,1,0),0)</x:f>
        <x:v>1</x:v>
      </x:c>
      <x:c r="I1244" s="11" t="n">
        <x:f>IF(ISNUMBER(F1244),2^F1244-1,0)</x:f>
        <x:v>7</x:v>
      </x:c>
      <x:c r="J1244" s="2" t="str">
        <x:v>Extension pre-frozen corpus addition</x:v>
      </x:c>
      <x:c r="K1244" s="10" t="n">
        <x:v>2400</x:v>
      </x:c>
      <x:c r="L1244" s="10" t="n">
        <x:v>2</x:v>
      </x:c>
      <x:c r="M1244" s="10" t="n">
        <x:v>800</x:v>
      </x:c>
      <x:c r="N1244" s="2" t="str">
        <x:v>D19</x:v>
      </x:c>
      <x:c r="O1244" s="2" t="str">
        <x:v>hdb flat</x:v>
      </x:c>
      <x:c r="P1244" s="2" t="str">
        <x:v>https://www.propertyguru.com.sg/listing/hdb-for-rent-239-hougang-street-22-60060332</x:v>
      </x:c>
      <x:c r="Q1244" s="12" t="str">
        <x:v>Identity added to the common review pool after return; grade unchanged from the pre-run corpus freeze.</x:v>
      </x:c>
      <x:c r="R1244" s="13"/>
    </x:row>
    <x:row r="1245" ht="24" hidden="0" customHeight="1">
      <x:c r="A1245" s="2" t="str">
        <x:v>S24|24564406</x:v>
      </x:c>
      <x:c r="B1245" s="2" t="str">
        <x:v>S24</x:v>
      </x:c>
      <x:c r="C1245" s="2" t="str">
        <x:v>24564406</x:v>
      </x:c>
      <x:c r="D1245" s="2" t="n">
        <x:v>3</x:v>
      </x:c>
      <x:c r="E1245" s="9"/>
      <x:c r="F1245" s="2" t="n">
        <x:f>IF(E1245="",D1245,IF(E1245="U","U",IF(AND(ISNUMBER(E1245),E1245&gt;=0,E1245&lt;=3,INT(E1245)=E1245),E1245,"Invalid")))</x:f>
        <x:v>3</x:v>
      </x:c>
      <x:c r="G1245" s="2" t="n">
        <x:f>IF(ISNUMBER(F1245),1,0)</x:f>
        <x:v>1</x:v>
      </x:c>
      <x:c r="H1245" s="2" t="n">
        <x:f>IF(ISNUMBER(F1245),IF(F1245&gt;=2,1,0),0)</x:f>
        <x:v>1</x:v>
      </x:c>
      <x:c r="I1245" s="11" t="n">
        <x:f>IF(ISNUMBER(F1245),2^F1245-1,0)</x:f>
        <x:v>7</x:v>
      </x:c>
      <x:c r="J1245" s="2" t="str">
        <x:v>Extension pre-frozen corpus addition</x:v>
      </x:c>
      <x:c r="K1245" s="10" t="n">
        <x:v>2700</x:v>
      </x:c>
      <x:c r="L1245" s="10" t="n">
        <x:v>2</x:v>
      </x:c>
      <x:c r="M1245" s="10" t="n">
        <x:v>1097</x:v>
      </x:c>
      <x:c r="N1245" s="2" t="str">
        <x:v>D25</x:v>
      </x:c>
      <x:c r="O1245" s="2" t="str">
        <x:v>hdb flat</x:v>
      </x:c>
      <x:c r="P1245" s="2" t="str">
        <x:v>https://www.propertyguru.com.sg/listing/hdb-for-rent-608-woodlands-ring-road-24564406</x:v>
      </x:c>
      <x:c r="Q1245" s="12" t="str">
        <x:v>Identity added to the common review pool after return; grade unchanged from the pre-run corpus freeze.</x:v>
      </x:c>
      <x:c r="R1245" s="13"/>
    </x:row>
    <x:row r="1246" ht="24" hidden="0" customHeight="1">
      <x:c r="A1246" s="2" t="str">
        <x:v>S24|20343516</x:v>
      </x:c>
      <x:c r="B1246" s="2" t="str">
        <x:v>S24</x:v>
      </x:c>
      <x:c r="C1246" s="2" t="str">
        <x:v>20343516</x:v>
      </x:c>
      <x:c r="D1246" s="2" t="n">
        <x:v>2</x:v>
      </x:c>
      <x:c r="E1246" s="9"/>
      <x:c r="F1246" s="2" t="n">
        <x:f>IF(E1246="",D1246,IF(E1246="U","U",IF(AND(ISNUMBER(E1246),E1246&gt;=0,E1246&lt;=3,INT(E1246)=E1246),E1246,"Invalid")))</x:f>
        <x:v>2</x:v>
      </x:c>
      <x:c r="G1246" s="2" t="n">
        <x:f>IF(ISNUMBER(F1246),1,0)</x:f>
        <x:v>1</x:v>
      </x:c>
      <x:c r="H1246" s="2" t="n">
        <x:f>IF(ISNUMBER(F1246),IF(F1246&gt;=2,1,0),0)</x:f>
        <x:v>1</x:v>
      </x:c>
      <x:c r="I1246" s="11" t="n">
        <x:f>IF(ISNUMBER(F1246),2^F1246-1,0)</x:f>
        <x:v>3</x:v>
      </x:c>
      <x:c r="J1246" s="2" t="str">
        <x:v>Extension pre-frozen corpus addition</x:v>
      </x:c>
      <x:c r="K1246" s="10" t="n">
        <x:v>3400</x:v>
      </x:c>
      <x:c r="L1246" s="10" t="n">
        <x:v>3</x:v>
      </x:c>
      <x:c r="M1246" s="10" t="n">
        <x:v>1119</x:v>
      </x:c>
      <x:c r="N1246" s="2" t="str">
        <x:v>D23</x:v>
      </x:c>
      <x:c r="O1246" s="2" t="str">
        <x:v>hdb flat</x:v>
      </x:c>
      <x:c r="P1246" s="2" t="str">
        <x:v>https://www.propertyguru.com.sg/listing/hdb-for-rent-237-choa-chu-kang-central-20343516</x:v>
      </x:c>
      <x:c r="Q1246" s="12" t="str">
        <x:v>Identity added to the common review pool after return; grade unchanged from the pre-run corpus freeze.</x:v>
      </x:c>
      <x:c r="R1246" s="13"/>
    </x:row>
    <x:row r="1247" ht="24" hidden="0" customHeight="1">
      <x:c r="A1247" s="2" t="str">
        <x:v>S24|22076860</x:v>
      </x:c>
      <x:c r="B1247" s="2" t="str">
        <x:v>S24</x:v>
      </x:c>
      <x:c r="C1247" s="2" t="str">
        <x:v>22076860</x:v>
      </x:c>
      <x:c r="D1247" s="2" t="n">
        <x:v>2</x:v>
      </x:c>
      <x:c r="E1247" s="9"/>
      <x:c r="F1247" s="2" t="n">
        <x:f>IF(E1247="",D1247,IF(E1247="U","U",IF(AND(ISNUMBER(E1247),E1247&gt;=0,E1247&lt;=3,INT(E1247)=E1247),E1247,"Invalid")))</x:f>
        <x:v>2</x:v>
      </x:c>
      <x:c r="G1247" s="2" t="n">
        <x:f>IF(ISNUMBER(F1247),1,0)</x:f>
        <x:v>1</x:v>
      </x:c>
      <x:c r="H1247" s="2" t="n">
        <x:f>IF(ISNUMBER(F1247),IF(F1247&gt;=2,1,0),0)</x:f>
        <x:v>1</x:v>
      </x:c>
      <x:c r="I1247" s="11" t="n">
        <x:f>IF(ISNUMBER(F1247),2^F1247-1,0)</x:f>
        <x:v>3</x:v>
      </x:c>
      <x:c r="J1247" s="2" t="str">
        <x:v>Extension pre-frozen corpus addition</x:v>
      </x:c>
      <x:c r="K1247" s="10" t="n">
        <x:v>3200</x:v>
      </x:c>
      <x:c r="L1247" s="10" t="n">
        <x:v>3</x:v>
      </x:c>
      <x:c r="M1247" s="10" t="n">
        <x:v>1291</x:v>
      </x:c>
      <x:c r="N1247" s="2" t="str">
        <x:v>D25</x:v>
      </x:c>
      <x:c r="O1247" s="2" t="str">
        <x:v>hdb flat</x:v>
      </x:c>
      <x:c r="P1247" s="2" t="str">
        <x:v>https://www.propertyguru.com.sg/listing/hdb-for-rent-537-woodlands-drive-16-22076860</x:v>
      </x:c>
      <x:c r="Q1247" s="12" t="str">
        <x:v>Identity added to the common review pool after return; grade unchanged from the pre-run corpus freeze.</x:v>
      </x:c>
      <x:c r="R1247" s="13"/>
    </x:row>
    <x:row r="1248" ht="24" hidden="0" customHeight="1">
      <x:c r="A1248" s="2" t="str">
        <x:v>S24|23846409</x:v>
      </x:c>
      <x:c r="B1248" s="2" t="str">
        <x:v>S24</x:v>
      </x:c>
      <x:c r="C1248" s="2" t="str">
        <x:v>23846409</x:v>
      </x:c>
      <x:c r="D1248" s="2" t="n">
        <x:v>2</x:v>
      </x:c>
      <x:c r="E1248" s="9"/>
      <x:c r="F1248" s="2" t="n">
        <x:f>IF(E1248="",D1248,IF(E1248="U","U",IF(AND(ISNUMBER(E1248),E1248&gt;=0,E1248&lt;=3,INT(E1248)=E1248),E1248,"Invalid")))</x:f>
        <x:v>2</x:v>
      </x:c>
      <x:c r="G1248" s="2" t="n">
        <x:f>IF(ISNUMBER(F1248),1,0)</x:f>
        <x:v>1</x:v>
      </x:c>
      <x:c r="H1248" s="2" t="n">
        <x:f>IF(ISNUMBER(F1248),IF(F1248&gt;=2,1,0),0)</x:f>
        <x:v>1</x:v>
      </x:c>
      <x:c r="I1248" s="11" t="n">
        <x:f>IF(ISNUMBER(F1248),2^F1248-1,0)</x:f>
        <x:v>3</x:v>
      </x:c>
      <x:c r="J1248" s="2" t="str">
        <x:v>Extension pre-frozen corpus addition</x:v>
      </x:c>
      <x:c r="K1248" s="10" t="n">
        <x:v>3500</x:v>
      </x:c>
      <x:c r="L1248" s="10" t="n">
        <x:v>3</x:v>
      </x:c>
      <x:c r="M1248" s="10" t="n">
        <x:v>1237</x:v>
      </x:c>
      <x:c r="N1248" s="2" t="str">
        <x:v>D25</x:v>
      </x:c>
      <x:c r="O1248" s="2" t="str">
        <x:v>hdb flat</x:v>
      </x:c>
      <x:c r="P1248" s="2" t="str">
        <x:v>https://www.propertyguru.com.sg/listing/hdb-for-rent-687b-woodlands-drive-75-23846409</x:v>
      </x:c>
      <x:c r="Q1248" s="12" t="str">
        <x:v>Identity added to the common review pool after return; grade unchanged from the pre-run corpus freeze.</x:v>
      </x:c>
      <x:c r="R1248" s="13"/>
    </x:row>
    <x:row r="1249" ht="24" hidden="0" customHeight="1">
      <x:c r="A1249" s="2" t="str">
        <x:v>S24|23860303</x:v>
      </x:c>
      <x:c r="B1249" s="2" t="str">
        <x:v>S24</x:v>
      </x:c>
      <x:c r="C1249" s="2" t="str">
        <x:v>23860303</x:v>
      </x:c>
      <x:c r="D1249" s="2" t="n">
        <x:v>2</x:v>
      </x:c>
      <x:c r="E1249" s="9"/>
      <x:c r="F1249" s="2" t="n">
        <x:f>IF(E1249="",D1249,IF(E1249="U","U",IF(AND(ISNUMBER(E1249),E1249&gt;=0,E1249&lt;=3,INT(E1249)=E1249),E1249,"Invalid")))</x:f>
        <x:v>2</x:v>
      </x:c>
      <x:c r="G1249" s="2" t="n">
        <x:f>IF(ISNUMBER(F1249),1,0)</x:f>
        <x:v>1</x:v>
      </x:c>
      <x:c r="H1249" s="2" t="n">
        <x:f>IF(ISNUMBER(F1249),IF(F1249&gt;=2,1,0),0)</x:f>
        <x:v>1</x:v>
      </x:c>
      <x:c r="I1249" s="11" t="n">
        <x:f>IF(ISNUMBER(F1249),2^F1249-1,0)</x:f>
        <x:v>3</x:v>
      </x:c>
      <x:c r="J1249" s="2" t="str">
        <x:v>Extension pre-frozen corpus addition</x:v>
      </x:c>
      <x:c r="K1249" s="10" t="n">
        <x:v>3400</x:v>
      </x:c>
      <x:c r="L1249" s="10" t="n">
        <x:v>3</x:v>
      </x:c>
      <x:c r="M1249" s="10" t="n">
        <x:v>1227</x:v>
      </x:c>
      <x:c r="N1249" s="2" t="str">
        <x:v>D25</x:v>
      </x:c>
      <x:c r="O1249" s="2" t="str">
        <x:v>hdb flat</x:v>
      </x:c>
      <x:c r="P1249" s="2" t="str">
        <x:v>https://www.propertyguru.com.sg/listing/hdb-for-rent-685c-woodlands-drive-73-23860303</x:v>
      </x:c>
      <x:c r="Q1249" s="12" t="str">
        <x:v>Identity added to the common review pool after return; grade unchanged from the pre-run corpus freeze.</x:v>
      </x:c>
      <x:c r="R1249" s="13"/>
    </x:row>
    <x:row r="1250" ht="24" hidden="0" customHeight="1">
      <x:c r="A1250" s="2" t="str">
        <x:v>S24|23989847</x:v>
      </x:c>
      <x:c r="B1250" s="2" t="str">
        <x:v>S24</x:v>
      </x:c>
      <x:c r="C1250" s="2" t="str">
        <x:v>23989847</x:v>
      </x:c>
      <x:c r="D1250" s="2" t="n">
        <x:v>2</x:v>
      </x:c>
      <x:c r="E1250" s="9"/>
      <x:c r="F1250" s="2" t="n">
        <x:f>IF(E1250="",D1250,IF(E1250="U","U",IF(AND(ISNUMBER(E1250),E1250&gt;=0,E1250&lt;=3,INT(E1250)=E1250),E1250,"Invalid")))</x:f>
        <x:v>2</x:v>
      </x:c>
      <x:c r="G1250" s="2" t="n">
        <x:f>IF(ISNUMBER(F1250),1,0)</x:f>
        <x:v>1</x:v>
      </x:c>
      <x:c r="H1250" s="2" t="n">
        <x:f>IF(ISNUMBER(F1250),IF(F1250&gt;=2,1,0),0)</x:f>
        <x:v>1</x:v>
      </x:c>
      <x:c r="I1250" s="11" t="n">
        <x:f>IF(ISNUMBER(F1250),2^F1250-1,0)</x:f>
        <x:v>3</x:v>
      </x:c>
      <x:c r="J1250" s="2" t="str">
        <x:v>Extension pre-frozen corpus addition</x:v>
      </x:c>
      <x:c r="K1250" s="10" t="n">
        <x:v>3200</x:v>
      </x:c>
      <x:c r="L1250" s="10" t="n">
        <x:v>3</x:v>
      </x:c>
      <x:c r="M1250" s="10" t="n">
        <x:v>1119</x:v>
      </x:c>
      <x:c r="N1250" s="2" t="str">
        <x:v>D25</x:v>
      </x:c>
      <x:c r="O1250" s="2" t="str">
        <x:v>hdb flat</x:v>
      </x:c>
      <x:c r="P1250" s="2" t="str">
        <x:v>https://www.propertyguru.com.sg/listing/hdb-for-rent-324-woodlands-street-32-23989847</x:v>
      </x:c>
      <x:c r="Q1250" s="12" t="str">
        <x:v>Identity added to the common review pool after return; grade unchanged from the pre-run corpus freeze.</x:v>
      </x:c>
      <x:c r="R1250" s="13"/>
    </x:row>
    <x:row r="1251" ht="24" hidden="0" customHeight="1">
      <x:c r="A1251" s="2" t="str">
        <x:v>S24|24038395</x:v>
      </x:c>
      <x:c r="B1251" s="2" t="str">
        <x:v>S24</x:v>
      </x:c>
      <x:c r="C1251" s="2" t="str">
        <x:v>24038395</x:v>
      </x:c>
      <x:c r="D1251" s="2" t="n">
        <x:v>2</x:v>
      </x:c>
      <x:c r="E1251" s="9"/>
      <x:c r="F1251" s="2" t="n">
        <x:f>IF(E1251="",D1251,IF(E1251="U","U",IF(AND(ISNUMBER(E1251),E1251&gt;=0,E1251&lt;=3,INT(E1251)=E1251),E1251,"Invalid")))</x:f>
        <x:v>2</x:v>
      </x:c>
      <x:c r="G1251" s="2" t="n">
        <x:f>IF(ISNUMBER(F1251),1,0)</x:f>
        <x:v>1</x:v>
      </x:c>
      <x:c r="H1251" s="2" t="n">
        <x:f>IF(ISNUMBER(F1251),IF(F1251&gt;=2,1,0),0)</x:f>
        <x:v>1</x:v>
      </x:c>
      <x:c r="I1251" s="11" t="n">
        <x:f>IF(ISNUMBER(F1251),2^F1251-1,0)</x:f>
        <x:v>3</x:v>
      </x:c>
      <x:c r="J1251" s="2" t="str">
        <x:v>Extension pre-frozen corpus addition</x:v>
      </x:c>
      <x:c r="K1251" s="10" t="n">
        <x:v>3500</x:v>
      </x:c>
      <x:c r="L1251" s="10" t="n">
        <x:v>3</x:v>
      </x:c>
      <x:c r="M1251" s="10" t="n">
        <x:v>969</x:v>
      </x:c>
      <x:c r="N1251" s="2" t="str">
        <x:v>D23</x:v>
      </x:c>
      <x:c r="O1251" s="2" t="str">
        <x:v>hdb flat</x:v>
      </x:c>
      <x:c r="P1251" s="2" t="str">
        <x:v>https://www.propertyguru.com.sg/listing/hdb-for-rent-615-bukit-panjang-ring-road-24038395</x:v>
      </x:c>
      <x:c r="Q1251" s="12" t="str">
        <x:v>Identity added to the common review pool after return; grade unchanged from the pre-run corpus freeze.</x:v>
      </x:c>
      <x:c r="R1251" s="13"/>
    </x:row>
    <x:row r="1252" ht="24" hidden="0" customHeight="1">
      <x:c r="A1252" s="2" t="str">
        <x:v>S24|24159156</x:v>
      </x:c>
      <x:c r="B1252" s="2" t="str">
        <x:v>S24</x:v>
      </x:c>
      <x:c r="C1252" s="2" t="str">
        <x:v>24159156</x:v>
      </x:c>
      <x:c r="D1252" s="2" t="n">
        <x:v>2</x:v>
      </x:c>
      <x:c r="E1252" s="9"/>
      <x:c r="F1252" s="2" t="n">
        <x:f>IF(E1252="",D1252,IF(E1252="U","U",IF(AND(ISNUMBER(E1252),E1252&gt;=0,E1252&lt;=3,INT(E1252)=E1252),E1252,"Invalid")))</x:f>
        <x:v>2</x:v>
      </x:c>
      <x:c r="G1252" s="2" t="n">
        <x:f>IF(ISNUMBER(F1252),1,0)</x:f>
        <x:v>1</x:v>
      </x:c>
      <x:c r="H1252" s="2" t="n">
        <x:f>IF(ISNUMBER(F1252),IF(F1252&gt;=2,1,0),0)</x:f>
        <x:v>1</x:v>
      </x:c>
      <x:c r="I1252" s="11" t="n">
        <x:f>IF(ISNUMBER(F1252),2^F1252-1,0)</x:f>
        <x:v>3</x:v>
      </x:c>
      <x:c r="J1252" s="2" t="str">
        <x:v>Extension pre-frozen corpus addition</x:v>
      </x:c>
      <x:c r="K1252" s="10" t="n">
        <x:v>3200</x:v>
      </x:c>
      <x:c r="L1252" s="10" t="n">
        <x:v>2</x:v>
      </x:c>
      <x:c r="M1252" s="10" t="n">
        <x:v>969</x:v>
      </x:c>
      <x:c r="N1252" s="2" t="str">
        <x:v>D23</x:v>
      </x:c>
      <x:c r="O1252" s="2" t="str">
        <x:v>hdb flat</x:v>
      </x:c>
      <x:c r="P1252" s="2" t="str">
        <x:v>https://www.propertyguru.com.sg/listing/hdb-for-rent-177-lompang-road-24159156</x:v>
      </x:c>
      <x:c r="Q1252" s="12" t="str">
        <x:v>Identity added to the common review pool after return; grade unchanged from the pre-run corpus freeze.</x:v>
      </x:c>
      <x:c r="R1252" s="13"/>
    </x:row>
    <x:row r="1253" ht="24" hidden="0" customHeight="1">
      <x:c r="A1253" s="2" t="str">
        <x:v>S25|24411986</x:v>
      </x:c>
      <x:c r="B1253" s="2" t="str">
        <x:v>S25</x:v>
      </x:c>
      <x:c r="C1253" s="2" t="str">
        <x:v>24411986</x:v>
      </x:c>
      <x:c r="D1253" s="2" t="n">
        <x:v>3</x:v>
      </x:c>
      <x:c r="E1253" s="9"/>
      <x:c r="F1253" s="2" t="n">
        <x:f>IF(E1253="",D1253,IF(E1253="U","U",IF(AND(ISNUMBER(E1253),E1253&gt;=0,E1253&lt;=3,INT(E1253)=E1253),E1253,"Invalid")))</x:f>
        <x:v>3</x:v>
      </x:c>
      <x:c r="G1253" s="2" t="n">
        <x:f>IF(ISNUMBER(F1253),1,0)</x:f>
        <x:v>1</x:v>
      </x:c>
      <x:c r="H1253" s="2" t="n">
        <x:f>IF(ISNUMBER(F1253),IF(F1253&gt;=2,1,0),0)</x:f>
        <x:v>1</x:v>
      </x:c>
      <x:c r="I1253" s="11" t="n">
        <x:f>IF(ISNUMBER(F1253),2^F1253-1,0)</x:f>
        <x:v>7</x:v>
      </x:c>
      <x:c r="J1253" s="2" t="str">
        <x:v>Extension pre-frozen corpus addition</x:v>
      </x:c>
      <x:c r="K1253" s="10" t="n">
        <x:v>3400</x:v>
      </x:c>
      <x:c r="L1253" s="10" t="n">
        <x:v>3</x:v>
      </x:c>
      <x:c r="M1253" s="10" t="n">
        <x:v>1184</x:v>
      </x:c>
      <x:c r="N1253" s="2" t="str">
        <x:v>D19</x:v>
      </x:c>
      <x:c r="O1253" s="2" t="str">
        <x:v>hdb flat</x:v>
      </x:c>
      <x:c r="P1253" s="2" t="str">
        <x:v>https://www.propertyguru.com.sg/listing/hdb-for-rent-176b-edgefield-plains-24411986</x:v>
      </x:c>
      <x:c r="Q1253" s="12" t="str">
        <x:v>Identity added to the common review pool after return; grade unchanged from the pre-run corpus freeze.</x:v>
      </x:c>
      <x:c r="R1253" s="13"/>
    </x:row>
    <x:row r="1254" ht="24" hidden="0" customHeight="1">
      <x:c r="A1254" s="2" t="str">
        <x:v>S25|25328179</x:v>
      </x:c>
      <x:c r="B1254" s="2" t="str">
        <x:v>S25</x:v>
      </x:c>
      <x:c r="C1254" s="2" t="str">
        <x:v>25328179</x:v>
      </x:c>
      <x:c r="D1254" s="2" t="n">
        <x:v>3</x:v>
      </x:c>
      <x:c r="E1254" s="9"/>
      <x:c r="F1254" s="2" t="n">
        <x:f>IF(E1254="",D1254,IF(E1254="U","U",IF(AND(ISNUMBER(E1254),E1254&gt;=0,E1254&lt;=3,INT(E1254)=E1254),E1254,"Invalid")))</x:f>
        <x:v>3</x:v>
      </x:c>
      <x:c r="G1254" s="2" t="n">
        <x:f>IF(ISNUMBER(F1254),1,0)</x:f>
        <x:v>1</x:v>
      </x:c>
      <x:c r="H1254" s="2" t="n">
        <x:f>IF(ISNUMBER(F1254),IF(F1254&gt;=2,1,0),0)</x:f>
        <x:v>1</x:v>
      </x:c>
      <x:c r="I1254" s="11" t="n">
        <x:f>IF(ISNUMBER(F1254),2^F1254-1,0)</x:f>
        <x:v>7</x:v>
      </x:c>
      <x:c r="J1254" s="2" t="str">
        <x:v>Extension pre-frozen corpus addition</x:v>
      </x:c>
      <x:c r="K1254" s="10" t="n">
        <x:v>3400</x:v>
      </x:c>
      <x:c r="L1254" s="10" t="n">
        <x:v>3</x:v>
      </x:c>
      <x:c r="M1254" s="10" t="n">
        <x:v>1001</x:v>
      </x:c>
      <x:c r="N1254" s="2" t="str">
        <x:v>D19</x:v>
      </x:c>
      <x:c r="O1254" s="2" t="str">
        <x:v>hdb flat</x:v>
      </x:c>
      <x:c r="P1254" s="2" t="str">
        <x:v>https://www.propertyguru.com.sg/listing/hdb-for-rent-178b-rivervale-crescent-25328179</x:v>
      </x:c>
      <x:c r="Q1254" s="12" t="str">
        <x:v>Identity added to the common review pool after return; grade unchanged from the pre-run corpus freeze.</x:v>
      </x:c>
      <x:c r="R1254" s="13"/>
    </x:row>
    <x:row r="1255" ht="24" hidden="0" customHeight="1">
      <x:c r="A1255" s="2" t="str">
        <x:v>S25|25530393</x:v>
      </x:c>
      <x:c r="B1255" s="2" t="str">
        <x:v>S25</x:v>
      </x:c>
      <x:c r="C1255" s="2" t="str">
        <x:v>25530393</x:v>
      </x:c>
      <x:c r="D1255" s="2" t="n">
        <x:v>3</x:v>
      </x:c>
      <x:c r="E1255" s="9"/>
      <x:c r="F1255" s="2" t="n">
        <x:f>IF(E1255="",D1255,IF(E1255="U","U",IF(AND(ISNUMBER(E1255),E1255&gt;=0,E1255&lt;=3,INT(E1255)=E1255),E1255,"Invalid")))</x:f>
        <x:v>3</x:v>
      </x:c>
      <x:c r="G1255" s="2" t="n">
        <x:f>IF(ISNUMBER(F1255),1,0)</x:f>
        <x:v>1</x:v>
      </x:c>
      <x:c r="H1255" s="2" t="n">
        <x:f>IF(ISNUMBER(F1255),IF(F1255&gt;=2,1,0),0)</x:f>
        <x:v>1</x:v>
      </x:c>
      <x:c r="I1255" s="11" t="n">
        <x:f>IF(ISNUMBER(F1255),2^F1255-1,0)</x:f>
        <x:v>7</x:v>
      </x:c>
      <x:c r="J1255" s="2" t="str">
        <x:v>Extension pre-frozen corpus addition</x:v>
      </x:c>
      <x:c r="K1255" s="10" t="n">
        <x:v>4000</x:v>
      </x:c>
      <x:c r="L1255" s="10" t="n">
        <x:v>3</x:v>
      </x:c>
      <x:c r="M1255" s="10" t="n">
        <x:v>1604</x:v>
      </x:c>
      <x:c r="N1255" s="2" t="str">
        <x:v>D18</x:v>
      </x:c>
      <x:c r="O1255" s="2" t="str">
        <x:v>hdb flat</x:v>
      </x:c>
      <x:c r="P1255" s="2" t="str">
        <x:v>https://www.propertyguru.com.sg/listing/hdb-for-rent-650-pasir-ris-drive-10-25530393</x:v>
      </x:c>
      <x:c r="Q1255" s="12" t="str">
        <x:v>Identity added to the common review pool after return; grade unchanged from the pre-run corpus freeze.</x:v>
      </x:c>
      <x:c r="R1255" s="13"/>
    </x:row>
    <x:row r="1256" ht="24" hidden="0" customHeight="1">
      <x:c r="A1256" s="2" t="str">
        <x:v>S25|25633608</x:v>
      </x:c>
      <x:c r="B1256" s="2" t="str">
        <x:v>S25</x:v>
      </x:c>
      <x:c r="C1256" s="2" t="str">
        <x:v>25633608</x:v>
      </x:c>
      <x:c r="D1256" s="2" t="n">
        <x:v>3</x:v>
      </x:c>
      <x:c r="E1256" s="9"/>
      <x:c r="F1256" s="2" t="n">
        <x:f>IF(E1256="",D1256,IF(E1256="U","U",IF(AND(ISNUMBER(E1256),E1256&gt;=0,E1256&lt;=3,INT(E1256)=E1256),E1256,"Invalid")))</x:f>
        <x:v>3</x:v>
      </x:c>
      <x:c r="G1256" s="2" t="n">
        <x:f>IF(ISNUMBER(F1256),1,0)</x:f>
        <x:v>1</x:v>
      </x:c>
      <x:c r="H1256" s="2" t="n">
        <x:f>IF(ISNUMBER(F1256),IF(F1256&gt;=2,1,0),0)</x:f>
        <x:v>1</x:v>
      </x:c>
      <x:c r="I1256" s="11" t="n">
        <x:f>IF(ISNUMBER(F1256),2^F1256-1,0)</x:f>
        <x:v>7</x:v>
      </x:c>
      <x:c r="J1256" s="2" t="str">
        <x:v>Extension pre-frozen corpus addition</x:v>
      </x:c>
      <x:c r="K1256" s="10" t="n">
        <x:v>4000</x:v>
      </x:c>
      <x:c r="L1256" s="10" t="n">
        <x:v>3</x:v>
      </x:c>
      <x:c r="M1256" s="10" t="n">
        <x:v>1604</x:v>
      </x:c>
      <x:c r="N1256" s="2" t="str">
        <x:v>D18</x:v>
      </x:c>
      <x:c r="O1256" s="2" t="str">
        <x:v>hdb flat</x:v>
      </x:c>
      <x:c r="P1256" s="2" t="str">
        <x:v>https://www.propertyguru.com.sg/listing/hdb-for-rent-650-pasir-ris-drive-10-25633608</x:v>
      </x:c>
      <x:c r="Q1256" s="12" t="str">
        <x:v>Identity added to the common review pool after return; grade unchanged from the pre-run corpus freeze.</x:v>
      </x:c>
      <x:c r="R1256" s="13"/>
    </x:row>
    <x:row r="1257" ht="24" hidden="0" customHeight="1">
      <x:c r="A1257" s="2" t="str">
        <x:v>S25|500191517</x:v>
      </x:c>
      <x:c r="B1257" s="2" t="str">
        <x:v>S25</x:v>
      </x:c>
      <x:c r="C1257" s="2" t="str">
        <x:v>500191517</x:v>
      </x:c>
      <x:c r="D1257" s="2" t="n">
        <x:v>3</x:v>
      </x:c>
      <x:c r="E1257" s="9"/>
      <x:c r="F1257" s="2" t="n">
        <x:f>IF(E1257="",D1257,IF(E1257="U","U",IF(AND(ISNUMBER(E1257),E1257&gt;=0,E1257&lt;=3,INT(E1257)=E1257),E1257,"Invalid")))</x:f>
        <x:v>3</x:v>
      </x:c>
      <x:c r="G1257" s="2" t="n">
        <x:f>IF(ISNUMBER(F1257),1,0)</x:f>
        <x:v>1</x:v>
      </x:c>
      <x:c r="H1257" s="2" t="n">
        <x:f>IF(ISNUMBER(F1257),IF(F1257&gt;=2,1,0),0)</x:f>
        <x:v>1</x:v>
      </x:c>
      <x:c r="I1257" s="11" t="n">
        <x:f>IF(ISNUMBER(F1257),2^F1257-1,0)</x:f>
        <x:v>7</x:v>
      </x:c>
      <x:c r="J1257" s="2" t="str">
        <x:v>Extension pre-frozen corpus addition</x:v>
      </x:c>
      <x:c r="K1257" s="10" t="n">
        <x:v>3500</x:v>
      </x:c>
      <x:c r="L1257" s="10" t="n">
        <x:v>3</x:v>
      </x:c>
      <x:c r="M1257" s="10" t="n">
        <x:v>1400</x:v>
      </x:c>
      <x:c r="N1257" s="2" t="str">
        <x:v>D18</x:v>
      </x:c>
      <x:c r="O1257" s="2" t="str">
        <x:v>hdb flat</x:v>
      </x:c>
      <x:c r="P1257" s="2" t="str">
        <x:v>https://www.propertyguru.com.sg/listing/hdb-for-rent-256-pasir-ris-street-21-500191517</x:v>
      </x:c>
      <x:c r="Q1257" s="12" t="str">
        <x:v>Identity added to the common review pool after return; grade unchanged from the pre-run corpus freeze.</x:v>
      </x:c>
      <x:c r="R1257" s="13"/>
    </x:row>
    <x:row r="1258" ht="24" hidden="0" customHeight="1">
      <x:c r="A1258" s="2" t="str">
        <x:v>S25|500204646</x:v>
      </x:c>
      <x:c r="B1258" s="2" t="str">
        <x:v>S25</x:v>
      </x:c>
      <x:c r="C1258" s="2" t="str">
        <x:v>500204646</x:v>
      </x:c>
      <x:c r="D1258" s="2" t="n">
        <x:v>3</x:v>
      </x:c>
      <x:c r="E1258" s="9"/>
      <x:c r="F1258" s="2" t="n">
        <x:f>IF(E1258="",D1258,IF(E1258="U","U",IF(AND(ISNUMBER(E1258),E1258&gt;=0,E1258&lt;=3,INT(E1258)=E1258),E1258,"Invalid")))</x:f>
        <x:v>3</x:v>
      </x:c>
      <x:c r="G1258" s="2" t="n">
        <x:f>IF(ISNUMBER(F1258),1,0)</x:f>
        <x:v>1</x:v>
      </x:c>
      <x:c r="H1258" s="2" t="n">
        <x:f>IF(ISNUMBER(F1258),IF(F1258&gt;=2,1,0),0)</x:f>
        <x:v>1</x:v>
      </x:c>
      <x:c r="I1258" s="11" t="n">
        <x:f>IF(ISNUMBER(F1258),2^F1258-1,0)</x:f>
        <x:v>7</x:v>
      </x:c>
      <x:c r="J1258" s="2" t="str">
        <x:v>Extension pre-frozen corpus addition</x:v>
      </x:c>
      <x:c r="K1258" s="10" t="n">
        <x:v>3600</x:v>
      </x:c>
      <x:c r="L1258" s="10" t="n">
        <x:v>3</x:v>
      </x:c>
      <x:c r="M1258" s="10" t="n">
        <x:v>1119</x:v>
      </x:c>
      <x:c r="N1258" s="2" t="str">
        <x:v>D19</x:v>
      </x:c>
      <x:c r="O1258" s="2" t="str">
        <x:v>hdb flat</x:v>
      </x:c>
      <x:c r="P1258" s="2" t="str">
        <x:v>https://www.propertyguru.com.sg/listing/hdb-for-rent-831-hougang-central-500204646</x:v>
      </x:c>
      <x:c r="Q1258" s="12" t="str">
        <x:v>Identity added to the common review pool after return; grade unchanged from the pre-run corpus freeze.</x:v>
      </x:c>
      <x:c r="R1258" s="13"/>
    </x:row>
    <x:row r="1259" ht="24" hidden="0" customHeight="1">
      <x:c r="A1259" s="2" t="str">
        <x:v>S25|500246867</x:v>
      </x:c>
      <x:c r="B1259" s="2" t="str">
        <x:v>S25</x:v>
      </x:c>
      <x:c r="C1259" s="2" t="str">
        <x:v>500246867</x:v>
      </x:c>
      <x:c r="D1259" s="2" t="n">
        <x:v>3</x:v>
      </x:c>
      <x:c r="E1259" s="9"/>
      <x:c r="F1259" s="2" t="n">
        <x:f>IF(E1259="",D1259,IF(E1259="U","U",IF(AND(ISNUMBER(E1259),E1259&gt;=0,E1259&lt;=3,INT(E1259)=E1259),E1259,"Invalid")))</x:f>
        <x:v>3</x:v>
      </x:c>
      <x:c r="G1259" s="2" t="n">
        <x:f>IF(ISNUMBER(F1259),1,0)</x:f>
        <x:v>1</x:v>
      </x:c>
      <x:c r="H1259" s="2" t="n">
        <x:f>IF(ISNUMBER(F1259),IF(F1259&gt;=2,1,0),0)</x:f>
        <x:v>1</x:v>
      </x:c>
      <x:c r="I1259" s="11" t="n">
        <x:f>IF(ISNUMBER(F1259),2^F1259-1,0)</x:f>
        <x:v>7</x:v>
      </x:c>
      <x:c r="J1259" s="2" t="str">
        <x:v>Extension pre-frozen corpus addition</x:v>
      </x:c>
      <x:c r="K1259" s="10" t="n">
        <x:v>3800</x:v>
      </x:c>
      <x:c r="L1259" s="10" t="n">
        <x:v>3</x:v>
      </x:c>
      <x:c r="M1259" s="10" t="n">
        <x:v>1130</x:v>
      </x:c>
      <x:c r="N1259" s="2" t="str">
        <x:v>D18</x:v>
      </x:c>
      <x:c r="O1259" s="2" t="str">
        <x:v>hdb flat</x:v>
      </x:c>
      <x:c r="P1259" s="2" t="str">
        <x:v>https://www.propertyguru.com.sg/listing/hdb-for-rent-275-tampines-street-22-500246867</x:v>
      </x:c>
      <x:c r="Q1259" s="12" t="str">
        <x:v>Identity added to the common review pool after return; grade unchanged from the pre-run corpus freeze.</x:v>
      </x:c>
      <x:c r="R1259" s="13"/>
    </x:row>
    <x:row r="1260" ht="24" hidden="0" customHeight="1">
      <x:c r="A1260" s="2" t="str">
        <x:v>S25|500262374</x:v>
      </x:c>
      <x:c r="B1260" s="2" t="str">
        <x:v>S25</x:v>
      </x:c>
      <x:c r="C1260" s="2" t="str">
        <x:v>500262374</x:v>
      </x:c>
      <x:c r="D1260" s="2" t="n">
        <x:v>3</x:v>
      </x:c>
      <x:c r="E1260" s="9"/>
      <x:c r="F1260" s="2" t="n">
        <x:f>IF(E1260="",D1260,IF(E1260="U","U",IF(AND(ISNUMBER(E1260),E1260&gt;=0,E1260&lt;=3,INT(E1260)=E1260),E1260,"Invalid")))</x:f>
        <x:v>3</x:v>
      </x:c>
      <x:c r="G1260" s="2" t="n">
        <x:f>IF(ISNUMBER(F1260),1,0)</x:f>
        <x:v>1</x:v>
      </x:c>
      <x:c r="H1260" s="2" t="n">
        <x:f>IF(ISNUMBER(F1260),IF(F1260&gt;=2,1,0),0)</x:f>
        <x:v>1</x:v>
      </x:c>
      <x:c r="I1260" s="11" t="n">
        <x:f>IF(ISNUMBER(F1260),2^F1260-1,0)</x:f>
        <x:v>7</x:v>
      </x:c>
      <x:c r="J1260" s="2" t="str">
        <x:v>Extension pre-frozen corpus addition</x:v>
      </x:c>
      <x:c r="K1260" s="10" t="n">
        <x:v>3600</x:v>
      </x:c>
      <x:c r="L1260" s="10" t="n">
        <x:v>3</x:v>
      </x:c>
      <x:c r="M1260" s="10" t="n">
        <x:v>1130</x:v>
      </x:c>
      <x:c r="N1260" s="2" t="str">
        <x:v>D19</x:v>
      </x:c>
      <x:c r="O1260" s="2" t="str">
        <x:v>hdb flat</x:v>
      </x:c>
      <x:c r="P1260" s="2" t="str">
        <x:v>https://www.propertyguru.com.sg/listing/hdb-for-rent-528-hougang-avenue-6-500262374</x:v>
      </x:c>
      <x:c r="Q1260" s="12" t="str">
        <x:v>Identity added to the common review pool after return; grade unchanged from the pre-run corpus freeze.</x:v>
      </x:c>
      <x:c r="R1260" s="13"/>
    </x:row>
    <x:row r="1261" ht="24" hidden="0" customHeight="1">
      <x:c r="A1261" s="2" t="str">
        <x:v>S25|500263451</x:v>
      </x:c>
      <x:c r="B1261" s="2" t="str">
        <x:v>S25</x:v>
      </x:c>
      <x:c r="C1261" s="2" t="str">
        <x:v>500263451</x:v>
      </x:c>
      <x:c r="D1261" s="2" t="n">
        <x:v>3</x:v>
      </x:c>
      <x:c r="E1261" s="9"/>
      <x:c r="F1261" s="2" t="n">
        <x:f>IF(E1261="",D1261,IF(E1261="U","U",IF(AND(ISNUMBER(E1261),E1261&gt;=0,E1261&lt;=3,INT(E1261)=E1261),E1261,"Invalid")))</x:f>
        <x:v>3</x:v>
      </x:c>
      <x:c r="G1261" s="2" t="n">
        <x:f>IF(ISNUMBER(F1261),1,0)</x:f>
        <x:v>1</x:v>
      </x:c>
      <x:c r="H1261" s="2" t="n">
        <x:f>IF(ISNUMBER(F1261),IF(F1261&gt;=2,1,0),0)</x:f>
        <x:v>1</x:v>
      </x:c>
      <x:c r="I1261" s="11" t="n">
        <x:f>IF(ISNUMBER(F1261),2^F1261-1,0)</x:f>
        <x:v>7</x:v>
      </x:c>
      <x:c r="J1261" s="2" t="str">
        <x:v>Extension pre-frozen corpus addition</x:v>
      </x:c>
      <x:c r="K1261" s="10" t="n">
        <x:v>3600</x:v>
      </x:c>
      <x:c r="L1261" s="10" t="n">
        <x:v>3</x:v>
      </x:c>
      <x:c r="M1261" s="10" t="n">
        <x:v>1119</x:v>
      </x:c>
      <x:c r="N1261" s="2" t="str">
        <x:v>D19</x:v>
      </x:c>
      <x:c r="O1261" s="2" t="str">
        <x:v>hdb flat</x:v>
      </x:c>
      <x:c r="P1261" s="2" t="str">
        <x:v>https://www.propertyguru.com.sg/listing/hdb-for-rent-271c-punggol-walk-500263451</x:v>
      </x:c>
      <x:c r="Q1261" s="12" t="str">
        <x:v>Identity added to the common review pool after return; grade unchanged from the pre-run corpus freeze.</x:v>
      </x:c>
      <x:c r="R1261" s="13"/>
    </x:row>
    <x:row r="1262" ht="24" hidden="0" customHeight="1">
      <x:c r="A1262" s="2" t="str">
        <x:v>S25|500268246</x:v>
      </x:c>
      <x:c r="B1262" s="2" t="str">
        <x:v>S25</x:v>
      </x:c>
      <x:c r="C1262" s="2" t="str">
        <x:v>500268246</x:v>
      </x:c>
      <x:c r="D1262" s="2" t="n">
        <x:v>3</x:v>
      </x:c>
      <x:c r="E1262" s="9"/>
      <x:c r="F1262" s="2" t="n">
        <x:f>IF(E1262="",D1262,IF(E1262="U","U",IF(AND(ISNUMBER(E1262),E1262&gt;=0,E1262&lt;=3,INT(E1262)=E1262),E1262,"Invalid")))</x:f>
        <x:v>3</x:v>
      </x:c>
      <x:c r="G1262" s="2" t="n">
        <x:f>IF(ISNUMBER(F1262),1,0)</x:f>
        <x:v>1</x:v>
      </x:c>
      <x:c r="H1262" s="2" t="n">
        <x:f>IF(ISNUMBER(F1262),IF(F1262&gt;=2,1,0),0)</x:f>
        <x:v>1</x:v>
      </x:c>
      <x:c r="I1262" s="11" t="n">
        <x:f>IF(ISNUMBER(F1262),2^F1262-1,0)</x:f>
        <x:v>7</x:v>
      </x:c>
      <x:c r="J1262" s="2" t="str">
        <x:v>Extension pre-frozen corpus addition</x:v>
      </x:c>
      <x:c r="K1262" s="10" t="n">
        <x:v>3700</x:v>
      </x:c>
      <x:c r="L1262" s="10" t="n">
        <x:v>3</x:v>
      </x:c>
      <x:c r="M1262" s="10" t="n">
        <x:v>1302</x:v>
      </x:c>
      <x:c r="N1262" s="2" t="str">
        <x:v>D18</x:v>
      </x:c>
      <x:c r="O1262" s="2" t="str">
        <x:v>hdb flat</x:v>
      </x:c>
      <x:c r="P1262" s="2" t="str">
        <x:v>https://www.propertyguru.com.sg/listing/hdb-for-rent-804-tampines-avenue-4-500268246</x:v>
      </x:c>
      <x:c r="Q1262" s="12" t="str">
        <x:v>Identity added to the common review pool after return; grade unchanged from the pre-run corpus freeze.</x:v>
      </x:c>
      <x:c r="R1262" s="13"/>
    </x:row>
    <x:row r="1263" ht="24" hidden="0" customHeight="1">
      <x:c r="A1263" s="2" t="str">
        <x:v>S26|18689152</x:v>
      </x:c>
      <x:c r="B1263" s="2" t="str">
        <x:v>S26</x:v>
      </x:c>
      <x:c r="C1263" s="2" t="str">
        <x:v>18689152</x:v>
      </x:c>
      <x:c r="D1263" s="2" t="n">
        <x:v>1</x:v>
      </x:c>
      <x:c r="E1263" s="9"/>
      <x:c r="F1263" s="2" t="n">
        <x:f>IF(E1263="",D1263,IF(E1263="U","U",IF(AND(ISNUMBER(E1263),E1263&gt;=0,E1263&lt;=3,INT(E1263)=E1263),E1263,"Invalid")))</x:f>
        <x:v>1</x:v>
      </x:c>
      <x:c r="G1263" s="2" t="n">
        <x:f>IF(ISNUMBER(F1263),1,0)</x:f>
        <x:v>1</x:v>
      </x:c>
      <x:c r="H1263" s="2" t="n">
        <x:f>IF(ISNUMBER(F1263),IF(F1263&gt;=2,1,0),0)</x:f>
        <x:v>0</x:v>
      </x:c>
      <x:c r="I1263" s="11" t="n">
        <x:f>IF(ISNUMBER(F1263),2^F1263-1,0)</x:f>
        <x:v>1</x:v>
      </x:c>
      <x:c r="J1263" s="2" t="str">
        <x:v>Extension pre-frozen corpus addition</x:v>
      </x:c>
      <x:c r="K1263" s="10" t="n">
        <x:v>3350</x:v>
      </x:c>
      <x:c r="L1263" s="10" t="n">
        <x:v>2</x:v>
      </x:c>
      <x:c r="M1263" s="10" t="n">
        <x:v>969</x:v>
      </x:c>
      <x:c r="N1263" s="2" t="str">
        <x:v>D05</x:v>
      </x:c>
      <x:c r="O1263" s="2" t="str">
        <x:v>hdb flat</x:v>
      </x:c>
      <x:c r="P1263" s="2" t="str">
        <x:v>https://www.propertyguru.com.sg/listing/hdb-for-rent-508-west-coast-drive-18689152</x:v>
      </x:c>
      <x:c r="Q1263" s="12" t="str">
        <x:v>Identity added to the common review pool after return; grade unchanged from the pre-run corpus freeze.</x:v>
      </x:c>
      <x:c r="R1263" s="13"/>
    </x:row>
    <x:row r="1264" ht="24" hidden="0" customHeight="1">
      <x:c r="A1264" s="2" t="str">
        <x:v>S26|22257938</x:v>
      </x:c>
      <x:c r="B1264" s="2" t="str">
        <x:v>S26</x:v>
      </x:c>
      <x:c r="C1264" s="2" t="str">
        <x:v>22257938</x:v>
      </x:c>
      <x:c r="D1264" s="2" t="n">
        <x:v>1</x:v>
      </x:c>
      <x:c r="E1264" s="9"/>
      <x:c r="F1264" s="2" t="n">
        <x:f>IF(E1264="",D1264,IF(E1264="U","U",IF(AND(ISNUMBER(E1264),E1264&gt;=0,E1264&lt;=3,INT(E1264)=E1264),E1264,"Invalid")))</x:f>
        <x:v>1</x:v>
      </x:c>
      <x:c r="G1264" s="2" t="n">
        <x:f>IF(ISNUMBER(F1264),1,0)</x:f>
        <x:v>1</x:v>
      </x:c>
      <x:c r="H1264" s="2" t="n">
        <x:f>IF(ISNUMBER(F1264),IF(F1264&gt;=2,1,0),0)</x:f>
        <x:v>0</x:v>
      </x:c>
      <x:c r="I1264" s="11" t="n">
        <x:f>IF(ISNUMBER(F1264),2^F1264-1,0)</x:f>
        <x:v>1</x:v>
      </x:c>
      <x:c r="J1264" s="2" t="str">
        <x:v>Extension pre-frozen corpus addition</x:v>
      </x:c>
      <x:c r="K1264" s="10" t="n">
        <x:v>3400</x:v>
      </x:c>
      <x:c r="L1264" s="10" t="n">
        <x:v>2</x:v>
      </x:c>
      <x:c r="M1264" s="10" t="n">
        <x:v>800</x:v>
      </x:c>
      <x:c r="N1264" s="2" t="str">
        <x:v>D05</x:v>
      </x:c>
      <x:c r="O1264" s="2" t="str">
        <x:v>hdb flat</x:v>
      </x:c>
      <x:c r="P1264" s="2" t="str">
        <x:v>https://www.propertyguru.com.sg/listing/hdb-for-rent-346-clementi-avenue-5-22257938</x:v>
      </x:c>
      <x:c r="Q1264" s="12" t="str">
        <x:v>Identity added to the common review pool after return; grade unchanged from the pre-run corpus freeze.</x:v>
      </x:c>
      <x:c r="R1264" s="13"/>
    </x:row>
    <x:row r="1265" ht="24" hidden="0" customHeight="1">
      <x:c r="A1265" s="2" t="str">
        <x:v>S26|23927224</x:v>
      </x:c>
      <x:c r="B1265" s="2" t="str">
        <x:v>S26</x:v>
      </x:c>
      <x:c r="C1265" s="2" t="str">
        <x:v>23927224</x:v>
      </x:c>
      <x:c r="D1265" s="2" t="n">
        <x:v>1</x:v>
      </x:c>
      <x:c r="E1265" s="9"/>
      <x:c r="F1265" s="2" t="n">
        <x:f>IF(E1265="",D1265,IF(E1265="U","U",IF(AND(ISNUMBER(E1265),E1265&gt;=0,E1265&lt;=3,INT(E1265)=E1265),E1265,"Invalid")))</x:f>
        <x:v>1</x:v>
      </x:c>
      <x:c r="G1265" s="2" t="n">
        <x:f>IF(ISNUMBER(F1265),1,0)</x:f>
        <x:v>1</x:v>
      </x:c>
      <x:c r="H1265" s="2" t="n">
        <x:f>IF(ISNUMBER(F1265),IF(F1265&gt;=2,1,0),0)</x:f>
        <x:v>0</x:v>
      </x:c>
      <x:c r="I1265" s="11" t="n">
        <x:f>IF(ISNUMBER(F1265),2^F1265-1,0)</x:f>
        <x:v>1</x:v>
      </x:c>
      <x:c r="J1265" s="2" t="str">
        <x:v>Extension pre-frozen corpus addition</x:v>
      </x:c>
      <x:c r="K1265" s="10" t="n">
        <x:v>3300</x:v>
      </x:c>
      <x:c r="L1265" s="10" t="n">
        <x:v>2</x:v>
      </x:c>
      <x:c r="M1265" s="10" t="n">
        <x:v>797</x:v>
      </x:c>
      <x:c r="N1265" s="2" t="str">
        <x:v>D05</x:v>
      </x:c>
      <x:c r="O1265" s="2" t="str">
        <x:v>hdb flat</x:v>
      </x:c>
      <x:c r="P1265" s="2" t="str">
        <x:v>https://www.propertyguru.com.sg/listing/hdb-for-rent-610-clementi-west-street-1-23927224</x:v>
      </x:c>
      <x:c r="Q1265" s="12" t="str">
        <x:v>Identity added to the common review pool after return; grade unchanged from the pre-run corpus freeze.</x:v>
      </x:c>
      <x:c r="R1265" s="13"/>
    </x:row>
    <x:row r="1266" ht="24" hidden="0" customHeight="1">
      <x:c r="A1266" s="2" t="str">
        <x:v>S26|24429202</x:v>
      </x:c>
      <x:c r="B1266" s="2" t="str">
        <x:v>S26</x:v>
      </x:c>
      <x:c r="C1266" s="2" t="str">
        <x:v>24429202</x:v>
      </x:c>
      <x:c r="D1266" s="2" t="n">
        <x:v>1</x:v>
      </x:c>
      <x:c r="E1266" s="9"/>
      <x:c r="F1266" s="2" t="n">
        <x:f>IF(E1266="",D1266,IF(E1266="U","U",IF(AND(ISNUMBER(E1266),E1266&gt;=0,E1266&lt;=3,INT(E1266)=E1266),E1266,"Invalid")))</x:f>
        <x:v>1</x:v>
      </x:c>
      <x:c r="G1266" s="2" t="n">
        <x:f>IF(ISNUMBER(F1266),1,0)</x:f>
        <x:v>1</x:v>
      </x:c>
      <x:c r="H1266" s="2" t="n">
        <x:f>IF(ISNUMBER(F1266),IF(F1266&gt;=2,1,0),0)</x:f>
        <x:v>0</x:v>
      </x:c>
      <x:c r="I1266" s="11" t="n">
        <x:f>IF(ISNUMBER(F1266),2^F1266-1,0)</x:f>
        <x:v>1</x:v>
      </x:c>
      <x:c r="J1266" s="2" t="str">
        <x:v>Extension pre-frozen corpus addition</x:v>
      </x:c>
      <x:c r="K1266" s="10" t="n">
        <x:v>3300</x:v>
      </x:c>
      <x:c r="L1266" s="10" t="n">
        <x:v>2</x:v>
      </x:c>
      <x:c r="M1266" s="10" t="n">
        <x:v>721</x:v>
      </x:c>
      <x:c r="N1266" s="2" t="str">
        <x:v>D05</x:v>
      </x:c>
      <x:c r="O1266" s="2" t="str">
        <x:v>hdb flat</x:v>
      </x:c>
      <x:c r="P1266" s="2" t="str">
        <x:v>https://www.propertyguru.com.sg/listing/hdb-for-rent-329-clementi-avenue-2-24429202</x:v>
      </x:c>
      <x:c r="Q1266" s="12" t="str">
        <x:v>Identity added to the common review pool after return; grade unchanged from the pre-run corpus freeze.</x:v>
      </x:c>
      <x:c r="R1266" s="13"/>
    </x:row>
    <x:row r="1267" ht="24" hidden="0" customHeight="1">
      <x:c r="A1267" s="2" t="str">
        <x:v>S26|500188597</x:v>
      </x:c>
      <x:c r="B1267" s="2" t="str">
        <x:v>S26</x:v>
      </x:c>
      <x:c r="C1267" s="2" t="str">
        <x:v>500188597</x:v>
      </x:c>
      <x:c r="D1267" s="2" t="n">
        <x:v>1</x:v>
      </x:c>
      <x:c r="E1267" s="9"/>
      <x:c r="F1267" s="2" t="n">
        <x:f>IF(E1267="",D1267,IF(E1267="U","U",IF(AND(ISNUMBER(E1267),E1267&gt;=0,E1267&lt;=3,INT(E1267)=E1267),E1267,"Invalid")))</x:f>
        <x:v>1</x:v>
      </x:c>
      <x:c r="G1267" s="2" t="n">
        <x:f>IF(ISNUMBER(F1267),1,0)</x:f>
        <x:v>1</x:v>
      </x:c>
      <x:c r="H1267" s="2" t="n">
        <x:f>IF(ISNUMBER(F1267),IF(F1267&gt;=2,1,0),0)</x:f>
        <x:v>0</x:v>
      </x:c>
      <x:c r="I1267" s="11" t="n">
        <x:f>IF(ISNUMBER(F1267),2^F1267-1,0)</x:f>
        <x:v>1</x:v>
      </x:c>
      <x:c r="J1267" s="2" t="str">
        <x:v>Extension pre-frozen corpus addition</x:v>
      </x:c>
      <x:c r="K1267" s="10" t="n">
        <x:v>3500</x:v>
      </x:c>
      <x:c r="L1267" s="10" t="n">
        <x:v>2</x:v>
      </x:c>
      <x:c r="M1267" s="10" t="n">
        <x:v>721</x:v>
      </x:c>
      <x:c r="N1267" s="2" t="str">
        <x:v>D05</x:v>
      </x:c>
      <x:c r="O1267" s="2" t="str">
        <x:v>hdb flat</x:v>
      </x:c>
      <x:c r="P1267" s="2" t="str">
        <x:v>https://www.propertyguru.com.sg/listing/hdb-for-rent-320-clementi-avenue-4-500188597</x:v>
      </x:c>
      <x:c r="Q1267" s="12" t="str">
        <x:v>Identity added to the common review pool after return; grade unchanged from the pre-run corpus freeze.</x:v>
      </x:c>
      <x:c r="R1267" s="13"/>
    </x:row>
    <x:row r="1268" ht="24" hidden="0" customHeight="1">
      <x:c r="A1268" s="2" t="str">
        <x:v>S27|18689152</x:v>
      </x:c>
      <x:c r="B1268" s="2" t="str">
        <x:v>S27</x:v>
      </x:c>
      <x:c r="C1268" s="2" t="str">
        <x:v>18689152</x:v>
      </x:c>
      <x:c r="D1268" s="2" t="n">
        <x:v>3</x:v>
      </x:c>
      <x:c r="E1268" s="9"/>
      <x:c r="F1268" s="2" t="n">
        <x:f>IF(E1268="",D1268,IF(E1268="U","U",IF(AND(ISNUMBER(E1268),E1268&gt;=0,E1268&lt;=3,INT(E1268)=E1268),E1268,"Invalid")))</x:f>
        <x:v>3</x:v>
      </x:c>
      <x:c r="G1268" s="2" t="n">
        <x:f>IF(ISNUMBER(F1268),1,0)</x:f>
        <x:v>1</x:v>
      </x:c>
      <x:c r="H1268" s="2" t="n">
        <x:f>IF(ISNUMBER(F1268),IF(F1268&gt;=2,1,0),0)</x:f>
        <x:v>1</x:v>
      </x:c>
      <x:c r="I1268" s="11" t="n">
        <x:f>IF(ISNUMBER(F1268),2^F1268-1,0)</x:f>
        <x:v>7</x:v>
      </x:c>
      <x:c r="J1268" s="2" t="str">
        <x:v>Extension pre-frozen corpus addition</x:v>
      </x:c>
      <x:c r="K1268" s="10" t="n">
        <x:v>3350</x:v>
      </x:c>
      <x:c r="L1268" s="10" t="n">
        <x:v>2</x:v>
      </x:c>
      <x:c r="M1268" s="10" t="n">
        <x:v>969</x:v>
      </x:c>
      <x:c r="N1268" s="2" t="str">
        <x:v>D05</x:v>
      </x:c>
      <x:c r="O1268" s="2" t="str">
        <x:v>hdb flat</x:v>
      </x:c>
      <x:c r="P1268" s="2" t="str">
        <x:v>https://www.propertyguru.com.sg/listing/hdb-for-rent-508-west-coast-drive-18689152</x:v>
      </x:c>
      <x:c r="Q1268" s="12" t="str">
        <x:v>Identity added to the common review pool after return; grade unchanged from the pre-run corpus freeze.</x:v>
      </x:c>
      <x:c r="R1268" s="13"/>
    </x:row>
    <x:row r="1269" ht="24" hidden="0" customHeight="1">
      <x:c r="A1269" s="2" t="str">
        <x:v>S27|19266007</x:v>
      </x:c>
      <x:c r="B1269" s="2" t="str">
        <x:v>S27</x:v>
      </x:c>
      <x:c r="C1269" s="2" t="str">
        <x:v>19266007</x:v>
      </x:c>
      <x:c r="D1269" s="2" t="n">
        <x:v>3</x:v>
      </x:c>
      <x:c r="E1269" s="9"/>
      <x:c r="F1269" s="2" t="n">
        <x:f>IF(E1269="",D1269,IF(E1269="U","U",IF(AND(ISNUMBER(E1269),E1269&gt;=0,E1269&lt;=3,INT(E1269)=E1269),E1269,"Invalid")))</x:f>
        <x:v>3</x:v>
      </x:c>
      <x:c r="G1269" s="2" t="n">
        <x:f>IF(ISNUMBER(F1269),1,0)</x:f>
        <x:v>1</x:v>
      </x:c>
      <x:c r="H1269" s="2" t="n">
        <x:f>IF(ISNUMBER(F1269),IF(F1269&gt;=2,1,0),0)</x:f>
        <x:v>1</x:v>
      </x:c>
      <x:c r="I1269" s="11" t="n">
        <x:f>IF(ISNUMBER(F1269),2^F1269-1,0)</x:f>
        <x:v>7</x:v>
      </x:c>
      <x:c r="J1269" s="2" t="str">
        <x:v>Extension pre-frozen corpus addition</x:v>
      </x:c>
      <x:c r="K1269" s="10" t="n">
        <x:v>4500</x:v>
      </x:c>
      <x:c r="L1269" s="10" t="n">
        <x:v>2</x:v>
      </x:c>
      <x:c r="M1269" s="10" t="n">
        <x:v>957</x:v>
      </x:c>
      <x:c r="N1269" s="2" t="str">
        <x:v>D05</x:v>
      </x:c>
      <x:c r="O1269" s="2" t="str">
        <x:v>condominium</x:v>
      </x:c>
      <x:c r="P1269" s="2" t="str">
        <x:v>https://www.propertyguru.com.sg/listing/for-rent-regent-park-19266007</x:v>
      </x:c>
      <x:c r="Q1269" s="12" t="str">
        <x:v>Identity added to the common review pool after return; grade unchanged from the pre-run corpus freeze.</x:v>
      </x:c>
      <x:c r="R1269" s="13"/>
    </x:row>
    <x:row r="1270" ht="24" hidden="0" customHeight="1">
      <x:c r="A1270" s="2" t="str">
        <x:v>S27|20832273</x:v>
      </x:c>
      <x:c r="B1270" s="2" t="str">
        <x:v>S27</x:v>
      </x:c>
      <x:c r="C1270" s="2" t="str">
        <x:v>20832273</x:v>
      </x:c>
      <x:c r="D1270" s="2" t="n">
        <x:v>3</x:v>
      </x:c>
      <x:c r="E1270" s="9"/>
      <x:c r="F1270" s="2" t="n">
        <x:f>IF(E1270="",D1270,IF(E1270="U","U",IF(AND(ISNUMBER(E1270),E1270&gt;=0,E1270&lt;=3,INT(E1270)=E1270),E1270,"Invalid")))</x:f>
        <x:v>3</x:v>
      </x:c>
      <x:c r="G1270" s="2" t="n">
        <x:f>IF(ISNUMBER(F1270),1,0)</x:f>
        <x:v>1</x:v>
      </x:c>
      <x:c r="H1270" s="2" t="n">
        <x:f>IF(ISNUMBER(F1270),IF(F1270&gt;=2,1,0),0)</x:f>
        <x:v>1</x:v>
      </x:c>
      <x:c r="I1270" s="11" t="n">
        <x:f>IF(ISNUMBER(F1270),2^F1270-1,0)</x:f>
        <x:v>7</x:v>
      </x:c>
      <x:c r="J1270" s="2" t="str">
        <x:v>Extension pre-frozen corpus addition</x:v>
      </x:c>
      <x:c r="K1270" s="10" t="n">
        <x:v>4000</x:v>
      </x:c>
      <x:c r="L1270" s="10" t="n">
        <x:v>3</x:v>
      </x:c>
      <x:c r="M1270" s="10" t="n">
        <x:v>990</x:v>
      </x:c>
      <x:c r="N1270" s="2" t="str">
        <x:v>D05</x:v>
      </x:c>
      <x:c r="O1270" s="2" t="str">
        <x:v>hdb flat</x:v>
      </x:c>
      <x:c r="P1270" s="2" t="str">
        <x:v>https://www.propertyguru.com.sg/listing/hdb-for-rent-309-clementi-avenue-4-20832273</x:v>
      </x:c>
      <x:c r="Q1270" s="12" t="str">
        <x:v>Identity added to the common review pool after return; grade unchanged from the pre-run corpus freeze.</x:v>
      </x:c>
      <x:c r="R1270" s="13"/>
    </x:row>
    <x:row r="1271" ht="24" hidden="0" customHeight="1">
      <x:c r="A1271" s="2" t="str">
        <x:v>S27|22030373</x:v>
      </x:c>
      <x:c r="B1271" s="2" t="str">
        <x:v>S27</x:v>
      </x:c>
      <x:c r="C1271" s="2" t="str">
        <x:v>22030373</x:v>
      </x:c>
      <x:c r="D1271" s="2" t="n">
        <x:v>3</x:v>
      </x:c>
      <x:c r="E1271" s="9"/>
      <x:c r="F1271" s="2" t="n">
        <x:f>IF(E1271="",D1271,IF(E1271="U","U",IF(AND(ISNUMBER(E1271),E1271&gt;=0,E1271&lt;=3,INT(E1271)=E1271),E1271,"Invalid")))</x:f>
        <x:v>3</x:v>
      </x:c>
      <x:c r="G1271" s="2" t="n">
        <x:f>IF(ISNUMBER(F1271),1,0)</x:f>
        <x:v>1</x:v>
      </x:c>
      <x:c r="H1271" s="2" t="n">
        <x:f>IF(ISNUMBER(F1271),IF(F1271&gt;=2,1,0),0)</x:f>
        <x:v>1</x:v>
      </x:c>
      <x:c r="I1271" s="11" t="n">
        <x:f>IF(ISNUMBER(F1271),2^F1271-1,0)</x:f>
        <x:v>7</x:v>
      </x:c>
      <x:c r="J1271" s="2" t="str">
        <x:v>Extension pre-frozen corpus addition</x:v>
      </x:c>
      <x:c r="K1271" s="10" t="n">
        <x:v>4400</x:v>
      </x:c>
      <x:c r="L1271" s="10" t="n">
        <x:v>3</x:v>
      </x:c>
      <x:c r="M1271" s="10" t="n">
        <x:v>957</x:v>
      </x:c>
      <x:c r="N1271" s="2" t="str">
        <x:v>D03</x:v>
      </x:c>
      <x:c r="O1271" s="2" t="str">
        <x:v>hdb flat</x:v>
      </x:c>
      <x:c r="P1271" s="2" t="str">
        <x:v>https://www.propertyguru.com.sg/listing/hdb-for-rent-58-havelock-road-22030373</x:v>
      </x:c>
      <x:c r="Q1271" s="12" t="str">
        <x:v>Identity added to the common review pool after return; grade unchanged from the pre-run corpus freeze.</x:v>
      </x:c>
      <x:c r="R1271" s="13"/>
    </x:row>
    <x:row r="1272" ht="24" hidden="0" customHeight="1">
      <x:c r="A1272" s="2" t="str">
        <x:v>S27|22773305</x:v>
      </x:c>
      <x:c r="B1272" s="2" t="str">
        <x:v>S27</x:v>
      </x:c>
      <x:c r="C1272" s="2" t="str">
        <x:v>22773305</x:v>
      </x:c>
      <x:c r="D1272" s="2" t="n">
        <x:v>3</x:v>
      </x:c>
      <x:c r="E1272" s="9"/>
      <x:c r="F1272" s="2" t="n">
        <x:f>IF(E1272="",D1272,IF(E1272="U","U",IF(AND(ISNUMBER(E1272),E1272&gt;=0,E1272&lt;=3,INT(E1272)=E1272),E1272,"Invalid")))</x:f>
        <x:v>3</x:v>
      </x:c>
      <x:c r="G1272" s="2" t="n">
        <x:f>IF(ISNUMBER(F1272),1,0)</x:f>
        <x:v>1</x:v>
      </x:c>
      <x:c r="H1272" s="2" t="n">
        <x:f>IF(ISNUMBER(F1272),IF(F1272&gt;=2,1,0),0)</x:f>
        <x:v>1</x:v>
      </x:c>
      <x:c r="I1272" s="11" t="n">
        <x:f>IF(ISNUMBER(F1272),2^F1272-1,0)</x:f>
        <x:v>7</x:v>
      </x:c>
      <x:c r="J1272" s="2" t="str">
        <x:v>Extension pre-frozen corpus addition</x:v>
      </x:c>
      <x:c r="K1272" s="10" t="n">
        <x:v>4500</x:v>
      </x:c>
      <x:c r="L1272" s="10" t="n">
        <x:v>3</x:v>
      </x:c>
      <x:c r="M1272" s="10" t="n">
        <x:v>1259</x:v>
      </x:c>
      <x:c r="N1272" s="2" t="str">
        <x:v>D05</x:v>
      </x:c>
      <x:c r="O1272" s="2" t="str">
        <x:v>hdb flat</x:v>
      </x:c>
      <x:c r="P1272" s="2" t="str">
        <x:v>https://www.propertyguru.com.sg/listing/hdb-for-rent-355-clementi-avenue-2-22773305</x:v>
      </x:c>
      <x:c r="Q1272" s="12" t="str">
        <x:v>Identity added to the common review pool after return; grade unchanged from the pre-run corpus freeze.</x:v>
      </x:c>
      <x:c r="R1272" s="13"/>
    </x:row>
    <x:row r="1273" ht="24" hidden="0" customHeight="1">
      <x:c r="A1273" s="2" t="str">
        <x:v>S27|23509141</x:v>
      </x:c>
      <x:c r="B1273" s="2" t="str">
        <x:v>S27</x:v>
      </x:c>
      <x:c r="C1273" s="2" t="str">
        <x:v>23509141</x:v>
      </x:c>
      <x:c r="D1273" s="2" t="n">
        <x:v>3</x:v>
      </x:c>
      <x:c r="E1273" s="9"/>
      <x:c r="F1273" s="2" t="n">
        <x:f>IF(E1273="",D1273,IF(E1273="U","U",IF(AND(ISNUMBER(E1273),E1273&gt;=0,E1273&lt;=3,INT(E1273)=E1273),E1273,"Invalid")))</x:f>
        <x:v>3</x:v>
      </x:c>
      <x:c r="G1273" s="2" t="n">
        <x:f>IF(ISNUMBER(F1273),1,0)</x:f>
        <x:v>1</x:v>
      </x:c>
      <x:c r="H1273" s="2" t="n">
        <x:f>IF(ISNUMBER(F1273),IF(F1273&gt;=2,1,0),0)</x:f>
        <x:v>1</x:v>
      </x:c>
      <x:c r="I1273" s="11" t="n">
        <x:f>IF(ISNUMBER(F1273),2^F1273-1,0)</x:f>
        <x:v>7</x:v>
      </x:c>
      <x:c r="J1273" s="2" t="str">
        <x:v>Extension pre-frozen corpus addition</x:v>
      </x:c>
      <x:c r="K1273" s="10" t="n">
        <x:v>3988</x:v>
      </x:c>
      <x:c r="L1273" s="10" t="n">
        <x:v>3</x:v>
      </x:c>
      <x:c r="M1273" s="10" t="n">
        <x:v>1270</x:v>
      </x:c>
      <x:c r="N1273" s="2" t="str">
        <x:v>D05</x:v>
      </x:c>
      <x:c r="O1273" s="2" t="str">
        <x:v>hdb flat</x:v>
      </x:c>
      <x:c r="P1273" s="2" t="str">
        <x:v>https://www.propertyguru.com.sg/listing/hdb-for-rent-717-clementi-west-street-2-23509141</x:v>
      </x:c>
      <x:c r="Q1273" s="12" t="str">
        <x:v>Identity added to the common review pool after return; grade unchanged from the pre-run corpus freeze.</x:v>
      </x:c>
      <x:c r="R1273" s="13"/>
    </x:row>
    <x:row r="1274" ht="24" hidden="0" customHeight="1">
      <x:c r="A1274" s="2" t="str">
        <x:v>S27|500234598</x:v>
      </x:c>
      <x:c r="B1274" s="2" t="str">
        <x:v>S27</x:v>
      </x:c>
      <x:c r="C1274" s="2" t="str">
        <x:v>500234598</x:v>
      </x:c>
      <x:c r="D1274" s="2" t="n">
        <x:v>3</x:v>
      </x:c>
      <x:c r="E1274" s="9"/>
      <x:c r="F1274" s="2" t="n">
        <x:f>IF(E1274="",D1274,IF(E1274="U","U",IF(AND(ISNUMBER(E1274),E1274&gt;=0,E1274&lt;=3,INT(E1274)=E1274),E1274,"Invalid")))</x:f>
        <x:v>3</x:v>
      </x:c>
      <x:c r="G1274" s="2" t="n">
        <x:f>IF(ISNUMBER(F1274),1,0)</x:f>
        <x:v>1</x:v>
      </x:c>
      <x:c r="H1274" s="2" t="n">
        <x:f>IF(ISNUMBER(F1274),IF(F1274&gt;=2,1,0),0)</x:f>
        <x:v>1</x:v>
      </x:c>
      <x:c r="I1274" s="11" t="n">
        <x:f>IF(ISNUMBER(F1274),2^F1274-1,0)</x:f>
        <x:v>7</x:v>
      </x:c>
      <x:c r="J1274" s="2" t="str">
        <x:v>Extension pre-frozen corpus addition</x:v>
      </x:c>
      <x:c r="K1274" s="10" t="n">
        <x:v>4500</x:v>
      </x:c>
      <x:c r="L1274" s="10" t="n">
        <x:v>2</x:v>
      </x:c>
      <x:c r="M1274" s="10" t="n">
        <x:v>936</x:v>
      </x:c>
      <x:c r="N1274" s="2" t="str">
        <x:v>D05</x:v>
      </x:c>
      <x:c r="O1274" s="2" t="str">
        <x:v>condominium</x:v>
      </x:c>
      <x:c r="P1274" s="2" t="str">
        <x:v>https://www.propertyguru.com.sg/listing/for-rent-dover-parkview-500234598</x:v>
      </x:c>
      <x:c r="Q1274" s="12" t="str">
        <x:v>Identity added to the common review pool after return; grade unchanged from the pre-run corpus freeze.</x:v>
      </x:c>
      <x:c r="R1274" s="13"/>
    </x:row>
    <x:row r="1275" ht="24" hidden="0" customHeight="1">
      <x:c r="A1275" s="2" t="str">
        <x:v>S27|500265384</x:v>
      </x:c>
      <x:c r="B1275" s="2" t="str">
        <x:v>S27</x:v>
      </x:c>
      <x:c r="C1275" s="2" t="str">
        <x:v>500265384</x:v>
      </x:c>
      <x:c r="D1275" s="2" t="n">
        <x:v>3</x:v>
      </x:c>
      <x:c r="E1275" s="9"/>
      <x:c r="F1275" s="2" t="n">
        <x:f>IF(E1275="",D1275,IF(E1275="U","U",IF(AND(ISNUMBER(E1275),E1275&gt;=0,E1275&lt;=3,INT(E1275)=E1275),E1275,"Invalid")))</x:f>
        <x:v>3</x:v>
      </x:c>
      <x:c r="G1275" s="2" t="n">
        <x:f>IF(ISNUMBER(F1275),1,0)</x:f>
        <x:v>1</x:v>
      </x:c>
      <x:c r="H1275" s="2" t="n">
        <x:f>IF(ISNUMBER(F1275),IF(F1275&gt;=2,1,0),0)</x:f>
        <x:v>1</x:v>
      </x:c>
      <x:c r="I1275" s="11" t="n">
        <x:f>IF(ISNUMBER(F1275),2^F1275-1,0)</x:f>
        <x:v>7</x:v>
      </x:c>
      <x:c r="J1275" s="2" t="str">
        <x:v>Extension pre-frozen corpus addition</x:v>
      </x:c>
      <x:c r="K1275" s="10" t="n">
        <x:v>4000</x:v>
      </x:c>
      <x:c r="L1275" s="10" t="n">
        <x:v>3</x:v>
      </x:c>
      <x:c r="M1275" s="10" t="n">
        <x:v>990</x:v>
      </x:c>
      <x:c r="N1275" s="2" t="str">
        <x:v>D03</x:v>
      </x:c>
      <x:c r="O1275" s="2" t="str">
        <x:v>hdb flat</x:v>
      </x:c>
      <x:c r="P1275" s="2" t="str">
        <x:v>https://www.propertyguru.com.sg/listing/hdb-for-rent-119c-kim-tian-road-500265384</x:v>
      </x:c>
      <x:c r="Q1275" s="12" t="str">
        <x:v>Identity added to the common review pool after return; grade unchanged from the pre-run corpus freeze.</x:v>
      </x:c>
      <x:c r="R1275" s="13"/>
    </x:row>
    <x:row r="1276" ht="24" hidden="0" customHeight="1">
      <x:c r="A1276" s="2" t="str">
        <x:v>S27|500273514</x:v>
      </x:c>
      <x:c r="B1276" s="2" t="str">
        <x:v>S27</x:v>
      </x:c>
      <x:c r="C1276" s="2" t="str">
        <x:v>500273514</x:v>
      </x:c>
      <x:c r="D1276" s="2" t="n">
        <x:v>3</x:v>
      </x:c>
      <x:c r="E1276" s="9"/>
      <x:c r="F1276" s="2" t="n">
        <x:f>IF(E1276="",D1276,IF(E1276="U","U",IF(AND(ISNUMBER(E1276),E1276&gt;=0,E1276&lt;=3,INT(E1276)=E1276),E1276,"Invalid")))</x:f>
        <x:v>3</x:v>
      </x:c>
      <x:c r="G1276" s="2" t="n">
        <x:f>IF(ISNUMBER(F1276),1,0)</x:f>
        <x:v>1</x:v>
      </x:c>
      <x:c r="H1276" s="2" t="n">
        <x:f>IF(ISNUMBER(F1276),IF(F1276&gt;=2,1,0),0)</x:f>
        <x:v>1</x:v>
      </x:c>
      <x:c r="I1276" s="11" t="n">
        <x:f>IF(ISNUMBER(F1276),2^F1276-1,0)</x:f>
        <x:v>7</x:v>
      </x:c>
      <x:c r="J1276" s="2" t="str">
        <x:v>Extension pre-frozen corpus addition</x:v>
      </x:c>
      <x:c r="K1276" s="10" t="n">
        <x:v>4499</x:v>
      </x:c>
      <x:c r="L1276" s="10" t="n">
        <x:v>3</x:v>
      </x:c>
      <x:c r="M1276" s="10" t="n">
        <x:v>969</x:v>
      </x:c>
      <x:c r="N1276" s="2" t="str">
        <x:v>D03</x:v>
      </x:c>
      <x:c r="O1276" s="2" t="str">
        <x:v>hdb flat</x:v>
      </x:c>
      <x:c r="P1276" s="2" t="str">
        <x:v>https://www.propertyguru.com.sg/listing/hdb-for-rent-27a-jalan-membina-500273514</x:v>
      </x:c>
      <x:c r="Q1276" s="12" t="str">
        <x:v>Identity added to the common review pool after return; grade unchanged from the pre-run corpus freeze.</x:v>
      </x:c>
      <x:c r="R1276" s="13"/>
    </x:row>
    <x:row r="1277" ht="24" hidden="0" customHeight="1">
      <x:c r="A1277" s="2" t="str">
        <x:v>S27|60120018</x:v>
      </x:c>
      <x:c r="B1277" s="2" t="str">
        <x:v>S27</x:v>
      </x:c>
      <x:c r="C1277" s="2" t="str">
        <x:v>60120018</x:v>
      </x:c>
      <x:c r="D1277" s="2" t="n">
        <x:v>3</x:v>
      </x:c>
      <x:c r="E1277" s="9"/>
      <x:c r="F1277" s="2" t="n">
        <x:f>IF(E1277="",D1277,IF(E1277="U","U",IF(AND(ISNUMBER(E1277),E1277&gt;=0,E1277&lt;=3,INT(E1277)=E1277),E1277,"Invalid")))</x:f>
        <x:v>3</x:v>
      </x:c>
      <x:c r="G1277" s="2" t="n">
        <x:f>IF(ISNUMBER(F1277),1,0)</x:f>
        <x:v>1</x:v>
      </x:c>
      <x:c r="H1277" s="2" t="n">
        <x:f>IF(ISNUMBER(F1277),IF(F1277&gt;=2,1,0),0)</x:f>
        <x:v>1</x:v>
      </x:c>
      <x:c r="I1277" s="11" t="n">
        <x:f>IF(ISNUMBER(F1277),2^F1277-1,0)</x:f>
        <x:v>7</x:v>
      </x:c>
      <x:c r="J1277" s="2" t="str">
        <x:v>Extension pre-frozen corpus addition</x:v>
      </x:c>
      <x:c r="K1277" s="10" t="n">
        <x:v>4500</x:v>
      </x:c>
      <x:c r="L1277" s="10" t="n">
        <x:v>3</x:v>
      </x:c>
      <x:c r="M1277" s="10" t="n">
        <x:v>1345</x:v>
      </x:c>
      <x:c r="N1277" s="2" t="str">
        <x:v>D05</x:v>
      </x:c>
      <x:c r="O1277" s="2" t="str">
        <x:v>hdb flat</x:v>
      </x:c>
      <x:c r="P1277" s="2" t="str">
        <x:v>https://www.propertyguru.com.sg/listing/hdb-for-rent-414-commonwealth-avenue-west-60120018</x:v>
      </x:c>
      <x:c r="Q1277" s="12" t="str">
        <x:v>Identity added to the common review pool after return; grade unchanged from the pre-run corpus freeze.</x:v>
      </x:c>
      <x:c r="R1277" s="13"/>
    </x:row>
    <x:row r="1278" ht="24" hidden="0" customHeight="1">
      <x:c r="A1278" s="2" t="str">
        <x:v>S28|18074957</x:v>
      </x:c>
      <x:c r="B1278" s="2" t="str">
        <x:v>S28</x:v>
      </x:c>
      <x:c r="C1278" s="2" t="str">
        <x:v>18074957</x:v>
      </x:c>
      <x:c r="D1278" s="2" t="n">
        <x:v>3</x:v>
      </x:c>
      <x:c r="E1278" s="9"/>
      <x:c r="F1278" s="2" t="n">
        <x:f>IF(E1278="",D1278,IF(E1278="U","U",IF(AND(ISNUMBER(E1278),E1278&gt;=0,E1278&lt;=3,INT(E1278)=E1278),E1278,"Invalid")))</x:f>
        <x:v>3</x:v>
      </x:c>
      <x:c r="G1278" s="2" t="n">
        <x:f>IF(ISNUMBER(F1278),1,0)</x:f>
        <x:v>1</x:v>
      </x:c>
      <x:c r="H1278" s="2" t="n">
        <x:f>IF(ISNUMBER(F1278),IF(F1278&gt;=2,1,0),0)</x:f>
        <x:v>1</x:v>
      </x:c>
      <x:c r="I1278" s="11" t="n">
        <x:f>IF(ISNUMBER(F1278),2^F1278-1,0)</x:f>
        <x:v>7</x:v>
      </x:c>
      <x:c r="J1278" s="2" t="str">
        <x:v>Extension pre-frozen corpus addition</x:v>
      </x:c>
      <x:c r="K1278" s="10" t="n">
        <x:v>4500</x:v>
      </x:c>
      <x:c r="L1278" s="10" t="n">
        <x:v>3</x:v>
      </x:c>
      <x:c r="M1278" s="10" t="n">
        <x:v>1000</x:v>
      </x:c>
      <x:c r="N1278" s="2" t="str">
        <x:v>D05</x:v>
      </x:c>
      <x:c r="O1278" s="2" t="str">
        <x:v>hdb flat</x:v>
      </x:c>
      <x:c r="P1278" s="2" t="str">
        <x:v>https://www.propertyguru.com.sg/listing/hdb-for-rent-456-clementi-avenue-3-18074957</x:v>
      </x:c>
      <x:c r="Q1278" s="12" t="str">
        <x:v>Identity added to the common review pool after return; grade unchanged from the pre-run corpus freeze.</x:v>
      </x:c>
      <x:c r="R1278" s="13"/>
    </x:row>
    <x:row r="1279" ht="24" hidden="0" customHeight="1">
      <x:c r="A1279" s="2" t="str">
        <x:v>S28|20554943</x:v>
      </x:c>
      <x:c r="B1279" s="2" t="str">
        <x:v>S28</x:v>
      </x:c>
      <x:c r="C1279" s="2" t="str">
        <x:v>20554943</x:v>
      </x:c>
      <x:c r="D1279" s="2" t="n">
        <x:v>3</x:v>
      </x:c>
      <x:c r="E1279" s="9"/>
      <x:c r="F1279" s="2" t="n">
        <x:f>IF(E1279="",D1279,IF(E1279="U","U",IF(AND(ISNUMBER(E1279),E1279&gt;=0,E1279&lt;=3,INT(E1279)=E1279),E1279,"Invalid")))</x:f>
        <x:v>3</x:v>
      </x:c>
      <x:c r="G1279" s="2" t="n">
        <x:f>IF(ISNUMBER(F1279),1,0)</x:f>
        <x:v>1</x:v>
      </x:c>
      <x:c r="H1279" s="2" t="n">
        <x:f>IF(ISNUMBER(F1279),IF(F1279&gt;=2,1,0),0)</x:f>
        <x:v>1</x:v>
      </x:c>
      <x:c r="I1279" s="11" t="n">
        <x:f>IF(ISNUMBER(F1279),2^F1279-1,0)</x:f>
        <x:v>7</x:v>
      </x:c>
      <x:c r="J1279" s="2" t="str">
        <x:v>Extension pre-frozen corpus addition</x:v>
      </x:c>
      <x:c r="K1279" s="10" t="n">
        <x:v>4500</x:v>
      </x:c>
      <x:c r="L1279" s="10" t="n">
        <x:v>3</x:v>
      </x:c>
      <x:c r="M1279" s="10" t="n">
        <x:v>1259</x:v>
      </x:c>
      <x:c r="N1279" s="2" t="str">
        <x:v>D03</x:v>
      </x:c>
      <x:c r="O1279" s="2" t="str">
        <x:v>hdb flat</x:v>
      </x:c>
      <x:c r="P1279" s="2" t="str">
        <x:v>https://www.propertyguru.com.sg/listing/hdb-for-rent-117-bukit-merah-central-20554943</x:v>
      </x:c>
      <x:c r="Q1279" s="12" t="str">
        <x:v>Identity added to the common review pool after return; grade unchanged from the pre-run corpus freeze.</x:v>
      </x:c>
      <x:c r="R1279" s="13"/>
    </x:row>
    <x:row r="1280" ht="24" hidden="0" customHeight="1">
      <x:c r="A1280" s="2" t="str">
        <x:v>S28|25447883</x:v>
      </x:c>
      <x:c r="B1280" s="2" t="str">
        <x:v>S28</x:v>
      </x:c>
      <x:c r="C1280" s="2" t="str">
        <x:v>25447883</x:v>
      </x:c>
      <x:c r="D1280" s="2" t="n">
        <x:v>3</x:v>
      </x:c>
      <x:c r="E1280" s="9"/>
      <x:c r="F1280" s="2" t="n">
        <x:f>IF(E1280="",D1280,IF(E1280="U","U",IF(AND(ISNUMBER(E1280),E1280&gt;=0,E1280&lt;=3,INT(E1280)=E1280),E1280,"Invalid")))</x:f>
        <x:v>3</x:v>
      </x:c>
      <x:c r="G1280" s="2" t="n">
        <x:f>IF(ISNUMBER(F1280),1,0)</x:f>
        <x:v>1</x:v>
      </x:c>
      <x:c r="H1280" s="2" t="n">
        <x:f>IF(ISNUMBER(F1280),IF(F1280&gt;=2,1,0),0)</x:f>
        <x:v>1</x:v>
      </x:c>
      <x:c r="I1280" s="11" t="n">
        <x:f>IF(ISNUMBER(F1280),2^F1280-1,0)</x:f>
        <x:v>7</x:v>
      </x:c>
      <x:c r="J1280" s="2" t="str">
        <x:v>Extension pre-frozen corpus addition</x:v>
      </x:c>
      <x:c r="K1280" s="10" t="n">
        <x:v>4200</x:v>
      </x:c>
      <x:c r="L1280" s="10" t="n">
        <x:v>2</x:v>
      </x:c>
      <x:c r="M1280" s="10" t="n">
        <x:v>1033</x:v>
      </x:c>
      <x:c r="N1280" s="2" t="str">
        <x:v>D05</x:v>
      </x:c>
      <x:c r="O1280" s="2" t="str">
        <x:v>hdb flat</x:v>
      </x:c>
      <x:c r="P1280" s="2" t="str">
        <x:v>https://www.propertyguru.com.sg/listing/hdb-for-rent-28b-dover-crescent-25447883</x:v>
      </x:c>
      <x:c r="Q1280" s="12" t="str">
        <x:v>Identity added to the common review pool after return; grade unchanged from the pre-run corpus freeze.</x:v>
      </x:c>
      <x:c r="R1280" s="13"/>
    </x:row>
    <x:row r="1281" ht="24" hidden="0" customHeight="1">
      <x:c r="A1281" s="2" t="str">
        <x:v>S28|500229761</x:v>
      </x:c>
      <x:c r="B1281" s="2" t="str">
        <x:v>S28</x:v>
      </x:c>
      <x:c r="C1281" s="2" t="str">
        <x:v>500229761</x:v>
      </x:c>
      <x:c r="D1281" s="2" t="n">
        <x:v>3</x:v>
      </x:c>
      <x:c r="E1281" s="9"/>
      <x:c r="F1281" s="2" t="n">
        <x:f>IF(E1281="",D1281,IF(E1281="U","U",IF(AND(ISNUMBER(E1281),E1281&gt;=0,E1281&lt;=3,INT(E1281)=E1281),E1281,"Invalid")))</x:f>
        <x:v>3</x:v>
      </x:c>
      <x:c r="G1281" s="2" t="n">
        <x:f>IF(ISNUMBER(F1281),1,0)</x:f>
        <x:v>1</x:v>
      </x:c>
      <x:c r="H1281" s="2" t="n">
        <x:f>IF(ISNUMBER(F1281),IF(F1281&gt;=2,1,0),0)</x:f>
        <x:v>1</x:v>
      </x:c>
      <x:c r="I1281" s="11" t="n">
        <x:f>IF(ISNUMBER(F1281),2^F1281-1,0)</x:f>
        <x:v>7</x:v>
      </x:c>
      <x:c r="J1281" s="2" t="str">
        <x:v>Extension pre-frozen corpus addition</x:v>
      </x:c>
      <x:c r="K1281" s="10" t="n">
        <x:v>4200</x:v>
      </x:c>
      <x:c r="L1281" s="10" t="n">
        <x:v>2</x:v>
      </x:c>
      <x:c r="M1281" s="10" t="n">
        <x:v>1033</x:v>
      </x:c>
      <x:c r="N1281" s="2" t="str">
        <x:v>D05</x:v>
      </x:c>
      <x:c r="O1281" s="2" t="str">
        <x:v>condominium</x:v>
      </x:c>
      <x:c r="P1281" s="2" t="str">
        <x:v>https://www.propertyguru.com.sg/listing/for-rent-faber-crest-500229761</x:v>
      </x:c>
      <x:c r="Q1281" s="12" t="str">
        <x:v>Identity added to the common review pool after return; grade unchanged from the pre-run corpus freeze.</x:v>
      </x:c>
      <x:c r="R1281" s="13"/>
    </x:row>
    <x:row r="1282" ht="24" hidden="0" customHeight="1">
      <x:c r="A1282" s="2" t="str">
        <x:v>S28|500246189</x:v>
      </x:c>
      <x:c r="B1282" s="2" t="str">
        <x:v>S28</x:v>
      </x:c>
      <x:c r="C1282" s="2" t="str">
        <x:v>500246189</x:v>
      </x:c>
      <x:c r="D1282" s="2" t="n">
        <x:v>3</x:v>
      </x:c>
      <x:c r="E1282" s="9"/>
      <x:c r="F1282" s="2" t="n">
        <x:f>IF(E1282="",D1282,IF(E1282="U","U",IF(AND(ISNUMBER(E1282),E1282&gt;=0,E1282&lt;=3,INT(E1282)=E1282),E1282,"Invalid")))</x:f>
        <x:v>3</x:v>
      </x:c>
      <x:c r="G1282" s="2" t="n">
        <x:f>IF(ISNUMBER(F1282),1,0)</x:f>
        <x:v>1</x:v>
      </x:c>
      <x:c r="H1282" s="2" t="n">
        <x:f>IF(ISNUMBER(F1282),IF(F1282&gt;=2,1,0),0)</x:f>
        <x:v>1</x:v>
      </x:c>
      <x:c r="I1282" s="11" t="n">
        <x:f>IF(ISNUMBER(F1282),2^F1282-1,0)</x:f>
        <x:v>7</x:v>
      </x:c>
      <x:c r="J1282" s="2" t="str">
        <x:v>Extension pre-frozen corpus addition</x:v>
      </x:c>
      <x:c r="K1282" s="10" t="n">
        <x:v>4500</x:v>
      </x:c>
      <x:c r="L1282" s="10" t="n">
        <x:v>3</x:v>
      </x:c>
      <x:c r="M1282" s="10" t="n">
        <x:v>1011</x:v>
      </x:c>
      <x:c r="N1282" s="2" t="str">
        <x:v>D03</x:v>
      </x:c>
      <x:c r="O1282" s="2" t="str">
        <x:v>hdb flat</x:v>
      </x:c>
      <x:c r="P1282" s="2" t="str">
        <x:v>https://www.propertyguru.com.sg/listing/hdb-for-rent-126c-kim-tian-road-500246189</x:v>
      </x:c>
      <x:c r="Q1282" s="12" t="str">
        <x:v>Identity added to the common review pool after return; grade unchanged from the pre-run corpus freeze.</x:v>
      </x:c>
      <x:c r="R1282" s="13"/>
    </x:row>
    <x:row r="1283" ht="24" hidden="0" customHeight="1">
      <x:c r="A1283" s="2" t="str">
        <x:v>S28|500251234</x:v>
      </x:c>
      <x:c r="B1283" s="2" t="str">
        <x:v>S28</x:v>
      </x:c>
      <x:c r="C1283" s="2" t="str">
        <x:v>500251234</x:v>
      </x:c>
      <x:c r="D1283" s="2" t="n">
        <x:v>3</x:v>
      </x:c>
      <x:c r="E1283" s="9"/>
      <x:c r="F1283" s="2" t="n">
        <x:f>IF(E1283="",D1283,IF(E1283="U","U",IF(AND(ISNUMBER(E1283),E1283&gt;=0,E1283&lt;=3,INT(E1283)=E1283),E1283,"Invalid")))</x:f>
        <x:v>3</x:v>
      </x:c>
      <x:c r="G1283" s="2" t="n">
        <x:f>IF(ISNUMBER(F1283),1,0)</x:f>
        <x:v>1</x:v>
      </x:c>
      <x:c r="H1283" s="2" t="n">
        <x:f>IF(ISNUMBER(F1283),IF(F1283&gt;=2,1,0),0)</x:f>
        <x:v>1</x:v>
      </x:c>
      <x:c r="I1283" s="11" t="n">
        <x:f>IF(ISNUMBER(F1283),2^F1283-1,0)</x:f>
        <x:v>7</x:v>
      </x:c>
      <x:c r="J1283" s="2" t="str">
        <x:v>Extension pre-frozen corpus addition</x:v>
      </x:c>
      <x:c r="K1283" s="10" t="n">
        <x:v>3900</x:v>
      </x:c>
      <x:c r="L1283" s="10" t="n">
        <x:v>3</x:v>
      </x:c>
      <x:c r="M1283" s="10" t="n">
        <x:v>1000</x:v>
      </x:c>
      <x:c r="N1283" s="2" t="str">
        <x:v>D05</x:v>
      </x:c>
      <x:c r="O1283" s="2" t="str">
        <x:v>hdb flat</x:v>
      </x:c>
      <x:c r="P1283" s="2" t="str">
        <x:v>https://www.propertyguru.com.sg/listing/hdb-for-rent-506-west-coast-drive-500251234</x:v>
      </x:c>
      <x:c r="Q1283" s="12" t="str">
        <x:v>Identity added to the common review pool after return; grade unchanged from the pre-run corpus freeze.</x:v>
      </x:c>
      <x:c r="R1283" s="13"/>
    </x:row>
    <x:row r="1284" ht="24" hidden="0" customHeight="1">
      <x:c r="A1284" s="2" t="str">
        <x:v>S28|500265058</x:v>
      </x:c>
      <x:c r="B1284" s="2" t="str">
        <x:v>S28</x:v>
      </x:c>
      <x:c r="C1284" s="2" t="str">
        <x:v>500265058</x:v>
      </x:c>
      <x:c r="D1284" s="2" t="n">
        <x:v>3</x:v>
      </x:c>
      <x:c r="E1284" s="9"/>
      <x:c r="F1284" s="2" t="n">
        <x:f>IF(E1284="",D1284,IF(E1284="U","U",IF(AND(ISNUMBER(E1284),E1284&gt;=0,E1284&lt;=3,INT(E1284)=E1284),E1284,"Invalid")))</x:f>
        <x:v>3</x:v>
      </x:c>
      <x:c r="G1284" s="2" t="n">
        <x:f>IF(ISNUMBER(F1284),1,0)</x:f>
        <x:v>1</x:v>
      </x:c>
      <x:c r="H1284" s="2" t="n">
        <x:f>IF(ISNUMBER(F1284),IF(F1284&gt;=2,1,0),0)</x:f>
        <x:v>1</x:v>
      </x:c>
      <x:c r="I1284" s="11" t="n">
        <x:f>IF(ISNUMBER(F1284),2^F1284-1,0)</x:f>
        <x:v>7</x:v>
      </x:c>
      <x:c r="J1284" s="2" t="str">
        <x:v>Extension pre-frozen corpus addition</x:v>
      </x:c>
      <x:c r="K1284" s="10" t="n">
        <x:v>4300</x:v>
      </x:c>
      <x:c r="L1284" s="10" t="n">
        <x:v>3</x:v>
      </x:c>
      <x:c r="M1284" s="10" t="n">
        <x:v>1000</x:v>
      </x:c>
      <x:c r="N1284" s="2" t="str">
        <x:v>D05</x:v>
      </x:c>
      <x:c r="O1284" s="2" t="str">
        <x:v>hdb flat</x:v>
      </x:c>
      <x:c r="P1284" s="2" t="str">
        <x:v>https://www.propertyguru.com.sg/listing/hdb-for-rent-359-clementi-avenue-2-500265058</x:v>
      </x:c>
      <x:c r="Q1284" s="12" t="str">
        <x:v>Identity added to the common review pool after return; grade unchanged from the pre-run corpus freeze.</x:v>
      </x:c>
      <x:c r="R1284" s="13"/>
    </x:row>
    <x:row r="1285" ht="24" hidden="0" customHeight="1">
      <x:c r="A1285" s="2" t="str">
        <x:v>S28|500265127</x:v>
      </x:c>
      <x:c r="B1285" s="2" t="str">
        <x:v>S28</x:v>
      </x:c>
      <x:c r="C1285" s="2" t="str">
        <x:v>500265127</x:v>
      </x:c>
      <x:c r="D1285" s="2" t="n">
        <x:v>3</x:v>
      </x:c>
      <x:c r="E1285" s="9"/>
      <x:c r="F1285" s="2" t="n">
        <x:f>IF(E1285="",D1285,IF(E1285="U","U",IF(AND(ISNUMBER(E1285),E1285&gt;=0,E1285&lt;=3,INT(E1285)=E1285),E1285,"Invalid")))</x:f>
        <x:v>3</x:v>
      </x:c>
      <x:c r="G1285" s="2" t="n">
        <x:f>IF(ISNUMBER(F1285),1,0)</x:f>
        <x:v>1</x:v>
      </x:c>
      <x:c r="H1285" s="2" t="n">
        <x:f>IF(ISNUMBER(F1285),IF(F1285&gt;=2,1,0),0)</x:f>
        <x:v>1</x:v>
      </x:c>
      <x:c r="I1285" s="11" t="n">
        <x:f>IF(ISNUMBER(F1285),2^F1285-1,0)</x:f>
        <x:v>7</x:v>
      </x:c>
      <x:c r="J1285" s="2" t="str">
        <x:v>Extension pre-frozen corpus addition</x:v>
      </x:c>
      <x:c r="K1285" s="10" t="n">
        <x:v>4200</x:v>
      </x:c>
      <x:c r="L1285" s="10" t="n">
        <x:v>2</x:v>
      </x:c>
      <x:c r="M1285" s="10" t="n">
        <x:v>1032</x:v>
      </x:c>
      <x:c r="N1285" s="2" t="str">
        <x:v>D05</x:v>
      </x:c>
      <x:c r="O1285" s="2" t="str">
        <x:v>hdb flat</x:v>
      </x:c>
      <x:c r="P1285" s="2" t="str">
        <x:v>https://www.propertyguru.com.sg/listing/hdb-for-rent-28b-dover-crescent-500265127</x:v>
      </x:c>
      <x:c r="Q1285" s="12" t="str">
        <x:v>Identity added to the common review pool after return; grade unchanged from the pre-run corpus freeze.</x:v>
      </x:c>
      <x:c r="R1285" s="13"/>
    </x:row>
    <x:row r="1286" ht="24" hidden="0" customHeight="1">
      <x:c r="A1286" s="2" t="str">
        <x:v>S28|60120018</x:v>
      </x:c>
      <x:c r="B1286" s="2" t="str">
        <x:v>S28</x:v>
      </x:c>
      <x:c r="C1286" s="2" t="str">
        <x:v>60120018</x:v>
      </x:c>
      <x:c r="D1286" s="2" t="n">
        <x:v>3</x:v>
      </x:c>
      <x:c r="E1286" s="9"/>
      <x:c r="F1286" s="2" t="n">
        <x:f>IF(E1286="",D1286,IF(E1286="U","U",IF(AND(ISNUMBER(E1286),E1286&gt;=0,E1286&lt;=3,INT(E1286)=E1286),E1286,"Invalid")))</x:f>
        <x:v>3</x:v>
      </x:c>
      <x:c r="G1286" s="2" t="n">
        <x:f>IF(ISNUMBER(F1286),1,0)</x:f>
        <x:v>1</x:v>
      </x:c>
      <x:c r="H1286" s="2" t="n">
        <x:f>IF(ISNUMBER(F1286),IF(F1286&gt;=2,1,0),0)</x:f>
        <x:v>1</x:v>
      </x:c>
      <x:c r="I1286" s="11" t="n">
        <x:f>IF(ISNUMBER(F1286),2^F1286-1,0)</x:f>
        <x:v>7</x:v>
      </x:c>
      <x:c r="J1286" s="2" t="str">
        <x:v>Extension pre-frozen corpus addition</x:v>
      </x:c>
      <x:c r="K1286" s="10" t="n">
        <x:v>4500</x:v>
      </x:c>
      <x:c r="L1286" s="10" t="n">
        <x:v>3</x:v>
      </x:c>
      <x:c r="M1286" s="10" t="n">
        <x:v>1345</x:v>
      </x:c>
      <x:c r="N1286" s="2" t="str">
        <x:v>D05</x:v>
      </x:c>
      <x:c r="O1286" s="2" t="str">
        <x:v>hdb flat</x:v>
      </x:c>
      <x:c r="P1286" s="2" t="str">
        <x:v>https://www.propertyguru.com.sg/listing/hdb-for-rent-414-commonwealth-avenue-west-60120018</x:v>
      </x:c>
      <x:c r="Q1286" s="12" t="str">
        <x:v>Identity added to the common review pool after return; grade unchanged from the pre-run corpus freeze.</x:v>
      </x:c>
      <x:c r="R1286" s="13"/>
    </x:row>
    <x:row r="1287" ht="24" hidden="0" customHeight="1">
      <x:c r="A1287" s="2" t="str">
        <x:v>S29|21789856</x:v>
      </x:c>
      <x:c r="B1287" s="2" t="str">
        <x:v>S29</x:v>
      </x:c>
      <x:c r="C1287" s="2" t="str">
        <x:v>21789856</x:v>
      </x:c>
      <x:c r="D1287" s="2" t="n">
        <x:v>2</x:v>
      </x:c>
      <x:c r="E1287" s="9"/>
      <x:c r="F1287" s="2" t="n">
        <x:f>IF(E1287="",D1287,IF(E1287="U","U",IF(AND(ISNUMBER(E1287),E1287&gt;=0,E1287&lt;=3,INT(E1287)=E1287),E1287,"Invalid")))</x:f>
        <x:v>2</x:v>
      </x:c>
      <x:c r="G1287" s="2" t="n">
        <x:f>IF(ISNUMBER(F1287),1,0)</x:f>
        <x:v>1</x:v>
      </x:c>
      <x:c r="H1287" s="2" t="n">
        <x:f>IF(ISNUMBER(F1287),IF(F1287&gt;=2,1,0),0)</x:f>
        <x:v>1</x:v>
      </x:c>
      <x:c r="I1287" s="11" t="n">
        <x:f>IF(ISNUMBER(F1287),2^F1287-1,0)</x:f>
        <x:v>3</x:v>
      </x:c>
      <x:c r="J1287" s="2" t="str">
        <x:v>Extension pre-frozen corpus addition</x:v>
      </x:c>
      <x:c r="K1287" s="10" t="n">
        <x:v>2250</x:v>
      </x:c>
      <x:c r="L1287" s="10" t="n">
        <x:v>2</x:v>
      </x:c>
      <x:c r="M1287" s="10" t="n">
        <x:v>645</x:v>
      </x:c>
      <x:c r="N1287" s="2" t="str">
        <x:v>D20</x:v>
      </x:c>
      <x:c r="O1287" s="2" t="str">
        <x:v>hdb flat</x:v>
      </x:c>
      <x:c r="P1287" s="2" t="str">
        <x:v>https://www.propertyguru.com.sg/listing/hdb-for-rent-137-bishan-street-12-21789856</x:v>
      </x:c>
      <x:c r="Q1287" s="12" t="str">
        <x:v>Identity added to the common review pool after return; grade unchanged from the pre-run corpus freeze.</x:v>
      </x:c>
      <x:c r="R1287" s="13"/>
    </x:row>
    <x:row r="1288" ht="24" hidden="0" customHeight="1">
      <x:c r="A1288" s="2" t="str">
        <x:v>S29|500262772</x:v>
      </x:c>
      <x:c r="B1288" s="2" t="str">
        <x:v>S29</x:v>
      </x:c>
      <x:c r="C1288" s="2" t="str">
        <x:v>500262772</x:v>
      </x:c>
      <x:c r="D1288" s="2" t="n">
        <x:v>2</x:v>
      </x:c>
      <x:c r="E1288" s="9"/>
      <x:c r="F1288" s="2" t="n">
        <x:f>IF(E1288="",D1288,IF(E1288="U","U",IF(AND(ISNUMBER(E1288),E1288&gt;=0,E1288&lt;=3,INT(E1288)=E1288),E1288,"Invalid")))</x:f>
        <x:v>2</x:v>
      </x:c>
      <x:c r="G1288" s="2" t="n">
        <x:f>IF(ISNUMBER(F1288),1,0)</x:f>
        <x:v>1</x:v>
      </x:c>
      <x:c r="H1288" s="2" t="n">
        <x:f>IF(ISNUMBER(F1288),IF(F1288&gt;=2,1,0),0)</x:f>
        <x:v>1</x:v>
      </x:c>
      <x:c r="I1288" s="11" t="n">
        <x:f>IF(ISNUMBER(F1288),2^F1288-1,0)</x:f>
        <x:v>3</x:v>
      </x:c>
      <x:c r="J1288" s="2" t="str">
        <x:v>Extension pre-frozen corpus addition</x:v>
      </x:c>
      <x:c r="K1288" s="10" t="n">
        <x:v>2800</x:v>
      </x:c>
      <x:c r="L1288" s="10" t="n">
        <x:v>2</x:v>
      </x:c>
      <x:c r="M1288" s="10" t="n">
        <x:v>721</x:v>
      </x:c>
      <x:c r="N1288" s="2" t="str">
        <x:v>D19</x:v>
      </x:c>
      <x:c r="O1288" s="2" t="str">
        <x:v>hdb flat</x:v>
      </x:c>
      <x:c r="P1288" s="2" t="str">
        <x:v>https://www.propertyguru.com.sg/listing/hdb-for-rent-327-hougang-avenue-5-500262772</x:v>
      </x:c>
      <x:c r="Q1288" s="12" t="str">
        <x:v>Identity added to the common review pool after return; grade unchanged from the pre-run corpus freeze.</x:v>
      </x:c>
      <x:c r="R1288" s="13"/>
    </x:row>
    <x:row r="1289" ht="24" hidden="0" customHeight="1">
      <x:c r="A1289" s="2" t="str">
        <x:v>S29|500269987</x:v>
      </x:c>
      <x:c r="B1289" s="2" t="str">
        <x:v>S29</x:v>
      </x:c>
      <x:c r="C1289" s="2" t="str">
        <x:v>500269987</x:v>
      </x:c>
      <x:c r="D1289" s="2" t="n">
        <x:v>2</x:v>
      </x:c>
      <x:c r="E1289" s="9"/>
      <x:c r="F1289" s="2" t="n">
        <x:f>IF(E1289="",D1289,IF(E1289="U","U",IF(AND(ISNUMBER(E1289),E1289&gt;=0,E1289&lt;=3,INT(E1289)=E1289),E1289,"Invalid")))</x:f>
        <x:v>2</x:v>
      </x:c>
      <x:c r="G1289" s="2" t="n">
        <x:f>IF(ISNUMBER(F1289),1,0)</x:f>
        <x:v>1</x:v>
      </x:c>
      <x:c r="H1289" s="2" t="n">
        <x:f>IF(ISNUMBER(F1289),IF(F1289&gt;=2,1,0),0)</x:f>
        <x:v>1</x:v>
      </x:c>
      <x:c r="I1289" s="11" t="n">
        <x:f>IF(ISNUMBER(F1289),2^F1289-1,0)</x:f>
        <x:v>3</x:v>
      </x:c>
      <x:c r="J1289" s="2" t="str">
        <x:v>Extension pre-frozen corpus addition</x:v>
      </x:c>
      <x:c r="K1289" s="10" t="n">
        <x:v>2700</x:v>
      </x:c>
      <x:c r="L1289" s="10" t="n">
        <x:v>2</x:v>
      </x:c>
      <x:c r="M1289" s="10" t="n">
        <x:v>735</x:v>
      </x:c>
      <x:c r="N1289" s="2" t="str">
        <x:v>D18</x:v>
      </x:c>
      <x:c r="O1289" s="2" t="str">
        <x:v>hdb flat</x:v>
      </x:c>
      <x:c r="P1289" s="2" t="str">
        <x:v>https://www.propertyguru.com.sg/listing/hdb-for-rent-292-tampines-street-22-500269987</x:v>
      </x:c>
      <x:c r="Q1289" s="12" t="str">
        <x:v>Identity added to the common review pool after return; grade unchanged from the pre-run corpus freeze.</x:v>
      </x:c>
      <x:c r="R1289" s="13"/>
    </x:row>
    <x:row r="1290" ht="24" hidden="0" customHeight="1">
      <x:c r="A1290" s="2" t="str">
        <x:v>S29|500272688</x:v>
      </x:c>
      <x:c r="B1290" s="2" t="str">
        <x:v>S29</x:v>
      </x:c>
      <x:c r="C1290" s="2" t="str">
        <x:v>500272688</x:v>
      </x:c>
      <x:c r="D1290" s="2" t="n">
        <x:v>2</x:v>
      </x:c>
      <x:c r="E1290" s="9"/>
      <x:c r="F1290" s="2" t="n">
        <x:f>IF(E1290="",D1290,IF(E1290="U","U",IF(AND(ISNUMBER(E1290),E1290&gt;=0,E1290&lt;=3,INT(E1290)=E1290),E1290,"Invalid")))</x:f>
        <x:v>2</x:v>
      </x:c>
      <x:c r="G1290" s="2" t="n">
        <x:f>IF(ISNUMBER(F1290),1,0)</x:f>
        <x:v>1</x:v>
      </x:c>
      <x:c r="H1290" s="2" t="n">
        <x:f>IF(ISNUMBER(F1290),IF(F1290&gt;=2,1,0),0)</x:f>
        <x:v>1</x:v>
      </x:c>
      <x:c r="I1290" s="11" t="n">
        <x:f>IF(ISNUMBER(F1290),2^F1290-1,0)</x:f>
        <x:v>3</x:v>
      </x:c>
      <x:c r="J1290" s="2" t="str">
        <x:v>Extension pre-frozen corpus addition</x:v>
      </x:c>
      <x:c r="K1290" s="10" t="n">
        <x:v>2700</x:v>
      </x:c>
      <x:c r="L1290" s="10" t="n">
        <x:v>2</x:v>
      </x:c>
      <x:c r="M1290" s="10" t="n">
        <x:v>735</x:v>
      </x:c>
      <x:c r="N1290" s="2" t="str">
        <x:v>D18</x:v>
      </x:c>
      <x:c r="O1290" s="2" t="str">
        <x:v>hdb flat</x:v>
      </x:c>
      <x:c r="P1290" s="2" t="str">
        <x:v>https://www.propertyguru.com.sg/listing/hdb-for-rent-219-tampines-street-24-500272688</x:v>
      </x:c>
      <x:c r="Q1290" s="12" t="str">
        <x:v>Identity added to the common review pool after return; grade unchanged from the pre-run corpus freeze.</x:v>
      </x:c>
      <x:c r="R1290" s="13"/>
    </x:row>
    <x:row r="1291" ht="24" hidden="0" customHeight="1">
      <x:c r="A1291" s="2" t="str">
        <x:v>S29|500287819</x:v>
      </x:c>
      <x:c r="B1291" s="2" t="str">
        <x:v>S29</x:v>
      </x:c>
      <x:c r="C1291" s="2" t="str">
        <x:v>500287819</x:v>
      </x:c>
      <x:c r="D1291" s="2" t="n">
        <x:v>2</x:v>
      </x:c>
      <x:c r="E1291" s="9"/>
      <x:c r="F1291" s="2" t="n">
        <x:f>IF(E1291="",D1291,IF(E1291="U","U",IF(AND(ISNUMBER(E1291),E1291&gt;=0,E1291&lt;=3,INT(E1291)=E1291),E1291,"Invalid")))</x:f>
        <x:v>2</x:v>
      </x:c>
      <x:c r="G1291" s="2" t="n">
        <x:f>IF(ISNUMBER(F1291),1,0)</x:f>
        <x:v>1</x:v>
      </x:c>
      <x:c r="H1291" s="2" t="n">
        <x:f>IF(ISNUMBER(F1291),IF(F1291&gt;=2,1,0),0)</x:f>
        <x:v>1</x:v>
      </x:c>
      <x:c r="I1291" s="11" t="n">
        <x:f>IF(ISNUMBER(F1291),2^F1291-1,0)</x:f>
        <x:v>3</x:v>
      </x:c>
      <x:c r="J1291" s="2" t="str">
        <x:v>Extension pre-frozen corpus addition</x:v>
      </x:c>
      <x:c r="K1291" s="10" t="n">
        <x:v>2800</x:v>
      </x:c>
      <x:c r="L1291" s="10" t="n">
        <x:v>2</x:v>
      </x:c>
      <x:c r="M1291" s="10" t="n">
        <x:v>750</x:v>
      </x:c>
      <x:c r="N1291" s="2" t="str">
        <x:v>D23</x:v>
      </x:c>
      <x:c r="O1291" s="2" t="str">
        <x:v>hdb flat</x:v>
      </x:c>
      <x:c r="P1291" s="2" t="str">
        <x:v>https://www.propertyguru.com.sg/listing/hdb-for-rent-442b-fajar-road-500287819</x:v>
      </x:c>
      <x:c r="Q1291" s="12" t="str">
        <x:v>Identity added to the common review pool after return; grade unchanged from the pre-run corpus freeze.</x:v>
      </x:c>
      <x:c r="R1291" s="13"/>
    </x:row>
    <x:row r="1292" ht="24" hidden="0" customHeight="1">
      <x:c r="A1292" s="2" t="str">
        <x:v>S29|500288134</x:v>
      </x:c>
      <x:c r="B1292" s="2" t="str">
        <x:v>S29</x:v>
      </x:c>
      <x:c r="C1292" s="2" t="str">
        <x:v>500288134</x:v>
      </x:c>
      <x:c r="D1292" s="2" t="n">
        <x:v>2</x:v>
      </x:c>
      <x:c r="E1292" s="9"/>
      <x:c r="F1292" s="2" t="n">
        <x:f>IF(E1292="",D1292,IF(E1292="U","U",IF(AND(ISNUMBER(E1292),E1292&gt;=0,E1292&lt;=3,INT(E1292)=E1292),E1292,"Invalid")))</x:f>
        <x:v>2</x:v>
      </x:c>
      <x:c r="G1292" s="2" t="n">
        <x:f>IF(ISNUMBER(F1292),1,0)</x:f>
        <x:v>1</x:v>
      </x:c>
      <x:c r="H1292" s="2" t="n">
        <x:f>IF(ISNUMBER(F1292),IF(F1292&gt;=2,1,0),0)</x:f>
        <x:v>1</x:v>
      </x:c>
      <x:c r="I1292" s="11" t="n">
        <x:f>IF(ISNUMBER(F1292),2^F1292-1,0)</x:f>
        <x:v>3</x:v>
      </x:c>
      <x:c r="J1292" s="2" t="str">
        <x:v>Extension pre-frozen corpus addition</x:v>
      </x:c>
      <x:c r="K1292" s="10" t="n">
        <x:v>2800</x:v>
      </x:c>
      <x:c r="L1292" s="10" t="n">
        <x:v>2</x:v>
      </x:c>
      <x:c r="M1292" s="10" t="n">
        <x:v>731</x:v>
      </x:c>
      <x:c r="N1292" s="2" t="str">
        <x:v>D19</x:v>
      </x:c>
      <x:c r="O1292" s="2" t="str">
        <x:v>hdb flat</x:v>
      </x:c>
      <x:c r="P1292" s="2" t="str">
        <x:v>https://www.propertyguru.com.sg/listing/hdb-for-rent-401-hougang-avenue-10-500288134</x:v>
      </x:c>
      <x:c r="Q1292" s="12" t="str">
        <x:v>Identity added to the common review pool after return; grade unchanged from the pre-run corpus freeze.</x:v>
      </x:c>
      <x:c r="R1292" s="13"/>
    </x:row>
    <x:row r="1293" ht="24" hidden="0" customHeight="1">
      <x:c r="A1293" s="2" t="str">
        <x:v>S30|21621461</x:v>
      </x:c>
      <x:c r="B1293" s="2" t="str">
        <x:v>S30</x:v>
      </x:c>
      <x:c r="C1293" s="2" t="str">
        <x:v>21621461</x:v>
      </x:c>
      <x:c r="D1293" s="2" t="n">
        <x:v>3</x:v>
      </x:c>
      <x:c r="E1293" s="9"/>
      <x:c r="F1293" s="2" t="n">
        <x:f>IF(E1293="",D1293,IF(E1293="U","U",IF(AND(ISNUMBER(E1293),E1293&gt;=0,E1293&lt;=3,INT(E1293)=E1293),E1293,"Invalid")))</x:f>
        <x:v>3</x:v>
      </x:c>
      <x:c r="G1293" s="2" t="n">
        <x:f>IF(ISNUMBER(F1293),1,0)</x:f>
        <x:v>1</x:v>
      </x:c>
      <x:c r="H1293" s="2" t="n">
        <x:f>IF(ISNUMBER(F1293),IF(F1293&gt;=2,1,0),0)</x:f>
        <x:v>1</x:v>
      </x:c>
      <x:c r="I1293" s="11" t="n">
        <x:f>IF(ISNUMBER(F1293),2^F1293-1,0)</x:f>
        <x:v>7</x:v>
      </x:c>
      <x:c r="J1293" s="2" t="str">
        <x:v>Extension pre-frozen corpus addition</x:v>
      </x:c>
      <x:c r="K1293" s="10" t="n">
        <x:v>3300</x:v>
      </x:c>
      <x:c r="L1293" s="10" t="n">
        <x:v>3</x:v>
      </x:c>
      <x:c r="M1293" s="10" t="n">
        <x:v>1194</x:v>
      </x:c>
      <x:c r="N1293" s="2" t="str">
        <x:v>D19</x:v>
      </x:c>
      <x:c r="O1293" s="2" t="str">
        <x:v>hdb flat</x:v>
      </x:c>
      <x:c r="P1293" s="2" t="str">
        <x:v>https://www.propertyguru.com.sg/listing/hdb-for-rent-130-edgedale-plains-21621461</x:v>
      </x:c>
      <x:c r="Q1293" s="12" t="str">
        <x:v>Identity added to the common review pool after return; grade unchanged from the pre-run corpus freeze.</x:v>
      </x:c>
      <x:c r="R1293" s="13"/>
    </x:row>
    <x:row r="1294" ht="24" hidden="0" customHeight="1">
      <x:c r="A1294" s="2" t="str">
        <x:v>S30|21838468</x:v>
      </x:c>
      <x:c r="B1294" s="2" t="str">
        <x:v>S30</x:v>
      </x:c>
      <x:c r="C1294" s="2" t="str">
        <x:v>21838468</x:v>
      </x:c>
      <x:c r="D1294" s="2" t="n">
        <x:v>3</x:v>
      </x:c>
      <x:c r="E1294" s="9"/>
      <x:c r="F1294" s="2" t="n">
        <x:f>IF(E1294="",D1294,IF(E1294="U","U",IF(AND(ISNUMBER(E1294),E1294&gt;=0,E1294&lt;=3,INT(E1294)=E1294),E1294,"Invalid")))</x:f>
        <x:v>3</x:v>
      </x:c>
      <x:c r="G1294" s="2" t="n">
        <x:f>IF(ISNUMBER(F1294),1,0)</x:f>
        <x:v>1</x:v>
      </x:c>
      <x:c r="H1294" s="2" t="n">
        <x:f>IF(ISNUMBER(F1294),IF(F1294&gt;=2,1,0),0)</x:f>
        <x:v>1</x:v>
      </x:c>
      <x:c r="I1294" s="11" t="n">
        <x:f>IF(ISNUMBER(F1294),2^F1294-1,0)</x:f>
        <x:v>7</x:v>
      </x:c>
      <x:c r="J1294" s="2" t="str">
        <x:v>Extension pre-frozen corpus addition</x:v>
      </x:c>
      <x:c r="K1294" s="10" t="n">
        <x:v>3500</x:v>
      </x:c>
      <x:c r="L1294" s="10" t="n">
        <x:v>3</x:v>
      </x:c>
      <x:c r="M1294" s="10" t="n">
        <x:v>1302</x:v>
      </x:c>
      <x:c r="N1294" s="2" t="str">
        <x:v>D25</x:v>
      </x:c>
      <x:c r="O1294" s="2" t="str">
        <x:v>hdb flat</x:v>
      </x:c>
      <x:c r="P1294" s="2" t="str">
        <x:v>https://www.propertyguru.com.sg/listing/hdb-for-rent-638-woodlands-ring-road-21838468</x:v>
      </x:c>
      <x:c r="Q1294" s="12" t="str">
        <x:v>Identity added to the common review pool after return; grade unchanged from the pre-run corpus freeze.</x:v>
      </x:c>
      <x:c r="R1294" s="13"/>
    </x:row>
    <x:row r="1295" ht="24" hidden="0" customHeight="1">
      <x:c r="A1295" s="2" t="str">
        <x:v>S30|24124535</x:v>
      </x:c>
      <x:c r="B1295" s="2" t="str">
        <x:v>S30</x:v>
      </x:c>
      <x:c r="C1295" s="2" t="str">
        <x:v>24124535</x:v>
      </x:c>
      <x:c r="D1295" s="2" t="n">
        <x:v>3</x:v>
      </x:c>
      <x:c r="E1295" s="9"/>
      <x:c r="F1295" s="2" t="n">
        <x:f>IF(E1295="",D1295,IF(E1295="U","U",IF(AND(ISNUMBER(E1295),E1295&gt;=0,E1295&lt;=3,INT(E1295)=E1295),E1295,"Invalid")))</x:f>
        <x:v>3</x:v>
      </x:c>
      <x:c r="G1295" s="2" t="n">
        <x:f>IF(ISNUMBER(F1295),1,0)</x:f>
        <x:v>1</x:v>
      </x:c>
      <x:c r="H1295" s="2" t="n">
        <x:f>IF(ISNUMBER(F1295),IF(F1295&gt;=2,1,0),0)</x:f>
        <x:v>1</x:v>
      </x:c>
      <x:c r="I1295" s="11" t="n">
        <x:f>IF(ISNUMBER(F1295),2^F1295-1,0)</x:f>
        <x:v>7</x:v>
      </x:c>
      <x:c r="J1295" s="2" t="str">
        <x:v>Extension pre-frozen corpus addition</x:v>
      </x:c>
      <x:c r="K1295" s="10" t="n">
        <x:v>3200</x:v>
      </x:c>
      <x:c r="L1295" s="10" t="n">
        <x:v>3</x:v>
      </x:c>
      <x:c r="M1295" s="10" t="n">
        <x:v>1184</x:v>
      </x:c>
      <x:c r="N1295" s="2" t="str">
        <x:v>D27</x:v>
      </x:c>
      <x:c r="O1295" s="2" t="str">
        <x:v>hdb flat</x:v>
      </x:c>
      <x:c r="P1295" s="2" t="str">
        <x:v>https://www.propertyguru.com.sg/listing/hdb-for-rent-407-sembawang-drive-24124535</x:v>
      </x:c>
      <x:c r="Q1295" s="12" t="str">
        <x:v>Identity added to the common review pool after return; grade unchanged from the pre-run corpus freeze.</x:v>
      </x:c>
      <x:c r="R1295" s="13"/>
    </x:row>
    <x:row r="1296" ht="24" hidden="0" customHeight="1">
      <x:c r="A1296" s="2" t="str">
        <x:v>S30|24149414</x:v>
      </x:c>
      <x:c r="B1296" s="2" t="str">
        <x:v>S30</x:v>
      </x:c>
      <x:c r="C1296" s="2" t="str">
        <x:v>24149414</x:v>
      </x:c>
      <x:c r="D1296" s="2" t="n">
        <x:v>3</x:v>
      </x:c>
      <x:c r="E1296" s="9"/>
      <x:c r="F1296" s="2" t="n">
        <x:f>IF(E1296="",D1296,IF(E1296="U","U",IF(AND(ISNUMBER(E1296),E1296&gt;=0,E1296&lt;=3,INT(E1296)=E1296),E1296,"Invalid")))</x:f>
        <x:v>3</x:v>
      </x:c>
      <x:c r="G1296" s="2" t="n">
        <x:f>IF(ISNUMBER(F1296),1,0)</x:f>
        <x:v>1</x:v>
      </x:c>
      <x:c r="H1296" s="2" t="n">
        <x:f>IF(ISNUMBER(F1296),IF(F1296&gt;=2,1,0),0)</x:f>
        <x:v>1</x:v>
      </x:c>
      <x:c r="I1296" s="11" t="n">
        <x:f>IF(ISNUMBER(F1296),2^F1296-1,0)</x:f>
        <x:v>7</x:v>
      </x:c>
      <x:c r="J1296" s="2" t="str">
        <x:v>Extension pre-frozen corpus addition</x:v>
      </x:c>
      <x:c r="K1296" s="10" t="n">
        <x:v>3580</x:v>
      </x:c>
      <x:c r="L1296" s="10" t="n">
        <x:v>3</x:v>
      </x:c>
      <x:c r="M1296" s="10" t="n">
        <x:v>1100</x:v>
      </x:c>
      <x:c r="N1296" s="2" t="str">
        <x:v>D22</x:v>
      </x:c>
      <x:c r="O1296" s="2" t="str">
        <x:v>hdb flat</x:v>
      </x:c>
      <x:c r="P1296" s="2" t="str">
        <x:v>https://www.propertyguru.com.sg/listing/hdb-for-rent-265-boon-lay-drive-24149414</x:v>
      </x:c>
      <x:c r="Q1296" s="12" t="str">
        <x:v>Identity added to the common review pool after return; grade unchanged from the pre-run corpus freeze.</x:v>
      </x:c>
      <x:c r="R1296" s="13"/>
    </x:row>
    <x:row r="1297" ht="24" hidden="0" customHeight="1">
      <x:c r="A1297" s="2" t="str">
        <x:v>S30|500249357</x:v>
      </x:c>
      <x:c r="B1297" s="2" t="str">
        <x:v>S30</x:v>
      </x:c>
      <x:c r="C1297" s="2" t="str">
        <x:v>500249357</x:v>
      </x:c>
      <x:c r="D1297" s="2" t="n">
        <x:v>3</x:v>
      </x:c>
      <x:c r="E1297" s="9"/>
      <x:c r="F1297" s="2" t="n">
        <x:f>IF(E1297="",D1297,IF(E1297="U","U",IF(AND(ISNUMBER(E1297),E1297&gt;=0,E1297&lt;=3,INT(E1297)=E1297),E1297,"Invalid")))</x:f>
        <x:v>3</x:v>
      </x:c>
      <x:c r="G1297" s="2" t="n">
        <x:f>IF(ISNUMBER(F1297),1,0)</x:f>
        <x:v>1</x:v>
      </x:c>
      <x:c r="H1297" s="2" t="n">
        <x:f>IF(ISNUMBER(F1297),IF(F1297&gt;=2,1,0),0)</x:f>
        <x:v>1</x:v>
      </x:c>
      <x:c r="I1297" s="11" t="n">
        <x:f>IF(ISNUMBER(F1297),2^F1297-1,0)</x:f>
        <x:v>7</x:v>
      </x:c>
      <x:c r="J1297" s="2" t="str">
        <x:v>Extension pre-frozen corpus addition</x:v>
      </x:c>
      <x:c r="K1297" s="10" t="n">
        <x:v>3600</x:v>
      </x:c>
      <x:c r="L1297" s="10" t="n">
        <x:v>3</x:v>
      </x:c>
      <x:c r="M1297" s="10" t="n">
        <x:v>1184</x:v>
      </x:c>
      <x:c r="N1297" s="2" t="str">
        <x:v>D19</x:v>
      </x:c>
      <x:c r="O1297" s="2" t="str">
        <x:v>hdb flat</x:v>
      </x:c>
      <x:c r="P1297" s="2" t="str">
        <x:v>https://www.propertyguru.com.sg/listing/hdb-for-rent-296b-compassvale-crescent-500249357</x:v>
      </x:c>
      <x:c r="Q1297" s="12" t="str">
        <x:v>Identity added to the common review pool after return; grade unchanged from the pre-run corpus freeze.</x:v>
      </x:c>
      <x:c r="R1297" s="13"/>
    </x:row>
    <x:row r="1298" ht="24" hidden="0" customHeight="1">
      <x:c r="A1298" s="2" t="str">
        <x:v>S30|500263451</x:v>
      </x:c>
      <x:c r="B1298" s="2" t="str">
        <x:v>S30</x:v>
      </x:c>
      <x:c r="C1298" s="2" t="str">
        <x:v>500263451</x:v>
      </x:c>
      <x:c r="D1298" s="2" t="n">
        <x:v>3</x:v>
      </x:c>
      <x:c r="E1298" s="9"/>
      <x:c r="F1298" s="2" t="n">
        <x:f>IF(E1298="",D1298,IF(E1298="U","U",IF(AND(ISNUMBER(E1298),E1298&gt;=0,E1298&lt;=3,INT(E1298)=E1298),E1298,"Invalid")))</x:f>
        <x:v>3</x:v>
      </x:c>
      <x:c r="G1298" s="2" t="n">
        <x:f>IF(ISNUMBER(F1298),1,0)</x:f>
        <x:v>1</x:v>
      </x:c>
      <x:c r="H1298" s="2" t="n">
        <x:f>IF(ISNUMBER(F1298),IF(F1298&gt;=2,1,0),0)</x:f>
        <x:v>1</x:v>
      </x:c>
      <x:c r="I1298" s="11" t="n">
        <x:f>IF(ISNUMBER(F1298),2^F1298-1,0)</x:f>
        <x:v>7</x:v>
      </x:c>
      <x:c r="J1298" s="2" t="str">
        <x:v>Extension pre-frozen corpus addition</x:v>
      </x:c>
      <x:c r="K1298" s="10" t="n">
        <x:v>3600</x:v>
      </x:c>
      <x:c r="L1298" s="10" t="n">
        <x:v>3</x:v>
      </x:c>
      <x:c r="M1298" s="10" t="n">
        <x:v>1119</x:v>
      </x:c>
      <x:c r="N1298" s="2" t="str">
        <x:v>D19</x:v>
      </x:c>
      <x:c r="O1298" s="2" t="str">
        <x:v>hdb flat</x:v>
      </x:c>
      <x:c r="P1298" s="2" t="str">
        <x:v>https://www.propertyguru.com.sg/listing/hdb-for-rent-271c-punggol-walk-500263451</x:v>
      </x:c>
      <x:c r="Q1298" s="12" t="str">
        <x:v>Identity added to the common review pool after return; grade unchanged from the pre-run corpus freeze.</x:v>
      </x:c>
      <x:c r="R1298" s="13"/>
    </x:row>
    <x:row r="1299" ht="24" hidden="0" customHeight="1">
      <x:c r="A1299" s="2" t="str">
        <x:v>S30|500274881</x:v>
      </x:c>
      <x:c r="B1299" s="2" t="str">
        <x:v>S30</x:v>
      </x:c>
      <x:c r="C1299" s="2" t="str">
        <x:v>500274881</x:v>
      </x:c>
      <x:c r="D1299" s="2" t="n">
        <x:v>3</x:v>
      </x:c>
      <x:c r="E1299" s="9"/>
      <x:c r="F1299" s="2" t="n">
        <x:f>IF(E1299="",D1299,IF(E1299="U","U",IF(AND(ISNUMBER(E1299),E1299&gt;=0,E1299&lt;=3,INT(E1299)=E1299),E1299,"Invalid")))</x:f>
        <x:v>3</x:v>
      </x:c>
      <x:c r="G1299" s="2" t="n">
        <x:f>IF(ISNUMBER(F1299),1,0)</x:f>
        <x:v>1</x:v>
      </x:c>
      <x:c r="H1299" s="2" t="n">
        <x:f>IF(ISNUMBER(F1299),IF(F1299&gt;=2,1,0),0)</x:f>
        <x:v>1</x:v>
      </x:c>
      <x:c r="I1299" s="11" t="n">
        <x:f>IF(ISNUMBER(F1299),2^F1299-1,0)</x:f>
        <x:v>7</x:v>
      </x:c>
      <x:c r="J1299" s="2" t="str">
        <x:v>Extension pre-frozen corpus addition</x:v>
      </x:c>
      <x:c r="K1299" s="10" t="n">
        <x:v>3500</x:v>
      </x:c>
      <x:c r="L1299" s="10" t="n">
        <x:v>3</x:v>
      </x:c>
      <x:c r="M1299" s="10" t="n">
        <x:v>1227</x:v>
      </x:c>
      <x:c r="N1299" s="2" t="str">
        <x:v>D19</x:v>
      </x:c>
      <x:c r="O1299" s="2" t="str">
        <x:v>hdb flat</x:v>
      </x:c>
      <x:c r="P1299" s="2" t="str">
        <x:v>https://www.propertyguru.com.sg/listing/hdb-for-rent-188c-rivervale-drive-500274881</x:v>
      </x:c>
      <x:c r="Q1299" s="12" t="str">
        <x:v>Identity added to the common review pool after return; grade unchanged from the pre-run corpus freeze.</x:v>
      </x:c>
      <x:c r="R1299" s="13"/>
    </x:row>
    <x:row r="1300" ht="24" hidden="0" customHeight="1">
      <x:c r="A1300" s="2" t="str">
        <x:v>S30|500283112</x:v>
      </x:c>
      <x:c r="B1300" s="2" t="str">
        <x:v>S30</x:v>
      </x:c>
      <x:c r="C1300" s="2" t="str">
        <x:v>500283112</x:v>
      </x:c>
      <x:c r="D1300" s="2" t="n">
        <x:v>3</x:v>
      </x:c>
      <x:c r="E1300" s="9"/>
      <x:c r="F1300" s="2" t="n">
        <x:f>IF(E1300="",D1300,IF(E1300="U","U",IF(AND(ISNUMBER(E1300),E1300&gt;=0,E1300&lt;=3,INT(E1300)=E1300),E1300,"Invalid")))</x:f>
        <x:v>3</x:v>
      </x:c>
      <x:c r="G1300" s="2" t="n">
        <x:f>IF(ISNUMBER(F1300),1,0)</x:f>
        <x:v>1</x:v>
      </x:c>
      <x:c r="H1300" s="2" t="n">
        <x:f>IF(ISNUMBER(F1300),IF(F1300&gt;=2,1,0),0)</x:f>
        <x:v>1</x:v>
      </x:c>
      <x:c r="I1300" s="11" t="n">
        <x:f>IF(ISNUMBER(F1300),2^F1300-1,0)</x:f>
        <x:v>7</x:v>
      </x:c>
      <x:c r="J1300" s="2" t="str">
        <x:v>Extension pre-frozen corpus addition</x:v>
      </x:c>
      <x:c r="K1300" s="10" t="n">
        <x:v>3500</x:v>
      </x:c>
      <x:c r="L1300" s="10" t="n">
        <x:v>3</x:v>
      </x:c>
      <x:c r="M1300" s="10" t="n">
        <x:v>1119</x:v>
      </x:c>
      <x:c r="N1300" s="2" t="str">
        <x:v>D27</x:v>
      </x:c>
      <x:c r="O1300" s="2" t="str">
        <x:v>hdb flat</x:v>
      </x:c>
      <x:c r="P1300" s="2" t="str">
        <x:v>https://www.propertyguru.com.sg/listing/hdb-for-rent-642-yishun-street-61-500283112</x:v>
      </x:c>
      <x:c r="Q1300" s="12" t="str">
        <x:v>Identity added to the common review pool after return; grade unchanged from the pre-run corpus freeze.</x:v>
      </x:c>
      <x:c r="R1300" s="13"/>
    </x:row>
    <x:row r="1301" ht="24" hidden="0" customHeight="1">
      <x:c r="A1301" s="2" t="str">
        <x:v>S30|60139626</x:v>
      </x:c>
      <x:c r="B1301" s="2" t="str">
        <x:v>S30</x:v>
      </x:c>
      <x:c r="C1301" s="2" t="str">
        <x:v>60139626</x:v>
      </x:c>
      <x:c r="D1301" s="2" t="n">
        <x:v>3</x:v>
      </x:c>
      <x:c r="E1301" s="9"/>
      <x:c r="F1301" s="2" t="n">
        <x:f>IF(E1301="",D1301,IF(E1301="U","U",IF(AND(ISNUMBER(E1301),E1301&gt;=0,E1301&lt;=3,INT(E1301)=E1301),E1301,"Invalid")))</x:f>
        <x:v>3</x:v>
      </x:c>
      <x:c r="G1301" s="2" t="n">
        <x:f>IF(ISNUMBER(F1301),1,0)</x:f>
        <x:v>1</x:v>
      </x:c>
      <x:c r="H1301" s="2" t="n">
        <x:f>IF(ISNUMBER(F1301),IF(F1301&gt;=2,1,0),0)</x:f>
        <x:v>1</x:v>
      </x:c>
      <x:c r="I1301" s="11" t="n">
        <x:f>IF(ISNUMBER(F1301),2^F1301-1,0)</x:f>
        <x:v>7</x:v>
      </x:c>
      <x:c r="J1301" s="2" t="str">
        <x:v>Extension pre-frozen corpus addition</x:v>
      </x:c>
      <x:c r="K1301" s="10" t="n">
        <x:v>3500</x:v>
      </x:c>
      <x:c r="L1301" s="10" t="n">
        <x:v>3</x:v>
      </x:c>
      <x:c r="M1301" s="10" t="n">
        <x:v>1150</x:v>
      </x:c>
      <x:c r="N1301" s="2" t="str">
        <x:v>D25</x:v>
      </x:c>
      <x:c r="O1301" s="2" t="str">
        <x:v>hdb flat</x:v>
      </x:c>
      <x:c r="P1301" s="2" t="str">
        <x:v>https://www.propertyguru.com.sg/listing/hdb-for-rent-840-woodlands-street-82-60139626</x:v>
      </x:c>
      <x:c r="Q1301" s="12" t="str">
        <x:v>Identity added to the common review pool after return; grade unchanged from the pre-run corpus freeze.</x:v>
      </x:c>
      <x:c r="R1301" s="13"/>
    </x:row>
    <x:row r="1302" ht="24" hidden="0" customHeight="1">
      <x:c r="A1302" s="2" t="str">
        <x:v>S31|21632561</x:v>
      </x:c>
      <x:c r="B1302" s="2" t="str">
        <x:v>S31</x:v>
      </x:c>
      <x:c r="C1302" s="2" t="str">
        <x:v>21632561</x:v>
      </x:c>
      <x:c r="D1302" s="2" t="n">
        <x:v>3</x:v>
      </x:c>
      <x:c r="E1302" s="9"/>
      <x:c r="F1302" s="2" t="n">
        <x:f>IF(E1302="",D1302,IF(E1302="U","U",IF(AND(ISNUMBER(E1302),E1302&gt;=0,E1302&lt;=3,INT(E1302)=E1302),E1302,"Invalid")))</x:f>
        <x:v>3</x:v>
      </x:c>
      <x:c r="G1302" s="2" t="n">
        <x:f>IF(ISNUMBER(F1302),1,0)</x:f>
        <x:v>1</x:v>
      </x:c>
      <x:c r="H1302" s="2" t="n">
        <x:f>IF(ISNUMBER(F1302),IF(F1302&gt;=2,1,0),0)</x:f>
        <x:v>1</x:v>
      </x:c>
      <x:c r="I1302" s="11" t="n">
        <x:f>IF(ISNUMBER(F1302),2^F1302-1,0)</x:f>
        <x:v>7</x:v>
      </x:c>
      <x:c r="J1302" s="2" t="str">
        <x:v>Extension pre-frozen corpus addition</x:v>
      </x:c>
      <x:c r="K1302" s="10" t="n">
        <x:v>3900</x:v>
      </x:c>
      <x:c r="L1302" s="10" t="n">
        <x:v>3</x:v>
      </x:c>
      <x:c r="M1302" s="10" t="n">
        <x:v>1550</x:v>
      </x:c>
      <x:c r="N1302" s="2" t="str">
        <x:v>D23</x:v>
      </x:c>
      <x:c r="O1302" s="2" t="str">
        <x:v>hdb flat</x:v>
      </x:c>
      <x:c r="P1302" s="2" t="str">
        <x:v>https://www.propertyguru.com.sg/listing/hdb-for-rent-214-choa-chu-kang-central-21632561</x:v>
      </x:c>
      <x:c r="Q1302" s="12" t="str">
        <x:v>Identity added to the common review pool after return; grade unchanged from the pre-run corpus freeze.</x:v>
      </x:c>
      <x:c r="R1302" s="13"/>
    </x:row>
    <x:row r="1303" ht="24" hidden="0" customHeight="1">
      <x:c r="A1303" s="2" t="str">
        <x:v>S31|24961331</x:v>
      </x:c>
      <x:c r="B1303" s="2" t="str">
        <x:v>S31</x:v>
      </x:c>
      <x:c r="C1303" s="2" t="str">
        <x:v>24961331</x:v>
      </x:c>
      <x:c r="D1303" s="2" t="n">
        <x:v>3</x:v>
      </x:c>
      <x:c r="E1303" s="9"/>
      <x:c r="F1303" s="2" t="n">
        <x:f>IF(E1303="",D1303,IF(E1303="U","U",IF(AND(ISNUMBER(E1303),E1303&gt;=0,E1303&lt;=3,INT(E1303)=E1303),E1303,"Invalid")))</x:f>
        <x:v>3</x:v>
      </x:c>
      <x:c r="G1303" s="2" t="n">
        <x:f>IF(ISNUMBER(F1303),1,0)</x:f>
        <x:v>1</x:v>
      </x:c>
      <x:c r="H1303" s="2" t="n">
        <x:f>IF(ISNUMBER(F1303),IF(F1303&gt;=2,1,0),0)</x:f>
        <x:v>1</x:v>
      </x:c>
      <x:c r="I1303" s="11" t="n">
        <x:f>IF(ISNUMBER(F1303),2^F1303-1,0)</x:f>
        <x:v>7</x:v>
      </x:c>
      <x:c r="J1303" s="2" t="str">
        <x:v>Extension pre-frozen corpus addition</x:v>
      </x:c>
      <x:c r="K1303" s="10" t="n">
        <x:v>3600</x:v>
      </x:c>
      <x:c r="L1303" s="10" t="n">
        <x:v>3</x:v>
      </x:c>
      <x:c r="M1303" s="10" t="n">
        <x:v>1119</x:v>
      </x:c>
      <x:c r="N1303" s="2" t="str">
        <x:v>D19</x:v>
      </x:c>
      <x:c r="O1303" s="2" t="str">
        <x:v>hdb flat</x:v>
      </x:c>
      <x:c r="P1303" s="2" t="str">
        <x:v>https://www.propertyguru.com.sg/listing/hdb-for-rent-535a-serangoon-north-avenue-4-24961331</x:v>
      </x:c>
      <x:c r="Q1303" s="12" t="str">
        <x:v>Identity added to the common review pool after return; grade unchanged from the pre-run corpus freeze.</x:v>
      </x:c>
      <x:c r="R1303" s="13"/>
    </x:row>
    <x:row r="1304" ht="24" hidden="0" customHeight="1">
      <x:c r="A1304" s="2" t="str">
        <x:v>S31|25241531</x:v>
      </x:c>
      <x:c r="B1304" s="2" t="str">
        <x:v>S31</x:v>
      </x:c>
      <x:c r="C1304" s="2" t="str">
        <x:v>25241531</x:v>
      </x:c>
      <x:c r="D1304" s="2" t="n">
        <x:v>3</x:v>
      </x:c>
      <x:c r="E1304" s="9"/>
      <x:c r="F1304" s="2" t="n">
        <x:f>IF(E1304="",D1304,IF(E1304="U","U",IF(AND(ISNUMBER(E1304),E1304&gt;=0,E1304&lt;=3,INT(E1304)=E1304),E1304,"Invalid")))</x:f>
        <x:v>3</x:v>
      </x:c>
      <x:c r="G1304" s="2" t="n">
        <x:f>IF(ISNUMBER(F1304),1,0)</x:f>
        <x:v>1</x:v>
      </x:c>
      <x:c r="H1304" s="2" t="n">
        <x:f>IF(ISNUMBER(F1304),IF(F1304&gt;=2,1,0),0)</x:f>
        <x:v>1</x:v>
      </x:c>
      <x:c r="I1304" s="11" t="n">
        <x:f>IF(ISNUMBER(F1304),2^F1304-1,0)</x:f>
        <x:v>7</x:v>
      </x:c>
      <x:c r="J1304" s="2" t="str">
        <x:v>Extension pre-frozen corpus addition</x:v>
      </x:c>
      <x:c r="K1304" s="10" t="n">
        <x:v>3300</x:v>
      </x:c>
      <x:c r="L1304" s="10" t="n">
        <x:v>3</x:v>
      </x:c>
      <x:c r="M1304" s="10" t="n">
        <x:v>1184</x:v>
      </x:c>
      <x:c r="N1304" s="2" t="str">
        <x:v>D19</x:v>
      </x:c>
      <x:c r="O1304" s="2" t="str">
        <x:v>hdb flat</x:v>
      </x:c>
      <x:c r="P1304" s="2" t="str">
        <x:v>https://www.propertyguru.com.sg/listing/hdb-for-rent-648-punggol-central-25241531</x:v>
      </x:c>
      <x:c r="Q1304" s="12" t="str">
        <x:v>Identity added to the common review pool after return; grade unchanged from the pre-run corpus freeze.</x:v>
      </x:c>
      <x:c r="R1304" s="13"/>
    </x:row>
    <x:row r="1305" ht="24" hidden="0" customHeight="1">
      <x:c r="A1305" s="2" t="str">
        <x:v>S31|25357253</x:v>
      </x:c>
      <x:c r="B1305" s="2" t="str">
        <x:v>S31</x:v>
      </x:c>
      <x:c r="C1305" s="2" t="str">
        <x:v>25357253</x:v>
      </x:c>
      <x:c r="D1305" s="2" t="n">
        <x:v>3</x:v>
      </x:c>
      <x:c r="E1305" s="9"/>
      <x:c r="F1305" s="2" t="n">
        <x:f>IF(E1305="",D1305,IF(E1305="U","U",IF(AND(ISNUMBER(E1305),E1305&gt;=0,E1305&lt;=3,INT(E1305)=E1305),E1305,"Invalid")))</x:f>
        <x:v>3</x:v>
      </x:c>
      <x:c r="G1305" s="2" t="n">
        <x:f>IF(ISNUMBER(F1305),1,0)</x:f>
        <x:v>1</x:v>
      </x:c>
      <x:c r="H1305" s="2" t="n">
        <x:f>IF(ISNUMBER(F1305),IF(F1305&gt;=2,1,0),0)</x:f>
        <x:v>1</x:v>
      </x:c>
      <x:c r="I1305" s="11" t="n">
        <x:f>IF(ISNUMBER(F1305),2^F1305-1,0)</x:f>
        <x:v>7</x:v>
      </x:c>
      <x:c r="J1305" s="2" t="str">
        <x:v>Extension pre-frozen corpus addition</x:v>
      </x:c>
      <x:c r="K1305" s="10" t="n">
        <x:v>3600</x:v>
      </x:c>
      <x:c r="L1305" s="10" t="n">
        <x:v>3</x:v>
      </x:c>
      <x:c r="M1305" s="10" t="n">
        <x:v>980</x:v>
      </x:c>
      <x:c r="N1305" s="2" t="str">
        <x:v>D19</x:v>
      </x:c>
      <x:c r="O1305" s="2" t="str">
        <x:v>hdb flat</x:v>
      </x:c>
      <x:c r="P1305" s="2" t="str">
        <x:v>https://www.propertyguru.com.sg/listing/hdb-for-rent-134-edgedale-plains-25357253</x:v>
      </x:c>
      <x:c r="Q1305" s="12" t="str">
        <x:v>Identity added to the common review pool after return; grade unchanged from the pre-run corpus freeze.</x:v>
      </x:c>
      <x:c r="R1305" s="13"/>
    </x:row>
    <x:row r="1306" ht="24" hidden="0" customHeight="1">
      <x:c r="A1306" s="2" t="str">
        <x:v>S31|500236697</x:v>
      </x:c>
      <x:c r="B1306" s="2" t="str">
        <x:v>S31</x:v>
      </x:c>
      <x:c r="C1306" s="2" t="str">
        <x:v>500236697</x:v>
      </x:c>
      <x:c r="D1306" s="2" t="n">
        <x:v>3</x:v>
      </x:c>
      <x:c r="E1306" s="9"/>
      <x:c r="F1306" s="2" t="n">
        <x:f>IF(E1306="",D1306,IF(E1306="U","U",IF(AND(ISNUMBER(E1306),E1306&gt;=0,E1306&lt;=3,INT(E1306)=E1306),E1306,"Invalid")))</x:f>
        <x:v>3</x:v>
      </x:c>
      <x:c r="G1306" s="2" t="n">
        <x:f>IF(ISNUMBER(F1306),1,0)</x:f>
        <x:v>1</x:v>
      </x:c>
      <x:c r="H1306" s="2" t="n">
        <x:f>IF(ISNUMBER(F1306),IF(F1306&gt;=2,1,0),0)</x:f>
        <x:v>1</x:v>
      </x:c>
      <x:c r="I1306" s="11" t="n">
        <x:f>IF(ISNUMBER(F1306),2^F1306-1,0)</x:f>
        <x:v>7</x:v>
      </x:c>
      <x:c r="J1306" s="2" t="str">
        <x:v>Extension pre-frozen corpus addition</x:v>
      </x:c>
      <x:c r="K1306" s="10" t="n">
        <x:v>3600</x:v>
      </x:c>
      <x:c r="L1306" s="10" t="n">
        <x:v>3</x:v>
      </x:c>
      <x:c r="M1306" s="10" t="n">
        <x:v>1421</x:v>
      </x:c>
      <x:c r="N1306" s="2" t="str">
        <x:v>D25</x:v>
      </x:c>
      <x:c r="O1306" s="2" t="str">
        <x:v>hdb flat</x:v>
      </x:c>
      <x:c r="P1306" s="2" t="str">
        <x:v>https://www.propertyguru.com.sg/listing/hdb-for-rent-844-woodlands-avenue-4-500236697</x:v>
      </x:c>
      <x:c r="Q1306" s="12" t="str">
        <x:v>Identity added to the common review pool after return; grade unchanged from the pre-run corpus freeze.</x:v>
      </x:c>
      <x:c r="R1306" s="13"/>
    </x:row>
    <x:row r="1307" ht="24" hidden="0" customHeight="1">
      <x:c r="A1307" s="2" t="str">
        <x:v>S31|500245969</x:v>
      </x:c>
      <x:c r="B1307" s="2" t="str">
        <x:v>S31</x:v>
      </x:c>
      <x:c r="C1307" s="2" t="str">
        <x:v>500245969</x:v>
      </x:c>
      <x:c r="D1307" s="2" t="n">
        <x:v>3</x:v>
      </x:c>
      <x:c r="E1307" s="9"/>
      <x:c r="F1307" s="2" t="n">
        <x:f>IF(E1307="",D1307,IF(E1307="U","U",IF(AND(ISNUMBER(E1307),E1307&gt;=0,E1307&lt;=3,INT(E1307)=E1307),E1307,"Invalid")))</x:f>
        <x:v>3</x:v>
      </x:c>
      <x:c r="G1307" s="2" t="n">
        <x:f>IF(ISNUMBER(F1307),1,0)</x:f>
        <x:v>1</x:v>
      </x:c>
      <x:c r="H1307" s="2" t="n">
        <x:f>IF(ISNUMBER(F1307),IF(F1307&gt;=2,1,0),0)</x:f>
        <x:v>1</x:v>
      </x:c>
      <x:c r="I1307" s="11" t="n">
        <x:f>IF(ISNUMBER(F1307),2^F1307-1,0)</x:f>
        <x:v>7</x:v>
      </x:c>
      <x:c r="J1307" s="2" t="str">
        <x:v>Extension pre-frozen corpus addition</x:v>
      </x:c>
      <x:c r="K1307" s="10" t="n">
        <x:v>4000</x:v>
      </x:c>
      <x:c r="L1307" s="10" t="n">
        <x:v>3</x:v>
      </x:c>
      <x:c r="M1307" s="10" t="n">
        <x:v>1216</x:v>
      </x:c>
      <x:c r="N1307" s="2" t="str">
        <x:v>D18</x:v>
      </x:c>
      <x:c r="O1307" s="2" t="str">
        <x:v>hdb flat</x:v>
      </x:c>
      <x:c r="P1307" s="2" t="str">
        <x:v>https://www.propertyguru.com.sg/listing/hdb-for-rent-619a-tampines-street-61-500245969</x:v>
      </x:c>
      <x:c r="Q1307" s="12" t="str">
        <x:v>Identity added to the common review pool after return; grade unchanged from the pre-run corpus freeze.</x:v>
      </x:c>
      <x:c r="R1307" s="13"/>
    </x:row>
    <x:row r="1308" ht="24" hidden="0" customHeight="1">
      <x:c r="A1308" s="2" t="str">
        <x:v>S31|500260300</x:v>
      </x:c>
      <x:c r="B1308" s="2" t="str">
        <x:v>S31</x:v>
      </x:c>
      <x:c r="C1308" s="2" t="str">
        <x:v>500260300</x:v>
      </x:c>
      <x:c r="D1308" s="2" t="n">
        <x:v>3</x:v>
      </x:c>
      <x:c r="E1308" s="9"/>
      <x:c r="F1308" s="2" t="n">
        <x:f>IF(E1308="",D1308,IF(E1308="U","U",IF(AND(ISNUMBER(E1308),E1308&gt;=0,E1308&lt;=3,INT(E1308)=E1308),E1308,"Invalid")))</x:f>
        <x:v>3</x:v>
      </x:c>
      <x:c r="G1308" s="2" t="n">
        <x:f>IF(ISNUMBER(F1308),1,0)</x:f>
        <x:v>1</x:v>
      </x:c>
      <x:c r="H1308" s="2" t="n">
        <x:f>IF(ISNUMBER(F1308),IF(F1308&gt;=2,1,0),0)</x:f>
        <x:v>1</x:v>
      </x:c>
      <x:c r="I1308" s="11" t="n">
        <x:f>IF(ISNUMBER(F1308),2^F1308-1,0)</x:f>
        <x:v>7</x:v>
      </x:c>
      <x:c r="J1308" s="2" t="str">
        <x:v>Extension pre-frozen corpus addition</x:v>
      </x:c>
      <x:c r="K1308" s="10" t="n">
        <x:v>4500</x:v>
      </x:c>
      <x:c r="L1308" s="10" t="n">
        <x:v>2</x:v>
      </x:c>
      <x:c r="M1308" s="10" t="n">
        <x:v>1119</x:v>
      </x:c>
      <x:c r="N1308" s="2" t="str">
        <x:v>D18</x:v>
      </x:c>
      <x:c r="O1308" s="2" t="str">
        <x:v>hdb flat</x:v>
      </x:c>
      <x:c r="P1308" s="2" t="str">
        <x:v>https://www.propertyguru.com.sg/listing/hdb-for-rent-558-pasir-ris-street-51-500260300</x:v>
      </x:c>
      <x:c r="Q1308" s="12" t="str">
        <x:v>Identity added to the common review pool after return; grade unchanged from the pre-run corpus freeze.</x:v>
      </x:c>
      <x:c r="R1308" s="13"/>
    </x:row>
    <x:row r="1309" ht="24" hidden="0" customHeight="1">
      <x:c r="A1309" s="2" t="str">
        <x:v>S31|500269285</x:v>
      </x:c>
      <x:c r="B1309" s="2" t="str">
        <x:v>S31</x:v>
      </x:c>
      <x:c r="C1309" s="2" t="str">
        <x:v>500269285</x:v>
      </x:c>
      <x:c r="D1309" s="2" t="n">
        <x:v>3</x:v>
      </x:c>
      <x:c r="E1309" s="9"/>
      <x:c r="F1309" s="2" t="n">
        <x:f>IF(E1309="",D1309,IF(E1309="U","U",IF(AND(ISNUMBER(E1309),E1309&gt;=0,E1309&lt;=3,INT(E1309)=E1309),E1309,"Invalid")))</x:f>
        <x:v>3</x:v>
      </x:c>
      <x:c r="G1309" s="2" t="n">
        <x:f>IF(ISNUMBER(F1309),1,0)</x:f>
        <x:v>1</x:v>
      </x:c>
      <x:c r="H1309" s="2" t="n">
        <x:f>IF(ISNUMBER(F1309),IF(F1309&gt;=2,1,0),0)</x:f>
        <x:v>1</x:v>
      </x:c>
      <x:c r="I1309" s="11" t="n">
        <x:f>IF(ISNUMBER(F1309),2^F1309-1,0)</x:f>
        <x:v>7</x:v>
      </x:c>
      <x:c r="J1309" s="2" t="str">
        <x:v>Extension pre-frozen corpus addition</x:v>
      </x:c>
      <x:c r="K1309" s="10" t="n">
        <x:v>3500</x:v>
      </x:c>
      <x:c r="L1309" s="10" t="n">
        <x:v>2</x:v>
      </x:c>
      <x:c r="M1309" s="10" t="n">
        <x:v>1087</x:v>
      </x:c>
      <x:c r="N1309" s="2" t="str">
        <x:v>D23</x:v>
      </x:c>
      <x:c r="O1309" s="2" t="str">
        <x:v>hdb flat</x:v>
      </x:c>
      <x:c r="P1309" s="2" t="str">
        <x:v>https://www.propertyguru.com.sg/listing/hdb-for-rent-485a-choa-chu-kang-avenue-5-500269285</x:v>
      </x:c>
      <x:c r="Q1309" s="12" t="str">
        <x:v>Identity added to the common review pool after return; grade unchanged from the pre-run corpus freeze.</x:v>
      </x:c>
      <x:c r="R1309" s="13"/>
    </x:row>
    <x:row r="1310" ht="24" hidden="0" customHeight="1">
      <x:c r="A1310" s="2" t="str">
        <x:v>S31|500271006</x:v>
      </x:c>
      <x:c r="B1310" s="2" t="str">
        <x:v>S31</x:v>
      </x:c>
      <x:c r="C1310" s="2" t="str">
        <x:v>500271006</x:v>
      </x:c>
      <x:c r="D1310" s="2" t="n">
        <x:v>3</x:v>
      </x:c>
      <x:c r="E1310" s="9"/>
      <x:c r="F1310" s="2" t="n">
        <x:f>IF(E1310="",D1310,IF(E1310="U","U",IF(AND(ISNUMBER(E1310),E1310&gt;=0,E1310&lt;=3,INT(E1310)=E1310),E1310,"Invalid")))</x:f>
        <x:v>3</x:v>
      </x:c>
      <x:c r="G1310" s="2" t="n">
        <x:f>IF(ISNUMBER(F1310),1,0)</x:f>
        <x:v>1</x:v>
      </x:c>
      <x:c r="H1310" s="2" t="n">
        <x:f>IF(ISNUMBER(F1310),IF(F1310&gt;=2,1,0),0)</x:f>
        <x:v>1</x:v>
      </x:c>
      <x:c r="I1310" s="11" t="n">
        <x:f>IF(ISNUMBER(F1310),2^F1310-1,0)</x:f>
        <x:v>7</x:v>
      </x:c>
      <x:c r="J1310" s="2" t="str">
        <x:v>Extension pre-frozen corpus addition</x:v>
      </x:c>
      <x:c r="K1310" s="10" t="n">
        <x:v>3500</x:v>
      </x:c>
      <x:c r="L1310" s="10" t="n">
        <x:v>3</x:v>
      </x:c>
      <x:c r="M1310" s="10" t="n">
        <x:v>1356</x:v>
      </x:c>
      <x:c r="N1310" s="2" t="str">
        <x:v>D18</x:v>
      </x:c>
      <x:c r="O1310" s="2" t="str">
        <x:v>hdb flat</x:v>
      </x:c>
      <x:c r="P1310" s="2" t="str">
        <x:v>https://www.propertyguru.com.sg/listing/hdb-for-rent-189-pasir-ris-street-12-500271006</x:v>
      </x:c>
      <x:c r="Q1310" s="12" t="str">
        <x:v>Identity added to the common review pool after return; grade unchanged from the pre-run corpus freeze.</x:v>
      </x:c>
      <x:c r="R1310" s="13"/>
    </x:row>
    <x:row r="1311" ht="24" hidden="0" customHeight="1">
      <x:c r="A1311" s="2" t="str">
        <x:v>S31|500287515</x:v>
      </x:c>
      <x:c r="B1311" s="2" t="str">
        <x:v>S31</x:v>
      </x:c>
      <x:c r="C1311" s="2" t="str">
        <x:v>500287515</x:v>
      </x:c>
      <x:c r="D1311" s="2" t="n">
        <x:v>3</x:v>
      </x:c>
      <x:c r="E1311" s="9"/>
      <x:c r="F1311" s="2" t="n">
        <x:f>IF(E1311="",D1311,IF(E1311="U","U",IF(AND(ISNUMBER(E1311),E1311&gt;=0,E1311&lt;=3,INT(E1311)=E1311),E1311,"Invalid")))</x:f>
        <x:v>3</x:v>
      </x:c>
      <x:c r="G1311" s="2" t="n">
        <x:f>IF(ISNUMBER(F1311),1,0)</x:f>
        <x:v>1</x:v>
      </x:c>
      <x:c r="H1311" s="2" t="n">
        <x:f>IF(ISNUMBER(F1311),IF(F1311&gt;=2,1,0),0)</x:f>
        <x:v>1</x:v>
      </x:c>
      <x:c r="I1311" s="11" t="n">
        <x:f>IF(ISNUMBER(F1311),2^F1311-1,0)</x:f>
        <x:v>7</x:v>
      </x:c>
      <x:c r="J1311" s="2" t="str">
        <x:v>Extension pre-frozen corpus addition</x:v>
      </x:c>
      <x:c r="K1311" s="10" t="n">
        <x:v>3500</x:v>
      </x:c>
      <x:c r="L1311" s="10" t="n">
        <x:v>3</x:v>
      </x:c>
      <x:c r="M1311" s="10" t="n">
        <x:v>1450</x:v>
      </x:c>
      <x:c r="N1311" s="2" t="str">
        <x:v>D23</x:v>
      </x:c>
      <x:c r="O1311" s="2" t="str">
        <x:v>hdb flat</x:v>
      </x:c>
      <x:c r="P1311" s="2" t="str">
        <x:v>https://www.propertyguru.com.sg/listing/hdb-for-rent-509-choa-chu-kang-street-51-500287515</x:v>
      </x:c>
      <x:c r="Q1311" s="12" t="str">
        <x:v>Identity added to the common review pool after return; grade unchanged from the pre-run corpus freeze.</x:v>
      </x:c>
      <x:c r="R1311" s="13"/>
    </x:row>
    <x:row r="1312" ht="24" hidden="0" customHeight="1">
      <x:c r="A1312" s="2" t="str">
        <x:v>S32|18996750</x:v>
      </x:c>
      <x:c r="B1312" s="2" t="str">
        <x:v>S32</x:v>
      </x:c>
      <x:c r="C1312" s="2" t="str">
        <x:v>18996750</x:v>
      </x:c>
      <x:c r="D1312" s="2" t="n">
        <x:v>3</x:v>
      </x:c>
      <x:c r="E1312" s="9"/>
      <x:c r="F1312" s="2" t="n">
        <x:f>IF(E1312="",D1312,IF(E1312="U","U",IF(AND(ISNUMBER(E1312),E1312&gt;=0,E1312&lt;=3,INT(E1312)=E1312),E1312,"Invalid")))</x:f>
        <x:v>3</x:v>
      </x:c>
      <x:c r="G1312" s="2" t="n">
        <x:f>IF(ISNUMBER(F1312),1,0)</x:f>
        <x:v>1</x:v>
      </x:c>
      <x:c r="H1312" s="2" t="n">
        <x:f>IF(ISNUMBER(F1312),IF(F1312&gt;=2,1,0),0)</x:f>
        <x:v>1</x:v>
      </x:c>
      <x:c r="I1312" s="11" t="n">
        <x:f>IF(ISNUMBER(F1312),2^F1312-1,0)</x:f>
        <x:v>7</x:v>
      </x:c>
      <x:c r="J1312" s="2" t="str">
        <x:v>Extension pre-frozen corpus addition</x:v>
      </x:c>
      <x:c r="K1312" s="10" t="n">
        <x:v>4600</x:v>
      </x:c>
      <x:c r="L1312" s="10" t="n">
        <x:v>2</x:v>
      </x:c>
      <x:c r="M1312" s="10" t="n">
        <x:v>752</x:v>
      </x:c>
      <x:c r="N1312" s="2" t="str">
        <x:v>D10</x:v>
      </x:c>
      <x:c r="O1312" s="2" t="str">
        <x:v>apartment</x:v>
      </x:c>
      <x:c r="P1312" s="2" t="str">
        <x:v>https://www.propertyguru.com.sg/listing/for-rent-zenith-zion-18996750</x:v>
      </x:c>
      <x:c r="Q1312" s="12" t="str">
        <x:v>Identity added to the common review pool after return; grade unchanged from the pre-run corpus freeze.</x:v>
      </x:c>
      <x:c r="R1312" s="13"/>
    </x:row>
    <x:row r="1313" ht="24" hidden="0" customHeight="1">
      <x:c r="A1313" s="2" t="str">
        <x:v>S32|19359145</x:v>
      </x:c>
      <x:c r="B1313" s="2" t="str">
        <x:v>S32</x:v>
      </x:c>
      <x:c r="C1313" s="2" t="str">
        <x:v>19359145</x:v>
      </x:c>
      <x:c r="D1313" s="2" t="n">
        <x:v>3</x:v>
      </x:c>
      <x:c r="E1313" s="9"/>
      <x:c r="F1313" s="2" t="n">
        <x:f>IF(E1313="",D1313,IF(E1313="U","U",IF(AND(ISNUMBER(E1313),E1313&gt;=0,E1313&lt;=3,INT(E1313)=E1313),E1313,"Invalid")))</x:f>
        <x:v>3</x:v>
      </x:c>
      <x:c r="G1313" s="2" t="n">
        <x:f>IF(ISNUMBER(F1313),1,0)</x:f>
        <x:v>1</x:v>
      </x:c>
      <x:c r="H1313" s="2" t="n">
        <x:f>IF(ISNUMBER(F1313),IF(F1313&gt;=2,1,0),0)</x:f>
        <x:v>1</x:v>
      </x:c>
      <x:c r="I1313" s="11" t="n">
        <x:f>IF(ISNUMBER(F1313),2^F1313-1,0)</x:f>
        <x:v>7</x:v>
      </x:c>
      <x:c r="J1313" s="2" t="str">
        <x:v>Extension pre-frozen corpus addition</x:v>
      </x:c>
      <x:c r="K1313" s="10" t="n">
        <x:v>4500</x:v>
      </x:c>
      <x:c r="L1313" s="10" t="n">
        <x:v>2</x:v>
      </x:c>
      <x:c r="M1313" s="10" t="n">
        <x:v>797</x:v>
      </x:c>
      <x:c r="N1313" s="2" t="str">
        <x:v>D10</x:v>
      </x:c>
      <x:c r="O1313" s="2" t="str">
        <x:v>apartment</x:v>
      </x:c>
      <x:c r="P1313" s="2" t="str">
        <x:v>https://www.propertyguru.com.sg/listing/for-rent-j-c-draycott-19359145</x:v>
      </x:c>
      <x:c r="Q1313" s="12" t="str">
        <x:v>Identity added to the common review pool after return; grade unchanged from the pre-run corpus freeze.</x:v>
      </x:c>
      <x:c r="R1313" s="13"/>
    </x:row>
    <x:row r="1314" ht="24" hidden="0" customHeight="1">
      <x:c r="A1314" s="2" t="str">
        <x:v>S32|23751713</x:v>
      </x:c>
      <x:c r="B1314" s="2" t="str">
        <x:v>S32</x:v>
      </x:c>
      <x:c r="C1314" s="2" t="str">
        <x:v>23751713</x:v>
      </x:c>
      <x:c r="D1314" s="2" t="n">
        <x:v>3</x:v>
      </x:c>
      <x:c r="E1314" s="9"/>
      <x:c r="F1314" s="2" t="n">
        <x:f>IF(E1314="",D1314,IF(E1314="U","U",IF(AND(ISNUMBER(E1314),E1314&gt;=0,E1314&lt;=3,INT(E1314)=E1314),E1314,"Invalid")))</x:f>
        <x:v>3</x:v>
      </x:c>
      <x:c r="G1314" s="2" t="n">
        <x:f>IF(ISNUMBER(F1314),1,0)</x:f>
        <x:v>1</x:v>
      </x:c>
      <x:c r="H1314" s="2" t="n">
        <x:f>IF(ISNUMBER(F1314),IF(F1314&gt;=2,1,0),0)</x:f>
        <x:v>1</x:v>
      </x:c>
      <x:c r="I1314" s="11" t="n">
        <x:f>IF(ISNUMBER(F1314),2^F1314-1,0)</x:f>
        <x:v>7</x:v>
      </x:c>
      <x:c r="J1314" s="2" t="str">
        <x:v>Extension pre-frozen corpus addition</x:v>
      </x:c>
      <x:c r="K1314" s="10" t="n">
        <x:v>3600</x:v>
      </x:c>
      <x:c r="L1314" s="10" t="n">
        <x:v>2</x:v>
      </x:c>
      <x:c r="M1314" s="10" t="n">
        <x:v>700</x:v>
      </x:c>
      <x:c r="N1314" s="2" t="str">
        <x:v>D10</x:v>
      </x:c>
      <x:c r="O1314" s="2" t="str">
        <x:v>hdb flat</x:v>
      </x:c>
      <x:c r="P1314" s="2" t="str">
        <x:v>https://www.propertyguru.com.sg/listing/hdb-for-rent-11-holland-drive-23751713</x:v>
      </x:c>
      <x:c r="Q1314" s="12" t="str">
        <x:v>Identity added to the common review pool after return; grade unchanged from the pre-run corpus freeze.</x:v>
      </x:c>
      <x:c r="R1314" s="13"/>
    </x:row>
    <x:row r="1315" ht="24" hidden="0" customHeight="1">
      <x:c r="A1315" s="2" t="str">
        <x:v>S32|24218190</x:v>
      </x:c>
      <x:c r="B1315" s="2" t="str">
        <x:v>S32</x:v>
      </x:c>
      <x:c r="C1315" s="2" t="str">
        <x:v>24218190</x:v>
      </x:c>
      <x:c r="D1315" s="2" t="n">
        <x:v>3</x:v>
      </x:c>
      <x:c r="E1315" s="9"/>
      <x:c r="F1315" s="2" t="n">
        <x:f>IF(E1315="",D1315,IF(E1315="U","U",IF(AND(ISNUMBER(E1315),E1315&gt;=0,E1315&lt;=3,INT(E1315)=E1315),E1315,"Invalid")))</x:f>
        <x:v>3</x:v>
      </x:c>
      <x:c r="G1315" s="2" t="n">
        <x:f>IF(ISNUMBER(F1315),1,0)</x:f>
        <x:v>1</x:v>
      </x:c>
      <x:c r="H1315" s="2" t="n">
        <x:f>IF(ISNUMBER(F1315),IF(F1315&gt;=2,1,0),0)</x:f>
        <x:v>1</x:v>
      </x:c>
      <x:c r="I1315" s="11" t="n">
        <x:f>IF(ISNUMBER(F1315),2^F1315-1,0)</x:f>
        <x:v>7</x:v>
      </x:c>
      <x:c r="J1315" s="2" t="str">
        <x:v>Extension pre-frozen corpus addition</x:v>
      </x:c>
      <x:c r="K1315" s="10" t="n">
        <x:v>5400</x:v>
      </x:c>
      <x:c r="L1315" s="10" t="n">
        <x:v>2</x:v>
      </x:c>
      <x:c r="M1315" s="10" t="n">
        <x:v>818</x:v>
      </x:c>
      <x:c r="N1315" s="2" t="str">
        <x:v>D10</x:v>
      </x:c>
      <x:c r="O1315" s="2" t="str">
        <x:v>condominium</x:v>
      </x:c>
      <x:c r="P1315" s="2" t="str">
        <x:v>https://www.propertyguru.com.sg/listing/for-rent-royalgreen-24218190</x:v>
      </x:c>
      <x:c r="Q1315" s="12" t="str">
        <x:v>Identity added to the common review pool after return; grade unchanged from the pre-run corpus freeze.</x:v>
      </x:c>
      <x:c r="R1315" s="13"/>
    </x:row>
    <x:row r="1316" ht="24" hidden="0" customHeight="1">
      <x:c r="A1316" s="2" t="str">
        <x:v>S32|25239654</x:v>
      </x:c>
      <x:c r="B1316" s="2" t="str">
        <x:v>S32</x:v>
      </x:c>
      <x:c r="C1316" s="2" t="str">
        <x:v>25239654</x:v>
      </x:c>
      <x:c r="D1316" s="2" t="n">
        <x:v>3</x:v>
      </x:c>
      <x:c r="E1316" s="9"/>
      <x:c r="F1316" s="2" t="n">
        <x:f>IF(E1316="",D1316,IF(E1316="U","U",IF(AND(ISNUMBER(E1316),E1316&gt;=0,E1316&lt;=3,INT(E1316)=E1316),E1316,"Invalid")))</x:f>
        <x:v>3</x:v>
      </x:c>
      <x:c r="G1316" s="2" t="n">
        <x:f>IF(ISNUMBER(F1316),1,0)</x:f>
        <x:v>1</x:v>
      </x:c>
      <x:c r="H1316" s="2" t="n">
        <x:f>IF(ISNUMBER(F1316),IF(F1316&gt;=2,1,0),0)</x:f>
        <x:v>1</x:v>
      </x:c>
      <x:c r="I1316" s="11" t="n">
        <x:f>IF(ISNUMBER(F1316),2^F1316-1,0)</x:f>
        <x:v>7</x:v>
      </x:c>
      <x:c r="J1316" s="2" t="str">
        <x:v>Extension pre-frozen corpus addition</x:v>
      </x:c>
      <x:c r="K1316" s="10" t="n">
        <x:v>4800</x:v>
      </x:c>
      <x:c r="L1316" s="10" t="n">
        <x:v>2</x:v>
      </x:c>
      <x:c r="M1316" s="10" t="n">
        <x:v>700</x:v>
      </x:c>
      <x:c r="N1316" s="2" t="str">
        <x:v>D10</x:v>
      </x:c>
      <x:c r="O1316" s="2" t="str">
        <x:v>condominium</x:v>
      </x:c>
      <x:c r="P1316" s="2" t="str">
        <x:v>https://www.propertyguru.com.sg/listing/for-rent-hyll-on-holland-25239654</x:v>
      </x:c>
      <x:c r="Q1316" s="12" t="str">
        <x:v>Identity added to the common review pool after return; grade unchanged from the pre-run corpus freeze.</x:v>
      </x:c>
      <x:c r="R1316" s="13"/>
    </x:row>
    <x:row r="1317" ht="24" hidden="0" customHeight="1">
      <x:c r="A1317" s="2" t="str">
        <x:v>S32|4083967</x:v>
      </x:c>
      <x:c r="B1317" s="2" t="str">
        <x:v>S32</x:v>
      </x:c>
      <x:c r="C1317" s="2" t="str">
        <x:v>4083967</x:v>
      </x:c>
      <x:c r="D1317" s="2" t="n">
        <x:v>3</x:v>
      </x:c>
      <x:c r="E1317" s="9"/>
      <x:c r="F1317" s="2" t="n">
        <x:f>IF(E1317="",D1317,IF(E1317="U","U",IF(AND(ISNUMBER(E1317),E1317&gt;=0,E1317&lt;=3,INT(E1317)=E1317),E1317,"Invalid")))</x:f>
        <x:v>3</x:v>
      </x:c>
      <x:c r="G1317" s="2" t="n">
        <x:f>IF(ISNUMBER(F1317),1,0)</x:f>
        <x:v>1</x:v>
      </x:c>
      <x:c r="H1317" s="2" t="n">
        <x:f>IF(ISNUMBER(F1317),IF(F1317&gt;=2,1,0),0)</x:f>
        <x:v>1</x:v>
      </x:c>
      <x:c r="I1317" s="11" t="n">
        <x:f>IF(ISNUMBER(F1317),2^F1317-1,0)</x:f>
        <x:v>7</x:v>
      </x:c>
      <x:c r="J1317" s="2" t="str">
        <x:v>Extension pre-frozen corpus addition</x:v>
      </x:c>
      <x:c r="K1317" s="10" t="n">
        <x:v>5500</x:v>
      </x:c>
      <x:c r="L1317" s="10" t="n">
        <x:v>3</x:v>
      </x:c>
      <x:c r="M1317" s="10" t="n">
        <x:v>1152</x:v>
      </x:c>
      <x:c r="N1317" s="2" t="str">
        <x:v>D10</x:v>
      </x:c>
      <x:c r="O1317" s="2" t="str">
        <x:v>condominium</x:v>
      </x:c>
      <x:c r="P1317" s="2" t="str">
        <x:v>https://www.propertyguru.com.sg/listing/for-rent-the-serenade-holland-4083967</x:v>
      </x:c>
      <x:c r="Q1317" s="12" t="str">
        <x:v>Identity added to the common review pool after return; grade unchanged from the pre-run corpus freeze.</x:v>
      </x:c>
      <x:c r="R1317" s="13"/>
    </x:row>
    <x:row r="1318" ht="24" hidden="0" customHeight="1">
      <x:c r="A1318" s="2" t="str">
        <x:v>S32|500228023</x:v>
      </x:c>
      <x:c r="B1318" s="2" t="str">
        <x:v>S32</x:v>
      </x:c>
      <x:c r="C1318" s="2" t="str">
        <x:v>500228023</x:v>
      </x:c>
      <x:c r="D1318" s="2" t="n">
        <x:v>3</x:v>
      </x:c>
      <x:c r="E1318" s="9"/>
      <x:c r="F1318" s="2" t="n">
        <x:f>IF(E1318="",D1318,IF(E1318="U","U",IF(AND(ISNUMBER(E1318),E1318&gt;=0,E1318&lt;=3,INT(E1318)=E1318),E1318,"Invalid")))</x:f>
        <x:v>3</x:v>
      </x:c>
      <x:c r="G1318" s="2" t="n">
        <x:f>IF(ISNUMBER(F1318),1,0)</x:f>
        <x:v>1</x:v>
      </x:c>
      <x:c r="H1318" s="2" t="n">
        <x:f>IF(ISNUMBER(F1318),IF(F1318&gt;=2,1,0),0)</x:f>
        <x:v>1</x:v>
      </x:c>
      <x:c r="I1318" s="11" t="n">
        <x:f>IF(ISNUMBER(F1318),2^F1318-1,0)</x:f>
        <x:v>7</x:v>
      </x:c>
      <x:c r="J1318" s="2" t="str">
        <x:v>Extension pre-frozen corpus addition</x:v>
      </x:c>
      <x:c r="K1318" s="10" t="n">
        <x:v>5500</x:v>
      </x:c>
      <x:c r="L1318" s="10" t="n">
        <x:v>3</x:v>
      </x:c>
      <x:c r="M1318" s="10" t="n">
        <x:v>1300</x:v>
      </x:c>
      <x:c r="N1318" s="2" t="str">
        <x:v>D10</x:v>
      </x:c>
      <x:c r="O1318" s="2" t="str">
        <x:v>apartment</x:v>
      </x:c>
      <x:c r="P1318" s="2" t="str">
        <x:v>https://www.propertyguru.com.sg/listing/for-rent-rainbow-mansions-500228023</x:v>
      </x:c>
      <x:c r="Q1318" s="12" t="str">
        <x:v>Identity added to the common review pool after return; grade unchanged from the pre-run corpus freeze.</x:v>
      </x:c>
      <x:c r="R1318" s="13"/>
    </x:row>
    <x:row r="1319" ht="24" hidden="0" customHeight="1">
      <x:c r="A1319" s="2" t="str">
        <x:v>S32|500235375</x:v>
      </x:c>
      <x:c r="B1319" s="2" t="str">
        <x:v>S32</x:v>
      </x:c>
      <x:c r="C1319" s="2" t="str">
        <x:v>500235375</x:v>
      </x:c>
      <x:c r="D1319" s="2" t="n">
        <x:v>3</x:v>
      </x:c>
      <x:c r="E1319" s="9"/>
      <x:c r="F1319" s="2" t="n">
        <x:f>IF(E1319="",D1319,IF(E1319="U","U",IF(AND(ISNUMBER(E1319),E1319&gt;=0,E1319&lt;=3,INT(E1319)=E1319),E1319,"Invalid")))</x:f>
        <x:v>3</x:v>
      </x:c>
      <x:c r="G1319" s="2" t="n">
        <x:f>IF(ISNUMBER(F1319),1,0)</x:f>
        <x:v>1</x:v>
      </x:c>
      <x:c r="H1319" s="2" t="n">
        <x:f>IF(ISNUMBER(F1319),IF(F1319&gt;=2,1,0),0)</x:f>
        <x:v>1</x:v>
      </x:c>
      <x:c r="I1319" s="11" t="n">
        <x:f>IF(ISNUMBER(F1319),2^F1319-1,0)</x:f>
        <x:v>7</x:v>
      </x:c>
      <x:c r="J1319" s="2" t="str">
        <x:v>Extension pre-frozen corpus addition</x:v>
      </x:c>
      <x:c r="K1319" s="10" t="n">
        <x:v>5000</x:v>
      </x:c>
      <x:c r="L1319" s="10" t="n">
        <x:v>2</x:v>
      </x:c>
      <x:c r="M1319" s="10" t="n">
        <x:v>786</x:v>
      </x:c>
      <x:c r="N1319" s="2" t="str">
        <x:v>D10</x:v>
      </x:c>
      <x:c r="O1319" s="2" t="str">
        <x:v>condominium</x:v>
      </x:c>
      <x:c r="P1319" s="2" t="str">
        <x:v>https://www.propertyguru.com.sg/listing/for-rent-parksuites-500235375</x:v>
      </x:c>
      <x:c r="Q1319" s="12" t="str">
        <x:v>Identity added to the common review pool after return; grade unchanged from the pre-run corpus freeze.</x:v>
      </x:c>
      <x:c r="R1319" s="13"/>
    </x:row>
    <x:row r="1320" ht="24" hidden="0" customHeight="1">
      <x:c r="A1320" s="2" t="str">
        <x:v>S32|500245773</x:v>
      </x:c>
      <x:c r="B1320" s="2" t="str">
        <x:v>S32</x:v>
      </x:c>
      <x:c r="C1320" s="2" t="str">
        <x:v>500245773</x:v>
      </x:c>
      <x:c r="D1320" s="2" t="n">
        <x:v>3</x:v>
      </x:c>
      <x:c r="E1320" s="9"/>
      <x:c r="F1320" s="2" t="n">
        <x:f>IF(E1320="",D1320,IF(E1320="U","U",IF(AND(ISNUMBER(E1320),E1320&gt;=0,E1320&lt;=3,INT(E1320)=E1320),E1320,"Invalid")))</x:f>
        <x:v>3</x:v>
      </x:c>
      <x:c r="G1320" s="2" t="n">
        <x:f>IF(ISNUMBER(F1320),1,0)</x:f>
        <x:v>1</x:v>
      </x:c>
      <x:c r="H1320" s="2" t="n">
        <x:f>IF(ISNUMBER(F1320),IF(F1320&gt;=2,1,0),0)</x:f>
        <x:v>1</x:v>
      </x:c>
      <x:c r="I1320" s="11" t="n">
        <x:f>IF(ISNUMBER(F1320),2^F1320-1,0)</x:f>
        <x:v>7</x:v>
      </x:c>
      <x:c r="J1320" s="2" t="str">
        <x:v>Extension pre-frozen corpus addition</x:v>
      </x:c>
      <x:c r="K1320" s="10" t="n">
        <x:v>3100</x:v>
      </x:c>
      <x:c r="L1320" s="10" t="n">
        <x:v>2</x:v>
      </x:c>
      <x:c r="M1320" s="10" t="n">
        <x:v>634</x:v>
      </x:c>
      <x:c r="N1320" s="2" t="str">
        <x:v>D10</x:v>
      </x:c>
      <x:c r="O1320" s="2" t="str">
        <x:v>hdb flat</x:v>
      </x:c>
      <x:c r="P1320" s="2" t="str">
        <x:v>https://www.propertyguru.com.sg/listing/hdb-for-rent-8-holland-avenue-500245773</x:v>
      </x:c>
      <x:c r="Q1320" s="12" t="str">
        <x:v>Identity added to the common review pool after return; grade unchanged from the pre-run corpus freeze.</x:v>
      </x:c>
      <x:c r="R1320" s="13"/>
    </x:row>
    <x:row r="1321" ht="24" hidden="0" customHeight="1">
      <x:c r="A1321" s="2" t="str">
        <x:v>S37|20972400</x:v>
      </x:c>
      <x:c r="B1321" s="2" t="str">
        <x:v>S37</x:v>
      </x:c>
      <x:c r="C1321" s="2" t="str">
        <x:v>20972400</x:v>
      </x:c>
      <x:c r="D1321" s="2" t="n">
        <x:v>2</x:v>
      </x:c>
      <x:c r="E1321" s="9"/>
      <x:c r="F1321" s="2" t="n">
        <x:f>IF(E1321="",D1321,IF(E1321="U","U",IF(AND(ISNUMBER(E1321),E1321&gt;=0,E1321&lt;=3,INT(E1321)=E1321),E1321,"Invalid")))</x:f>
        <x:v>2</x:v>
      </x:c>
      <x:c r="G1321" s="2" t="n">
        <x:f>IF(ISNUMBER(F1321),1,0)</x:f>
        <x:v>1</x:v>
      </x:c>
      <x:c r="H1321" s="2" t="n">
        <x:f>IF(ISNUMBER(F1321),IF(F1321&gt;=2,1,0),0)</x:f>
        <x:v>1</x:v>
      </x:c>
      <x:c r="I1321" s="11" t="n">
        <x:f>IF(ISNUMBER(F1321),2^F1321-1,0)</x:f>
        <x:v>3</x:v>
      </x:c>
      <x:c r="J1321" s="2" t="str">
        <x:v>Extension pre-frozen corpus addition</x:v>
      </x:c>
      <x:c r="K1321" s="10" t="n">
        <x:v>3500</x:v>
      </x:c>
      <x:c r="L1321" s="10" t="n">
        <x:v>2</x:v>
      </x:c>
      <x:c r="M1321" s="10" t="n">
        <x:v>1184</x:v>
      </x:c>
      <x:c r="N1321" s="2" t="str">
        <x:v>D19</x:v>
      </x:c>
      <x:c r="O1321" s="2" t="str">
        <x:v>hdb flat</x:v>
      </x:c>
      <x:c r="P1321" s="2" t="str">
        <x:v>https://www.propertyguru.com.sg/listing/hdb-for-rent-979c-buangkok-crescent-20972400</x:v>
      </x:c>
      <x:c r="Q1321" s="12" t="str">
        <x:v>Identity added to the common review pool after return; grade unchanged from the pre-run corpus freeze.</x:v>
      </x:c>
      <x:c r="R1321" s="13"/>
    </x:row>
    <x:row r="1322" ht="24" hidden="0" customHeight="1">
      <x:c r="A1322" s="2" t="str">
        <x:v>S37|23936240</x:v>
      </x:c>
      <x:c r="B1322" s="2" t="str">
        <x:v>S37</x:v>
      </x:c>
      <x:c r="C1322" s="2" t="str">
        <x:v>23936240</x:v>
      </x:c>
      <x:c r="D1322" s="2" t="n">
        <x:v>2</x:v>
      </x:c>
      <x:c r="E1322" s="9"/>
      <x:c r="F1322" s="2" t="n">
        <x:f>IF(E1322="",D1322,IF(E1322="U","U",IF(AND(ISNUMBER(E1322),E1322&gt;=0,E1322&lt;=3,INT(E1322)=E1322),E1322,"Invalid")))</x:f>
        <x:v>2</x:v>
      </x:c>
      <x:c r="G1322" s="2" t="n">
        <x:f>IF(ISNUMBER(F1322),1,0)</x:f>
        <x:v>1</x:v>
      </x:c>
      <x:c r="H1322" s="2" t="n">
        <x:f>IF(ISNUMBER(F1322),IF(F1322&gt;=2,1,0),0)</x:f>
        <x:v>1</x:v>
      </x:c>
      <x:c r="I1322" s="11" t="n">
        <x:f>IF(ISNUMBER(F1322),2^F1322-1,0)</x:f>
        <x:v>3</x:v>
      </x:c>
      <x:c r="J1322" s="2" t="str">
        <x:v>Extension pre-frozen corpus addition</x:v>
      </x:c>
      <x:c r="K1322" s="10" t="n">
        <x:v>3200</x:v>
      </x:c>
      <x:c r="L1322" s="10" t="n">
        <x:v>3</x:v>
      </x:c>
      <x:c r="M1322" s="10" t="n">
        <x:v>1184</x:v>
      </x:c>
      <x:c r="N1322" s="2" t="str">
        <x:v>D19</x:v>
      </x:c>
      <x:c r="O1322" s="2" t="str">
        <x:v>hdb flat</x:v>
      </x:c>
      <x:c r="P1322" s="2" t="str">
        <x:v>https://www.propertyguru.com.sg/listing/hdb-for-rent-223d-compassvale-walk-23936240</x:v>
      </x:c>
      <x:c r="Q1322" s="12" t="str">
        <x:v>Identity added to the common review pool after return; grade unchanged from the pre-run corpus freeze.</x:v>
      </x:c>
      <x:c r="R1322" s="13"/>
    </x:row>
    <x:row r="1323" ht="24" hidden="0" customHeight="1">
      <x:c r="A1323" s="2" t="str">
        <x:v>S37|24113117</x:v>
      </x:c>
      <x:c r="B1323" s="2" t="str">
        <x:v>S37</x:v>
      </x:c>
      <x:c r="C1323" s="2" t="str">
        <x:v>24113117</x:v>
      </x:c>
      <x:c r="D1323" s="2" t="n">
        <x:v>2</x:v>
      </x:c>
      <x:c r="E1323" s="9"/>
      <x:c r="F1323" s="2" t="n">
        <x:f>IF(E1323="",D1323,IF(E1323="U","U",IF(AND(ISNUMBER(E1323),E1323&gt;=0,E1323&lt;=3,INT(E1323)=E1323),E1323,"Invalid")))</x:f>
        <x:v>2</x:v>
      </x:c>
      <x:c r="G1323" s="2" t="n">
        <x:f>IF(ISNUMBER(F1323),1,0)</x:f>
        <x:v>1</x:v>
      </x:c>
      <x:c r="H1323" s="2" t="n">
        <x:f>IF(ISNUMBER(F1323),IF(F1323&gt;=2,1,0),0)</x:f>
        <x:v>1</x:v>
      </x:c>
      <x:c r="I1323" s="11" t="n">
        <x:f>IF(ISNUMBER(F1323),2^F1323-1,0)</x:f>
        <x:v>3</x:v>
      </x:c>
      <x:c r="J1323" s="2" t="str">
        <x:v>Extension pre-frozen corpus addition</x:v>
      </x:c>
      <x:c r="K1323" s="10" t="n">
        <x:v>3300</x:v>
      </x:c>
      <x:c r="L1323" s="10" t="n">
        <x:v>3</x:v>
      </x:c>
      <x:c r="M1323" s="10" t="n">
        <x:v>1184</x:v>
      </x:c>
      <x:c r="N1323" s="2" t="str">
        <x:v>D19</x:v>
      </x:c>
      <x:c r="O1323" s="2" t="str">
        <x:v>hdb flat</x:v>
      </x:c>
      <x:c r="P1323" s="2" t="str">
        <x:v>https://www.propertyguru.com.sg/listing/hdb-for-rent-116b-rivervale-drive-24113117</x:v>
      </x:c>
      <x:c r="Q1323" s="12" t="str">
        <x:v>Identity added to the common review pool after return; grade unchanged from the pre-run corpus freeze.</x:v>
      </x:c>
      <x:c r="R1323" s="13"/>
    </x:row>
    <x:row r="1324" ht="24" hidden="0" customHeight="1">
      <x:c r="A1324" s="2" t="str">
        <x:v>S37|24754848</x:v>
      </x:c>
      <x:c r="B1324" s="2" t="str">
        <x:v>S37</x:v>
      </x:c>
      <x:c r="C1324" s="2" t="str">
        <x:v>24754848</x:v>
      </x:c>
      <x:c r="D1324" s="2" t="n">
        <x:v>2</x:v>
      </x:c>
      <x:c r="E1324" s="9"/>
      <x:c r="F1324" s="2" t="n">
        <x:f>IF(E1324="",D1324,IF(E1324="U","U",IF(AND(ISNUMBER(E1324),E1324&gt;=0,E1324&lt;=3,INT(E1324)=E1324),E1324,"Invalid")))</x:f>
        <x:v>2</x:v>
      </x:c>
      <x:c r="G1324" s="2" t="n">
        <x:f>IF(ISNUMBER(F1324),1,0)</x:f>
        <x:v>1</x:v>
      </x:c>
      <x:c r="H1324" s="2" t="n">
        <x:f>IF(ISNUMBER(F1324),IF(F1324&gt;=2,1,0),0)</x:f>
        <x:v>1</x:v>
      </x:c>
      <x:c r="I1324" s="11" t="n">
        <x:f>IF(ISNUMBER(F1324),2^F1324-1,0)</x:f>
        <x:v>3</x:v>
      </x:c>
      <x:c r="J1324" s="2" t="str">
        <x:v>Extension pre-frozen corpus addition</x:v>
      </x:c>
      <x:c r="K1324" s="10" t="n">
        <x:v>3500</x:v>
      </x:c>
      <x:c r="L1324" s="10" t="n">
        <x:v>3</x:v>
      </x:c>
      <x:c r="M1324" s="10" t="n">
        <x:v>1184</x:v>
      </x:c>
      <x:c r="N1324" s="2" t="str">
        <x:v>D19</x:v>
      </x:c>
      <x:c r="O1324" s="2" t="str">
        <x:v>hdb flat</x:v>
      </x:c>
      <x:c r="P1324" s="2" t="str">
        <x:v>https://www.propertyguru.com.sg/listing/hdb-for-rent-313b-anchorvale-road-24754848</x:v>
      </x:c>
      <x:c r="Q1324" s="12" t="str">
        <x:v>Identity added to the common review pool after return; grade unchanged from the pre-run corpus freeze.</x:v>
      </x:c>
      <x:c r="R1324" s="13"/>
    </x:row>
    <x:row r="1325" ht="24" hidden="0" customHeight="1">
      <x:c r="A1325" s="2" t="str">
        <x:v>S37|25310668</x:v>
      </x:c>
      <x:c r="B1325" s="2" t="str">
        <x:v>S37</x:v>
      </x:c>
      <x:c r="C1325" s="2" t="str">
        <x:v>25310668</x:v>
      </x:c>
      <x:c r="D1325" s="2" t="n">
        <x:v>2</x:v>
      </x:c>
      <x:c r="E1325" s="9"/>
      <x:c r="F1325" s="2" t="n">
        <x:f>IF(E1325="",D1325,IF(E1325="U","U",IF(AND(ISNUMBER(E1325),E1325&gt;=0,E1325&lt;=3,INT(E1325)=E1325),E1325,"Invalid")))</x:f>
        <x:v>2</x:v>
      </x:c>
      <x:c r="G1325" s="2" t="n">
        <x:f>IF(ISNUMBER(F1325),1,0)</x:f>
        <x:v>1</x:v>
      </x:c>
      <x:c r="H1325" s="2" t="n">
        <x:f>IF(ISNUMBER(F1325),IF(F1325&gt;=2,1,0),0)</x:f>
        <x:v>1</x:v>
      </x:c>
      <x:c r="I1325" s="11" t="n">
        <x:f>IF(ISNUMBER(F1325),2^F1325-1,0)</x:f>
        <x:v>3</x:v>
      </x:c>
      <x:c r="J1325" s="2" t="str">
        <x:v>Extension pre-frozen corpus addition</x:v>
      </x:c>
      <x:c r="K1325" s="10" t="n">
        <x:v>3500</x:v>
      </x:c>
      <x:c r="L1325" s="10" t="n">
        <x:v>3</x:v>
      </x:c>
      <x:c r="M1325" s="10" t="n">
        <x:v>1078</x:v>
      </x:c>
      <x:c r="N1325" s="2" t="str">
        <x:v>D19</x:v>
      </x:c>
      <x:c r="O1325" s="2" t="str">
        <x:v>hdb flat</x:v>
      </x:c>
      <x:c r="P1325" s="2" t="str">
        <x:v>https://www.propertyguru.com.sg/listing/hdb-for-rent-545-serangoon-north-avenue-3-25310668</x:v>
      </x:c>
      <x:c r="Q1325" s="12" t="str">
        <x:v>Identity added to the common review pool after return; grade unchanged from the pre-run corpus freeze.</x:v>
      </x:c>
      <x:c r="R1325" s="13"/>
    </x:row>
    <x:row r="1326" ht="24" hidden="0" customHeight="1">
      <x:c r="A1326" s="2" t="str">
        <x:v>S37|500112769</x:v>
      </x:c>
      <x:c r="B1326" s="2" t="str">
        <x:v>S37</x:v>
      </x:c>
      <x:c r="C1326" s="2" t="str">
        <x:v>500112769</x:v>
      </x:c>
      <x:c r="D1326" s="2" t="n">
        <x:v>2</x:v>
      </x:c>
      <x:c r="E1326" s="9"/>
      <x:c r="F1326" s="2" t="n">
        <x:f>IF(E1326="",D1326,IF(E1326="U","U",IF(AND(ISNUMBER(E1326),E1326&gt;=0,E1326&lt;=3,INT(E1326)=E1326),E1326,"Invalid")))</x:f>
        <x:v>2</x:v>
      </x:c>
      <x:c r="G1326" s="2" t="n">
        <x:f>IF(ISNUMBER(F1326),1,0)</x:f>
        <x:v>1</x:v>
      </x:c>
      <x:c r="H1326" s="2" t="n">
        <x:f>IF(ISNUMBER(F1326),IF(F1326&gt;=2,1,0),0)</x:f>
        <x:v>1</x:v>
      </x:c>
      <x:c r="I1326" s="11" t="n">
        <x:f>IF(ISNUMBER(F1326),2^F1326-1,0)</x:f>
        <x:v>3</x:v>
      </x:c>
      <x:c r="J1326" s="2" t="str">
        <x:v>Extension pre-frozen corpus addition</x:v>
      </x:c>
      <x:c r="K1326" s="10" t="n">
        <x:v>3500</x:v>
      </x:c>
      <x:c r="L1326" s="10" t="n">
        <x:v>3</x:v>
      </x:c>
      <x:c r="M1326" s="10" t="n">
        <x:v>1184</x:v>
      </x:c>
      <x:c r="N1326" s="2" t="str">
        <x:v>D19</x:v>
      </x:c>
      <x:c r="O1326" s="2" t="str">
        <x:v>hdb flat</x:v>
      </x:c>
      <x:c r="P1326" s="2" t="str">
        <x:v>https://www.propertyguru.com.sg/listing/hdb-for-rent-199c-punggol-field-500112769</x:v>
      </x:c>
      <x:c r="Q1326" s="12" t="str">
        <x:v>Identity added to the common review pool after return; grade unchanged from the pre-run corpus freeze.</x:v>
      </x:c>
      <x:c r="R1326" s="13"/>
    </x:row>
    <x:row r="1327" ht="24" hidden="0" customHeight="1">
      <x:c r="A1327" s="2" t="str">
        <x:v>S37|500228777</x:v>
      </x:c>
      <x:c r="B1327" s="2" t="str">
        <x:v>S37</x:v>
      </x:c>
      <x:c r="C1327" s="2" t="str">
        <x:v>500228777</x:v>
      </x:c>
      <x:c r="D1327" s="2" t="n">
        <x:v>2</x:v>
      </x:c>
      <x:c r="E1327" s="9"/>
      <x:c r="F1327" s="2" t="n">
        <x:f>IF(E1327="",D1327,IF(E1327="U","U",IF(AND(ISNUMBER(E1327),E1327&gt;=0,E1327&lt;=3,INT(E1327)=E1327),E1327,"Invalid")))</x:f>
        <x:v>2</x:v>
      </x:c>
      <x:c r="G1327" s="2" t="n">
        <x:f>IF(ISNUMBER(F1327),1,0)</x:f>
        <x:v>1</x:v>
      </x:c>
      <x:c r="H1327" s="2" t="n">
        <x:f>IF(ISNUMBER(F1327),IF(F1327&gt;=2,1,0),0)</x:f>
        <x:v>1</x:v>
      </x:c>
      <x:c r="I1327" s="11" t="n">
        <x:f>IF(ISNUMBER(F1327),2^F1327-1,0)</x:f>
        <x:v>3</x:v>
      </x:c>
      <x:c r="J1327" s="2" t="str">
        <x:v>Extension pre-frozen corpus addition</x:v>
      </x:c>
      <x:c r="K1327" s="10" t="n">
        <x:v>3500</x:v>
      </x:c>
      <x:c r="L1327" s="10" t="n">
        <x:v>3</x:v>
      </x:c>
      <x:c r="M1327" s="10" t="n">
        <x:v>1087</x:v>
      </x:c>
      <x:c r="N1327" s="2" t="str">
        <x:v>D19</x:v>
      </x:c>
      <x:c r="O1327" s="2" t="str">
        <x:v>hdb flat</x:v>
      </x:c>
      <x:c r="P1327" s="2" t="str">
        <x:v>https://www.propertyguru.com.sg/listing/hdb-for-rent-943-hougang-street-92-500228777</x:v>
      </x:c>
      <x:c r="Q1327" s="12" t="str">
        <x:v>Identity added to the common review pool after return; grade unchanged from the pre-run corpus freeze.</x:v>
      </x:c>
      <x:c r="R1327" s="13"/>
    </x:row>
    <x:row r="1328" ht="24" hidden="0" customHeight="1">
      <x:c r="A1328" s="2" t="str">
        <x:v>S38|21406855</x:v>
      </x:c>
      <x:c r="B1328" s="2" t="str">
        <x:v>S38</x:v>
      </x:c>
      <x:c r="C1328" s="2" t="str">
        <x:v>21406855</x:v>
      </x:c>
      <x:c r="D1328" s="2" t="n">
        <x:v>2</x:v>
      </x:c>
      <x:c r="E1328" s="9"/>
      <x:c r="F1328" s="2" t="n">
        <x:f>IF(E1328="",D1328,IF(E1328="U","U",IF(AND(ISNUMBER(E1328),E1328&gt;=0,E1328&lt;=3,INT(E1328)=E1328),E1328,"Invalid")))</x:f>
        <x:v>2</x:v>
      </x:c>
      <x:c r="G1328" s="2" t="n">
        <x:f>IF(ISNUMBER(F1328),1,0)</x:f>
        <x:v>1</x:v>
      </x:c>
      <x:c r="H1328" s="2" t="n">
        <x:f>IF(ISNUMBER(F1328),IF(F1328&gt;=2,1,0),0)</x:f>
        <x:v>1</x:v>
      </x:c>
      <x:c r="I1328" s="11" t="n">
        <x:f>IF(ISNUMBER(F1328),2^F1328-1,0)</x:f>
        <x:v>3</x:v>
      </x:c>
      <x:c r="J1328" s="2" t="str">
        <x:v>Extension pre-frozen corpus addition</x:v>
      </x:c>
      <x:c r="K1328" s="10" t="n">
        <x:v>3300</x:v>
      </x:c>
      <x:c r="L1328" s="10" t="n">
        <x:v>3</x:v>
      </x:c>
      <x:c r="M1328" s="10" t="n">
        <x:v>700</x:v>
      </x:c>
      <x:c r="N1328" s="2" t="str">
        <x:v>D05</x:v>
      </x:c>
      <x:c r="O1328" s="2" t="str">
        <x:v>hdb flat</x:v>
      </x:c>
      <x:c r="P1328" s="2" t="str">
        <x:v>https://www.propertyguru.com.sg/listing/hdb-for-rent-21-dover-crescent-21406855</x:v>
      </x:c>
      <x:c r="Q1328" s="12" t="str">
        <x:v>Identity added to the common review pool after return; grade unchanged from the pre-run corpus freeze.</x:v>
      </x:c>
      <x:c r="R1328" s="13"/>
    </x:row>
    <x:row r="1329" ht="24" hidden="0" customHeight="1">
      <x:c r="A1329" s="2" t="str">
        <x:v>S38|21603433</x:v>
      </x:c>
      <x:c r="B1329" s="2" t="str">
        <x:v>S38</x:v>
      </x:c>
      <x:c r="C1329" s="2" t="str">
        <x:v>21603433</x:v>
      </x:c>
      <x:c r="D1329" s="2" t="n">
        <x:v>2</x:v>
      </x:c>
      <x:c r="E1329" s="9"/>
      <x:c r="F1329" s="2" t="n">
        <x:f>IF(E1329="",D1329,IF(E1329="U","U",IF(AND(ISNUMBER(E1329),E1329&gt;=0,E1329&lt;=3,INT(E1329)=E1329),E1329,"Invalid")))</x:f>
        <x:v>2</x:v>
      </x:c>
      <x:c r="G1329" s="2" t="n">
        <x:f>IF(ISNUMBER(F1329),1,0)</x:f>
        <x:v>1</x:v>
      </x:c>
      <x:c r="H1329" s="2" t="n">
        <x:f>IF(ISNUMBER(F1329),IF(F1329&gt;=2,1,0),0)</x:f>
        <x:v>1</x:v>
      </x:c>
      <x:c r="I1329" s="11" t="n">
        <x:f>IF(ISNUMBER(F1329),2^F1329-1,0)</x:f>
        <x:v>3</x:v>
      </x:c>
      <x:c r="J1329" s="2" t="str">
        <x:v>Extension pre-frozen corpus addition</x:v>
      </x:c>
      <x:c r="K1329" s="10" t="n">
        <x:v>3200</x:v>
      </x:c>
      <x:c r="L1329" s="10" t="n">
        <x:v>2</x:v>
      </x:c>
      <x:c r="M1329" s="10" t="n">
        <x:v>721</x:v>
      </x:c>
      <x:c r="N1329" s="2" t="str">
        <x:v>D05</x:v>
      </x:c>
      <x:c r="O1329" s="2" t="str">
        <x:v>hdb flat</x:v>
      </x:c>
      <x:c r="P1329" s="2" t="str">
        <x:v>https://www.propertyguru.com.sg/listing/hdb-for-rent-319-clementi-avenue-4-21603433</x:v>
      </x:c>
      <x:c r="Q1329" s="12" t="str">
        <x:v>Identity added to the common review pool after return; grade unchanged from the pre-run corpus freeze.</x:v>
      </x:c>
      <x:c r="R1329" s="13"/>
    </x:row>
    <x:row r="1330" ht="24" hidden="0" customHeight="1">
      <x:c r="A1330" s="2" t="str">
        <x:v>S38|25181847</x:v>
      </x:c>
      <x:c r="B1330" s="2" t="str">
        <x:v>S38</x:v>
      </x:c>
      <x:c r="C1330" s="2" t="str">
        <x:v>25181847</x:v>
      </x:c>
      <x:c r="D1330" s="2" t="n">
        <x:v>2</x:v>
      </x:c>
      <x:c r="E1330" s="9"/>
      <x:c r="F1330" s="2" t="n">
        <x:f>IF(E1330="",D1330,IF(E1330="U","U",IF(AND(ISNUMBER(E1330),E1330&gt;=0,E1330&lt;=3,INT(E1330)=E1330),E1330,"Invalid")))</x:f>
        <x:v>2</x:v>
      </x:c>
      <x:c r="G1330" s="2" t="n">
        <x:f>IF(ISNUMBER(F1330),1,0)</x:f>
        <x:v>1</x:v>
      </x:c>
      <x:c r="H1330" s="2" t="n">
        <x:f>IF(ISNUMBER(F1330),IF(F1330&gt;=2,1,0),0)</x:f>
        <x:v>1</x:v>
      </x:c>
      <x:c r="I1330" s="11" t="n">
        <x:f>IF(ISNUMBER(F1330),2^F1330-1,0)</x:f>
        <x:v>3</x:v>
      </x:c>
      <x:c r="J1330" s="2" t="str">
        <x:v>Extension pre-frozen corpus addition</x:v>
      </x:c>
      <x:c r="K1330" s="10" t="n">
        <x:v>3200</x:v>
      </x:c>
      <x:c r="L1330" s="10" t="n">
        <x:v>2</x:v>
      </x:c>
      <x:c r="M1330" s="10" t="n">
        <x:v>570</x:v>
      </x:c>
      <x:c r="N1330" s="2" t="str">
        <x:v>D03</x:v>
      </x:c>
      <x:c r="O1330" s="2" t="str">
        <x:v>hdb flat</x:v>
      </x:c>
      <x:c r="P1330" s="2" t="str">
        <x:v>https://www.propertyguru.com.sg/listing/hdb-for-rent-37-jalan-rumah-tinggi-25181847</x:v>
      </x:c>
      <x:c r="Q1330" s="12" t="str">
        <x:v>Identity added to the common review pool after return; grade unchanged from the pre-run corpus freeze.</x:v>
      </x:c>
      <x:c r="R1330" s="13"/>
    </x:row>
    <x:row r="1331" ht="24" hidden="0" customHeight="1">
      <x:c r="A1331" s="2" t="str">
        <x:v>S38|25599137</x:v>
      </x:c>
      <x:c r="B1331" s="2" t="str">
        <x:v>S38</x:v>
      </x:c>
      <x:c r="C1331" s="2" t="str">
        <x:v>25599137</x:v>
      </x:c>
      <x:c r="D1331" s="2" t="n">
        <x:v>2</x:v>
      </x:c>
      <x:c r="E1331" s="9"/>
      <x:c r="F1331" s="2" t="n">
        <x:f>IF(E1331="",D1331,IF(E1331="U","U",IF(AND(ISNUMBER(E1331),E1331&gt;=0,E1331&lt;=3,INT(E1331)=E1331),E1331,"Invalid")))</x:f>
        <x:v>2</x:v>
      </x:c>
      <x:c r="G1331" s="2" t="n">
        <x:f>IF(ISNUMBER(F1331),1,0)</x:f>
        <x:v>1</x:v>
      </x:c>
      <x:c r="H1331" s="2" t="n">
        <x:f>IF(ISNUMBER(F1331),IF(F1331&gt;=2,1,0),0)</x:f>
        <x:v>1</x:v>
      </x:c>
      <x:c r="I1331" s="11" t="n">
        <x:f>IF(ISNUMBER(F1331),2^F1331-1,0)</x:f>
        <x:v>3</x:v>
      </x:c>
      <x:c r="J1331" s="2" t="str">
        <x:v>Extension pre-frozen corpus addition</x:v>
      </x:c>
      <x:c r="K1331" s="10" t="n">
        <x:v>3500</x:v>
      </x:c>
      <x:c r="L1331" s="10" t="n">
        <x:v>2</x:v>
      </x:c>
      <x:c r="M1331" s="10" t="n">
        <x:v>635</x:v>
      </x:c>
      <x:c r="N1331" s="2" t="str">
        <x:v>D03</x:v>
      </x:c>
      <x:c r="O1331" s="2" t="str">
        <x:v>hdb flat</x:v>
      </x:c>
      <x:c r="P1331" s="2" t="str">
        <x:v>https://www.propertyguru.com.sg/listing/hdb-for-rent-100-commonwealth-crescent-25599137</x:v>
      </x:c>
      <x:c r="Q1331" s="12" t="str">
        <x:v>Identity added to the common review pool after return; grade unchanged from the pre-run corpus freeze.</x:v>
      </x:c>
      <x:c r="R1331" s="13"/>
    </x:row>
    <x:row r="1332" ht="24" hidden="0" customHeight="1">
      <x:c r="A1332" s="2" t="str">
        <x:v>S38|500183381</x:v>
      </x:c>
      <x:c r="B1332" s="2" t="str">
        <x:v>S38</x:v>
      </x:c>
      <x:c r="C1332" s="2" t="str">
        <x:v>500183381</x:v>
      </x:c>
      <x:c r="D1332" s="2" t="n">
        <x:v>2</x:v>
      </x:c>
      <x:c r="E1332" s="9"/>
      <x:c r="F1332" s="2" t="n">
        <x:f>IF(E1332="",D1332,IF(E1332="U","U",IF(AND(ISNUMBER(E1332),E1332&gt;=0,E1332&lt;=3,INT(E1332)=E1332),E1332,"Invalid")))</x:f>
        <x:v>2</x:v>
      </x:c>
      <x:c r="G1332" s="2" t="n">
        <x:f>IF(ISNUMBER(F1332),1,0)</x:f>
        <x:v>1</x:v>
      </x:c>
      <x:c r="H1332" s="2" t="n">
        <x:f>IF(ISNUMBER(F1332),IF(F1332&gt;=2,1,0),0)</x:f>
        <x:v>1</x:v>
      </x:c>
      <x:c r="I1332" s="11" t="n">
        <x:f>IF(ISNUMBER(F1332),2^F1332-1,0)</x:f>
        <x:v>3</x:v>
      </x:c>
      <x:c r="J1332" s="2" t="str">
        <x:v>Extension pre-frozen corpus addition</x:v>
      </x:c>
      <x:c r="K1332" s="10" t="n">
        <x:v>3500</x:v>
      </x:c>
      <x:c r="L1332" s="10" t="n">
        <x:v>2</x:v>
      </x:c>
      <x:c r="M1332" s="10" t="n">
        <x:v>721</x:v>
      </x:c>
      <x:c r="N1332" s="2" t="str">
        <x:v>D05</x:v>
      </x:c>
      <x:c r="O1332" s="2" t="str">
        <x:v>hdb flat</x:v>
      </x:c>
      <x:c r="P1332" s="2" t="str">
        <x:v>https://www.propertyguru.com.sg/listing/hdb-for-rent-330-clementi-avenue-2-500183381</x:v>
      </x:c>
      <x:c r="Q1332" s="12" t="str">
        <x:v>Identity added to the common review pool after return; grade unchanged from the pre-run corpus freeze.</x:v>
      </x:c>
      <x:c r="R1332" s="13"/>
    </x:row>
    <x:row r="1333" ht="24" hidden="0" customHeight="1">
      <x:c r="A1333" s="2" t="str">
        <x:v>S38|500228798</x:v>
      </x:c>
      <x:c r="B1333" s="2" t="str">
        <x:v>S38</x:v>
      </x:c>
      <x:c r="C1333" s="2" t="str">
        <x:v>500228798</x:v>
      </x:c>
      <x:c r="D1333" s="2" t="n">
        <x:v>2</x:v>
      </x:c>
      <x:c r="E1333" s="9"/>
      <x:c r="F1333" s="2" t="n">
        <x:f>IF(E1333="",D1333,IF(E1333="U","U",IF(AND(ISNUMBER(E1333),E1333&gt;=0,E1333&lt;=3,INT(E1333)=E1333),E1333,"Invalid")))</x:f>
        <x:v>2</x:v>
      </x:c>
      <x:c r="G1333" s="2" t="n">
        <x:f>IF(ISNUMBER(F1333),1,0)</x:f>
        <x:v>1</x:v>
      </x:c>
      <x:c r="H1333" s="2" t="n">
        <x:f>IF(ISNUMBER(F1333),IF(F1333&gt;=2,1,0),0)</x:f>
        <x:v>1</x:v>
      </x:c>
      <x:c r="I1333" s="11" t="n">
        <x:f>IF(ISNUMBER(F1333),2^F1333-1,0)</x:f>
        <x:v>3</x:v>
      </x:c>
      <x:c r="J1333" s="2" t="str">
        <x:v>Extension pre-frozen corpus addition</x:v>
      </x:c>
      <x:c r="K1333" s="10" t="n">
        <x:v>3299</x:v>
      </x:c>
      <x:c r="L1333" s="10" t="n">
        <x:v>2</x:v>
      </x:c>
      <x:c r="M1333" s="10" t="n">
        <x:v>721</x:v>
      </x:c>
      <x:c r="N1333" s="2" t="str">
        <x:v>D05</x:v>
      </x:c>
      <x:c r="O1333" s="2" t="str">
        <x:v>hdb flat</x:v>
      </x:c>
      <x:c r="P1333" s="2" t="str">
        <x:v>https://www.propertyguru.com.sg/listing/hdb-for-rent-701-west-coast-road-500228798</x:v>
      </x:c>
      <x:c r="Q1333" s="12" t="str">
        <x:v>Identity added to the common review pool after return; grade unchanged from the pre-run corpus freeze.</x:v>
      </x:c>
      <x:c r="R1333" s="13"/>
    </x:row>
    <x:row r="1334" ht="24" hidden="0" customHeight="1">
      <x:c r="A1334" s="2" t="str">
        <x:v>S38|500278335</x:v>
      </x:c>
      <x:c r="B1334" s="2" t="str">
        <x:v>S38</x:v>
      </x:c>
      <x:c r="C1334" s="2" t="str">
        <x:v>500278335</x:v>
      </x:c>
      <x:c r="D1334" s="2" t="n">
        <x:v>2</x:v>
      </x:c>
      <x:c r="E1334" s="9"/>
      <x:c r="F1334" s="2" t="n">
        <x:f>IF(E1334="",D1334,IF(E1334="U","U",IF(AND(ISNUMBER(E1334),E1334&gt;=0,E1334&lt;=3,INT(E1334)=E1334),E1334,"Invalid")))</x:f>
        <x:v>2</x:v>
      </x:c>
      <x:c r="G1334" s="2" t="n">
        <x:f>IF(ISNUMBER(F1334),1,0)</x:f>
        <x:v>1</x:v>
      </x:c>
      <x:c r="H1334" s="2" t="n">
        <x:f>IF(ISNUMBER(F1334),IF(F1334&gt;=2,1,0),0)</x:f>
        <x:v>1</x:v>
      </x:c>
      <x:c r="I1334" s="11" t="n">
        <x:f>IF(ISNUMBER(F1334),2^F1334-1,0)</x:f>
        <x:v>3</x:v>
      </x:c>
      <x:c r="J1334" s="2" t="str">
        <x:v>Extension pre-frozen corpus addition</x:v>
      </x:c>
      <x:c r="K1334" s="10" t="n">
        <x:v>3400</x:v>
      </x:c>
      <x:c r="L1334" s="10" t="n">
        <x:v>2</x:v>
      </x:c>
      <x:c r="M1334" s="10" t="n">
        <x:v>721</x:v>
      </x:c>
      <x:c r="N1334" s="2" t="str">
        <x:v>D05</x:v>
      </x:c>
      <x:c r="O1334" s="2" t="str">
        <x:v>hdb flat</x:v>
      </x:c>
      <x:c r="P1334" s="2" t="str">
        <x:v>https://www.propertyguru.com.sg/listing/hdb-for-rent-304-clementi-avenue-4-500278335</x:v>
      </x:c>
      <x:c r="Q1334" s="12" t="str">
        <x:v>Identity added to the common review pool after return; grade unchanged from the pre-run corpus freeze.</x:v>
      </x:c>
      <x:c r="R1334" s="13"/>
    </x:row>
    <x:row r="1335" ht="24" hidden="0" customHeight="1">
      <x:c r="A1335" s="2" t="str">
        <x:v>S38|60107518</x:v>
      </x:c>
      <x:c r="B1335" s="2" t="str">
        <x:v>S38</x:v>
      </x:c>
      <x:c r="C1335" s="2" t="str">
        <x:v>60107518</x:v>
      </x:c>
      <x:c r="D1335" s="2" t="n">
        <x:v>2</x:v>
      </x:c>
      <x:c r="E1335" s="9"/>
      <x:c r="F1335" s="2" t="n">
        <x:f>IF(E1335="",D1335,IF(E1335="U","U",IF(AND(ISNUMBER(E1335),E1335&gt;=0,E1335&lt;=3,INT(E1335)=E1335),E1335,"Invalid")))</x:f>
        <x:v>2</x:v>
      </x:c>
      <x:c r="G1335" s="2" t="n">
        <x:f>IF(ISNUMBER(F1335),1,0)</x:f>
        <x:v>1</x:v>
      </x:c>
      <x:c r="H1335" s="2" t="n">
        <x:f>IF(ISNUMBER(F1335),IF(F1335&gt;=2,1,0),0)</x:f>
        <x:v>1</x:v>
      </x:c>
      <x:c r="I1335" s="11" t="n">
        <x:f>IF(ISNUMBER(F1335),2^F1335-1,0)</x:f>
        <x:v>3</x:v>
      </x:c>
      <x:c r="J1335" s="2" t="str">
        <x:v>Extension pre-frozen corpus addition</x:v>
      </x:c>
      <x:c r="K1335" s="10" t="n">
        <x:v>3400</x:v>
      </x:c>
      <x:c r="L1335" s="10" t="n">
        <x:v>2</x:v>
      </x:c>
      <x:c r="M1335" s="10" t="n">
        <x:v>646</x:v>
      </x:c>
      <x:c r="N1335" s="2" t="str">
        <x:v>D03</x:v>
      </x:c>
      <x:c r="O1335" s="2" t="str">
        <x:v>hdb flat</x:v>
      </x:c>
      <x:c r="P1335" s="2" t="str">
        <x:v>https://www.propertyguru.com.sg/listing/hdb-for-rent-169-stirling-road-60107518</x:v>
      </x:c>
      <x:c r="Q1335" s="12" t="str">
        <x:v>Identity added to the common review pool after return; grade unchanged from the pre-run corpus freeze.</x:v>
      </x:c>
      <x:c r="R1335" s="13"/>
    </x:row>
    <x:row r="1336" ht="24" hidden="0" customHeight="1">
      <x:c r="A1336" s="2" t="str">
        <x:v>S39|22076860</x:v>
      </x:c>
      <x:c r="B1336" s="2" t="str">
        <x:v>S39</x:v>
      </x:c>
      <x:c r="C1336" s="2" t="str">
        <x:v>22076860</x:v>
      </x:c>
      <x:c r="D1336" s="2" t="n">
        <x:v>3</x:v>
      </x:c>
      <x:c r="E1336" s="9"/>
      <x:c r="F1336" s="2" t="n">
        <x:f>IF(E1336="",D1336,IF(E1336="U","U",IF(AND(ISNUMBER(E1336),E1336&gt;=0,E1336&lt;=3,INT(E1336)=E1336),E1336,"Invalid")))</x:f>
        <x:v>3</x:v>
      </x:c>
      <x:c r="G1336" s="2" t="n">
        <x:f>IF(ISNUMBER(F1336),1,0)</x:f>
        <x:v>1</x:v>
      </x:c>
      <x:c r="H1336" s="2" t="n">
        <x:f>IF(ISNUMBER(F1336),IF(F1336&gt;=2,1,0),0)</x:f>
        <x:v>1</x:v>
      </x:c>
      <x:c r="I1336" s="11" t="n">
        <x:f>IF(ISNUMBER(F1336),2^F1336-1,0)</x:f>
        <x:v>7</x:v>
      </x:c>
      <x:c r="J1336" s="2" t="str">
        <x:v>Extension pre-frozen corpus addition</x:v>
      </x:c>
      <x:c r="K1336" s="10" t="n">
        <x:v>3200</x:v>
      </x:c>
      <x:c r="L1336" s="10" t="n">
        <x:v>3</x:v>
      </x:c>
      <x:c r="M1336" s="10" t="n">
        <x:v>1291</x:v>
      </x:c>
      <x:c r="N1336" s="2" t="str">
        <x:v>D25</x:v>
      </x:c>
      <x:c r="O1336" s="2" t="str">
        <x:v>hdb flat</x:v>
      </x:c>
      <x:c r="P1336" s="2" t="str">
        <x:v>https://www.propertyguru.com.sg/listing/hdb-for-rent-537-woodlands-drive-16-22076860</x:v>
      </x:c>
      <x:c r="Q1336" s="12" t="str">
        <x:v>Identity added to the common review pool after return; grade unchanged from the pre-run corpus freeze.</x:v>
      </x:c>
      <x:c r="R1336" s="13"/>
    </x:row>
    <x:row r="1337" ht="24" hidden="0" customHeight="1">
      <x:c r="A1337" s="2" t="str">
        <x:v>S39|22342661</x:v>
      </x:c>
      <x:c r="B1337" s="2" t="str">
        <x:v>S39</x:v>
      </x:c>
      <x:c r="C1337" s="2" t="str">
        <x:v>22342661</x:v>
      </x:c>
      <x:c r="D1337" s="2" t="n">
        <x:v>3</x:v>
      </x:c>
      <x:c r="E1337" s="9"/>
      <x:c r="F1337" s="2" t="n">
        <x:f>IF(E1337="",D1337,IF(E1337="U","U",IF(AND(ISNUMBER(E1337),E1337&gt;=0,E1337&lt;=3,INT(E1337)=E1337),E1337,"Invalid")))</x:f>
        <x:v>3</x:v>
      </x:c>
      <x:c r="G1337" s="2" t="n">
        <x:f>IF(ISNUMBER(F1337),1,0)</x:f>
        <x:v>1</x:v>
      </x:c>
      <x:c r="H1337" s="2" t="n">
        <x:f>IF(ISNUMBER(F1337),IF(F1337&gt;=2,1,0),0)</x:f>
        <x:v>1</x:v>
      </x:c>
      <x:c r="I1337" s="11" t="n">
        <x:f>IF(ISNUMBER(F1337),2^F1337-1,0)</x:f>
        <x:v>7</x:v>
      </x:c>
      <x:c r="J1337" s="2" t="str">
        <x:v>Extension pre-frozen corpus addition</x:v>
      </x:c>
      <x:c r="K1337" s="10" t="n">
        <x:v>3500</x:v>
      </x:c>
      <x:c r="L1337" s="10" t="n">
        <x:v>3</x:v>
      </x:c>
      <x:c r="M1337" s="10" t="n">
        <x:v>1100</x:v>
      </x:c>
      <x:c r="N1337" s="2" t="str">
        <x:v>D23</x:v>
      </x:c>
      <x:c r="O1337" s="2" t="str">
        <x:v>hdb flat</x:v>
      </x:c>
      <x:c r="P1337" s="2" t="str">
        <x:v>https://www.propertyguru.com.sg/listing/hdb-for-rent-688b-choa-chu-kang-drive-22342661</x:v>
      </x:c>
      <x:c r="Q1337" s="12" t="str">
        <x:v>Identity added to the common review pool after return; grade unchanged from the pre-run corpus freeze.</x:v>
      </x:c>
      <x:c r="R1337" s="13"/>
    </x:row>
    <x:row r="1338" ht="24" hidden="0" customHeight="1">
      <x:c r="A1338" s="2" t="str">
        <x:v>S39|24530010</x:v>
      </x:c>
      <x:c r="B1338" s="2" t="str">
        <x:v>S39</x:v>
      </x:c>
      <x:c r="C1338" s="2" t="str">
        <x:v>24530010</x:v>
      </x:c>
      <x:c r="D1338" s="2" t="n">
        <x:v>3</x:v>
      </x:c>
      <x:c r="E1338" s="9"/>
      <x:c r="F1338" s="2" t="n">
        <x:f>IF(E1338="",D1338,IF(E1338="U","U",IF(AND(ISNUMBER(E1338),E1338&gt;=0,E1338&lt;=3,INT(E1338)=E1338),E1338,"Invalid")))</x:f>
        <x:v>3</x:v>
      </x:c>
      <x:c r="G1338" s="2" t="n">
        <x:f>IF(ISNUMBER(F1338),1,0)</x:f>
        <x:v>1</x:v>
      </x:c>
      <x:c r="H1338" s="2" t="n">
        <x:f>IF(ISNUMBER(F1338),IF(F1338&gt;=2,1,0),0)</x:f>
        <x:v>1</x:v>
      </x:c>
      <x:c r="I1338" s="11" t="n">
        <x:f>IF(ISNUMBER(F1338),2^F1338-1,0)</x:f>
        <x:v>7</x:v>
      </x:c>
      <x:c r="J1338" s="2" t="str">
        <x:v>Extension pre-frozen corpus addition</x:v>
      </x:c>
      <x:c r="K1338" s="10" t="n">
        <x:v>3500</x:v>
      </x:c>
      <x:c r="L1338" s="10" t="n">
        <x:v>3</x:v>
      </x:c>
      <x:c r="M1338" s="10" t="n">
        <x:v>1270</x:v>
      </x:c>
      <x:c r="N1338" s="2" t="str">
        <x:v>D23</x:v>
      </x:c>
      <x:c r="O1338" s="2" t="str">
        <x:v>hdb flat</x:v>
      </x:c>
      <x:c r="P1338" s="2" t="str">
        <x:v>https://www.propertyguru.com.sg/listing/hdb-for-rent-389-bukit-batok-west-avenue-5-24530010</x:v>
      </x:c>
      <x:c r="Q1338" s="12" t="str">
        <x:v>Identity added to the common review pool after return; grade unchanged from the pre-run corpus freeze.</x:v>
      </x:c>
      <x:c r="R1338" s="13"/>
    </x:row>
    <x:row r="1339" ht="24" hidden="0" customHeight="1">
      <x:c r="A1339" s="2" t="str">
        <x:v>S39|25342943</x:v>
      </x:c>
      <x:c r="B1339" s="2" t="str">
        <x:v>S39</x:v>
      </x:c>
      <x:c r="C1339" s="2" t="str">
        <x:v>25342943</x:v>
      </x:c>
      <x:c r="D1339" s="2" t="n">
        <x:v>3</x:v>
      </x:c>
      <x:c r="E1339" s="9"/>
      <x:c r="F1339" s="2" t="n">
        <x:f>IF(E1339="",D1339,IF(E1339="U","U",IF(AND(ISNUMBER(E1339),E1339&gt;=0,E1339&lt;=3,INT(E1339)=E1339),E1339,"Invalid")))</x:f>
        <x:v>3</x:v>
      </x:c>
      <x:c r="G1339" s="2" t="n">
        <x:f>IF(ISNUMBER(F1339),1,0)</x:f>
        <x:v>1</x:v>
      </x:c>
      <x:c r="H1339" s="2" t="n">
        <x:f>IF(ISNUMBER(F1339),IF(F1339&gt;=2,1,0),0)</x:f>
        <x:v>1</x:v>
      </x:c>
      <x:c r="I1339" s="11" t="n">
        <x:f>IF(ISNUMBER(F1339),2^F1339-1,0)</x:f>
        <x:v>7</x:v>
      </x:c>
      <x:c r="J1339" s="2" t="str">
        <x:v>Extension pre-frozen corpus addition</x:v>
      </x:c>
      <x:c r="K1339" s="10" t="n">
        <x:v>2600</x:v>
      </x:c>
      <x:c r="L1339" s="10" t="n">
        <x:v>2</x:v>
      </x:c>
      <x:c r="M1339" s="10" t="n">
        <x:v>1100</x:v>
      </x:c>
      <x:c r="N1339" s="2" t="str">
        <x:v>D23</x:v>
      </x:c>
      <x:c r="O1339" s="2" t="str">
        <x:v>hdb flat</x:v>
      </x:c>
      <x:c r="P1339" s="2" t="str">
        <x:v>https://www.propertyguru.com.sg/listing/hdb-for-rent-220-choa-chu-kang-central-25342943</x:v>
      </x:c>
      <x:c r="Q1339" s="12" t="str">
        <x:v>Identity added to the common review pool after return; grade unchanged from the pre-run corpus freeze.</x:v>
      </x:c>
      <x:c r="R1339" s="13"/>
    </x:row>
    <x:row r="1340" ht="24" hidden="0" customHeight="1">
      <x:c r="A1340" s="2" t="str">
        <x:v>S39|500253781</x:v>
      </x:c>
      <x:c r="B1340" s="2" t="str">
        <x:v>S39</x:v>
      </x:c>
      <x:c r="C1340" s="2" t="str">
        <x:v>500253781</x:v>
      </x:c>
      <x:c r="D1340" s="2" t="n">
        <x:v>3</x:v>
      </x:c>
      <x:c r="E1340" s="9"/>
      <x:c r="F1340" s="2" t="n">
        <x:f>IF(E1340="",D1340,IF(E1340="U","U",IF(AND(ISNUMBER(E1340),E1340&gt;=0,E1340&lt;=3,INT(E1340)=E1340),E1340,"Invalid")))</x:f>
        <x:v>3</x:v>
      </x:c>
      <x:c r="G1340" s="2" t="n">
        <x:f>IF(ISNUMBER(F1340),1,0)</x:f>
        <x:v>1</x:v>
      </x:c>
      <x:c r="H1340" s="2" t="n">
        <x:f>IF(ISNUMBER(F1340),IF(F1340&gt;=2,1,0),0)</x:f>
        <x:v>1</x:v>
      </x:c>
      <x:c r="I1340" s="11" t="n">
        <x:f>IF(ISNUMBER(F1340),2^F1340-1,0)</x:f>
        <x:v>7</x:v>
      </x:c>
      <x:c r="J1340" s="2" t="str">
        <x:v>Extension pre-frozen corpus addition</x:v>
      </x:c>
      <x:c r="K1340" s="10" t="n">
        <x:v>3400</x:v>
      </x:c>
      <x:c r="L1340" s="10" t="n">
        <x:v>3</x:v>
      </x:c>
      <x:c r="M1340" s="10" t="n">
        <x:v>1324</x:v>
      </x:c>
      <x:c r="N1340" s="2" t="str">
        <x:v>D23</x:v>
      </x:c>
      <x:c r="O1340" s="2" t="str">
        <x:v>hdb flat</x:v>
      </x:c>
      <x:c r="P1340" s="2" t="str">
        <x:v>https://www.propertyguru.com.sg/listing/hdb-for-rent-410-saujana-road-500253781</x:v>
      </x:c>
      <x:c r="Q1340" s="12" t="str">
        <x:v>Identity added to the common review pool after return; grade unchanged from the pre-run corpus freeze.</x:v>
      </x:c>
      <x:c r="R1340" s="13"/>
    </x:row>
    <x:row r="1341" ht="24" hidden="0" customHeight="1">
      <x:c r="A1341" s="2" t="str">
        <x:v>S39|500272481</x:v>
      </x:c>
      <x:c r="B1341" s="2" t="str">
        <x:v>S39</x:v>
      </x:c>
      <x:c r="C1341" s="2" t="str">
        <x:v>500272481</x:v>
      </x:c>
      <x:c r="D1341" s="2" t="n">
        <x:v>3</x:v>
      </x:c>
      <x:c r="E1341" s="9"/>
      <x:c r="F1341" s="2" t="n">
        <x:f>IF(E1341="",D1341,IF(E1341="U","U",IF(AND(ISNUMBER(E1341),E1341&gt;=0,E1341&lt;=3,INT(E1341)=E1341),E1341,"Invalid")))</x:f>
        <x:v>3</x:v>
      </x:c>
      <x:c r="G1341" s="2" t="n">
        <x:f>IF(ISNUMBER(F1341),1,0)</x:f>
        <x:v>1</x:v>
      </x:c>
      <x:c r="H1341" s="2" t="n">
        <x:f>IF(ISNUMBER(F1341),IF(F1341&gt;=2,1,0),0)</x:f>
        <x:v>1</x:v>
      </x:c>
      <x:c r="I1341" s="11" t="n">
        <x:f>IF(ISNUMBER(F1341),2^F1341-1,0)</x:f>
        <x:v>7</x:v>
      </x:c>
      <x:c r="J1341" s="2" t="str">
        <x:v>Extension pre-frozen corpus addition</x:v>
      </x:c>
      <x:c r="K1341" s="10" t="n">
        <x:v>3400</x:v>
      </x:c>
      <x:c r="L1341" s="10" t="n">
        <x:v>3</x:v>
      </x:c>
      <x:c r="M1341" s="10" t="n">
        <x:v>1280</x:v>
      </x:c>
      <x:c r="N1341" s="2" t="str">
        <x:v>D25</x:v>
      </x:c>
      <x:c r="O1341" s="2" t="str">
        <x:v>hdb flat</x:v>
      </x:c>
      <x:c r="P1341" s="2" t="str">
        <x:v>https://www.propertyguru.com.sg/listing/hdb-for-rent-683a-woodlands-drive-62-500272481</x:v>
      </x:c>
      <x:c r="Q1341" s="12" t="str">
        <x:v>Identity added to the common review pool after return; grade unchanged from the pre-run corpus freeze.</x:v>
      </x:c>
      <x:c r="R1341" s="13"/>
    </x:row>
    <x:row r="1342" ht="24" hidden="0" customHeight="1">
      <x:c r="A1342" s="2" t="str">
        <x:v>S39|500287515</x:v>
      </x:c>
      <x:c r="B1342" s="2" t="str">
        <x:v>S39</x:v>
      </x:c>
      <x:c r="C1342" s="2" t="str">
        <x:v>500287515</x:v>
      </x:c>
      <x:c r="D1342" s="2" t="n">
        <x:v>3</x:v>
      </x:c>
      <x:c r="E1342" s="9"/>
      <x:c r="F1342" s="2" t="n">
        <x:f>IF(E1342="",D1342,IF(E1342="U","U",IF(AND(ISNUMBER(E1342),E1342&gt;=0,E1342&lt;=3,INT(E1342)=E1342),E1342,"Invalid")))</x:f>
        <x:v>3</x:v>
      </x:c>
      <x:c r="G1342" s="2" t="n">
        <x:f>IF(ISNUMBER(F1342),1,0)</x:f>
        <x:v>1</x:v>
      </x:c>
      <x:c r="H1342" s="2" t="n">
        <x:f>IF(ISNUMBER(F1342),IF(F1342&gt;=2,1,0),0)</x:f>
        <x:v>1</x:v>
      </x:c>
      <x:c r="I1342" s="11" t="n">
        <x:f>IF(ISNUMBER(F1342),2^F1342-1,0)</x:f>
        <x:v>7</x:v>
      </x:c>
      <x:c r="J1342" s="2" t="str">
        <x:v>Extension pre-frozen corpus addition</x:v>
      </x:c>
      <x:c r="K1342" s="10" t="n">
        <x:v>3500</x:v>
      </x:c>
      <x:c r="L1342" s="10" t="n">
        <x:v>3</x:v>
      </x:c>
      <x:c r="M1342" s="10" t="n">
        <x:v>1450</x:v>
      </x:c>
      <x:c r="N1342" s="2" t="str">
        <x:v>D23</x:v>
      </x:c>
      <x:c r="O1342" s="2" t="str">
        <x:v>hdb flat</x:v>
      </x:c>
      <x:c r="P1342" s="2" t="str">
        <x:v>https://www.propertyguru.com.sg/listing/hdb-for-rent-509-choa-chu-kang-street-51-500287515</x:v>
      </x:c>
      <x:c r="Q1342" s="12" t="str">
        <x:v>Identity added to the common review pool after return; grade unchanged from the pre-run corpus freeze.</x:v>
      </x:c>
      <x:c r="R1342" s="13"/>
    </x:row>
    <x:row r="1343" ht="24" hidden="0" customHeight="1">
      <x:c r="A1343" s="2" t="str">
        <x:v>S39|60139626</x:v>
      </x:c>
      <x:c r="B1343" s="2" t="str">
        <x:v>S39</x:v>
      </x:c>
      <x:c r="C1343" s="2" t="str">
        <x:v>60139626</x:v>
      </x:c>
      <x:c r="D1343" s="2" t="n">
        <x:v>3</x:v>
      </x:c>
      <x:c r="E1343" s="9"/>
      <x:c r="F1343" s="2" t="n">
        <x:f>IF(E1343="",D1343,IF(E1343="U","U",IF(AND(ISNUMBER(E1343),E1343&gt;=0,E1343&lt;=3,INT(E1343)=E1343),E1343,"Invalid")))</x:f>
        <x:v>3</x:v>
      </x:c>
      <x:c r="G1343" s="2" t="n">
        <x:f>IF(ISNUMBER(F1343),1,0)</x:f>
        <x:v>1</x:v>
      </x:c>
      <x:c r="H1343" s="2" t="n">
        <x:f>IF(ISNUMBER(F1343),IF(F1343&gt;=2,1,0),0)</x:f>
        <x:v>1</x:v>
      </x:c>
      <x:c r="I1343" s="11" t="n">
        <x:f>IF(ISNUMBER(F1343),2^F1343-1,0)</x:f>
        <x:v>7</x:v>
      </x:c>
      <x:c r="J1343" s="2" t="str">
        <x:v>Extension pre-frozen corpus addition</x:v>
      </x:c>
      <x:c r="K1343" s="10" t="n">
        <x:v>3500</x:v>
      </x:c>
      <x:c r="L1343" s="10" t="n">
        <x:v>3</x:v>
      </x:c>
      <x:c r="M1343" s="10" t="n">
        <x:v>1150</x:v>
      </x:c>
      <x:c r="N1343" s="2" t="str">
        <x:v>D25</x:v>
      </x:c>
      <x:c r="O1343" s="2" t="str">
        <x:v>hdb flat</x:v>
      </x:c>
      <x:c r="P1343" s="2" t="str">
        <x:v>https://www.propertyguru.com.sg/listing/hdb-for-rent-840-woodlands-street-82-60139626</x:v>
      </x:c>
      <x:c r="Q1343" s="12" t="str">
        <x:v>Identity added to the common review pool after return; grade unchanged from the pre-run corpus freeze.</x:v>
      </x:c>
      <x:c r="R1343" s="13"/>
    </x:row>
    <x:row r="1344" ht="24" hidden="0" customHeight="1">
      <x:c r="A1344" s="2" t="str">
        <x:v>S39|60145176</x:v>
      </x:c>
      <x:c r="B1344" s="2" t="str">
        <x:v>S39</x:v>
      </x:c>
      <x:c r="C1344" s="2" t="str">
        <x:v>60145176</x:v>
      </x:c>
      <x:c r="D1344" s="2" t="n">
        <x:v>3</x:v>
      </x:c>
      <x:c r="E1344" s="9"/>
      <x:c r="F1344" s="2" t="n">
        <x:f>IF(E1344="",D1344,IF(E1344="U","U",IF(AND(ISNUMBER(E1344),E1344&gt;=0,E1344&lt;=3,INT(E1344)=E1344),E1344,"Invalid")))</x:f>
        <x:v>3</x:v>
      </x:c>
      <x:c r="G1344" s="2" t="n">
        <x:f>IF(ISNUMBER(F1344),1,0)</x:f>
        <x:v>1</x:v>
      </x:c>
      <x:c r="H1344" s="2" t="n">
        <x:f>IF(ISNUMBER(F1344),IF(F1344&gt;=2,1,0),0)</x:f>
        <x:v>1</x:v>
      </x:c>
      <x:c r="I1344" s="11" t="n">
        <x:f>IF(ISNUMBER(F1344),2^F1344-1,0)</x:f>
        <x:v>7</x:v>
      </x:c>
      <x:c r="J1344" s="2" t="str">
        <x:v>Extension pre-frozen corpus addition</x:v>
      </x:c>
      <x:c r="K1344" s="10" t="n">
        <x:v>3400</x:v>
      </x:c>
      <x:c r="L1344" s="10" t="n">
        <x:v>3</x:v>
      </x:c>
      <x:c r="M1344" s="10" t="n">
        <x:v>1119</x:v>
      </x:c>
      <x:c r="N1344" s="2" t="str">
        <x:v>D23</x:v>
      </x:c>
      <x:c r="O1344" s="2" t="str">
        <x:v>hdb flat</x:v>
      </x:c>
      <x:c r="P1344" s="2" t="str">
        <x:v>https://www.propertyguru.com.sg/listing/hdb-for-rent-430-bukit-panjang-ring-road-60145176</x:v>
      </x:c>
      <x:c r="Q1344" s="12" t="str">
        <x:v>Identity added to the common review pool after return; grade unchanged from the pre-run corpus freeze.</x:v>
      </x:c>
      <x:c r="R1344" s="13"/>
    </x:row>
    <x:row r="1345" ht="24" hidden="0" customHeight="1">
      <x:c r="A1345" s="2" t="str">
        <x:v>S40|21136981</x:v>
      </x:c>
      <x:c r="B1345" s="2" t="str">
        <x:v>S40</x:v>
      </x:c>
      <x:c r="C1345" s="2" t="str">
        <x:v>21136981</x:v>
      </x:c>
      <x:c r="D1345" s="2" t="n">
        <x:v>3</x:v>
      </x:c>
      <x:c r="E1345" s="9"/>
      <x:c r="F1345" s="2" t="n">
        <x:f>IF(E1345="",D1345,IF(E1345="U","U",IF(AND(ISNUMBER(E1345),E1345&gt;=0,E1345&lt;=3,INT(E1345)=E1345),E1345,"Invalid")))</x:f>
        <x:v>3</x:v>
      </x:c>
      <x:c r="G1345" s="2" t="n">
        <x:f>IF(ISNUMBER(F1345),1,0)</x:f>
        <x:v>1</x:v>
      </x:c>
      <x:c r="H1345" s="2" t="n">
        <x:f>IF(ISNUMBER(F1345),IF(F1345&gt;=2,1,0),0)</x:f>
        <x:v>1</x:v>
      </x:c>
      <x:c r="I1345" s="11" t="n">
        <x:f>IF(ISNUMBER(F1345),2^F1345-1,0)</x:f>
        <x:v>7</x:v>
      </x:c>
      <x:c r="J1345" s="2" t="str">
        <x:v>Extension pre-frozen corpus addition</x:v>
      </x:c>
      <x:c r="K1345" s="10" t="n">
        <x:v>4400</x:v>
      </x:c>
      <x:c r="L1345" s="10" t="n">
        <x:v>3</x:v>
      </x:c>
      <x:c r="M1345" s="10" t="n">
        <x:v>947</x:v>
      </x:c>
      <x:c r="N1345" s="2" t="str">
        <x:v>D15</x:v>
      </x:c>
      <x:c r="O1345" s="2" t="str">
        <x:v>condominium</x:v>
      </x:c>
      <x:c r="P1345" s="2" t="str">
        <x:v>https://www.propertyguru.com.sg/listing/for-rent-parc-elegance-21136981</x:v>
      </x:c>
      <x:c r="Q1345" s="12" t="str">
        <x:v>Identity added to the common review pool after return; grade unchanged from the pre-run corpus freeze.</x:v>
      </x:c>
      <x:c r="R1345" s="13"/>
    </x:row>
    <x:row r="1346" ht="24" hidden="0" customHeight="1">
      <x:c r="A1346" s="2" t="str">
        <x:v>S40|23869417</x:v>
      </x:c>
      <x:c r="B1346" s="2" t="str">
        <x:v>S40</x:v>
      </x:c>
      <x:c r="C1346" s="2" t="str">
        <x:v>23869417</x:v>
      </x:c>
      <x:c r="D1346" s="2" t="n">
        <x:v>3</x:v>
      </x:c>
      <x:c r="E1346" s="9"/>
      <x:c r="F1346" s="2" t="n">
        <x:f>IF(E1346="",D1346,IF(E1346="U","U",IF(AND(ISNUMBER(E1346),E1346&gt;=0,E1346&lt;=3,INT(E1346)=E1346),E1346,"Invalid")))</x:f>
        <x:v>3</x:v>
      </x:c>
      <x:c r="G1346" s="2" t="n">
        <x:f>IF(ISNUMBER(F1346),1,0)</x:f>
        <x:v>1</x:v>
      </x:c>
      <x:c r="H1346" s="2" t="n">
        <x:f>IF(ISNUMBER(F1346),IF(F1346&gt;=2,1,0),0)</x:f>
        <x:v>1</x:v>
      </x:c>
      <x:c r="I1346" s="11" t="n">
        <x:f>IF(ISNUMBER(F1346),2^F1346-1,0)</x:f>
        <x:v>7</x:v>
      </x:c>
      <x:c r="J1346" s="2" t="str">
        <x:v>Extension pre-frozen corpus addition</x:v>
      </x:c>
      <x:c r="K1346" s="10" t="n">
        <x:v>4500</x:v>
      </x:c>
      <x:c r="L1346" s="10" t="n">
        <x:v>2</x:v>
      </x:c>
      <x:c r="M1346" s="10" t="n">
        <x:v>936</x:v>
      </x:c>
      <x:c r="N1346" s="2" t="str">
        <x:v>D15</x:v>
      </x:c>
      <x:c r="O1346" s="2" t="str">
        <x:v>condominium</x:v>
      </x:c>
      <x:c r="P1346" s="2" t="str">
        <x:v>https://www.propertyguru.com.sg/listing/for-rent-the-asteria-23869417</x:v>
      </x:c>
      <x:c r="Q1346" s="12" t="str">
        <x:v>Identity added to the common review pool after return; grade unchanged from the pre-run corpus freeze.</x:v>
      </x:c>
      <x:c r="R1346" s="13"/>
    </x:row>
    <x:row r="1347" ht="24" hidden="0" customHeight="1">
      <x:c r="A1347" s="2" t="str">
        <x:v>S40|24289520</x:v>
      </x:c>
      <x:c r="B1347" s="2" t="str">
        <x:v>S40</x:v>
      </x:c>
      <x:c r="C1347" s="2" t="str">
        <x:v>24289520</x:v>
      </x:c>
      <x:c r="D1347" s="2" t="n">
        <x:v>3</x:v>
      </x:c>
      <x:c r="E1347" s="9"/>
      <x:c r="F1347" s="2" t="n">
        <x:f>IF(E1347="",D1347,IF(E1347="U","U",IF(AND(ISNUMBER(E1347),E1347&gt;=0,E1347&lt;=3,INT(E1347)=E1347),E1347,"Invalid")))</x:f>
        <x:v>3</x:v>
      </x:c>
      <x:c r="G1347" s="2" t="n">
        <x:f>IF(ISNUMBER(F1347),1,0)</x:f>
        <x:v>1</x:v>
      </x:c>
      <x:c r="H1347" s="2" t="n">
        <x:f>IF(ISNUMBER(F1347),IF(F1347&gt;=2,1,0),0)</x:f>
        <x:v>1</x:v>
      </x:c>
      <x:c r="I1347" s="11" t="n">
        <x:f>IF(ISNUMBER(F1347),2^F1347-1,0)</x:f>
        <x:v>7</x:v>
      </x:c>
      <x:c r="J1347" s="2" t="str">
        <x:v>Extension pre-frozen corpus addition</x:v>
      </x:c>
      <x:c r="K1347" s="10" t="n">
        <x:v>3950</x:v>
      </x:c>
      <x:c r="L1347" s="10" t="n">
        <x:v>2</x:v>
      </x:c>
      <x:c r="M1347" s="10" t="n">
        <x:v>1100</x:v>
      </x:c>
      <x:c r="N1347" s="2" t="str">
        <x:v>D15</x:v>
      </x:c>
      <x:c r="O1347" s="2" t="str">
        <x:v>hdb flat</x:v>
      </x:c>
      <x:c r="P1347" s="2" t="str">
        <x:v>https://www.propertyguru.com.sg/listing/hdb-for-rent-14-kampong-arang-road-24289520</x:v>
      </x:c>
      <x:c r="Q1347" s="12" t="str">
        <x:v>Identity added to the common review pool after return; grade unchanged from the pre-run corpus freeze.</x:v>
      </x:c>
      <x:c r="R1347" s="13"/>
    </x:row>
    <x:row r="1348" ht="24" hidden="0" customHeight="1">
      <x:c r="A1348" s="2" t="str">
        <x:v>S40|24656863</x:v>
      </x:c>
      <x:c r="B1348" s="2" t="str">
        <x:v>S40</x:v>
      </x:c>
      <x:c r="C1348" s="2" t="str">
        <x:v>24656863</x:v>
      </x:c>
      <x:c r="D1348" s="2" t="n">
        <x:v>3</x:v>
      </x:c>
      <x:c r="E1348" s="9"/>
      <x:c r="F1348" s="2" t="n">
        <x:f>IF(E1348="",D1348,IF(E1348="U","U",IF(AND(ISNUMBER(E1348),E1348&gt;=0,E1348&lt;=3,INT(E1348)=E1348),E1348,"Invalid")))</x:f>
        <x:v>3</x:v>
      </x:c>
      <x:c r="G1348" s="2" t="n">
        <x:f>IF(ISNUMBER(F1348),1,0)</x:f>
        <x:v>1</x:v>
      </x:c>
      <x:c r="H1348" s="2" t="n">
        <x:f>IF(ISNUMBER(F1348),IF(F1348&gt;=2,1,0),0)</x:f>
        <x:v>1</x:v>
      </x:c>
      <x:c r="I1348" s="11" t="n">
        <x:f>IF(ISNUMBER(F1348),2^F1348-1,0)</x:f>
        <x:v>7</x:v>
      </x:c>
      <x:c r="J1348" s="2" t="str">
        <x:v>Extension pre-frozen corpus addition</x:v>
      </x:c>
      <x:c r="K1348" s="10" t="n">
        <x:v>4300</x:v>
      </x:c>
      <x:c r="L1348" s="10" t="n">
        <x:v>3</x:v>
      </x:c>
      <x:c r="M1348" s="10" t="n">
        <x:v>947</x:v>
      </x:c>
      <x:c r="N1348" s="2" t="str">
        <x:v>D15</x:v>
      </x:c>
      <x:c r="O1348" s="2" t="str">
        <x:v>condominium</x:v>
      </x:c>
      <x:c r="P1348" s="2" t="str">
        <x:v>https://www.propertyguru.com.sg/listing/for-rent-bella-casita-24656863</x:v>
      </x:c>
      <x:c r="Q1348" s="12" t="str">
        <x:v>Identity added to the common review pool after return; grade unchanged from the pre-run corpus freeze.</x:v>
      </x:c>
      <x:c r="R1348" s="13"/>
    </x:row>
    <x:row r="1349" ht="24" hidden="0" customHeight="1">
      <x:c r="A1349" s="2" t="str">
        <x:v>S40|24679242</x:v>
      </x:c>
      <x:c r="B1349" s="2" t="str">
        <x:v>S40</x:v>
      </x:c>
      <x:c r="C1349" s="2" t="str">
        <x:v>24679242</x:v>
      </x:c>
      <x:c r="D1349" s="2" t="n">
        <x:v>3</x:v>
      </x:c>
      <x:c r="E1349" s="9"/>
      <x:c r="F1349" s="2" t="n">
        <x:f>IF(E1349="",D1349,IF(E1349="U","U",IF(AND(ISNUMBER(E1349),E1349&gt;=0,E1349&lt;=3,INT(E1349)=E1349),E1349,"Invalid")))</x:f>
        <x:v>3</x:v>
      </x:c>
      <x:c r="G1349" s="2" t="n">
        <x:f>IF(ISNUMBER(F1349),1,0)</x:f>
        <x:v>1</x:v>
      </x:c>
      <x:c r="H1349" s="2" t="n">
        <x:f>IF(ISNUMBER(F1349),IF(F1349&gt;=2,1,0),0)</x:f>
        <x:v>1</x:v>
      </x:c>
      <x:c r="I1349" s="11" t="n">
        <x:f>IF(ISNUMBER(F1349),2^F1349-1,0)</x:f>
        <x:v>7</x:v>
      </x:c>
      <x:c r="J1349" s="2" t="str">
        <x:v>Extension pre-frozen corpus addition</x:v>
      </x:c>
      <x:c r="K1349" s="10" t="n">
        <x:v>4500</x:v>
      </x:c>
      <x:c r="L1349" s="10" t="n">
        <x:v>2</x:v>
      </x:c>
      <x:c r="M1349" s="10" t="n">
        <x:v>1076</x:v>
      </x:c>
      <x:c r="N1349" s="2" t="str">
        <x:v>D15</x:v>
      </x:c>
      <x:c r="O1349" s="2" t="str">
        <x:v>condominium</x:v>
      </x:c>
      <x:c r="P1349" s="2" t="str">
        <x:v>https://www.propertyguru.com.sg/listing/for-rent-haig-court-24679242</x:v>
      </x:c>
      <x:c r="Q1349" s="12" t="str">
        <x:v>Identity added to the common review pool after return; grade unchanged from the pre-run corpus freeze.</x:v>
      </x:c>
      <x:c r="R1349" s="13"/>
    </x:row>
    <x:row r="1350" ht="24" hidden="0" customHeight="1">
      <x:c r="A1350" s="2" t="str">
        <x:v>S40|25284425</x:v>
      </x:c>
      <x:c r="B1350" s="2" t="str">
        <x:v>S40</x:v>
      </x:c>
      <x:c r="C1350" s="2" t="str">
        <x:v>25284425</x:v>
      </x:c>
      <x:c r="D1350" s="2" t="n">
        <x:v>3</x:v>
      </x:c>
      <x:c r="E1350" s="9"/>
      <x:c r="F1350" s="2" t="n">
        <x:f>IF(E1350="",D1350,IF(E1350="U","U",IF(AND(ISNUMBER(E1350),E1350&gt;=0,E1350&lt;=3,INT(E1350)=E1350),E1350,"Invalid")))</x:f>
        <x:v>3</x:v>
      </x:c>
      <x:c r="G1350" s="2" t="n">
        <x:f>IF(ISNUMBER(F1350),1,0)</x:f>
        <x:v>1</x:v>
      </x:c>
      <x:c r="H1350" s="2" t="n">
        <x:f>IF(ISNUMBER(F1350),IF(F1350&gt;=2,1,0),0)</x:f>
        <x:v>1</x:v>
      </x:c>
      <x:c r="I1350" s="11" t="n">
        <x:f>IF(ISNUMBER(F1350),2^F1350-1,0)</x:f>
        <x:v>7</x:v>
      </x:c>
      <x:c r="J1350" s="2" t="str">
        <x:v>Extension pre-frozen corpus addition</x:v>
      </x:c>
      <x:c r="K1350" s="10" t="n">
        <x:v>4200</x:v>
      </x:c>
      <x:c r="L1350" s="10" t="n">
        <x:v>3</x:v>
      </x:c>
      <x:c r="M1350" s="10" t="n">
        <x:v>990</x:v>
      </x:c>
      <x:c r="N1350" s="2" t="str">
        <x:v>D15</x:v>
      </x:c>
      <x:c r="O1350" s="2" t="str">
        <x:v>condominium</x:v>
      </x:c>
      <x:c r="P1350" s="2" t="str">
        <x:v>https://www.propertyguru.com.sg/listing/for-rent-palm-vista-25284425</x:v>
      </x:c>
      <x:c r="Q1350" s="12" t="str">
        <x:v>Identity added to the common review pool after return; grade unchanged from the pre-run corpus freeze.</x:v>
      </x:c>
      <x:c r="R1350" s="13"/>
    </x:row>
    <x:row r="1351" ht="24" hidden="0" customHeight="1">
      <x:c r="A1351" s="2" t="str">
        <x:v>S40|25622301</x:v>
      </x:c>
      <x:c r="B1351" s="2" t="str">
        <x:v>S40</x:v>
      </x:c>
      <x:c r="C1351" s="2" t="str">
        <x:v>25622301</x:v>
      </x:c>
      <x:c r="D1351" s="2" t="n">
        <x:v>3</x:v>
      </x:c>
      <x:c r="E1351" s="9"/>
      <x:c r="F1351" s="2" t="n">
        <x:f>IF(E1351="",D1351,IF(E1351="U","U",IF(AND(ISNUMBER(E1351),E1351&gt;=0,E1351&lt;=3,INT(E1351)=E1351),E1351,"Invalid")))</x:f>
        <x:v>3</x:v>
      </x:c>
      <x:c r="G1351" s="2" t="n">
        <x:f>IF(ISNUMBER(F1351),1,0)</x:f>
        <x:v>1</x:v>
      </x:c>
      <x:c r="H1351" s="2" t="n">
        <x:f>IF(ISNUMBER(F1351),IF(F1351&gt;=2,1,0),0)</x:f>
        <x:v>1</x:v>
      </x:c>
      <x:c r="I1351" s="11" t="n">
        <x:f>IF(ISNUMBER(F1351),2^F1351-1,0)</x:f>
        <x:v>7</x:v>
      </x:c>
      <x:c r="J1351" s="2" t="str">
        <x:v>Extension pre-frozen corpus addition</x:v>
      </x:c>
      <x:c r="K1351" s="10" t="n">
        <x:v>4500</x:v>
      </x:c>
      <x:c r="L1351" s="10" t="n">
        <x:v>3</x:v>
      </x:c>
      <x:c r="M1351" s="10" t="n">
        <x:v>900</x:v>
      </x:c>
      <x:c r="N1351" s="2" t="str">
        <x:v>D15</x:v>
      </x:c>
      <x:c r="O1351" s="2" t="str">
        <x:v>condominium</x:v>
      </x:c>
      <x:c r="P1351" s="2" t="str">
        <x:v>https://www.propertyguru.com.sg/listing/for-rent-the-serennia-25622301</x:v>
      </x:c>
      <x:c r="Q1351" s="12" t="str">
        <x:v>Identity added to the common review pool after return; grade unchanged from the pre-run corpus freeze.</x:v>
      </x:c>
      <x:c r="R1351" s="13"/>
    </x:row>
    <x:row r="1352" ht="24" hidden="0" customHeight="1">
      <x:c r="A1352" s="2" t="str">
        <x:v>S40|500230933</x:v>
      </x:c>
      <x:c r="B1352" s="2" t="str">
        <x:v>S40</x:v>
      </x:c>
      <x:c r="C1352" s="2" t="str">
        <x:v>500230933</x:v>
      </x:c>
      <x:c r="D1352" s="2" t="n">
        <x:v>3</x:v>
      </x:c>
      <x:c r="E1352" s="9"/>
      <x:c r="F1352" s="2" t="n">
        <x:f>IF(E1352="",D1352,IF(E1352="U","U",IF(AND(ISNUMBER(E1352),E1352&gt;=0,E1352&lt;=3,INT(E1352)=E1352),E1352,"Invalid")))</x:f>
        <x:v>3</x:v>
      </x:c>
      <x:c r="G1352" s="2" t="n">
        <x:f>IF(ISNUMBER(F1352),1,0)</x:f>
        <x:v>1</x:v>
      </x:c>
      <x:c r="H1352" s="2" t="n">
        <x:f>IF(ISNUMBER(F1352),IF(F1352&gt;=2,1,0),0)</x:f>
        <x:v>1</x:v>
      </x:c>
      <x:c r="I1352" s="11" t="n">
        <x:f>IF(ISNUMBER(F1352),2^F1352-1,0)</x:f>
        <x:v>7</x:v>
      </x:c>
      <x:c r="J1352" s="2" t="str">
        <x:v>Extension pre-frozen corpus addition</x:v>
      </x:c>
      <x:c r="K1352" s="10" t="n">
        <x:v>4300</x:v>
      </x:c>
      <x:c r="L1352" s="10" t="n">
        <x:v>3</x:v>
      </x:c>
      <x:c r="M1352" s="10" t="n">
        <x:v>1000</x:v>
      </x:c>
      <x:c r="N1352" s="2" t="str">
        <x:v>D15</x:v>
      </x:c>
      <x:c r="O1352" s="2" t="str">
        <x:v>condominium</x:v>
      </x:c>
      <x:c r="P1352" s="2" t="str">
        <x:v>https://www.propertyguru.com.sg/listing/for-rent-east-grove-500230933</x:v>
      </x:c>
      <x:c r="Q1352" s="12" t="str">
        <x:v>Identity added to the common review pool after return; grade unchanged from the pre-run corpus freeze.</x:v>
      </x:c>
      <x:c r="R1352" s="13"/>
    </x:row>
    <x:row r="1353" ht="24" hidden="0" customHeight="1">
      <x:c r="A1353" s="2" t="str">
        <x:v>S40|500270641</x:v>
      </x:c>
      <x:c r="B1353" s="2" t="str">
        <x:v>S40</x:v>
      </x:c>
      <x:c r="C1353" s="2" t="str">
        <x:v>500270641</x:v>
      </x:c>
      <x:c r="D1353" s="2" t="n">
        <x:v>3</x:v>
      </x:c>
      <x:c r="E1353" s="9"/>
      <x:c r="F1353" s="2" t="n">
        <x:f>IF(E1353="",D1353,IF(E1353="U","U",IF(AND(ISNUMBER(E1353),E1353&gt;=0,E1353&lt;=3,INT(E1353)=E1353),E1353,"Invalid")))</x:f>
        <x:v>3</x:v>
      </x:c>
      <x:c r="G1353" s="2" t="n">
        <x:f>IF(ISNUMBER(F1353),1,0)</x:f>
        <x:v>1</x:v>
      </x:c>
      <x:c r="H1353" s="2" t="n">
        <x:f>IF(ISNUMBER(F1353),IF(F1353&gt;=2,1,0),0)</x:f>
        <x:v>1</x:v>
      </x:c>
      <x:c r="I1353" s="11" t="n">
        <x:f>IF(ISNUMBER(F1353),2^F1353-1,0)</x:f>
        <x:v>7</x:v>
      </x:c>
      <x:c r="J1353" s="2" t="str">
        <x:v>Extension pre-frozen corpus addition</x:v>
      </x:c>
      <x:c r="K1353" s="10" t="n">
        <x:v>3900</x:v>
      </x:c>
      <x:c r="L1353" s="10" t="n">
        <x:v>3</x:v>
      </x:c>
      <x:c r="M1353" s="10" t="n">
        <x:v>990</x:v>
      </x:c>
      <x:c r="N1353" s="2" t="str">
        <x:v>D15</x:v>
      </x:c>
      <x:c r="O1353" s="2" t="str">
        <x:v>apartment</x:v>
      </x:c>
      <x:c r="P1353" s="2" t="str">
        <x:v>https://www.propertyguru.com.sg/listing/for-rent-prestige-residence-500270641</x:v>
      </x:c>
      <x:c r="Q1353" s="12" t="str">
        <x:v>Identity added to the common review pool after return; grade unchanged from the pre-run corpus freeze.</x:v>
      </x:c>
      <x:c r="R1353" s="13"/>
    </x:row>
    <x:row r="1354" ht="24" hidden="0" customHeight="1">
      <x:c r="A1354" s="2" t="str">
        <x:v>S27|20554943</x:v>
      </x:c>
      <x:c r="B1354" s="2" t="str">
        <x:v>S27</x:v>
      </x:c>
      <x:c r="C1354" s="2" t="str">
        <x:v>20554943</x:v>
      </x:c>
      <x:c r="D1354" s="2" t="n">
        <x:v>3</x:v>
      </x:c>
      <x:c r="E1354" s="9"/>
      <x:c r="F1354" s="2" t="n">
        <x:f>IF(E1354="",D1354,IF(E1354="U","U",IF(AND(ISNUMBER(E1354),E1354&gt;=0,E1354&lt;=3,INT(E1354)=E1354),E1354,"Invalid")))</x:f>
        <x:v>3</x:v>
      </x:c>
      <x:c r="G1354" s="2" t="n">
        <x:f>IF(ISNUMBER(F1354),1,0)</x:f>
        <x:v>1</x:v>
      </x:c>
      <x:c r="H1354" s="2" t="n">
        <x:f>IF(ISNUMBER(F1354),IF(F1354&gt;=2,1,0),0)</x:f>
        <x:v>1</x:v>
      </x:c>
      <x:c r="I1354" s="11" t="n">
        <x:f>IF(ISNUMBER(F1354),2^F1354-1,0)</x:f>
        <x:v>7</x:v>
      </x:c>
      <x:c r="J1354" s="2" t="str">
        <x:v>Extension pre-frozen corpus addition</x:v>
      </x:c>
      <x:c r="K1354" s="10" t="n">
        <x:v>4500</x:v>
      </x:c>
      <x:c r="L1354" s="10" t="n">
        <x:v>3</x:v>
      </x:c>
      <x:c r="M1354" s="10" t="n">
        <x:v>1259</x:v>
      </x:c>
      <x:c r="N1354" s="2" t="str">
        <x:v>D03</x:v>
      </x:c>
      <x:c r="O1354" s="2" t="str">
        <x:v>hdb flat</x:v>
      </x:c>
      <x:c r="P1354" s="2" t="str">
        <x:v>https://www.propertyguru.com.sg/listing/hdb-for-rent-117-bukit-merah-central-20554943</x:v>
      </x:c>
      <x:c r="Q1354" s="12" t="str">
        <x:v>Identity added to the common review pool after return; grade unchanged from the pre-run corpus freeze.</x:v>
      </x:c>
      <x:c r="R1354" s="13"/>
    </x:row>
    <x:row r="1355" ht="24" hidden="0" customHeight="1">
      <x:c r="A1355" s="2" t="str">
        <x:v>S27|24176266</x:v>
      </x:c>
      <x:c r="B1355" s="2" t="str">
        <x:v>S27</x:v>
      </x:c>
      <x:c r="C1355" s="2" t="str">
        <x:v>24176266</x:v>
      </x:c>
      <x:c r="D1355" s="2" t="n">
        <x:v>3</x:v>
      </x:c>
      <x:c r="E1355" s="9"/>
      <x:c r="F1355" s="2" t="n">
        <x:f>IF(E1355="",D1355,IF(E1355="U","U",IF(AND(ISNUMBER(E1355),E1355&gt;=0,E1355&lt;=3,INT(E1355)=E1355),E1355,"Invalid")))</x:f>
        <x:v>3</x:v>
      </x:c>
      <x:c r="G1355" s="2" t="n">
        <x:f>IF(ISNUMBER(F1355),1,0)</x:f>
        <x:v>1</x:v>
      </x:c>
      <x:c r="H1355" s="2" t="n">
        <x:f>IF(ISNUMBER(F1355),IF(F1355&gt;=2,1,0),0)</x:f>
        <x:v>1</x:v>
      </x:c>
      <x:c r="I1355" s="11" t="n">
        <x:f>IF(ISNUMBER(F1355),2^F1355-1,0)</x:f>
        <x:v>7</x:v>
      </x:c>
      <x:c r="J1355" s="2" t="str">
        <x:v>Extension pre-frozen corpus addition</x:v>
      </x:c>
      <x:c r="K1355" s="10" t="n">
        <x:v>4200</x:v>
      </x:c>
      <x:c r="L1355" s="10" t="n">
        <x:v>3</x:v>
      </x:c>
      <x:c r="M1355" s="10" t="n">
        <x:v>914</x:v>
      </x:c>
      <x:c r="N1355" s="2" t="str">
        <x:v>D03</x:v>
      </x:c>
      <x:c r="O1355" s="2" t="str">
        <x:v>hdb flat</x:v>
      </x:c>
      <x:c r="P1355" s="2" t="str">
        <x:v>https://www.propertyguru.com.sg/listing/hdb-for-rent-161-mei-ling-street-24176266</x:v>
      </x:c>
      <x:c r="Q1355" s="12" t="str">
        <x:v>Identity added to the common review pool after return; grade unchanged from the pre-run corpus freeze.</x:v>
      </x:c>
      <x:c r="R1355" s="13"/>
    </x:row>
    <x:row r="1356" ht="24" hidden="0" customHeight="1">
      <x:c r="A1356" s="2" t="str">
        <x:v>S27|24178763</x:v>
      </x:c>
      <x:c r="B1356" s="2" t="str">
        <x:v>S27</x:v>
      </x:c>
      <x:c r="C1356" s="2" t="str">
        <x:v>24178763</x:v>
      </x:c>
      <x:c r="D1356" s="2" t="n">
        <x:v>3</x:v>
      </x:c>
      <x:c r="E1356" s="9"/>
      <x:c r="F1356" s="2" t="n">
        <x:f>IF(E1356="",D1356,IF(E1356="U","U",IF(AND(ISNUMBER(E1356),E1356&gt;=0,E1356&lt;=3,INT(E1356)=E1356),E1356,"Invalid")))</x:f>
        <x:v>3</x:v>
      </x:c>
      <x:c r="G1356" s="2" t="n">
        <x:f>IF(ISNUMBER(F1356),1,0)</x:f>
        <x:v>1</x:v>
      </x:c>
      <x:c r="H1356" s="2" t="n">
        <x:f>IF(ISNUMBER(F1356),IF(F1356&gt;=2,1,0),0)</x:f>
        <x:v>1</x:v>
      </x:c>
      <x:c r="I1356" s="11" t="n">
        <x:f>IF(ISNUMBER(F1356),2^F1356-1,0)</x:f>
        <x:v>7</x:v>
      </x:c>
      <x:c r="J1356" s="2" t="str">
        <x:v>Extension pre-frozen corpus addition</x:v>
      </x:c>
      <x:c r="K1356" s="10" t="n">
        <x:v>4500</x:v>
      </x:c>
      <x:c r="L1356" s="10" t="n">
        <x:v>3</x:v>
      </x:c>
      <x:c r="M1356" s="10" t="n">
        <x:v>1184</x:v>
      </x:c>
      <x:c r="N1356" s="2" t="str">
        <x:v>D05</x:v>
      </x:c>
      <x:c r="O1356" s="2" t="str">
        <x:v>hdb flat</x:v>
      </x:c>
      <x:c r="P1356" s="2" t="str">
        <x:v>https://www.propertyguru.com.sg/listing/hdb-for-rent-459-clementi-avenue-3-24178763</x:v>
      </x:c>
      <x:c r="Q1356" s="12" t="str">
        <x:v>Identity added to the common review pool after return; grade unchanged from the pre-run corpus freeze.</x:v>
      </x:c>
      <x:c r="R1356" s="13"/>
    </x:row>
    <x:row r="1357" ht="24" hidden="0" customHeight="1">
      <x:c r="A1357" s="2" t="str">
        <x:v>S27|25447883</x:v>
      </x:c>
      <x:c r="B1357" s="2" t="str">
        <x:v>S27</x:v>
      </x:c>
      <x:c r="C1357" s="2" t="str">
        <x:v>25447883</x:v>
      </x:c>
      <x:c r="D1357" s="2" t="n">
        <x:v>3</x:v>
      </x:c>
      <x:c r="E1357" s="9"/>
      <x:c r="F1357" s="2" t="n">
        <x:f>IF(E1357="",D1357,IF(E1357="U","U",IF(AND(ISNUMBER(E1357),E1357&gt;=0,E1357&lt;=3,INT(E1357)=E1357),E1357,"Invalid")))</x:f>
        <x:v>3</x:v>
      </x:c>
      <x:c r="G1357" s="2" t="n">
        <x:f>IF(ISNUMBER(F1357),1,0)</x:f>
        <x:v>1</x:v>
      </x:c>
      <x:c r="H1357" s="2" t="n">
        <x:f>IF(ISNUMBER(F1357),IF(F1357&gt;=2,1,0),0)</x:f>
        <x:v>1</x:v>
      </x:c>
      <x:c r="I1357" s="11" t="n">
        <x:f>IF(ISNUMBER(F1357),2^F1357-1,0)</x:f>
        <x:v>7</x:v>
      </x:c>
      <x:c r="J1357" s="2" t="str">
        <x:v>Extension pre-frozen corpus addition</x:v>
      </x:c>
      <x:c r="K1357" s="10" t="n">
        <x:v>4200</x:v>
      </x:c>
      <x:c r="L1357" s="10" t="n">
        <x:v>2</x:v>
      </x:c>
      <x:c r="M1357" s="10" t="n">
        <x:v>1033</x:v>
      </x:c>
      <x:c r="N1357" s="2" t="str">
        <x:v>D05</x:v>
      </x:c>
      <x:c r="O1357" s="2" t="str">
        <x:v>hdb flat</x:v>
      </x:c>
      <x:c r="P1357" s="2" t="str">
        <x:v>https://www.propertyguru.com.sg/listing/hdb-for-rent-28b-dover-crescent-25447883</x:v>
      </x:c>
      <x:c r="Q1357" s="12" t="str">
        <x:v>Identity added to the common review pool after return; grade unchanged from the pre-run corpus freeze.</x:v>
      </x:c>
      <x:c r="R1357" s="13"/>
    </x:row>
    <x:row r="1358" ht="24" hidden="0" customHeight="1">
      <x:c r="A1358" s="2" t="str">
        <x:v>S27|500164225</x:v>
      </x:c>
      <x:c r="B1358" s="2" t="str">
        <x:v>S27</x:v>
      </x:c>
      <x:c r="C1358" s="2" t="str">
        <x:v>500164225</x:v>
      </x:c>
      <x:c r="D1358" s="2" t="n">
        <x:v>3</x:v>
      </x:c>
      <x:c r="E1358" s="9"/>
      <x:c r="F1358" s="2" t="n">
        <x:f>IF(E1358="",D1358,IF(E1358="U","U",IF(AND(ISNUMBER(E1358),E1358&gt;=0,E1358&lt;=3,INT(E1358)=E1358),E1358,"Invalid")))</x:f>
        <x:v>3</x:v>
      </x:c>
      <x:c r="G1358" s="2" t="n">
        <x:f>IF(ISNUMBER(F1358),1,0)</x:f>
        <x:v>1</x:v>
      </x:c>
      <x:c r="H1358" s="2" t="n">
        <x:f>IF(ISNUMBER(F1358),IF(F1358&gt;=2,1,0),0)</x:f>
        <x:v>1</x:v>
      </x:c>
      <x:c r="I1358" s="11" t="n">
        <x:f>IF(ISNUMBER(F1358),2^F1358-1,0)</x:f>
        <x:v>7</x:v>
      </x:c>
      <x:c r="J1358" s="2" t="str">
        <x:v>Extension pre-frozen corpus addition</x:v>
      </x:c>
      <x:c r="K1358" s="10" t="n">
        <x:v>3999</x:v>
      </x:c>
      <x:c r="L1358" s="10" t="n">
        <x:v>3</x:v>
      </x:c>
      <x:c r="M1358" s="10" t="n">
        <x:v>1238</x:v>
      </x:c>
      <x:c r="N1358" s="2" t="str">
        <x:v>D05</x:v>
      </x:c>
      <x:c r="O1358" s="2" t="str">
        <x:v>hdb flat</x:v>
      </x:c>
      <x:c r="P1358" s="2" t="str">
        <x:v>https://www.propertyguru.com.sg/listing/hdb-for-rent-604-clementi-west-street-1-500164225</x:v>
      </x:c>
      <x:c r="Q1358" s="12" t="str">
        <x:v>Identity added to the common review pool after return; grade unchanged from the pre-run corpus freeze.</x:v>
      </x:c>
      <x:c r="R1358" s="13"/>
    </x:row>
    <x:row r="1359" ht="24" hidden="0" customHeight="1">
      <x:c r="A1359" s="2" t="str">
        <x:v>S27|500246212</x:v>
      </x:c>
      <x:c r="B1359" s="2" t="str">
        <x:v>S27</x:v>
      </x:c>
      <x:c r="C1359" s="2" t="str">
        <x:v>500246212</x:v>
      </x:c>
      <x:c r="D1359" s="2" t="n">
        <x:v>3</x:v>
      </x:c>
      <x:c r="E1359" s="9"/>
      <x:c r="F1359" s="2" t="n">
        <x:f>IF(E1359="",D1359,IF(E1359="U","U",IF(AND(ISNUMBER(E1359),E1359&gt;=0,E1359&lt;=3,INT(E1359)=E1359),E1359,"Invalid")))</x:f>
        <x:v>3</x:v>
      </x:c>
      <x:c r="G1359" s="2" t="n">
        <x:f>IF(ISNUMBER(F1359),1,0)</x:f>
        <x:v>1</x:v>
      </x:c>
      <x:c r="H1359" s="2" t="n">
        <x:f>IF(ISNUMBER(F1359),IF(F1359&gt;=2,1,0),0)</x:f>
        <x:v>1</x:v>
      </x:c>
      <x:c r="I1359" s="11" t="n">
        <x:f>IF(ISNUMBER(F1359),2^F1359-1,0)</x:f>
        <x:v>7</x:v>
      </x:c>
      <x:c r="J1359" s="2" t="str">
        <x:v>Extension pre-frozen corpus addition</x:v>
      </x:c>
      <x:c r="K1359" s="10" t="n">
        <x:v>4500</x:v>
      </x:c>
      <x:c r="L1359" s="10" t="n">
        <x:v>3</x:v>
      </x:c>
      <x:c r="M1359" s="10" t="n">
        <x:v>1389</x:v>
      </x:c>
      <x:c r="N1359" s="2" t="str">
        <x:v>D03</x:v>
      </x:c>
      <x:c r="O1359" s="2" t="str">
        <x:v>hdb flat</x:v>
      </x:c>
      <x:c r="P1359" s="2" t="str">
        <x:v>https://www.propertyguru.com.sg/listing/hdb-for-rent-134-jalan-bukit-merah-500246212</x:v>
      </x:c>
      <x:c r="Q1359" s="12" t="str">
        <x:v>Identity added to the common review pool after return; grade unchanged from the pre-run corpus freeze.</x:v>
      </x:c>
      <x:c r="R1359" s="13"/>
    </x:row>
    <x:row r="1360" ht="24" hidden="0" customHeight="1">
      <x:c r="A1360" s="2" t="str">
        <x:v>S27|500267822</x:v>
      </x:c>
      <x:c r="B1360" s="2" t="str">
        <x:v>S27</x:v>
      </x:c>
      <x:c r="C1360" s="2" t="str">
        <x:v>500267822</x:v>
      </x:c>
      <x:c r="D1360" s="2" t="n">
        <x:v>3</x:v>
      </x:c>
      <x:c r="E1360" s="9"/>
      <x:c r="F1360" s="2" t="n">
        <x:f>IF(E1360="",D1360,IF(E1360="U","U",IF(AND(ISNUMBER(E1360),E1360&gt;=0,E1360&lt;=3,INT(E1360)=E1360),E1360,"Invalid")))</x:f>
        <x:v>3</x:v>
      </x:c>
      <x:c r="G1360" s="2" t="n">
        <x:f>IF(ISNUMBER(F1360),1,0)</x:f>
        <x:v>1</x:v>
      </x:c>
      <x:c r="H1360" s="2" t="n">
        <x:f>IF(ISNUMBER(F1360),IF(F1360&gt;=2,1,0),0)</x:f>
        <x:v>1</x:v>
      </x:c>
      <x:c r="I1360" s="11" t="n">
        <x:f>IF(ISNUMBER(F1360),2^F1360-1,0)</x:f>
        <x:v>7</x:v>
      </x:c>
      <x:c r="J1360" s="2" t="str">
        <x:v>Extension pre-frozen corpus addition</x:v>
      </x:c>
      <x:c r="K1360" s="10" t="n">
        <x:v>3880</x:v>
      </x:c>
      <x:c r="L1360" s="10" t="n">
        <x:v>3</x:v>
      </x:c>
      <x:c r="M1360" s="10" t="n">
        <x:v>980</x:v>
      </x:c>
      <x:c r="N1360" s="2" t="str">
        <x:v>D05</x:v>
      </x:c>
      <x:c r="O1360" s="2" t="str">
        <x:v>hdb flat</x:v>
      </x:c>
      <x:c r="P1360" s="2" t="str">
        <x:v>https://www.propertyguru.com.sg/listing/hdb-for-rent-373-clementi-avenue-4-500267822</x:v>
      </x:c>
      <x:c r="Q1360" s="12" t="str">
        <x:v>Identity added to the common review pool after return; grade unchanged from the pre-run corpus freeze.</x:v>
      </x:c>
      <x:c r="R1360" s="13"/>
    </x:row>
    <x:row r="1361" ht="24" hidden="0" customHeight="1">
      <x:c r="A1361" s="2" t="str">
        <x:v>S27|21449669</x:v>
      </x:c>
      <x:c r="B1361" s="2" t="str">
        <x:v>S27</x:v>
      </x:c>
      <x:c r="C1361" s="2" t="str">
        <x:v>21449669</x:v>
      </x:c>
      <x:c r="D1361" s="2" t="n">
        <x:v>3</x:v>
      </x:c>
      <x:c r="E1361" s="9"/>
      <x:c r="F1361" s="2" t="n">
        <x:f>IF(E1361="",D1361,IF(E1361="U","U",IF(AND(ISNUMBER(E1361),E1361&gt;=0,E1361&lt;=3,INT(E1361)=E1361),E1361,"Invalid")))</x:f>
        <x:v>3</x:v>
      </x:c>
      <x:c r="G1361" s="2" t="n">
        <x:f>IF(ISNUMBER(F1361),1,0)</x:f>
        <x:v>1</x:v>
      </x:c>
      <x:c r="H1361" s="2" t="n">
        <x:f>IF(ISNUMBER(F1361),IF(F1361&gt;=2,1,0),0)</x:f>
        <x:v>1</x:v>
      </x:c>
      <x:c r="I1361" s="11" t="n">
        <x:f>IF(ISNUMBER(F1361),2^F1361-1,0)</x:f>
        <x:v>7</x:v>
      </x:c>
      <x:c r="J1361" s="2" t="str">
        <x:v>Extension pre-frozen corpus addition</x:v>
      </x:c>
      <x:c r="K1361" s="10" t="n">
        <x:v>4300</x:v>
      </x:c>
      <x:c r="L1361" s="10" t="n">
        <x:v>3</x:v>
      </x:c>
      <x:c r="M1361" s="10" t="n">
        <x:v>980</x:v>
      </x:c>
      <x:c r="N1361" s="2" t="str">
        <x:v>D03</x:v>
      </x:c>
      <x:c r="O1361" s="2" t="str">
        <x:v>hdb flat</x:v>
      </x:c>
      <x:c r="P1361" s="2" t="str">
        <x:v>https://www.propertyguru.com.sg/listing/hdb-for-rent-26a-jalan-membina-21449669</x:v>
      </x:c>
      <x:c r="Q1361" s="12" t="str">
        <x:v>Identity added to the common review pool after return; grade unchanged from the pre-run corpus freeze.</x:v>
      </x:c>
      <x:c r="R1361" s="13"/>
    </x:row>
    <x:row r="1362" ht="24" hidden="0" customHeight="1">
      <x:c r="A1362" s="2" t="str">
        <x:v>S27|21759366</x:v>
      </x:c>
      <x:c r="B1362" s="2" t="str">
        <x:v>S27</x:v>
      </x:c>
      <x:c r="C1362" s="2" t="str">
        <x:v>21759366</x:v>
      </x:c>
      <x:c r="D1362" s="2" t="n">
        <x:v>3</x:v>
      </x:c>
      <x:c r="E1362" s="9"/>
      <x:c r="F1362" s="2" t="n">
        <x:f>IF(E1362="",D1362,IF(E1362="U","U",IF(AND(ISNUMBER(E1362),E1362&gt;=0,E1362&lt;=3,INT(E1362)=E1362),E1362,"Invalid")))</x:f>
        <x:v>3</x:v>
      </x:c>
      <x:c r="G1362" s="2" t="n">
        <x:f>IF(ISNUMBER(F1362),1,0)</x:f>
        <x:v>1</x:v>
      </x:c>
      <x:c r="H1362" s="2" t="n">
        <x:f>IF(ISNUMBER(F1362),IF(F1362&gt;=2,1,0),0)</x:f>
        <x:v>1</x:v>
      </x:c>
      <x:c r="I1362" s="11" t="n">
        <x:f>IF(ISNUMBER(F1362),2^F1362-1,0)</x:f>
        <x:v>7</x:v>
      </x:c>
      <x:c r="J1362" s="2" t="str">
        <x:v>Extension pre-frozen corpus addition</x:v>
      </x:c>
      <x:c r="K1362" s="10" t="n">
        <x:v>4500</x:v>
      </x:c>
      <x:c r="L1362" s="10" t="n">
        <x:v>3</x:v>
      </x:c>
      <x:c r="M1362" s="10" t="n">
        <x:v>1260</x:v>
      </x:c>
      <x:c r="N1362" s="2" t="str">
        <x:v>D03</x:v>
      </x:c>
      <x:c r="O1362" s="2" t="str">
        <x:v>hdb flat</x:v>
      </x:c>
      <x:c r="P1362" s="2" t="str">
        <x:v>https://www.propertyguru.com.sg/listing/hdb-for-rent-117-bukit-merah-central-21759366</x:v>
      </x:c>
      <x:c r="Q1362" s="12" t="str">
        <x:v>Identity added to the common review pool after return; grade unchanged from the pre-run corpus freeze.</x:v>
      </x:c>
      <x:c r="R1362" s="13"/>
    </x:row>
    <x:row r="1363" ht="24" hidden="0" customHeight="1">
      <x:c r="A1363" s="2" t="str">
        <x:v>S27|25316446</x:v>
      </x:c>
      <x:c r="B1363" s="2" t="str">
        <x:v>S27</x:v>
      </x:c>
      <x:c r="C1363" s="2" t="str">
        <x:v>25316446</x:v>
      </x:c>
      <x:c r="D1363" s="2" t="n">
        <x:v>3</x:v>
      </x:c>
      <x:c r="E1363" s="9"/>
      <x:c r="F1363" s="2" t="n">
        <x:f>IF(E1363="",D1363,IF(E1363="U","U",IF(AND(ISNUMBER(E1363),E1363&gt;=0,E1363&lt;=3,INT(E1363)=E1363),E1363,"Invalid")))</x:f>
        <x:v>3</x:v>
      </x:c>
      <x:c r="G1363" s="2" t="n">
        <x:f>IF(ISNUMBER(F1363),1,0)</x:f>
        <x:v>1</x:v>
      </x:c>
      <x:c r="H1363" s="2" t="n">
        <x:f>IF(ISNUMBER(F1363),IF(F1363&gt;=2,1,0),0)</x:f>
        <x:v>1</x:v>
      </x:c>
      <x:c r="I1363" s="11" t="n">
        <x:f>IF(ISNUMBER(F1363),2^F1363-1,0)</x:f>
        <x:v>7</x:v>
      </x:c>
      <x:c r="J1363" s="2" t="str">
        <x:v>Extension pre-frozen corpus addition</x:v>
      </x:c>
      <x:c r="K1363" s="10" t="n">
        <x:v>4200</x:v>
      </x:c>
      <x:c r="L1363" s="10" t="n">
        <x:v>3</x:v>
      </x:c>
      <x:c r="M1363" s="10" t="n">
        <x:v>915</x:v>
      </x:c>
      <x:c r="N1363" s="2" t="str">
        <x:v>D03</x:v>
      </x:c>
      <x:c r="O1363" s="2" t="str">
        <x:v>hdb flat</x:v>
      </x:c>
      <x:c r="P1363" s="2" t="str">
        <x:v>https://www.propertyguru.com.sg/listing/hdb-for-rent-69-redhill-close-25316446</x:v>
      </x:c>
      <x:c r="Q1363" s="12" t="str">
        <x:v>Identity added to the common review pool after return; grade unchanged from the pre-run corpus freeze.</x:v>
      </x:c>
      <x:c r="R1363" s="13"/>
    </x:row>
    <x:row r="1364" ht="24" hidden="0" customHeight="1">
      <x:c r="A1364" s="2" t="str">
        <x:v>S27|500264910</x:v>
      </x:c>
      <x:c r="B1364" s="2" t="str">
        <x:v>S27</x:v>
      </x:c>
      <x:c r="C1364" s="2" t="str">
        <x:v>500264910</x:v>
      </x:c>
      <x:c r="D1364" s="2" t="n">
        <x:v>3</x:v>
      </x:c>
      <x:c r="E1364" s="9"/>
      <x:c r="F1364" s="2" t="n">
        <x:f>IF(E1364="",D1364,IF(E1364="U","U",IF(AND(ISNUMBER(E1364),E1364&gt;=0,E1364&lt;=3,INT(E1364)=E1364),E1364,"Invalid")))</x:f>
        <x:v>3</x:v>
      </x:c>
      <x:c r="G1364" s="2" t="n">
        <x:f>IF(ISNUMBER(F1364),1,0)</x:f>
        <x:v>1</x:v>
      </x:c>
      <x:c r="H1364" s="2" t="n">
        <x:f>IF(ISNUMBER(F1364),IF(F1364&gt;=2,1,0),0)</x:f>
        <x:v>1</x:v>
      </x:c>
      <x:c r="I1364" s="11" t="n">
        <x:f>IF(ISNUMBER(F1364),2^F1364-1,0)</x:f>
        <x:v>7</x:v>
      </x:c>
      <x:c r="J1364" s="2" t="str">
        <x:v>Extension pre-frozen corpus addition</x:v>
      </x:c>
      <x:c r="K1364" s="10" t="n">
        <x:v>4500</x:v>
      </x:c>
      <x:c r="L1364" s="10" t="n">
        <x:v>3</x:v>
      </x:c>
      <x:c r="M1364" s="10" t="n">
        <x:v>1001</x:v>
      </x:c>
      <x:c r="N1364" s="2" t="str">
        <x:v>D05</x:v>
      </x:c>
      <x:c r="O1364" s="2" t="str">
        <x:v>hdb flat</x:v>
      </x:c>
      <x:c r="P1364" s="2" t="str">
        <x:v>https://www.propertyguru.com.sg/listing/hdb-for-rent-375-clementi-avenue-4-500264910</x:v>
      </x:c>
      <x:c r="Q1364" s="12" t="str">
        <x:v>Identity added to the common review pool after return; grade unchanged from the pre-run corpus freeze.</x:v>
      </x:c>
      <x:c r="R1364" s="13"/>
    </x:row>
    <x:row r="1365" ht="24" hidden="0" customHeight="1">
      <x:c r="A1365" s="2" t="str">
        <x:v>S27|17789448</x:v>
      </x:c>
      <x:c r="B1365" s="2" t="str">
        <x:v>S27</x:v>
      </x:c>
      <x:c r="C1365" s="2" t="str">
        <x:v>17789448</x:v>
      </x:c>
      <x:c r="D1365" s="2" t="n">
        <x:v>3</x:v>
      </x:c>
      <x:c r="E1365" s="9"/>
      <x:c r="F1365" s="2" t="n">
        <x:f>IF(E1365="",D1365,IF(E1365="U","U",IF(AND(ISNUMBER(E1365),E1365&gt;=0,E1365&lt;=3,INT(E1365)=E1365),E1365,"Invalid")))</x:f>
        <x:v>3</x:v>
      </x:c>
      <x:c r="G1365" s="2" t="n">
        <x:f>IF(ISNUMBER(F1365),1,0)</x:f>
        <x:v>1</x:v>
      </x:c>
      <x:c r="H1365" s="2" t="n">
        <x:f>IF(ISNUMBER(F1365),IF(F1365&gt;=2,1,0),0)</x:f>
        <x:v>1</x:v>
      </x:c>
      <x:c r="I1365" s="11" t="n">
        <x:f>IF(ISNUMBER(F1365),2^F1365-1,0)</x:f>
        <x:v>7</x:v>
      </x:c>
      <x:c r="J1365" s="2" t="str">
        <x:v>Extension pre-frozen corpus addition</x:v>
      </x:c>
      <x:c r="K1365" s="10" t="n">
        <x:v>4400</x:v>
      </x:c>
      <x:c r="L1365" s="10" t="n">
        <x:v>3</x:v>
      </x:c>
      <x:c r="M1365" s="10" t="n">
        <x:v>1100</x:v>
      </x:c>
      <x:c r="N1365" s="2" t="str">
        <x:v>D03</x:v>
      </x:c>
      <x:c r="O1365" s="2" t="str">
        <x:v>hdb flat</x:v>
      </x:c>
      <x:c r="P1365" s="2" t="str">
        <x:v>https://www.propertyguru.com.sg/listing/hdb-for-rent-130-clarence-lane-17789448</x:v>
      </x:c>
      <x:c r="Q1365" s="12" t="str">
        <x:v>Identity added to the common review pool after return; grade unchanged from the pre-run corpus freeze.</x:v>
      </x:c>
      <x:c r="R1365" s="13"/>
    </x:row>
    <x:row r="1366" ht="24" hidden="0" customHeight="1">
      <x:c r="A1366" s="2" t="str">
        <x:v>S27|19221832</x:v>
      </x:c>
      <x:c r="B1366" s="2" t="str">
        <x:v>S27</x:v>
      </x:c>
      <x:c r="C1366" s="2" t="str">
        <x:v>19221832</x:v>
      </x:c>
      <x:c r="D1366" s="2" t="n">
        <x:v>3</x:v>
      </x:c>
      <x:c r="E1366" s="9"/>
      <x:c r="F1366" s="2" t="n">
        <x:f>IF(E1366="",D1366,IF(E1366="U","U",IF(AND(ISNUMBER(E1366),E1366&gt;=0,E1366&lt;=3,INT(E1366)=E1366),E1366,"Invalid")))</x:f>
        <x:v>3</x:v>
      </x:c>
      <x:c r="G1366" s="2" t="n">
        <x:f>IF(ISNUMBER(F1366),1,0)</x:f>
        <x:v>1</x:v>
      </x:c>
      <x:c r="H1366" s="2" t="n">
        <x:f>IF(ISNUMBER(F1366),IF(F1366&gt;=2,1,0),0)</x:f>
        <x:v>1</x:v>
      </x:c>
      <x:c r="I1366" s="11" t="n">
        <x:f>IF(ISNUMBER(F1366),2^F1366-1,0)</x:f>
        <x:v>7</x:v>
      </x:c>
      <x:c r="J1366" s="2" t="str">
        <x:v>Extension pre-frozen corpus addition</x:v>
      </x:c>
      <x:c r="K1366" s="10" t="n">
        <x:v>4200</x:v>
      </x:c>
      <x:c r="L1366" s="10" t="n">
        <x:v>3</x:v>
      </x:c>
      <x:c r="M1366" s="10" t="n">
        <x:v>1184</x:v>
      </x:c>
      <x:c r="N1366" s="2" t="str">
        <x:v>D05</x:v>
      </x:c>
      <x:c r="O1366" s="2" t="str">
        <x:v>hdb flat</x:v>
      </x:c>
      <x:c r="P1366" s="2" t="str">
        <x:v>https://www.propertyguru.com.sg/listing/hdb-for-rent-458-clementi-avenue-3-19221832</x:v>
      </x:c>
      <x:c r="Q1366" s="12" t="str">
        <x:v>Identity added to the common review pool after return; grade unchanged from the pre-run corpus freeze.</x:v>
      </x:c>
      <x:c r="R1366" s="13"/>
    </x:row>
    <x:row r="1367" ht="24" hidden="0" customHeight="1">
      <x:c r="A1367" s="2" t="str">
        <x:v>S27|500251234</x:v>
      </x:c>
      <x:c r="B1367" s="2" t="str">
        <x:v>S27</x:v>
      </x:c>
      <x:c r="C1367" s="2" t="str">
        <x:v>500251234</x:v>
      </x:c>
      <x:c r="D1367" s="2" t="n">
        <x:v>3</x:v>
      </x:c>
      <x:c r="E1367" s="9"/>
      <x:c r="F1367" s="2" t="n">
        <x:f>IF(E1367="",D1367,IF(E1367="U","U",IF(AND(ISNUMBER(E1367),E1367&gt;=0,E1367&lt;=3,INT(E1367)=E1367),E1367,"Invalid")))</x:f>
        <x:v>3</x:v>
      </x:c>
      <x:c r="G1367" s="2" t="n">
        <x:f>IF(ISNUMBER(F1367),1,0)</x:f>
        <x:v>1</x:v>
      </x:c>
      <x:c r="H1367" s="2" t="n">
        <x:f>IF(ISNUMBER(F1367),IF(F1367&gt;=2,1,0),0)</x:f>
        <x:v>1</x:v>
      </x:c>
      <x:c r="I1367" s="11" t="n">
        <x:f>IF(ISNUMBER(F1367),2^F1367-1,0)</x:f>
        <x:v>7</x:v>
      </x:c>
      <x:c r="J1367" s="2" t="str">
        <x:v>Extension pre-frozen corpus addition</x:v>
      </x:c>
      <x:c r="K1367" s="10" t="n">
        <x:v>3900</x:v>
      </x:c>
      <x:c r="L1367" s="10" t="n">
        <x:v>3</x:v>
      </x:c>
      <x:c r="M1367" s="10" t="n">
        <x:v>1000</x:v>
      </x:c>
      <x:c r="N1367" s="2" t="str">
        <x:v>D05</x:v>
      </x:c>
      <x:c r="O1367" s="2" t="str">
        <x:v>hdb flat</x:v>
      </x:c>
      <x:c r="P1367" s="2" t="str">
        <x:v>https://www.propertyguru.com.sg/listing/hdb-for-rent-506-west-coast-drive-500251234</x:v>
      </x:c>
      <x:c r="Q1367" s="12" t="str">
        <x:v>Identity added to the common review pool after return; grade unchanged from the pre-run corpus freeze.</x:v>
      </x:c>
      <x:c r="R1367" s="13"/>
    </x:row>
    <x:row r="1368" ht="24" hidden="0" customHeight="1">
      <x:c r="A1368" s="2" t="str">
        <x:v>S27|500262625</x:v>
      </x:c>
      <x:c r="B1368" s="2" t="str">
        <x:v>S27</x:v>
      </x:c>
      <x:c r="C1368" s="2" t="str">
        <x:v>500262625</x:v>
      </x:c>
      <x:c r="D1368" s="2" t="n">
        <x:v>3</x:v>
      </x:c>
      <x:c r="E1368" s="9"/>
      <x:c r="F1368" s="2" t="n">
        <x:f>IF(E1368="",D1368,IF(E1368="U","U",IF(AND(ISNUMBER(E1368),E1368&gt;=0,E1368&lt;=3,INT(E1368)=E1368),E1368,"Invalid")))</x:f>
        <x:v>3</x:v>
      </x:c>
      <x:c r="G1368" s="2" t="n">
        <x:f>IF(ISNUMBER(F1368),1,0)</x:f>
        <x:v>1</x:v>
      </x:c>
      <x:c r="H1368" s="2" t="n">
        <x:f>IF(ISNUMBER(F1368),IF(F1368&gt;=2,1,0),0)</x:f>
        <x:v>1</x:v>
      </x:c>
      <x:c r="I1368" s="11" t="n">
        <x:f>IF(ISNUMBER(F1368),2^F1368-1,0)</x:f>
        <x:v>7</x:v>
      </x:c>
      <x:c r="J1368" s="2" t="str">
        <x:v>Extension pre-frozen corpus addition</x:v>
      </x:c>
      <x:c r="K1368" s="10" t="n">
        <x:v>4500</x:v>
      </x:c>
      <x:c r="L1368" s="10" t="n">
        <x:v>3</x:v>
      </x:c>
      <x:c r="M1368" s="10" t="n">
        <x:v>980</x:v>
      </x:c>
      <x:c r="N1368" s="2" t="str">
        <x:v>D05</x:v>
      </x:c>
      <x:c r="O1368" s="2" t="str">
        <x:v>hdb flat</x:v>
      </x:c>
      <x:c r="P1368" s="2" t="str">
        <x:v>https://www.propertyguru.com.sg/listing/hdb-for-rent-373-clementi-avenue-4-500262625</x:v>
      </x:c>
      <x:c r="Q1368" s="12" t="str">
        <x:v>Identity added to the common review pool after return; grade unchanged from the pre-run corpus freeze.</x:v>
      </x:c>
      <x:c r="R1368" s="13"/>
    </x:row>
    <x:row r="1369" ht="24" hidden="0" customHeight="1">
      <x:c r="A1369" s="2" t="str">
        <x:v>S27|500265127</x:v>
      </x:c>
      <x:c r="B1369" s="2" t="str">
        <x:v>S27</x:v>
      </x:c>
      <x:c r="C1369" s="2" t="str">
        <x:v>500265127</x:v>
      </x:c>
      <x:c r="D1369" s="2" t="n">
        <x:v>3</x:v>
      </x:c>
      <x:c r="E1369" s="9"/>
      <x:c r="F1369" s="2" t="n">
        <x:f>IF(E1369="",D1369,IF(E1369="U","U",IF(AND(ISNUMBER(E1369),E1369&gt;=0,E1369&lt;=3,INT(E1369)=E1369),E1369,"Invalid")))</x:f>
        <x:v>3</x:v>
      </x:c>
      <x:c r="G1369" s="2" t="n">
        <x:f>IF(ISNUMBER(F1369),1,0)</x:f>
        <x:v>1</x:v>
      </x:c>
      <x:c r="H1369" s="2" t="n">
        <x:f>IF(ISNUMBER(F1369),IF(F1369&gt;=2,1,0),0)</x:f>
        <x:v>1</x:v>
      </x:c>
      <x:c r="I1369" s="11" t="n">
        <x:f>IF(ISNUMBER(F1369),2^F1369-1,0)</x:f>
        <x:v>7</x:v>
      </x:c>
      <x:c r="J1369" s="2" t="str">
        <x:v>Extension pre-frozen corpus addition</x:v>
      </x:c>
      <x:c r="K1369" s="10" t="n">
        <x:v>4200</x:v>
      </x:c>
      <x:c r="L1369" s="10" t="n">
        <x:v>2</x:v>
      </x:c>
      <x:c r="M1369" s="10" t="n">
        <x:v>1032</x:v>
      </x:c>
      <x:c r="N1369" s="2" t="str">
        <x:v>D05</x:v>
      </x:c>
      <x:c r="O1369" s="2" t="str">
        <x:v>hdb flat</x:v>
      </x:c>
      <x:c r="P1369" s="2" t="str">
        <x:v>https://www.propertyguru.com.sg/listing/hdb-for-rent-28b-dover-crescent-500265127</x:v>
      </x:c>
      <x:c r="Q1369" s="12" t="str">
        <x:v>Identity added to the common review pool after return; grade unchanged from the pre-run corpus freeze.</x:v>
      </x:c>
      <x:c r="R1369" s="13"/>
    </x:row>
    <x:row r="1370" ht="24" hidden="0" customHeight="1">
      <x:c r="A1370" s="2" t="str">
        <x:v>S27|500266415</x:v>
      </x:c>
      <x:c r="B1370" s="2" t="str">
        <x:v>S27</x:v>
      </x:c>
      <x:c r="C1370" s="2" t="str">
        <x:v>500266415</x:v>
      </x:c>
      <x:c r="D1370" s="2" t="n">
        <x:v>3</x:v>
      </x:c>
      <x:c r="E1370" s="9"/>
      <x:c r="F1370" s="2" t="n">
        <x:f>IF(E1370="",D1370,IF(E1370="U","U",IF(AND(ISNUMBER(E1370),E1370&gt;=0,E1370&lt;=3,INT(E1370)=E1370),E1370,"Invalid")))</x:f>
        <x:v>3</x:v>
      </x:c>
      <x:c r="G1370" s="2" t="n">
        <x:f>IF(ISNUMBER(F1370),1,0)</x:f>
        <x:v>1</x:v>
      </x:c>
      <x:c r="H1370" s="2" t="n">
        <x:f>IF(ISNUMBER(F1370),IF(F1370&gt;=2,1,0),0)</x:f>
        <x:v>1</x:v>
      </x:c>
      <x:c r="I1370" s="11" t="n">
        <x:f>IF(ISNUMBER(F1370),2^F1370-1,0)</x:f>
        <x:v>7</x:v>
      </x:c>
      <x:c r="J1370" s="2" t="str">
        <x:v>Extension pre-frozen corpus addition</x:v>
      </x:c>
      <x:c r="K1370" s="10" t="n">
        <x:v>3300</x:v>
      </x:c>
      <x:c r="L1370" s="10" t="n">
        <x:v>2</x:v>
      </x:c>
      <x:c r="M1370" s="10" t="n">
        <x:v>980</x:v>
      </x:c>
      <x:c r="N1370" s="2" t="str">
        <x:v>D05</x:v>
      </x:c>
      <x:c r="O1370" s="2" t="str">
        <x:v>hdb flat</x:v>
      </x:c>
      <x:c r="P1370" s="2" t="str">
        <x:v>https://www.propertyguru.com.sg/listing/hdb-for-rent-511-west-coast-drive-500266415</x:v>
      </x:c>
      <x:c r="Q1370" s="12" t="str">
        <x:v>Identity added to the common review pool after return; grade unchanged from the pre-run corpus freeze.</x:v>
      </x:c>
      <x:c r="R1370" s="13"/>
    </x:row>
    <x:row r="1371" ht="24" hidden="0" customHeight="1">
      <x:c r="A1371" s="2" t="str">
        <x:v>S27|22083772</x:v>
      </x:c>
      <x:c r="B1371" s="2" t="str">
        <x:v>S27</x:v>
      </x:c>
      <x:c r="C1371" s="2" t="str">
        <x:v>22083772</x:v>
      </x:c>
      <x:c r="D1371" s="2" t="n">
        <x:v>3</x:v>
      </x:c>
      <x:c r="E1371" s="9"/>
      <x:c r="F1371" s="2" t="n">
        <x:f>IF(E1371="",D1371,IF(E1371="U","U",IF(AND(ISNUMBER(E1371),E1371&gt;=0,E1371&lt;=3,INT(E1371)=E1371),E1371,"Invalid")))</x:f>
        <x:v>3</x:v>
      </x:c>
      <x:c r="G1371" s="2" t="n">
        <x:f>IF(ISNUMBER(F1371),1,0)</x:f>
        <x:v>1</x:v>
      </x:c>
      <x:c r="H1371" s="2" t="n">
        <x:f>IF(ISNUMBER(F1371),IF(F1371&gt;=2,1,0),0)</x:f>
        <x:v>1</x:v>
      </x:c>
      <x:c r="I1371" s="11" t="n">
        <x:f>IF(ISNUMBER(F1371),2^F1371-1,0)</x:f>
        <x:v>7</x:v>
      </x:c>
      <x:c r="J1371" s="2" t="str">
        <x:v>Extension pre-frozen corpus addition</x:v>
      </x:c>
      <x:c r="K1371" s="10" t="n">
        <x:v>4500</x:v>
      </x:c>
      <x:c r="L1371" s="10" t="n">
        <x:v>2</x:v>
      </x:c>
      <x:c r="M1371" s="10" t="n">
        <x:v>915</x:v>
      </x:c>
      <x:c r="N1371" s="2" t="str">
        <x:v>D05</x:v>
      </x:c>
      <x:c r="O1371" s="2" t="str">
        <x:v>condominium</x:v>
      </x:c>
      <x:c r="P1371" s="2" t="str">
        <x:v>https://www.propertyguru.com.sg/listing/for-rent-hundred-trees-22083772</x:v>
      </x:c>
      <x:c r="Q1371" s="12" t="str">
        <x:v>Identity added to the common review pool after return; grade unchanged from the pre-run corpus freeze.</x:v>
      </x:c>
      <x:c r="R1371" s="13"/>
    </x:row>
    <x:row r="1372" ht="24" hidden="0" customHeight="1">
      <x:c r="A1372" s="2" t="str">
        <x:v>S27|24981163</x:v>
      </x:c>
      <x:c r="B1372" s="2" t="str">
        <x:v>S27</x:v>
      </x:c>
      <x:c r="C1372" s="2" t="str">
        <x:v>24981163</x:v>
      </x:c>
      <x:c r="D1372" s="2" t="n">
        <x:v>3</x:v>
      </x:c>
      <x:c r="E1372" s="9"/>
      <x:c r="F1372" s="2" t="n">
        <x:f>IF(E1372="",D1372,IF(E1372="U","U",IF(AND(ISNUMBER(E1372),E1372&gt;=0,E1372&lt;=3,INT(E1372)=E1372),E1372,"Invalid")))</x:f>
        <x:v>3</x:v>
      </x:c>
      <x:c r="G1372" s="2" t="n">
        <x:f>IF(ISNUMBER(F1372),1,0)</x:f>
        <x:v>1</x:v>
      </x:c>
      <x:c r="H1372" s="2" t="n">
        <x:f>IF(ISNUMBER(F1372),IF(F1372&gt;=2,1,0),0)</x:f>
        <x:v>1</x:v>
      </x:c>
      <x:c r="I1372" s="11" t="n">
        <x:f>IF(ISNUMBER(F1372),2^F1372-1,0)</x:f>
        <x:v>7</x:v>
      </x:c>
      <x:c r="J1372" s="2" t="str">
        <x:v>Extension pre-frozen corpus addition</x:v>
      </x:c>
      <x:c r="K1372" s="10" t="n">
        <x:v>3800</x:v>
      </x:c>
      <x:c r="L1372" s="10" t="n">
        <x:v>3</x:v>
      </x:c>
      <x:c r="M1372" s="10" t="n">
        <x:v>1012</x:v>
      </x:c>
      <x:c r="N1372" s="2" t="str">
        <x:v>D05</x:v>
      </x:c>
      <x:c r="O1372" s="2" t="str">
        <x:v>hdb flat</x:v>
      </x:c>
      <x:c r="P1372" s="2" t="str">
        <x:v>https://www.propertyguru.com.sg/listing/hdb-for-rent-381-clementi-avenue-5-24981163</x:v>
      </x:c>
      <x:c r="Q1372" s="12" t="str">
        <x:v>Identity added to the common review pool after return; grade unchanged from the pre-run corpus freeze.</x:v>
      </x:c>
      <x:c r="R1372" s="13"/>
    </x:row>
    <x:row r="1373" ht="24" hidden="0" customHeight="1">
      <x:c r="A1373" s="2" t="str">
        <x:v>S27|500257322</x:v>
      </x:c>
      <x:c r="B1373" s="2" t="str">
        <x:v>S27</x:v>
      </x:c>
      <x:c r="C1373" s="2" t="str">
        <x:v>500257322</x:v>
      </x:c>
      <x:c r="D1373" s="2" t="n">
        <x:v>3</x:v>
      </x:c>
      <x:c r="E1373" s="9"/>
      <x:c r="F1373" s="2" t="n">
        <x:f>IF(E1373="",D1373,IF(E1373="U","U",IF(AND(ISNUMBER(E1373),E1373&gt;=0,E1373&lt;=3,INT(E1373)=E1373),E1373,"Invalid")))</x:f>
        <x:v>3</x:v>
      </x:c>
      <x:c r="G1373" s="2" t="n">
        <x:f>IF(ISNUMBER(F1373),1,0)</x:f>
        <x:v>1</x:v>
      </x:c>
      <x:c r="H1373" s="2" t="n">
        <x:f>IF(ISNUMBER(F1373),IF(F1373&gt;=2,1,0),0)</x:f>
        <x:v>1</x:v>
      </x:c>
      <x:c r="I1373" s="11" t="n">
        <x:f>IF(ISNUMBER(F1373),2^F1373-1,0)</x:f>
        <x:v>7</x:v>
      </x:c>
      <x:c r="J1373" s="2" t="str">
        <x:v>Extension pre-frozen corpus addition</x:v>
      </x:c>
      <x:c r="K1373" s="10" t="n">
        <x:v>4200</x:v>
      </x:c>
      <x:c r="L1373" s="10" t="n">
        <x:v>3</x:v>
      </x:c>
      <x:c r="M1373" s="10" t="n">
        <x:v>1173</x:v>
      </x:c>
      <x:c r="N1373" s="2" t="str">
        <x:v>D03</x:v>
      </x:c>
      <x:c r="O1373" s="2" t="str">
        <x:v>hdb flat</x:v>
      </x:c>
      <x:c r="P1373" s="2" t="str">
        <x:v>https://www.propertyguru.com.sg/listing/hdb-for-rent-108-jalan-bukit-merah-500257322</x:v>
      </x:c>
      <x:c r="Q1373" s="12" t="str">
        <x:v>Identity added to the common review pool after return; grade unchanged from the pre-run corpus freeze.</x:v>
      </x:c>
      <x:c r="R1373" s="13"/>
    </x:row>
    <x:row r="1374" ht="24" hidden="0" customHeight="1">
      <x:c r="A1374" s="2" t="str">
        <x:v>S27|500283048</x:v>
      </x:c>
      <x:c r="B1374" s="2" t="str">
        <x:v>S27</x:v>
      </x:c>
      <x:c r="C1374" s="2" t="str">
        <x:v>500283048</x:v>
      </x:c>
      <x:c r="D1374" s="2" t="n">
        <x:v>3</x:v>
      </x:c>
      <x:c r="E1374" s="9"/>
      <x:c r="F1374" s="2" t="n">
        <x:f>IF(E1374="",D1374,IF(E1374="U","U",IF(AND(ISNUMBER(E1374),E1374&gt;=0,E1374&lt;=3,INT(E1374)=E1374),E1374,"Invalid")))</x:f>
        <x:v>3</x:v>
      </x:c>
      <x:c r="G1374" s="2" t="n">
        <x:f>IF(ISNUMBER(F1374),1,0)</x:f>
        <x:v>1</x:v>
      </x:c>
      <x:c r="H1374" s="2" t="n">
        <x:f>IF(ISNUMBER(F1374),IF(F1374&gt;=2,1,0),0)</x:f>
        <x:v>1</x:v>
      </x:c>
      <x:c r="I1374" s="11" t="n">
        <x:f>IF(ISNUMBER(F1374),2^F1374-1,0)</x:f>
        <x:v>7</x:v>
      </x:c>
      <x:c r="J1374" s="2" t="str">
        <x:v>Extension pre-frozen corpus addition</x:v>
      </x:c>
      <x:c r="K1374" s="10" t="n">
        <x:v>4300</x:v>
      </x:c>
      <x:c r="L1374" s="10" t="n">
        <x:v>3</x:v>
      </x:c>
      <x:c r="M1374" s="10" t="n">
        <x:v>990</x:v>
      </x:c>
      <x:c r="N1374" s="2" t="str">
        <x:v>D05</x:v>
      </x:c>
      <x:c r="O1374" s="2" t="str">
        <x:v>hdb flat</x:v>
      </x:c>
      <x:c r="P1374" s="2" t="str">
        <x:v>https://www.propertyguru.com.sg/listing/hdb-for-rent-715-clementi-west-street-2-500283048</x:v>
      </x:c>
      <x:c r="Q1374" s="12" t="str">
        <x:v>Identity added to the common review pool after return; grade unchanged from the pre-run corpus freeze.</x:v>
      </x:c>
      <x:c r="R1374" s="13"/>
    </x:row>
    <x:row r="1375" ht="24" hidden="0" customHeight="1">
      <x:c r="A1375" s="2" t="str">
        <x:v>S27|500288151</x:v>
      </x:c>
      <x:c r="B1375" s="2" t="str">
        <x:v>S27</x:v>
      </x:c>
      <x:c r="C1375" s="2" t="str">
        <x:v>500288151</x:v>
      </x:c>
      <x:c r="D1375" s="2" t="n">
        <x:v>3</x:v>
      </x:c>
      <x:c r="E1375" s="9"/>
      <x:c r="F1375" s="2" t="n">
        <x:f>IF(E1375="",D1375,IF(E1375="U","U",IF(AND(ISNUMBER(E1375),E1375&gt;=0,E1375&lt;=3,INT(E1375)=E1375),E1375,"Invalid")))</x:f>
        <x:v>3</x:v>
      </x:c>
      <x:c r="G1375" s="2" t="n">
        <x:f>IF(ISNUMBER(F1375),1,0)</x:f>
        <x:v>1</x:v>
      </x:c>
      <x:c r="H1375" s="2" t="n">
        <x:f>IF(ISNUMBER(F1375),IF(F1375&gt;=2,1,0),0)</x:f>
        <x:v>1</x:v>
      </x:c>
      <x:c r="I1375" s="11" t="n">
        <x:f>IF(ISNUMBER(F1375),2^F1375-1,0)</x:f>
        <x:v>7</x:v>
      </x:c>
      <x:c r="J1375" s="2" t="str">
        <x:v>Extension pre-frozen corpus addition</x:v>
      </x:c>
      <x:c r="K1375" s="10" t="n">
        <x:v>4500</x:v>
      </x:c>
      <x:c r="L1375" s="10" t="n">
        <x:v>3</x:v>
      </x:c>
      <x:c r="M1375" s="10" t="n">
        <x:v>969</x:v>
      </x:c>
      <x:c r="N1375" s="2" t="str">
        <x:v>D03</x:v>
      </x:c>
      <x:c r="O1375" s="2" t="str">
        <x:v>hdb flat</x:v>
      </x:c>
      <x:c r="P1375" s="2" t="str">
        <x:v>https://www.propertyguru.com.sg/listing/hdb-for-rent-89-tanglin-halt-road-500288151</x:v>
      </x:c>
      <x:c r="Q1375" s="12" t="str">
        <x:v>Identity added to the common review pool after return; grade unchanged from the pre-run corpus freeze.</x:v>
      </x:c>
      <x:c r="R1375" s="13"/>
    </x:row>
    <x:row r="1376" ht="24" hidden="0" customHeight="1">
      <x:c r="A1376" s="2" t="str">
        <x:v>S29|25361916</x:v>
      </x:c>
      <x:c r="B1376" s="2" t="str">
        <x:v>S29</x:v>
      </x:c>
      <x:c r="C1376" s="2" t="str">
        <x:v>25361916</x:v>
      </x:c>
      <x:c r="D1376" s="2" t="n">
        <x:v>2</x:v>
      </x:c>
      <x:c r="E1376" s="9"/>
      <x:c r="F1376" s="2" t="n">
        <x:f>IF(E1376="",D1376,IF(E1376="U","U",IF(AND(ISNUMBER(E1376),E1376&gt;=0,E1376&lt;=3,INT(E1376)=E1376),E1376,"Invalid")))</x:f>
        <x:v>2</x:v>
      </x:c>
      <x:c r="G1376" s="2" t="n">
        <x:f>IF(ISNUMBER(F1376),1,0)</x:f>
        <x:v>1</x:v>
      </x:c>
      <x:c r="H1376" s="2" t="n">
        <x:f>IF(ISNUMBER(F1376),IF(F1376&gt;=2,1,0),0)</x:f>
        <x:v>1</x:v>
      </x:c>
      <x:c r="I1376" s="11" t="n">
        <x:f>IF(ISNUMBER(F1376),2^F1376-1,0)</x:f>
        <x:v>3</x:v>
      </x:c>
      <x:c r="J1376" s="2" t="str">
        <x:v>Extension pre-frozen corpus addition</x:v>
      </x:c>
      <x:c r="K1376" s="10" t="n">
        <x:v>2499</x:v>
      </x:c>
      <x:c r="L1376" s="10" t="n">
        <x:v>2</x:v>
      </x:c>
      <x:c r="M1376" s="10" t="n">
        <x:v>506</x:v>
      </x:c>
      <x:c r="N1376" s="2" t="str">
        <x:v>D19</x:v>
      </x:c>
      <x:c r="O1376" s="2" t="str">
        <x:v>hdb flat</x:v>
      </x:c>
      <x:c r="P1376" s="2" t="str">
        <x:v>https://www.propertyguru.com.sg/listing/hdb-for-rent-353b-anchorvale-lane-25361916</x:v>
      </x:c>
      <x:c r="Q1376" s="12" t="str">
        <x:v>Identity added to the common review pool after return; grade unchanged from the pre-run corpus freeze.</x:v>
      </x:c>
      <x:c r="R1376" s="13"/>
    </x:row>
    <x:row r="1377" ht="24" hidden="0" customHeight="1">
      <x:c r="A1377" s="2" t="str">
        <x:v>S29|500265937</x:v>
      </x:c>
      <x:c r="B1377" s="2" t="str">
        <x:v>S29</x:v>
      </x:c>
      <x:c r="C1377" s="2" t="str">
        <x:v>500265937</x:v>
      </x:c>
      <x:c r="D1377" s="2" t="n">
        <x:v>2</x:v>
      </x:c>
      <x:c r="E1377" s="9"/>
      <x:c r="F1377" s="2" t="n">
        <x:f>IF(E1377="",D1377,IF(E1377="U","U",IF(AND(ISNUMBER(E1377),E1377&gt;=0,E1377&lt;=3,INT(E1377)=E1377),E1377,"Invalid")))</x:f>
        <x:v>2</x:v>
      </x:c>
      <x:c r="G1377" s="2" t="n">
        <x:f>IF(ISNUMBER(F1377),1,0)</x:f>
        <x:v>1</x:v>
      </x:c>
      <x:c r="H1377" s="2" t="n">
        <x:f>IF(ISNUMBER(F1377),IF(F1377&gt;=2,1,0),0)</x:f>
        <x:v>1</x:v>
      </x:c>
      <x:c r="I1377" s="11" t="n">
        <x:f>IF(ISNUMBER(F1377),2^F1377-1,0)</x:f>
        <x:v>3</x:v>
      </x:c>
      <x:c r="J1377" s="2" t="str">
        <x:v>Extension pre-frozen corpus addition</x:v>
      </x:c>
      <x:c r="K1377" s="10" t="n">
        <x:v>2800</x:v>
      </x:c>
      <x:c r="L1377" s="10" t="n">
        <x:v>2</x:v>
      </x:c>
      <x:c r="M1377" s="10" t="n">
        <x:v>635</x:v>
      </x:c>
      <x:c r="N1377" s="2" t="str">
        <x:v>D20</x:v>
      </x:c>
      <x:c r="O1377" s="2" t="str">
        <x:v>hdb flat</x:v>
      </x:c>
      <x:c r="P1377" s="2" t="str">
        <x:v>https://www.propertyguru.com.sg/listing/hdb-for-rent-153-ang-mo-kio-avenue-5-500265937</x:v>
      </x:c>
      <x:c r="Q1377" s="12" t="str">
        <x:v>Identity added to the common review pool after return; grade unchanged from the pre-run corpus freeze.</x:v>
      </x:c>
      <x:c r="R1377" s="13"/>
    </x:row>
    <x:row r="1378" ht="24" hidden="0" customHeight="1">
      <x:c r="A1378" s="2" t="str">
        <x:v>S29|500288455</x:v>
      </x:c>
      <x:c r="B1378" s="2" t="str">
        <x:v>S29</x:v>
      </x:c>
      <x:c r="C1378" s="2" t="str">
        <x:v>500288455</x:v>
      </x:c>
      <x:c r="D1378" s="2" t="n">
        <x:v>2</x:v>
      </x:c>
      <x:c r="E1378" s="9"/>
      <x:c r="F1378" s="2" t="n">
        <x:f>IF(E1378="",D1378,IF(E1378="U","U",IF(AND(ISNUMBER(E1378),E1378&gt;=0,E1378&lt;=3,INT(E1378)=E1378),E1378,"Invalid")))</x:f>
        <x:v>2</x:v>
      </x:c>
      <x:c r="G1378" s="2" t="n">
        <x:f>IF(ISNUMBER(F1378),1,0)</x:f>
        <x:v>1</x:v>
      </x:c>
      <x:c r="H1378" s="2" t="n">
        <x:f>IF(ISNUMBER(F1378),IF(F1378&gt;=2,1,0),0)</x:f>
        <x:v>1</x:v>
      </x:c>
      <x:c r="I1378" s="11" t="n">
        <x:f>IF(ISNUMBER(F1378),2^F1378-1,0)</x:f>
        <x:v>3</x:v>
      </x:c>
      <x:c r="J1378" s="2" t="str">
        <x:v>Extension pre-frozen corpus addition</x:v>
      </x:c>
      <x:c r="K1378" s="10" t="n">
        <x:v>2390</x:v>
      </x:c>
      <x:c r="L1378" s="10" t="n">
        <x:v>2</x:v>
      </x:c>
      <x:c r="M1378" s="10" t="n">
        <x:v>403</x:v>
      </x:c>
      <x:c r="N1378" s="2" t="str">
        <x:v>D19</x:v>
      </x:c>
      <x:c r="O1378" s="2" t="str">
        <x:v>hdb flat</x:v>
      </x:c>
      <x:c r="P1378" s="2" t="str">
        <x:v>https://www.propertyguru.com.sg/listing/hdb-for-rent-250c-compassvale-street-500288455</x:v>
      </x:c>
      <x:c r="Q1378" s="12" t="str">
        <x:v>Identity added to the common review pool after return; grade unchanged from the pre-run corpus freeze.</x:v>
      </x:c>
      <x:c r="R1378" s="13"/>
    </x:row>
    <x:row r="1379" ht="24" hidden="0" customHeight="1">
      <x:c r="A1379" s="2" t="str">
        <x:v>S29|60178525</x:v>
      </x:c>
      <x:c r="B1379" s="2" t="str">
        <x:v>S29</x:v>
      </x:c>
      <x:c r="C1379" s="2" t="str">
        <x:v>60178525</x:v>
      </x:c>
      <x:c r="D1379" s="2" t="n">
        <x:v>2</x:v>
      </x:c>
      <x:c r="E1379" s="9"/>
      <x:c r="F1379" s="2" t="n">
        <x:f>IF(E1379="",D1379,IF(E1379="U","U",IF(AND(ISNUMBER(E1379),E1379&gt;=0,E1379&lt;=3,INT(E1379)=E1379),E1379,"Invalid")))</x:f>
        <x:v>2</x:v>
      </x:c>
      <x:c r="G1379" s="2" t="n">
        <x:f>IF(ISNUMBER(F1379),1,0)</x:f>
        <x:v>1</x:v>
      </x:c>
      <x:c r="H1379" s="2" t="n">
        <x:f>IF(ISNUMBER(F1379),IF(F1379&gt;=2,1,0),0)</x:f>
        <x:v>1</x:v>
      </x:c>
      <x:c r="I1379" s="11" t="n">
        <x:f>IF(ISNUMBER(F1379),2^F1379-1,0)</x:f>
        <x:v>3</x:v>
      </x:c>
      <x:c r="J1379" s="2" t="str">
        <x:v>Extension pre-frozen corpus addition</x:v>
      </x:c>
      <x:c r="K1379" s="10" t="n">
        <x:v>2800</x:v>
      </x:c>
      <x:c r="L1379" s="10" t="n">
        <x:v>2</x:v>
      </x:c>
      <x:c r="M1379" s="10" t="n">
        <x:v>646</x:v>
      </x:c>
      <x:c r="N1379" s="2" t="str">
        <x:v>D19</x:v>
      </x:c>
      <x:c r="O1379" s="2" t="str">
        <x:v>hdb flat</x:v>
      </x:c>
      <x:c r="P1379" s="2" t="str">
        <x:v>https://www.propertyguru.com.sg/listing/hdb-for-rent-623-hougang-avenue-8-60178525</x:v>
      </x:c>
      <x:c r="Q1379" s="12" t="str">
        <x:v>Identity added to the common review pool after return; grade unchanged from the pre-run corpus freeze.</x:v>
      </x:c>
      <x:c r="R1379" s="13"/>
    </x:row>
    <x:row r="1380" ht="24" hidden="0" customHeight="1">
      <x:c r="A1380" s="2" t="str">
        <x:v>S29|16678444</x:v>
      </x:c>
      <x:c r="B1380" s="2" t="str">
        <x:v>S29</x:v>
      </x:c>
      <x:c r="C1380" s="2" t="str">
        <x:v>16678444</x:v>
      </x:c>
      <x:c r="D1380" s="2" t="n">
        <x:v>2</x:v>
      </x:c>
      <x:c r="E1380" s="9"/>
      <x:c r="F1380" s="2" t="n">
        <x:f>IF(E1380="",D1380,IF(E1380="U","U",IF(AND(ISNUMBER(E1380),E1380&gt;=0,E1380&lt;=3,INT(E1380)=E1380),E1380,"Invalid")))</x:f>
        <x:v>2</x:v>
      </x:c>
      <x:c r="G1380" s="2" t="n">
        <x:f>IF(ISNUMBER(F1380),1,0)</x:f>
        <x:v>1</x:v>
      </x:c>
      <x:c r="H1380" s="2" t="n">
        <x:f>IF(ISNUMBER(F1380),IF(F1380&gt;=2,1,0),0)</x:f>
        <x:v>1</x:v>
      </x:c>
      <x:c r="I1380" s="11" t="n">
        <x:f>IF(ISNUMBER(F1380),2^F1380-1,0)</x:f>
        <x:v>3</x:v>
      </x:c>
      <x:c r="J1380" s="2" t="str">
        <x:v>Extension pre-frozen corpus addition</x:v>
      </x:c>
      <x:c r="K1380" s="10" t="n">
        <x:v>2800</x:v>
      </x:c>
      <x:c r="L1380" s="10" t="n">
        <x:v>2</x:v>
      </x:c>
      <x:c r="M1380" s="10" t="n">
        <x:v>882</x:v>
      </x:c>
      <x:c r="N1380" s="2" t="str">
        <x:v>D23</x:v>
      </x:c>
      <x:c r="O1380" s="2" t="str">
        <x:v>hdb flat</x:v>
      </x:c>
      <x:c r="P1380" s="2" t="str">
        <x:v>https://www.propertyguru.com.sg/listing/hdb-for-rent-136-bukit-batok-west-avenue-6-16678444</x:v>
      </x:c>
      <x:c r="Q1380" s="12" t="str">
        <x:v>Identity added to the common review pool after return; grade unchanged from the pre-run corpus freeze.</x:v>
      </x:c>
      <x:c r="R1380" s="13"/>
    </x:row>
    <x:row r="1381" ht="24" hidden="0" customHeight="1">
      <x:c r="A1381" s="2" t="str">
        <x:v>S29|25209933</x:v>
      </x:c>
      <x:c r="B1381" s="2" t="str">
        <x:v>S29</x:v>
      </x:c>
      <x:c r="C1381" s="2" t="str">
        <x:v>25209933</x:v>
      </x:c>
      <x:c r="D1381" s="2" t="n">
        <x:v>2</x:v>
      </x:c>
      <x:c r="E1381" s="9"/>
      <x:c r="F1381" s="2" t="n">
        <x:f>IF(E1381="",D1381,IF(E1381="U","U",IF(AND(ISNUMBER(E1381),E1381&gt;=0,E1381&lt;=3,INT(E1381)=E1381),E1381,"Invalid")))</x:f>
        <x:v>2</x:v>
      </x:c>
      <x:c r="G1381" s="2" t="n">
        <x:f>IF(ISNUMBER(F1381),1,0)</x:f>
        <x:v>1</x:v>
      </x:c>
      <x:c r="H1381" s="2" t="n">
        <x:f>IF(ISNUMBER(F1381),IF(F1381&gt;=2,1,0),0)</x:f>
        <x:v>1</x:v>
      </x:c>
      <x:c r="I1381" s="11" t="n">
        <x:f>IF(ISNUMBER(F1381),2^F1381-1,0)</x:f>
        <x:v>3</x:v>
      </x:c>
      <x:c r="J1381" s="2" t="str">
        <x:v>Extension pre-frozen corpus addition</x:v>
      </x:c>
      <x:c r="K1381" s="10" t="n">
        <x:v>1150</x:v>
      </x:c>
      <x:c r="L1381" s="10" t="n">
        <x:v>3</x:v>
      </x:c>
      <x:c r="M1381" s="10" t="n">
        <x:v>190</x:v>
      </x:c>
      <x:c r="N1381" s="2" t="str">
        <x:v>D23</x:v>
      </x:c>
      <x:c r="O1381" s="2" t="str">
        <x:v>hdb flat</x:v>
      </x:c>
      <x:c r="P1381" s="2" t="str">
        <x:v>https://www.propertyguru.com.sg/listing/hdb-for-rent-288g-bukit-batok-street-25-25209933</x:v>
      </x:c>
      <x:c r="Q1381" s="12" t="str">
        <x:v>Identity added to the common review pool after return; grade unchanged from the pre-run corpus freeze.</x:v>
      </x:c>
      <x:c r="R1381" s="13"/>
    </x:row>
    <x:row r="1382" ht="24" hidden="0" customHeight="1">
      <x:c r="A1382" s="2" t="str">
        <x:v>S29|500230625</x:v>
      </x:c>
      <x:c r="B1382" s="2" t="str">
        <x:v>S29</x:v>
      </x:c>
      <x:c r="C1382" s="2" t="str">
        <x:v>500230625</x:v>
      </x:c>
      <x:c r="D1382" s="2" t="n">
        <x:v>2</x:v>
      </x:c>
      <x:c r="E1382" s="9"/>
      <x:c r="F1382" s="2" t="n">
        <x:f>IF(E1382="",D1382,IF(E1382="U","U",IF(AND(ISNUMBER(E1382),E1382&gt;=0,E1382&lt;=3,INT(E1382)=E1382),E1382,"Invalid")))</x:f>
        <x:v>2</x:v>
      </x:c>
      <x:c r="G1382" s="2" t="n">
        <x:f>IF(ISNUMBER(F1382),1,0)</x:f>
        <x:v>1</x:v>
      </x:c>
      <x:c r="H1382" s="2" t="n">
        <x:f>IF(ISNUMBER(F1382),IF(F1382&gt;=2,1,0),0)</x:f>
        <x:v>1</x:v>
      </x:c>
      <x:c r="I1382" s="11" t="n">
        <x:f>IF(ISNUMBER(F1382),2^F1382-1,0)</x:f>
        <x:v>3</x:v>
      </x:c>
      <x:c r="J1382" s="2" t="str">
        <x:v>Extension pre-frozen corpus addition</x:v>
      </x:c>
      <x:c r="K1382" s="10" t="n">
        <x:v>2800</x:v>
      </x:c>
      <x:c r="L1382" s="10" t="n">
        <x:v>2</x:v>
      </x:c>
      <x:c r="M1382" s="10" t="n">
        <x:v>732</x:v>
      </x:c>
      <x:c r="N1382" s="2" t="str">
        <x:v>D20</x:v>
      </x:c>
      <x:c r="O1382" s="2" t="str">
        <x:v>hdb flat</x:v>
      </x:c>
      <x:c r="P1382" s="2" t="str">
        <x:v>https://www.propertyguru.com.sg/listing/hdb-for-rent-523-ang-mo-kio-avenue-5-500230625</x:v>
      </x:c>
      <x:c r="Q1382" s="12" t="str">
        <x:v>Identity added to the common review pool after return; grade unchanged from the pre-run corpus freeze.</x:v>
      </x:c>
      <x:c r="R1382" s="13"/>
    </x:row>
    <x:row r="1383" ht="24" hidden="0" customHeight="1">
      <x:c r="A1383" s="2" t="str">
        <x:v>S29|500273485</x:v>
      </x:c>
      <x:c r="B1383" s="2" t="str">
        <x:v>S29</x:v>
      </x:c>
      <x:c r="C1383" s="2" t="str">
        <x:v>500273485</x:v>
      </x:c>
      <x:c r="D1383" s="2" t="n">
        <x:v>2</x:v>
      </x:c>
      <x:c r="E1383" s="9"/>
      <x:c r="F1383" s="2" t="n">
        <x:f>IF(E1383="",D1383,IF(E1383="U","U",IF(AND(ISNUMBER(E1383),E1383&gt;=0,E1383&lt;=3,INT(E1383)=E1383),E1383,"Invalid")))</x:f>
        <x:v>2</x:v>
      </x:c>
      <x:c r="G1383" s="2" t="n">
        <x:f>IF(ISNUMBER(F1383),1,0)</x:f>
        <x:v>1</x:v>
      </x:c>
      <x:c r="H1383" s="2" t="n">
        <x:f>IF(ISNUMBER(F1383),IF(F1383&gt;=2,1,0),0)</x:f>
        <x:v>1</x:v>
      </x:c>
      <x:c r="I1383" s="11" t="n">
        <x:f>IF(ISNUMBER(F1383),2^F1383-1,0)</x:f>
        <x:v>3</x:v>
      </x:c>
      <x:c r="J1383" s="2" t="str">
        <x:v>Extension pre-frozen corpus addition</x:v>
      </x:c>
      <x:c r="K1383" s="10" t="n">
        <x:v>2500</x:v>
      </x:c>
      <x:c r="L1383" s="10" t="n">
        <x:v>2</x:v>
      </x:c>
      <x:c r="M1383" s="10" t="n">
        <x:v>690</x:v>
      </x:c>
      <x:c r="N1383" s="2" t="str">
        <x:v>D19</x:v>
      </x:c>
      <x:c r="O1383" s="2" t="str">
        <x:v>hdb flat</x:v>
      </x:c>
      <x:c r="P1383" s="2" t="str">
        <x:v>https://www.propertyguru.com.sg/listing/hdb-for-rent-2-hougang-avenue-3-500273485</x:v>
      </x:c>
      <x:c r="Q1383" s="12" t="str">
        <x:v>Identity added to the common review pool after return; grade unchanged from the pre-run corpus freeze.</x:v>
      </x:c>
      <x:c r="R1383" s="13"/>
    </x:row>
    <x:row r="1384" ht="24" hidden="0" customHeight="1">
      <x:c r="A1384" s="2" t="str">
        <x:v>S29|500256762</x:v>
      </x:c>
      <x:c r="B1384" s="2" t="str">
        <x:v>S29</x:v>
      </x:c>
      <x:c r="C1384" s="2" t="str">
        <x:v>500256762</x:v>
      </x:c>
      <x:c r="D1384" s="2" t="n">
        <x:v>2</x:v>
      </x:c>
      <x:c r="E1384" s="9"/>
      <x:c r="F1384" s="2" t="n">
        <x:f>IF(E1384="",D1384,IF(E1384="U","U",IF(AND(ISNUMBER(E1384),E1384&gt;=0,E1384&lt;=3,INT(E1384)=E1384),E1384,"Invalid")))</x:f>
        <x:v>2</x:v>
      </x:c>
      <x:c r="G1384" s="2" t="n">
        <x:f>IF(ISNUMBER(F1384),1,0)</x:f>
        <x:v>1</x:v>
      </x:c>
      <x:c r="H1384" s="2" t="n">
        <x:f>IF(ISNUMBER(F1384),IF(F1384&gt;=2,1,0),0)</x:f>
        <x:v>1</x:v>
      </x:c>
      <x:c r="I1384" s="11" t="n">
        <x:f>IF(ISNUMBER(F1384),2^F1384-1,0)</x:f>
        <x:v>3</x:v>
      </x:c>
      <x:c r="J1384" s="2" t="str">
        <x:v>Extension pre-frozen corpus addition</x:v>
      </x:c>
      <x:c r="K1384" s="10" t="n">
        <x:v>2300</x:v>
      </x:c>
      <x:c r="L1384" s="10" t="n">
        <x:v>2</x:v>
      </x:c>
      <x:c r="M1384" s="10" t="n">
        <x:v>200</x:v>
      </x:c>
      <x:c r="N1384" s="2" t="str">
        <x:v>D19</x:v>
      </x:c>
      <x:c r="O1384" s="2" t="str">
        <x:v>hdb flat</x:v>
      </x:c>
      <x:c r="P1384" s="2" t="str">
        <x:v>https://www.propertyguru.com.sg/listing/hdb-for-rent-980b-buangkok-crescent-500256762</x:v>
      </x:c>
      <x:c r="Q1384" s="12" t="str">
        <x:v>Identity added to the common review pool after return; grade unchanged from the pre-run corpus freeze.</x:v>
      </x:c>
      <x:c r="R1384" s="13"/>
    </x:row>
    <x:row r="1385" ht="24" hidden="0" customHeight="1">
      <x:c r="A1385" s="2" t="str">
        <x:v>S29|500257933</x:v>
      </x:c>
      <x:c r="B1385" s="2" t="str">
        <x:v>S29</x:v>
      </x:c>
      <x:c r="C1385" s="2" t="str">
        <x:v>500257933</x:v>
      </x:c>
      <x:c r="D1385" s="2" t="n">
        <x:v>2</x:v>
      </x:c>
      <x:c r="E1385" s="9"/>
      <x:c r="F1385" s="2" t="n">
        <x:f>IF(E1385="",D1385,IF(E1385="U","U",IF(AND(ISNUMBER(E1385),E1385&gt;=0,E1385&lt;=3,INT(E1385)=E1385),E1385,"Invalid")))</x:f>
        <x:v>2</x:v>
      </x:c>
      <x:c r="G1385" s="2" t="n">
        <x:f>IF(ISNUMBER(F1385),1,0)</x:f>
        <x:v>1</x:v>
      </x:c>
      <x:c r="H1385" s="2" t="n">
        <x:f>IF(ISNUMBER(F1385),IF(F1385&gt;=2,1,0),0)</x:f>
        <x:v>1</x:v>
      </x:c>
      <x:c r="I1385" s="11" t="n">
        <x:f>IF(ISNUMBER(F1385),2^F1385-1,0)</x:f>
        <x:v>3</x:v>
      </x:c>
      <x:c r="J1385" s="2" t="str">
        <x:v>Extension pre-frozen corpus addition</x:v>
      </x:c>
      <x:c r="K1385" s="10" t="n">
        <x:v>2800</x:v>
      </x:c>
      <x:c r="L1385" s="10" t="n">
        <x:v>2</x:v>
      </x:c>
      <x:c r="M1385" s="10" t="n">
        <x:v>721</x:v>
      </x:c>
      <x:c r="N1385" s="2" t="str">
        <x:v>D20</x:v>
      </x:c>
      <x:c r="O1385" s="2" t="str">
        <x:v>hdb flat</x:v>
      </x:c>
      <x:c r="P1385" s="2" t="str">
        <x:v>https://www.propertyguru.com.sg/listing/hdb-for-rent-233-ang-mo-kio-avenue-3-500257933</x:v>
      </x:c>
      <x:c r="Q1385" s="12" t="str">
        <x:v>Identity added to the common review pool after return; grade unchanged from the pre-run corpus freeze.</x:v>
      </x:c>
      <x:c r="R1385" s="13"/>
    </x:row>
    <x:row r="1386" ht="24" hidden="0" customHeight="1">
      <x:c r="A1386" s="2" t="str">
        <x:v>S29|500280968</x:v>
      </x:c>
      <x:c r="B1386" s="2" t="str">
        <x:v>S29</x:v>
      </x:c>
      <x:c r="C1386" s="2" t="str">
        <x:v>500280968</x:v>
      </x:c>
      <x:c r="D1386" s="2" t="n">
        <x:v>2</x:v>
      </x:c>
      <x:c r="E1386" s="9"/>
      <x:c r="F1386" s="2" t="n">
        <x:f>IF(E1386="",D1386,IF(E1386="U","U",IF(AND(ISNUMBER(E1386),E1386&gt;=0,E1386&lt;=3,INT(E1386)=E1386),E1386,"Invalid")))</x:f>
        <x:v>2</x:v>
      </x:c>
      <x:c r="G1386" s="2" t="n">
        <x:f>IF(ISNUMBER(F1386),1,0)</x:f>
        <x:v>1</x:v>
      </x:c>
      <x:c r="H1386" s="2" t="n">
        <x:f>IF(ISNUMBER(F1386),IF(F1386&gt;=2,1,0),0)</x:f>
        <x:v>1</x:v>
      </x:c>
      <x:c r="I1386" s="11" t="n">
        <x:f>IF(ISNUMBER(F1386),2^F1386-1,0)</x:f>
        <x:v>3</x:v>
      </x:c>
      <x:c r="J1386" s="2" t="str">
        <x:v>Extension pre-frozen corpus addition</x:v>
      </x:c>
      <x:c r="K1386" s="10" t="n">
        <x:v>2600</x:v>
      </x:c>
      <x:c r="L1386" s="10" t="n">
        <x:v>2</x:v>
      </x:c>
      <x:c r="M1386" s="10" t="n">
        <x:v>721</x:v>
      </x:c>
      <x:c r="N1386" s="2" t="str">
        <x:v>D19</x:v>
      </x:c>
      <x:c r="O1386" s="2" t="str">
        <x:v>hdb flat</x:v>
      </x:c>
      <x:c r="P1386" s="2" t="str">
        <x:v>https://www.propertyguru.com.sg/listing/hdb-for-rent-632-hougang-avenue-8-500280968</x:v>
      </x:c>
      <x:c r="Q1386" s="12" t="str">
        <x:v>Identity added to the common review pool after return; grade unchanged from the pre-run corpus freeze.</x:v>
      </x:c>
      <x:c r="R1386" s="13"/>
    </x:row>
    <x:row r="1387" ht="24" hidden="0" customHeight="1">
      <x:c r="A1387" s="2" t="str">
        <x:v>S29|500283565</x:v>
      </x:c>
      <x:c r="B1387" s="2" t="str">
        <x:v>S29</x:v>
      </x:c>
      <x:c r="C1387" s="2" t="str">
        <x:v>500283565</x:v>
      </x:c>
      <x:c r="D1387" s="2" t="n">
        <x:v>2</x:v>
      </x:c>
      <x:c r="E1387" s="9"/>
      <x:c r="F1387" s="2" t="n">
        <x:f>IF(E1387="",D1387,IF(E1387="U","U",IF(AND(ISNUMBER(E1387),E1387&gt;=0,E1387&lt;=3,INT(E1387)=E1387),E1387,"Invalid")))</x:f>
        <x:v>2</x:v>
      </x:c>
      <x:c r="G1387" s="2" t="n">
        <x:f>IF(ISNUMBER(F1387),1,0)</x:f>
        <x:v>1</x:v>
      </x:c>
      <x:c r="H1387" s="2" t="n">
        <x:f>IF(ISNUMBER(F1387),IF(F1387&gt;=2,1,0),0)</x:f>
        <x:v>1</x:v>
      </x:c>
      <x:c r="I1387" s="11" t="n">
        <x:f>IF(ISNUMBER(F1387),2^F1387-1,0)</x:f>
        <x:v>3</x:v>
      </x:c>
      <x:c r="J1387" s="2" t="str">
        <x:v>Extension pre-frozen corpus addition</x:v>
      </x:c>
      <x:c r="K1387" s="10" t="n">
        <x:v>2600</x:v>
      </x:c>
      <x:c r="L1387" s="10" t="n">
        <x:v>2</x:v>
      </x:c>
      <x:c r="M1387" s="10" t="n">
        <x:v>721</x:v>
      </x:c>
      <x:c r="N1387" s="2" t="str">
        <x:v>D20</x:v>
      </x:c>
      <x:c r="O1387" s="2" t="str">
        <x:v>hdb flat</x:v>
      </x:c>
      <x:c r="P1387" s="2" t="str">
        <x:v>https://www.propertyguru.com.sg/listing/hdb-for-rent-213-ang-mo-kio-avenue-3-500283565</x:v>
      </x:c>
      <x:c r="Q1387" s="12" t="str">
        <x:v>Identity added to the common review pool after return; grade unchanged from the pre-run corpus freeze.</x:v>
      </x:c>
      <x:c r="R1387" s="13"/>
    </x:row>
  </x:sheetData>
  <x:conditionalFormatting sqref="F6:F1387">
    <x:cfRule type="containsText" dxfId="0" priority="1" operator="containsText" text="Invalid"/>
  </x:conditionalFormatting>
  <x:pageMargins left="0.7" right="0.7" top="0.75" bottom="0.75" header="0.3" footer="0.3"/>
</x:worksheet>
</file>

<file path=xl/worksheets/sheet6.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5.5600004196167" hidden="0" customWidth="1"/>
    <x:col min="2" max="2" width="9.4399995803833" hidden="0" customWidth="1"/>
    <x:col min="3" max="3" width="12.220000267028809" hidden="0" customWidth="1"/>
    <x:col min="4" max="4" width="7.21999979019165" hidden="0" customWidth="1"/>
    <x:col min="5" max="5" width="7.21999979019165" hidden="0" customWidth="1"/>
    <x:col min="6" max="6" width="15" hidden="0" customWidth="1"/>
    <x:col min="7" max="7" width="23.889999389648438" hidden="0" customWidth="1"/>
    <x:col min="8" max="8" width="9.4399995803833" hidden="0" customWidth="1"/>
    <x:col min="9" max="9" width="9.4399995803833" hidden="0" customWidth="1"/>
    <x:col min="10" max="10" width="10" hidden="0" customWidth="1"/>
    <x:col min="11" max="11" width="10" hidden="0" customWidth="1"/>
    <x:col min="12" max="12" width="17.219999313354492" hidden="0" customWidth="1"/>
    <x:col min="13" max="13" width="14.4399995803833" hidden="0" customWidth="1"/>
    <x:col min="14" max="14" width="13.329999923706055" hidden="0" customWidth="1"/>
    <x:col min="15" max="15" width="12.220000267028809" hidden="0" customWidth="1"/>
    <x:col min="16" max="16" width="10.5600004196167" hidden="0" customWidth="1"/>
    <x:col min="17" max="17" width="20.559999465942383" hidden="0" customWidth="1"/>
    <x:col min="18" max="18" width="68.88999938964844" hidden="0" customWidth="1"/>
    <x:col min="19" max="19" width="26.670000076293945"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Actual returned rankings</x:v>
      </x:c>
      <x:c r="B2" s="2"/>
      <x:c r="C2" s="2"/>
      <x:c r="D2" s="2"/>
      <x:c r="E2" s="2"/>
      <x:c r="F2" s="2"/>
      <x:c r="G2" s="2"/>
      <x:c r="H2" s="2"/>
      <x:c r="I2" s="2"/>
      <x:c r="J2" s="2"/>
      <x:c r="K2" s="2"/>
      <x:c r="L2" s="2"/>
      <x:c r="M2" s="2"/>
      <x:c r="N2" s="2"/>
      <x:c r="O2" s="2"/>
      <x:c r="P2" s="2"/>
      <x:c r="Q2" s="2"/>
      <x:c r="R2" s="2"/>
      <x:c r="S2" s="2"/>
    </x:row>
    <x:row r="3" ht="22" customHeight="1">
      <x:c r="A3" s="4" t="str">
        <x:v>Saved service order, including the 40 main scenarios and eight additional repeat runs. No stitched lists or post-run reranking.</x:v>
      </x:c>
      <x:c r="B3" s="2"/>
      <x:c r="C3" s="2"/>
      <x:c r="D3" s="2"/>
      <x:c r="E3" s="2"/>
      <x:c r="F3" s="2"/>
      <x:c r="G3" s="2"/>
      <x:c r="H3" s="2"/>
      <x:c r="I3" s="2"/>
      <x:c r="J3" s="2"/>
      <x:c r="K3" s="2"/>
      <x:c r="L3" s="2"/>
      <x:c r="M3" s="2"/>
      <x:c r="N3" s="2"/>
      <x:c r="O3" s="2"/>
      <x:c r="P3" s="2"/>
      <x:c r="Q3" s="2"/>
      <x:c r="R3" s="2"/>
      <x:c r="S3" s="2"/>
    </x:row>
    <x:row r="4" ht="22" customHeight="1">
      <x:c r="A4" s="2"/>
      <x:c r="B4" s="2"/>
      <x:c r="C4" s="2"/>
      <x:c r="D4" s="2"/>
      <x:c r="E4" s="2"/>
      <x:c r="F4" s="2"/>
      <x:c r="G4" s="2"/>
      <x:c r="H4" s="2"/>
      <x:c r="I4" s="2"/>
      <x:c r="J4" s="2"/>
      <x:c r="K4" s="2"/>
      <x:c r="L4" s="2"/>
      <x:c r="M4" s="2"/>
      <x:c r="N4" s="2"/>
      <x:c r="O4" s="2"/>
      <x:c r="P4" s="2"/>
      <x:c r="Q4" s="2"/>
      <x:c r="R4" s="2"/>
      <x:c r="S4" s="2"/>
    </x:row>
    <x:row r="5" ht="36" customHeight="1">
      <x:c r="A5" s="8" t="str">
        <x:v>Run ID</x:v>
      </x:c>
      <x:c r="B5" s="8" t="str">
        <x:v>Scenario</x:v>
      </x:c>
      <x:c r="C5" s="8" t="str">
        <x:v>Cohort</x:v>
      </x:c>
      <x:c r="D5" s="8" t="str">
        <x:v>Trial</x:v>
      </x:c>
      <x:c r="E5" s="8" t="str">
        <x:v>Rank</x:v>
      </x:c>
      <x:c r="F5" s="8" t="str">
        <x:v>Listing ID</x:v>
      </x:c>
      <x:c r="G5" s="8" t="str">
        <x:v>Rating key</x:v>
      </x:c>
      <x:c r="H5" s="8" t="str">
        <x:v>Grade</x:v>
      </x:c>
      <x:c r="I5" s="8" t="str">
        <x:v>Numeric</x:v>
      </x:c>
      <x:c r="J5" s="8" t="str">
        <x:v>Relevant</x:v>
      </x:c>
      <x:c r="K5" s="8" t="str">
        <x:v>Gain</x:v>
      </x:c>
      <x:c r="L5" s="8" t="str">
        <x:v>Discounted gain</x:v>
      </x:c>
      <x:c r="M5" s="8" t="str">
        <x:v>Rent SGD/month</x:v>
      </x:c>
      <x:c r="N5" s="8" t="str">
        <x:v>Reported beds</x:v>
      </x:c>
      <x:c r="O5" s="8" t="str">
        <x:v>Area sqft</x:v>
      </x:c>
      <x:c r="P5" s="8" t="str">
        <x:v>District</x:v>
      </x:c>
      <x:c r="Q5" s="8" t="str">
        <x:v>Property type</x:v>
      </x:c>
      <x:c r="R5" s="8" t="str">
        <x:v>Source URL</x:v>
      </x:c>
      <x:c r="S5" s="8" t="str">
        <x:v>Selection mode</x:v>
      </x:c>
    </x:row>
    <x:row r="6" ht="22" customHeight="1">
      <x:c r="A6" s="2" t="str">
        <x:v>S01-T01</x:v>
      </x:c>
      <x:c r="B6" s="2" t="str">
        <x:v>S01</x:v>
      </x:c>
      <x:c r="C6" s="2" t="str">
        <x:v>Retained</x:v>
      </x:c>
      <x:c r="D6" s="11" t="n">
        <x:v>1</x:v>
      </x:c>
      <x:c r="E6" s="11" t="n">
        <x:v>1</x:v>
      </x:c>
      <x:c r="F6" s="2" t="str">
        <x:v>500267122</x:v>
      </x:c>
      <x:c r="G6" s="2" t="str">
        <x:v>S01|500267122</x:v>
      </x:c>
      <x:c r="H6" s="2" t="n">
        <x:f>IFERROR(VLOOKUP(G6,'Ratings'!$A$6:$F$1387,6,FALSE),"Unknown")</x:f>
        <x:v>3</x:v>
      </x:c>
      <x:c r="I6" s="2" t="n">
        <x:f>IF(ISNUMBER(H6),1,0)</x:f>
        <x:v>1</x:v>
      </x:c>
      <x:c r="J6" s="2" t="n">
        <x:f>IF(ISNUMBER(H6),IF(H6&gt;=2,1,0),0)</x:f>
        <x:v>1</x:v>
      </x:c>
      <x:c r="K6" s="14" t="n">
        <x:f>IF(ISNUMBER(H6),2^H6-1,0)</x:f>
        <x:v>7</x:v>
      </x:c>
      <x:c r="L6" s="14" t="n">
        <x:f>K6/LOG(E6+1,2)</x:f>
        <x:v>7</x:v>
      </x:c>
      <x:c r="M6" s="10" t="n">
        <x:v>550</x:v>
      </x:c>
      <x:c r="N6" s="10" t="n">
        <x:v>1</x:v>
      </x:c>
      <x:c r="O6" s="10" t="n">
        <x:v>2152</x:v>
      </x:c>
      <x:c r="P6" s="2" t="str">
        <x:v>D27</x:v>
      </x:c>
      <x:c r="Q6" s="2" t="str">
        <x:v>hdb flat</x:v>
      </x:c>
      <x:c r="R6" s="2" t="str">
        <x:v>https://www.propertyguru.com.sg/listing/hdb-for-rent-749-yishun-street-72-500267122</x:v>
      </x:c>
      <x:c r="S6" s="2" t="str">
        <x:v>cold_start_exploration</x:v>
      </x:c>
    </x:row>
    <x:row r="7" ht="22" customHeight="1">
      <x:c r="A7" s="2" t="str">
        <x:v>S01-T01</x:v>
      </x:c>
      <x:c r="B7" s="2" t="str">
        <x:v>S01</x:v>
      </x:c>
      <x:c r="C7" s="2" t="str">
        <x:v>Retained</x:v>
      </x:c>
      <x:c r="D7" s="11" t="n">
        <x:v>1</x:v>
      </x:c>
      <x:c r="E7" s="11" t="n">
        <x:v>2</x:v>
      </x:c>
      <x:c r="F7" s="2" t="str">
        <x:v>500281545</x:v>
      </x:c>
      <x:c r="G7" s="2" t="str">
        <x:v>S01|500281545</x:v>
      </x:c>
      <x:c r="H7" s="2" t="n">
        <x:f>IFERROR(VLOOKUP(G7,'Ratings'!$A$6:$F$1387,6,FALSE),"Unknown")</x:f>
        <x:v>3</x:v>
      </x:c>
      <x:c r="I7" s="2" t="n">
        <x:f>IF(ISNUMBER(H7),1,0)</x:f>
        <x:v>1</x:v>
      </x:c>
      <x:c r="J7" s="2" t="n">
        <x:f>IF(ISNUMBER(H7),IF(H7&gt;=2,1,0),0)</x:f>
        <x:v>1</x:v>
      </x:c>
      <x:c r="K7" s="14" t="n">
        <x:f>IF(ISNUMBER(H7),2^H7-1,0)</x:f>
        <x:v>7</x:v>
      </x:c>
      <x:c r="L7" s="14" t="n">
        <x:f>K7/LOG(E7+1,2)</x:f>
        <x:v>4.4165082750002025</x:v>
      </x:c>
      <x:c r="M7" s="10" t="n">
        <x:v>700</x:v>
      </x:c>
      <x:c r="N7" s="10" t="n">
        <x:v>3</x:v>
      </x:c>
      <x:c r="O7" s="10" t="n">
        <x:v>904</x:v>
      </x:c>
      <x:c r="P7" s="2" t="str">
        <x:v>D18</x:v>
      </x:c>
      <x:c r="Q7" s="2" t="str">
        <x:v>hdb flat</x:v>
      </x:c>
      <x:c r="R7" s="2" t="str">
        <x:v>https://www.propertyguru.com.sg/listing/hdb-for-rent-832-tampines-street-82-500281545</x:v>
      </x:c>
      <x:c r="S7" s="2" t="str">
        <x:v>cold_start_exploration</x:v>
      </x:c>
    </x:row>
    <x:row r="8" ht="22" customHeight="1">
      <x:c r="A8" s="2" t="str">
        <x:v>S01-T01</x:v>
      </x:c>
      <x:c r="B8" s="2" t="str">
        <x:v>S01</x:v>
      </x:c>
      <x:c r="C8" s="2" t="str">
        <x:v>Retained</x:v>
      </x:c>
      <x:c r="D8" s="11" t="n">
        <x:v>1</x:v>
      </x:c>
      <x:c r="E8" s="11" t="n">
        <x:v>3</x:v>
      </x:c>
      <x:c r="F8" s="2" t="str">
        <x:v>12620560</x:v>
      </x:c>
      <x:c r="G8" s="2" t="str">
        <x:v>S01|12620560</x:v>
      </x:c>
      <x:c r="H8" s="2" t="n">
        <x:f>IFERROR(VLOOKUP(G8,'Ratings'!$A$6:$F$1387,6,FALSE),"Unknown")</x:f>
        <x:v>3</x:v>
      </x:c>
      <x:c r="I8" s="2" t="n">
        <x:f>IF(ISNUMBER(H8),1,0)</x:f>
        <x:v>1</x:v>
      </x:c>
      <x:c r="J8" s="2" t="n">
        <x:f>IF(ISNUMBER(H8),IF(H8&gt;=2,1,0),0)</x:f>
        <x:v>1</x:v>
      </x:c>
      <x:c r="K8" s="14" t="n">
        <x:f>IF(ISNUMBER(H8),2^H8-1,0)</x:f>
        <x:v>7</x:v>
      </x:c>
      <x:c r="L8" s="14" t="n">
        <x:f>K8/LOG(E8+1,2)</x:f>
        <x:v>3.5</x:v>
      </x:c>
      <x:c r="M8" s="10" t="n">
        <x:v>850</x:v>
      </x:c>
      <x:c r="N8" s="10" t="n">
        <x:v>1</x:v>
      </x:c>
      <x:c r="O8" s="10" t="n">
        <x:v>1291</x:v>
      </x:c>
      <x:c r="P8" s="2" t="str">
        <x:v>D10</x:v>
      </x:c>
      <x:c r="Q8" s="2" t="str">
        <x:v>hdb flat</x:v>
      </x:c>
      <x:c r="R8" s="2" t="str">
        <x:v>https://www.propertyguru.com.sg/listing/hdb-for-rent-1-queen-s-road-12620560</x:v>
      </x:c>
      <x:c r="S8" s="2" t="str">
        <x:v>cold_start_exploration</x:v>
      </x:c>
    </x:row>
    <x:row r="9" ht="22" customHeight="1">
      <x:c r="A9" s="2" t="str">
        <x:v>S01-T01</x:v>
      </x:c>
      <x:c r="B9" s="2" t="str">
        <x:v>S01</x:v>
      </x:c>
      <x:c r="C9" s="2" t="str">
        <x:v>Retained</x:v>
      </x:c>
      <x:c r="D9" s="11" t="n">
        <x:v>1</x:v>
      </x:c>
      <x:c r="E9" s="11" t="n">
        <x:v>4</x:v>
      </x:c>
      <x:c r="F9" s="2" t="str">
        <x:v>500270347</x:v>
      </x:c>
      <x:c r="G9" s="2" t="str">
        <x:v>S01|500270347</x:v>
      </x:c>
      <x:c r="H9" s="2" t="n">
        <x:f>IFERROR(VLOOKUP(G9,'Ratings'!$A$6:$F$1387,6,FALSE),"Unknown")</x:f>
        <x:v>3</x:v>
      </x:c>
      <x:c r="I9" s="2" t="n">
        <x:f>IF(ISNUMBER(H9),1,0)</x:f>
        <x:v>1</x:v>
      </x:c>
      <x:c r="J9" s="2" t="n">
        <x:f>IF(ISNUMBER(H9),IF(H9&gt;=2,1,0),0)</x:f>
        <x:v>1</x:v>
      </x:c>
      <x:c r="K9" s="14" t="n">
        <x:f>IF(ISNUMBER(H9),2^H9-1,0)</x:f>
        <x:v>7</x:v>
      </x:c>
      <x:c r="L9" s="14" t="n">
        <x:f>K9/LOG(E9+1,2)</x:f>
        <x:v>3.0147359065137516</x:v>
      </x:c>
      <x:c r="M9" s="10" t="n">
        <x:v>850</x:v>
      </x:c>
      <x:c r="N9" s="10" t="n">
        <x:v>1</x:v>
      </x:c>
      <x:c r="O9" s="10" t="n">
        <x:v>904</x:v>
      </x:c>
      <x:c r="P9" s="2" t="str">
        <x:v>D27</x:v>
      </x:c>
      <x:c r="Q9" s="2" t="str">
        <x:v>hdb flat</x:v>
      </x:c>
      <x:c r="R9" s="2" t="str">
        <x:v>https://www.propertyguru.com.sg/listing/hdb-for-rent-655-yishun-avenue-4-500270347</x:v>
      </x:c>
      <x:c r="S9" s="2" t="str">
        <x:v>cold_start_exploration</x:v>
      </x:c>
    </x:row>
    <x:row r="10" ht="22" customHeight="1">
      <x:c r="A10" s="2" t="str">
        <x:v>S01-T01</x:v>
      </x:c>
      <x:c r="B10" s="2" t="str">
        <x:v>S01</x:v>
      </x:c>
      <x:c r="C10" s="2" t="str">
        <x:v>Retained</x:v>
      </x:c>
      <x:c r="D10" s="11" t="n">
        <x:v>1</x:v>
      </x:c>
      <x:c r="E10" s="11" t="n">
        <x:v>5</x:v>
      </x:c>
      <x:c r="F10" s="2" t="str">
        <x:v>500252673</x:v>
      </x:c>
      <x:c r="G10" s="2" t="str">
        <x:v>S01|500252673</x:v>
      </x:c>
      <x:c r="H10" s="2" t="n">
        <x:f>IFERROR(VLOOKUP(G10,'Ratings'!$A$6:$F$1387,6,FALSE),"Unknown")</x:f>
        <x:v>3</x:v>
      </x:c>
      <x:c r="I10" s="2" t="n">
        <x:f>IF(ISNUMBER(H10),1,0)</x:f>
        <x:v>1</x:v>
      </x:c>
      <x:c r="J10" s="2" t="n">
        <x:f>IF(ISNUMBER(H10),IF(H10&gt;=2,1,0),0)</x:f>
        <x:v>1</x:v>
      </x:c>
      <x:c r="K10" s="14" t="n">
        <x:f>IF(ISNUMBER(H10),2^H10-1,0)</x:f>
        <x:v>7</x:v>
      </x:c>
      <x:c r="L10" s="14" t="n">
        <x:f>K10/LOG(E10+1,2)</x:f>
        <x:v>2.7079696506417914</x:v>
      </x:c>
      <x:c r="M10" s="10" t="n">
        <x:v>900</x:v>
      </x:c>
      <x:c r="N10" s="10" t="n">
        <x:v>1</x:v>
      </x:c>
      <x:c r="O10" s="10" t="n">
        <x:v>721</x:v>
      </x:c>
      <x:c r="P10" s="2" t="str">
        <x:v>D22</x:v>
      </x:c>
      <x:c r="Q10" s="2" t="str">
        <x:v>hdb flat</x:v>
      </x:c>
      <x:c r="R10" s="2" t="str">
        <x:v>https://www.propertyguru.com.sg/listing/hdb-for-rent-863-jurong-west-street-81-500252673</x:v>
      </x:c>
      <x:c r="S10" s="2" t="str">
        <x:v>cold_start_exploration</x:v>
      </x:c>
    </x:row>
    <x:row r="11" ht="22" customHeight="1">
      <x:c r="A11" s="2" t="str">
        <x:v>S01-T01</x:v>
      </x:c>
      <x:c r="B11" s="2" t="str">
        <x:v>S01</x:v>
      </x:c>
      <x:c r="C11" s="2" t="str">
        <x:v>Retained</x:v>
      </x:c>
      <x:c r="D11" s="11" t="n">
        <x:v>1</x:v>
      </x:c>
      <x:c r="E11" s="11" t="n">
        <x:v>6</x:v>
      </x:c>
      <x:c r="F11" s="2" t="str">
        <x:v>500266385</x:v>
      </x:c>
      <x:c r="G11" s="2" t="str">
        <x:v>S01|500266385</x:v>
      </x:c>
      <x:c r="H11" s="2" t="n">
        <x:f>IFERROR(VLOOKUP(G11,'Ratings'!$A$6:$F$1387,6,FALSE),"Unknown")</x:f>
        <x:v>3</x:v>
      </x:c>
      <x:c r="I11" s="2" t="n">
        <x:f>IF(ISNUMBER(H11),1,0)</x:f>
        <x:v>1</x:v>
      </x:c>
      <x:c r="J11" s="2" t="n">
        <x:f>IF(ISNUMBER(H11),IF(H11&gt;=2,1,0),0)</x:f>
        <x:v>1</x:v>
      </x:c>
      <x:c r="K11" s="14" t="n">
        <x:f>IF(ISNUMBER(H11),2^H11-1,0)</x:f>
        <x:v>7</x:v>
      </x:c>
      <x:c r="L11" s="14" t="n">
        <x:f>K11/LOG(E11+1,2)</x:f>
        <x:v>2.493450309756155</x:v>
      </x:c>
      <x:c r="M11" s="10" t="n">
        <x:v>900</x:v>
      </x:c>
      <x:c r="N11" s="10" t="n">
        <x:v>1</x:v>
      </x:c>
      <x:c r="O11" s="10" t="n">
        <x:v>13896</x:v>
      </x:c>
      <x:c r="P11" s="2" t="str">
        <x:v>D25</x:v>
      </x:c>
      <x:c r="Q11" s="2" t="str">
        <x:v>hdb flat</x:v>
      </x:c>
      <x:c r="R11" s="2" t="str">
        <x:v>https://www.propertyguru.com.sg/listing/hdb-for-rent-557-woodlands-drive-53-500266385</x:v>
      </x:c>
      <x:c r="S11" s="2" t="str">
        <x:v>cold_start_exploration</x:v>
      </x:c>
    </x:row>
    <x:row r="12" ht="22" customHeight="1">
      <x:c r="A12" s="2" t="str">
        <x:v>S01-T01</x:v>
      </x:c>
      <x:c r="B12" s="2" t="str">
        <x:v>S01</x:v>
      </x:c>
      <x:c r="C12" s="2" t="str">
        <x:v>Retained</x:v>
      </x:c>
      <x:c r="D12" s="11" t="n">
        <x:v>1</x:v>
      </x:c>
      <x:c r="E12" s="11" t="n">
        <x:v>7</x:v>
      </x:c>
      <x:c r="F12" s="2" t="str">
        <x:v>500266384</x:v>
      </x:c>
      <x:c r="G12" s="2" t="str">
        <x:v>S01|500266384</x:v>
      </x:c>
      <x:c r="H12" s="2" t="n">
        <x:f>IFERROR(VLOOKUP(G12,'Ratings'!$A$6:$F$1387,6,FALSE),"Unknown")</x:f>
        <x:v>3</x:v>
      </x:c>
      <x:c r="I12" s="2" t="n">
        <x:f>IF(ISNUMBER(H12),1,0)</x:f>
        <x:v>1</x:v>
      </x:c>
      <x:c r="J12" s="2" t="n">
        <x:f>IF(ISNUMBER(H12),IF(H12&gt;=2,1,0),0)</x:f>
        <x:v>1</x:v>
      </x:c>
      <x:c r="K12" s="14" t="n">
        <x:f>IF(ISNUMBER(H12),2^H12-1,0)</x:f>
        <x:v>7</x:v>
      </x:c>
      <x:c r="L12" s="14" t="n">
        <x:f>K12/LOG(E12+1,2)</x:f>
        <x:v>2.3333333333333335</x:v>
      </x:c>
      <x:c r="M12" s="10" t="n">
        <x:v>950</x:v>
      </x:c>
      <x:c r="N12" s="10" t="n">
        <x:v>1</x:v>
      </x:c>
      <x:c r="O12" s="10" t="n">
        <x:v>1087</x:v>
      </x:c>
      <x:c r="P12" s="2" t="str">
        <x:v>D25</x:v>
      </x:c>
      <x:c r="Q12" s="2" t="str">
        <x:v>hdb flat</x:v>
      </x:c>
      <x:c r="R12" s="2" t="str">
        <x:v>https://www.propertyguru.com.sg/listing/hdb-for-rent-659-woodlands-ring-road-500266384</x:v>
      </x:c>
      <x:c r="S12" s="2" t="str">
        <x:v>cold_start_exploration</x:v>
      </x:c>
    </x:row>
    <x:row r="13" ht="22" customHeight="1">
      <x:c r="A13" s="2" t="str">
        <x:v>S01-T01</x:v>
      </x:c>
      <x:c r="B13" s="2" t="str">
        <x:v>S01</x:v>
      </x:c>
      <x:c r="C13" s="2" t="str">
        <x:v>Retained</x:v>
      </x:c>
      <x:c r="D13" s="11" t="n">
        <x:v>1</x:v>
      </x:c>
      <x:c r="E13" s="11" t="n">
        <x:v>8</x:v>
      </x:c>
      <x:c r="F13" s="2" t="str">
        <x:v>500284155</x:v>
      </x:c>
      <x:c r="G13" s="2" t="str">
        <x:v>S01|500284155</x:v>
      </x:c>
      <x:c r="H13" s="2" t="n">
        <x:f>IFERROR(VLOOKUP(G13,'Ratings'!$A$6:$F$1387,6,FALSE),"Unknown")</x:f>
        <x:v>3</x:v>
      </x:c>
      <x:c r="I13" s="2" t="n">
        <x:f>IF(ISNUMBER(H13),1,0)</x:f>
        <x:v>1</x:v>
      </x:c>
      <x:c r="J13" s="2" t="n">
        <x:f>IF(ISNUMBER(H13),IF(H13&gt;=2,1,0),0)</x:f>
        <x:v>1</x:v>
      </x:c>
      <x:c r="K13" s="14" t="n">
        <x:f>IF(ISNUMBER(H13),2^H13-1,0)</x:f>
        <x:v>7</x:v>
      </x:c>
      <x:c r="L13" s="14" t="n">
        <x:f>K13/LOG(E13+1,2)</x:f>
        <x:v>2.208254137500101</x:v>
      </x:c>
      <x:c r="M13" s="10" t="n">
        <x:v>950</x:v>
      </x:c>
      <x:c r="N13" s="10" t="n">
        <x:v>1</x:v>
      </x:c>
      <x:c r="O13" s="10" t="n">
        <x:v>1076</x:v>
      </x:c>
      <x:c r="P13" s="2" t="str">
        <x:v>D23</x:v>
      </x:c>
      <x:c r="Q13" s="2" t="str">
        <x:v>hdb flat</x:v>
      </x:c>
      <x:c r="R13" s="2" t="str">
        <x:v>https://www.propertyguru.com.sg/listing/hdb-for-rent-449a-bukit-batok-west-avenue-9-500284155</x:v>
      </x:c>
      <x:c r="S13" s="2" t="str">
        <x:v>cold_start_exploration</x:v>
      </x:c>
    </x:row>
    <x:row r="14" ht="22" customHeight="1">
      <x:c r="A14" s="2" t="str">
        <x:v>S01-T01</x:v>
      </x:c>
      <x:c r="B14" s="2" t="str">
        <x:v>S01</x:v>
      </x:c>
      <x:c r="C14" s="2" t="str">
        <x:v>Retained</x:v>
      </x:c>
      <x:c r="D14" s="11" t="n">
        <x:v>1</x:v>
      </x:c>
      <x:c r="E14" s="11" t="n">
        <x:v>9</x:v>
      </x:c>
      <x:c r="F14" s="2" t="str">
        <x:v>21026007</x:v>
      </x:c>
      <x:c r="G14" s="2" t="str">
        <x:v>S01|21026007</x:v>
      </x:c>
      <x:c r="H14" s="2" t="n">
        <x:f>IFERROR(VLOOKUP(G14,'Ratings'!$A$6:$F$1387,6,FALSE),"Unknown")</x:f>
        <x:v>2</x:v>
      </x:c>
      <x:c r="I14" s="2" t="n">
        <x:f>IF(ISNUMBER(H14),1,0)</x:f>
        <x:v>1</x:v>
      </x:c>
      <x:c r="J14" s="2" t="n">
        <x:f>IF(ISNUMBER(H14),IF(H14&gt;=2,1,0),0)</x:f>
        <x:v>1</x:v>
      </x:c>
      <x:c r="K14" s="14" t="n">
        <x:f>IF(ISNUMBER(H14),2^H14-1,0)</x:f>
        <x:v>3</x:v>
      </x:c>
      <x:c r="L14" s="14" t="n">
        <x:f>K14/LOG(E14+1,2)</x:f>
        <x:v>0.9030899869919435</x:v>
      </x:c>
      <x:c r="M14" s="10" t="n">
        <x:v>450</x:v>
      </x:c>
      <x:c r="N14" s="10" t="n">
        <x:v>3</x:v>
      </x:c>
      <x:c r="O14" s="10" t="n">
        <x:v>100</x:v>
      </x:c>
      <x:c r="P14" s="2" t="str">
        <x:v>D25</x:v>
      </x:c>
      <x:c r="Q14" s="2" t="str">
        <x:v>hdb flat</x:v>
      </x:c>
      <x:c r="R14" s="2" t="str">
        <x:v>https://www.propertyguru.com.sg/listing/hdb-for-rent-764a-woodlands-circle-21026007</x:v>
      </x:c>
      <x:c r="S14" s="2" t="str">
        <x:v>cold_start_exploration</x:v>
      </x:c>
    </x:row>
    <x:row r="15" ht="22" customHeight="1">
      <x:c r="A15" s="2" t="str">
        <x:v>S01-T01</x:v>
      </x:c>
      <x:c r="B15" s="2" t="str">
        <x:v>S01</x:v>
      </x:c>
      <x:c r="C15" s="2" t="str">
        <x:v>Retained</x:v>
      </x:c>
      <x:c r="D15" s="11" t="n">
        <x:v>1</x:v>
      </x:c>
      <x:c r="E15" s="11" t="n">
        <x:v>10</x:v>
      </x:c>
      <x:c r="F15" s="2" t="str">
        <x:v>21644298</x:v>
      </x:c>
      <x:c r="G15" s="2" t="str">
        <x:v>S01|21644298</x:v>
      </x:c>
      <x:c r="H15" s="2" t="n">
        <x:f>IFERROR(VLOOKUP(G15,'Ratings'!$A$6:$F$1387,6,FALSE),"Unknown")</x:f>
        <x:v>2</x:v>
      </x:c>
      <x:c r="I15" s="2" t="n">
        <x:f>IF(ISNUMBER(H15),1,0)</x:f>
        <x:v>1</x:v>
      </x:c>
      <x:c r="J15" s="2" t="n">
        <x:f>IF(ISNUMBER(H15),IF(H15&gt;=2,1,0),0)</x:f>
        <x:v>1</x:v>
      </x:c>
      <x:c r="K15" s="14" t="n">
        <x:f>IF(ISNUMBER(H15),2^H15-1,0)</x:f>
        <x:v>3</x:v>
      </x:c>
      <x:c r="L15" s="14" t="n">
        <x:f>K15/LOG(E15+1,2)</x:f>
        <x:v>0.8671944789536634</x:v>
      </x:c>
      <x:c r="M15" s="10" t="n">
        <x:v>500</x:v>
      </x:c>
      <x:c r="N15" s="10" t="n">
        <x:v>1</x:v>
      </x:c>
      <x:c r="O15" s="10" t="n">
        <x:v>215</x:v>
      </x:c>
      <x:c r="P15" s="2" t="str">
        <x:v>D25</x:v>
      </x:c>
      <x:c r="Q15" s="2" t="str">
        <x:v>hdb flat</x:v>
      </x:c>
      <x:c r="R15" s="2" t="str">
        <x:v>https://www.propertyguru.com.sg/listing/hdb-for-rent-605-woodlands-drive-42-21644298</x:v>
      </x:c>
      <x:c r="S15" s="2" t="str">
        <x:v>cold_start_exploration</x:v>
      </x:c>
    </x:row>
    <x:row r="16" ht="22" customHeight="1">
      <x:c r="A16" s="2" t="str">
        <x:v>S02-T01</x:v>
      </x:c>
      <x:c r="B16" s="2" t="str">
        <x:v>S02</x:v>
      </x:c>
      <x:c r="C16" s="2" t="str">
        <x:v>Retained</x:v>
      </x:c>
      <x:c r="D16" s="11" t="n">
        <x:v>1</x:v>
      </x:c>
      <x:c r="E16" s="11" t="n">
        <x:v>1</x:v>
      </x:c>
      <x:c r="F16" s="2" t="str">
        <x:v>500273560</x:v>
      </x:c>
      <x:c r="G16" s="2" t="str">
        <x:v>S02|500273560</x:v>
      </x:c>
      <x:c r="H16" s="2" t="n">
        <x:f>IFERROR(VLOOKUP(G16,'Ratings'!$A$6:$F$1387,6,FALSE),"Unknown")</x:f>
        <x:v>3</x:v>
      </x:c>
      <x:c r="I16" s="2" t="n">
        <x:f>IF(ISNUMBER(H16),1,0)</x:f>
        <x:v>1</x:v>
      </x:c>
      <x:c r="J16" s="2" t="n">
        <x:f>IF(ISNUMBER(H16),IF(H16&gt;=2,1,0),0)</x:f>
        <x:v>1</x:v>
      </x:c>
      <x:c r="K16" s="14" t="n">
        <x:f>IF(ISNUMBER(H16),2^H16-1,0)</x:f>
        <x:v>7</x:v>
      </x:c>
      <x:c r="L16" s="14" t="n">
        <x:f>K16/LOG(E16+1,2)</x:f>
        <x:v>7</x:v>
      </x:c>
      <x:c r="M16" s="10" t="n">
        <x:v>1800</x:v>
      </x:c>
      <x:c r="N16" s="10" t="n">
        <x:v>1</x:v>
      </x:c>
      <x:c r="O16" s="10" t="n">
        <x:v>1000</x:v>
      </x:c>
      <x:c r="P16" s="2" t="str">
        <x:v>D08</x:v>
      </x:c>
      <x:c r="Q16" s="2" t="str">
        <x:v>terraced house</x:v>
      </x:c>
      <x:c r="R16" s="2" t="str">
        <x:v>https://www.propertyguru.com.sg/listing/for-rent-hindoo-road-500273560</x:v>
      </x:c>
      <x:c r="S16" s="2" t="str">
        <x:v>near_tie_sampling</x:v>
      </x:c>
    </x:row>
    <x:row r="17" ht="22" customHeight="1">
      <x:c r="A17" s="2" t="str">
        <x:v>S02-T01</x:v>
      </x:c>
      <x:c r="B17" s="2" t="str">
        <x:v>S02</x:v>
      </x:c>
      <x:c r="C17" s="2" t="str">
        <x:v>Retained</x:v>
      </x:c>
      <x:c r="D17" s="11" t="n">
        <x:v>1</x:v>
      </x:c>
      <x:c r="E17" s="11" t="n">
        <x:v>2</x:v>
      </x:c>
      <x:c r="F17" s="2" t="str">
        <x:v>500278958</x:v>
      </x:c>
      <x:c r="G17" s="2" t="str">
        <x:v>S02|500278958</x:v>
      </x:c>
      <x:c r="H17" s="2" t="n">
        <x:f>IFERROR(VLOOKUP(G17,'Ratings'!$A$6:$F$1387,6,FALSE),"Unknown")</x:f>
        <x:v>3</x:v>
      </x:c>
      <x:c r="I17" s="2" t="n">
        <x:f>IF(ISNUMBER(H17),1,0)</x:f>
        <x:v>1</x:v>
      </x:c>
      <x:c r="J17" s="2" t="n">
        <x:f>IF(ISNUMBER(H17),IF(H17&gt;=2,1,0),0)</x:f>
        <x:v>1</x:v>
      </x:c>
      <x:c r="K17" s="14" t="n">
        <x:f>IF(ISNUMBER(H17),2^H17-1,0)</x:f>
        <x:v>7</x:v>
      </x:c>
      <x:c r="L17" s="14" t="n">
        <x:f>K17/LOG(E17+1,2)</x:f>
        <x:v>4.4165082750002025</x:v>
      </x:c>
      <x:c r="M17" s="10" t="n">
        <x:v>1800</x:v>
      </x:c>
      <x:c r="N17" s="10" t="n">
        <x:v>1</x:v>
      </x:c>
      <x:c r="O17" s="10" t="n">
        <x:v>1000</x:v>
      </x:c>
      <x:c r="P17" s="2" t="str">
        <x:v>D08</x:v>
      </x:c>
      <x:c r="Q17" s="2" t="str">
        <x:v>terraced house</x:v>
      </x:c>
      <x:c r="R17" s="2" t="str">
        <x:v>https://www.propertyguru.com.sg/listing/for-rent-hindoo-road-500278958</x:v>
      </x:c>
      <x:c r="S17" s="2" t="str">
        <x:v>near_tie_sampling</x:v>
      </x:c>
    </x:row>
    <x:row r="18" ht="22" customHeight="1">
      <x:c r="A18" s="2" t="str">
        <x:v>S02-T01</x:v>
      </x:c>
      <x:c r="B18" s="2" t="str">
        <x:v>S02</x:v>
      </x:c>
      <x:c r="C18" s="2" t="str">
        <x:v>Retained</x:v>
      </x:c>
      <x:c r="D18" s="11" t="n">
        <x:v>1</x:v>
      </x:c>
      <x:c r="E18" s="11" t="n">
        <x:v>3</x:v>
      </x:c>
      <x:c r="F18" s="2" t="str">
        <x:v>500286401</x:v>
      </x:c>
      <x:c r="G18" s="2" t="str">
        <x:v>S02|500286401</x:v>
      </x:c>
      <x:c r="H18" s="2" t="n">
        <x:f>IFERROR(VLOOKUP(G18,'Ratings'!$A$6:$F$1387,6,FALSE),"Unknown")</x:f>
        <x:v>3</x:v>
      </x:c>
      <x:c r="I18" s="2" t="n">
        <x:f>IF(ISNUMBER(H18),1,0)</x:f>
        <x:v>1</x:v>
      </x:c>
      <x:c r="J18" s="2" t="n">
        <x:f>IF(ISNUMBER(H18),IF(H18&gt;=2,1,0),0)</x:f>
        <x:v>1</x:v>
      </x:c>
      <x:c r="K18" s="14" t="n">
        <x:f>IF(ISNUMBER(H18),2^H18-1,0)</x:f>
        <x:v>7</x:v>
      </x:c>
      <x:c r="L18" s="14" t="n">
        <x:f>K18/LOG(E18+1,2)</x:f>
        <x:v>3.5</x:v>
      </x:c>
      <x:c r="M18" s="10" t="n">
        <x:v>1800</x:v>
      </x:c>
      <x:c r="N18" s="10" t="n">
        <x:v>1</x:v>
      </x:c>
      <x:c r="O18" s="10" t="n">
        <x:v>1000</x:v>
      </x:c>
      <x:c r="P18" s="2" t="str">
        <x:v>D08</x:v>
      </x:c>
      <x:c r="Q18" s="2" t="str">
        <x:v>terraced house</x:v>
      </x:c>
      <x:c r="R18" s="2" t="str">
        <x:v>https://www.propertyguru.com.sg/listing/for-rent-hindoo-road-500286401</x:v>
      </x:c>
      <x:c r="S18" s="2" t="str">
        <x:v>near_tie_sampling</x:v>
      </x:c>
    </x:row>
    <x:row r="19" ht="22" customHeight="1">
      <x:c r="A19" s="2" t="str">
        <x:v>S02-T01</x:v>
      </x:c>
      <x:c r="B19" s="2" t="str">
        <x:v>S02</x:v>
      </x:c>
      <x:c r="C19" s="2" t="str">
        <x:v>Retained</x:v>
      </x:c>
      <x:c r="D19" s="11" t="n">
        <x:v>1</x:v>
      </x:c>
      <x:c r="E19" s="11" t="n">
        <x:v>4</x:v>
      </x:c>
      <x:c r="F19" s="2" t="str">
        <x:v>500210552</x:v>
      </x:c>
      <x:c r="G19" s="2" t="str">
        <x:v>S02|500210552</x:v>
      </x:c>
      <x:c r="H19" s="2" t="n">
        <x:f>IFERROR(VLOOKUP(G19,'Ratings'!$A$6:$F$1387,6,FALSE),"Unknown")</x:f>
        <x:v>3</x:v>
      </x:c>
      <x:c r="I19" s="2" t="n">
        <x:f>IF(ISNUMBER(H19),1,0)</x:f>
        <x:v>1</x:v>
      </x:c>
      <x:c r="J19" s="2" t="n">
        <x:f>IF(ISNUMBER(H19),IF(H19&gt;=2,1,0),0)</x:f>
        <x:v>1</x:v>
      </x:c>
      <x:c r="K19" s="14" t="n">
        <x:f>IF(ISNUMBER(H19),2^H19-1,0)</x:f>
        <x:v>7</x:v>
      </x:c>
      <x:c r="L19" s="14" t="n">
        <x:f>K19/LOG(E19+1,2)</x:f>
        <x:v>3.0147359065137516</x:v>
      </x:c>
      <x:c r="M19" s="10" t="n">
        <x:v>1800</x:v>
      </x:c>
      <x:c r="N19" s="10" t="n">
        <x:v>3</x:v>
      </x:c>
      <x:c r="O19" s="10" t="n">
        <x:v>980</x:v>
      </x:c>
      <x:c r="P19" s="2" t="str">
        <x:v>D21</x:v>
      </x:c>
      <x:c r="Q19" s="2" t="str">
        <x:v>condominium</x:v>
      </x:c>
      <x:c r="R19" s="2" t="str">
        <x:v>https://www.propertyguru.com.sg/listing/for-rent-ki-residences-at-brookvale-500210552</x:v>
      </x:c>
      <x:c r="S19" s="2" t="str">
        <x:v>near_tie_sampling</x:v>
      </x:c>
    </x:row>
    <x:row r="20" ht="22" customHeight="1">
      <x:c r="A20" s="2" t="str">
        <x:v>S02-T01</x:v>
      </x:c>
      <x:c r="B20" s="2" t="str">
        <x:v>S02</x:v>
      </x:c>
      <x:c r="C20" s="2" t="str">
        <x:v>Retained</x:v>
      </x:c>
      <x:c r="D20" s="11" t="n">
        <x:v>1</x:v>
      </x:c>
      <x:c r="E20" s="11" t="n">
        <x:v>5</x:v>
      </x:c>
      <x:c r="F20" s="2" t="str">
        <x:v>24359119</x:v>
      </x:c>
      <x:c r="G20" s="2" t="str">
        <x:v>S02|24359119</x:v>
      </x:c>
      <x:c r="H20" s="2" t="n">
        <x:f>IFERROR(VLOOKUP(G20,'Ratings'!$A$6:$F$1387,6,FALSE),"Unknown")</x:f>
        <x:v>2</x:v>
      </x:c>
      <x:c r="I20" s="2" t="n">
        <x:f>IF(ISNUMBER(H20),1,0)</x:f>
        <x:v>1</x:v>
      </x:c>
      <x:c r="J20" s="2" t="n">
        <x:f>IF(ISNUMBER(H20),IF(H20&gt;=2,1,0),0)</x:f>
        <x:v>1</x:v>
      </x:c>
      <x:c r="K20" s="14" t="n">
        <x:f>IF(ISNUMBER(H20),2^H20-1,0)</x:f>
        <x:v>3</x:v>
      </x:c>
      <x:c r="L20" s="14" t="n">
        <x:f>K20/LOG(E20+1,2)</x:f>
        <x:v>1.1605584217036249</x:v>
      </x:c>
      <x:c r="M20" s="10" t="n">
        <x:v>1800</x:v>
      </x:c>
      <x:c r="N20" s="10" t="n">
        <x:v>1</x:v>
      </x:c>
      <x:c r="O20" s="10" t="n">
        <x:v>650</x:v>
      </x:c>
      <x:c r="P20" s="2" t="str">
        <x:v>D28</x:v>
      </x:c>
      <x:c r="Q20" s="2" t="str">
        <x:v>corner terrace</x:v>
      </x:c>
      <x:c r="R20" s="2" t="str">
        <x:v>https://www.propertyguru.com.sg/listing/for-rent-yio-chu-kang-24359119</x:v>
      </x:c>
      <x:c r="S20" s="2" t="str">
        <x:v>near_tie_sampling</x:v>
      </x:c>
    </x:row>
    <x:row r="21" ht="22" customHeight="1">
      <x:c r="A21" s="2" t="str">
        <x:v>S02-T01</x:v>
      </x:c>
      <x:c r="B21" s="2" t="str">
        <x:v>S02</x:v>
      </x:c>
      <x:c r="C21" s="2" t="str">
        <x:v>Retained</x:v>
      </x:c>
      <x:c r="D21" s="11" t="n">
        <x:v>1</x:v>
      </x:c>
      <x:c r="E21" s="11" t="n">
        <x:v>6</x:v>
      </x:c>
      <x:c r="F21" s="2" t="str">
        <x:v>500288393</x:v>
      </x:c>
      <x:c r="G21" s="2" t="str">
        <x:v>S02|500288393</x:v>
      </x:c>
      <x:c r="H21" s="2" t="n">
        <x:f>IFERROR(VLOOKUP(G21,'Ratings'!$A$6:$F$1387,6,FALSE),"Unknown")</x:f>
        <x:v>2</x:v>
      </x:c>
      <x:c r="I21" s="2" t="n">
        <x:f>IF(ISNUMBER(H21),1,0)</x:f>
        <x:v>1</x:v>
      </x:c>
      <x:c r="J21" s="2" t="n">
        <x:f>IF(ISNUMBER(H21),IF(H21&gt;=2,1,0),0)</x:f>
        <x:v>1</x:v>
      </x:c>
      <x:c r="K21" s="14" t="n">
        <x:f>IF(ISNUMBER(H21),2^H21-1,0)</x:f>
        <x:v>3</x:v>
      </x:c>
      <x:c r="L21" s="14" t="n">
        <x:f>K21/LOG(E21+1,2)</x:f>
        <x:v>1.0686215613240666</x:v>
      </x:c>
      <x:c r="M21" s="10" t="n">
        <x:v>1800</x:v>
      </x:c>
      <x:c r="N21" s="10" t="n">
        <x:v>1</x:v>
      </x:c>
      <x:c r="O21" s="10" t="n">
        <x:v>517</x:v>
      </x:c>
      <x:c r="P21" s="2" t="str">
        <x:v>D28</x:v>
      </x:c>
      <x:c r="Q21" s="2" t="str">
        <x:v>hdb flat</x:v>
      </x:c>
      <x:c r="R21" s="2" t="str">
        <x:v>https://www.propertyguru.com.sg/listing/hdb-for-rent-455a-sengkang-west-avenue-500288393</x:v>
      </x:c>
      <x:c r="S21" s="2" t="str">
        <x:v>near_tie_sampling</x:v>
      </x:c>
    </x:row>
    <x:row r="22" ht="22" customHeight="1">
      <x:c r="A22" s="2" t="str">
        <x:v>S02-T01</x:v>
      </x:c>
      <x:c r="B22" s="2" t="str">
        <x:v>S02</x:v>
      </x:c>
      <x:c r="C22" s="2" t="str">
        <x:v>Retained</x:v>
      </x:c>
      <x:c r="D22" s="11" t="n">
        <x:v>1</x:v>
      </x:c>
      <x:c r="E22" s="11" t="n">
        <x:v>7</x:v>
      </x:c>
      <x:c r="F22" s="2" t="str">
        <x:v>25608818</x:v>
      </x:c>
      <x:c r="G22" s="2" t="str">
        <x:v>S02|25608818</x:v>
      </x:c>
      <x:c r="H22" s="2" t="n">
        <x:f>IFERROR(VLOOKUP(G22,'Ratings'!$A$6:$F$1387,6,FALSE),"Unknown")</x:f>
        <x:v>1</x:v>
      </x:c>
      <x:c r="I22" s="2" t="n">
        <x:f>IF(ISNUMBER(H22),1,0)</x:f>
        <x:v>1</x:v>
      </x:c>
      <x:c r="J22" s="2" t="n">
        <x:f>IF(ISNUMBER(H22),IF(H22&gt;=2,1,0),0)</x:f>
        <x:v>0</x:v>
      </x:c>
      <x:c r="K22" s="14" t="n">
        <x:f>IF(ISNUMBER(H22),2^H22-1,0)</x:f>
        <x:v>1</x:v>
      </x:c>
      <x:c r="L22" s="14" t="n">
        <x:f>K22/LOG(E22+1,2)</x:f>
        <x:v>0.3333333333333333</x:v>
      </x:c>
      <x:c r="M22" s="10" t="n">
        <x:v>1800</x:v>
      </x:c>
      <x:c r="N22" s="10" t="n">
        <x:v>1</x:v>
      </x:c>
      <x:c r="O22" s="10" t="n">
        <x:v>200</x:v>
      </x:c>
      <x:c r="P22" s="2" t="str">
        <x:v>D05</x:v>
      </x:c>
      <x:c r="Q22" s="2" t="str">
        <x:v>corner terrace</x:v>
      </x:c>
      <x:c r="R22" s="2" t="str">
        <x:v>https://www.propertyguru.com.sg/listing/for-rent-170-pasir-panjang-road-25608818</x:v>
      </x:c>
      <x:c r="S22" s="2" t="str">
        <x:v>near_tie_sampling</x:v>
      </x:c>
    </x:row>
    <x:row r="23" ht="22" customHeight="1">
      <x:c r="A23" s="2" t="str">
        <x:v>S02-T01</x:v>
      </x:c>
      <x:c r="B23" s="2" t="str">
        <x:v>S02</x:v>
      </x:c>
      <x:c r="C23" s="2" t="str">
        <x:v>Retained</x:v>
      </x:c>
      <x:c r="D23" s="11" t="n">
        <x:v>1</x:v>
      </x:c>
      <x:c r="E23" s="11" t="n">
        <x:v>8</x:v>
      </x:c>
      <x:c r="F23" s="2" t="str">
        <x:v>500283813</x:v>
      </x:c>
      <x:c r="G23" s="2" t="str">
        <x:v>S02|500283813</x:v>
      </x:c>
      <x:c r="H23" s="2" t="n">
        <x:f>IFERROR(VLOOKUP(G23,'Ratings'!$A$6:$F$1387,6,FALSE),"Unknown")</x:f>
        <x:v>1</x:v>
      </x:c>
      <x:c r="I23" s="2" t="n">
        <x:f>IF(ISNUMBER(H23),1,0)</x:f>
        <x:v>1</x:v>
      </x:c>
      <x:c r="J23" s="2" t="n">
        <x:f>IF(ISNUMBER(H23),IF(H23&gt;=2,1,0),0)</x:f>
        <x:v>0</x:v>
      </x:c>
      <x:c r="K23" s="14" t="n">
        <x:f>IF(ISNUMBER(H23),2^H23-1,0)</x:f>
        <x:v>1</x:v>
      </x:c>
      <x:c r="L23" s="14" t="n">
        <x:f>K23/LOG(E23+1,2)</x:f>
        <x:v>0.3154648767857287</x:v>
      </x:c>
      <x:c r="M23" s="10" t="n">
        <x:v>1800</x:v>
      </x:c>
      <x:c r="N23" s="10" t="n">
        <x:v>1</x:v>
      </x:c>
      <x:c r="O23" s="10" t="n">
        <x:v>200</x:v>
      </x:c>
      <x:c r="P23" s="2" t="str">
        <x:v>D16</x:v>
      </x:c>
      <x:c r="Q23" s="2" t="str">
        <x:v>condominium</x:v>
      </x:c>
      <x:c r="R23" s="2" t="str">
        <x:v>https://www.propertyguru.com.sg/listing/for-rent-changi-court-500283813</x:v>
      </x:c>
      <x:c r="S23" s="2" t="str">
        <x:v>near_tie_sampling</x:v>
      </x:c>
    </x:row>
    <x:row r="24" ht="22" customHeight="1">
      <x:c r="A24" s="2" t="str">
        <x:v>S02-T01</x:v>
      </x:c>
      <x:c r="B24" s="2" t="str">
        <x:v>S02</x:v>
      </x:c>
      <x:c r="C24" s="2" t="str">
        <x:v>Retained</x:v>
      </x:c>
      <x:c r="D24" s="11" t="n">
        <x:v>1</x:v>
      </x:c>
      <x:c r="E24" s="11" t="n">
        <x:v>9</x:v>
      </x:c>
      <x:c r="F24" s="2" t="str">
        <x:v>500160959</x:v>
      </x:c>
      <x:c r="G24" s="2" t="str">
        <x:v>S02|500160959</x:v>
      </x:c>
      <x:c r="H24" s="2" t="n">
        <x:f>IFERROR(VLOOKUP(G24,'Ratings'!$A$6:$F$1387,6,FALSE),"Unknown")</x:f>
        <x:v>1</x:v>
      </x:c>
      <x:c r="I24" s="2" t="n">
        <x:f>IF(ISNUMBER(H24),1,0)</x:f>
        <x:v>1</x:v>
      </x:c>
      <x:c r="J24" s="2" t="n">
        <x:f>IF(ISNUMBER(H24),IF(H24&gt;=2,1,0),0)</x:f>
        <x:v>0</x:v>
      </x:c>
      <x:c r="K24" s="14" t="n">
        <x:f>IF(ISNUMBER(H24),2^H24-1,0)</x:f>
        <x:v>1</x:v>
      </x:c>
      <x:c r="L24" s="14" t="n">
        <x:f>K24/LOG(E24+1,2)</x:f>
        <x:v>0.30102999566398114</x:v>
      </x:c>
      <x:c r="M24" s="10" t="n">
        <x:v>1800</x:v>
      </x:c>
      <x:c r="N24" s="10" t="n">
        <x:v>1</x:v>
      </x:c>
      <x:c r="O24" s="10" t="n">
        <x:v>180</x:v>
      </x:c>
      <x:c r="P24" s="2" t="str">
        <x:v>D14</x:v>
      </x:c>
      <x:c r="Q24" s="2" t="str">
        <x:v>condominium</x:v>
      </x:c>
      <x:c r="R24" s="2" t="str">
        <x:v>https://www.propertyguru.com.sg/listing/for-rent-la-brisa-500160959</x:v>
      </x:c>
      <x:c r="S24" s="2" t="str">
        <x:v>near_tie_sampling</x:v>
      </x:c>
    </x:row>
    <x:row r="25" ht="22" customHeight="1">
      <x:c r="A25" s="2" t="str">
        <x:v>S02-T01</x:v>
      </x:c>
      <x:c r="B25" s="2" t="str">
        <x:v>S02</x:v>
      </x:c>
      <x:c r="C25" s="2" t="str">
        <x:v>Retained</x:v>
      </x:c>
      <x:c r="D25" s="11" t="n">
        <x:v>1</x:v>
      </x:c>
      <x:c r="E25" s="11" t="n">
        <x:v>10</x:v>
      </x:c>
      <x:c r="F25" s="2" t="str">
        <x:v>500280806</x:v>
      </x:c>
      <x:c r="G25" s="2" t="str">
        <x:v>S02|500280806</x:v>
      </x:c>
      <x:c r="H25" s="2" t="n">
        <x:f>IFERROR(VLOOKUP(G25,'Ratings'!$A$6:$F$1387,6,FALSE),"Unknown")</x:f>
        <x:v>1</x:v>
      </x:c>
      <x:c r="I25" s="2" t="n">
        <x:f>IF(ISNUMBER(H25),1,0)</x:f>
        <x:v>1</x:v>
      </x:c>
      <x:c r="J25" s="2" t="n">
        <x:f>IF(ISNUMBER(H25),IF(H25&gt;=2,1,0),0)</x:f>
        <x:v>0</x:v>
      </x:c>
      <x:c r="K25" s="14" t="n">
        <x:f>IF(ISNUMBER(H25),2^H25-1,0)</x:f>
        <x:v>1</x:v>
      </x:c>
      <x:c r="L25" s="14" t="n">
        <x:f>K25/LOG(E25+1,2)</x:f>
        <x:v>0.2890648263178878</x:v>
      </x:c>
      <x:c r="M25" s="10" t="n">
        <x:v>1800</x:v>
      </x:c>
      <x:c r="N25" s="10" t="n">
        <x:v>1</x:v>
      </x:c>
      <x:c r="O25" s="10" t="n">
        <x:v>150</x:v>
      </x:c>
      <x:c r="P25" s="2" t="str">
        <x:v>D27</x:v>
      </x:c>
      <x:c r="Q25" s="2" t="str">
        <x:v>condominium</x:v>
      </x:c>
      <x:c r="R25" s="2" t="str">
        <x:v>https://www.propertyguru.com.sg/listing/for-rent-miltonia-residences-500280806</x:v>
      </x:c>
      <x:c r="S25" s="2" t="str">
        <x:v>near_tie_sampling</x:v>
      </x:c>
    </x:row>
    <x:row r="26" ht="22" customHeight="1">
      <x:c r="A26" s="2" t="str">
        <x:v>S03-T01</x:v>
      </x:c>
      <x:c r="B26" s="2" t="str">
        <x:v>S03</x:v>
      </x:c>
      <x:c r="C26" s="2" t="str">
        <x:v>Retained</x:v>
      </x:c>
      <x:c r="D26" s="11" t="n">
        <x:v>1</x:v>
      </x:c>
      <x:c r="E26" s="11" t="n">
        <x:v>1</x:v>
      </x:c>
      <x:c r="F26" s="2" t="str">
        <x:v>21026007</x:v>
      </x:c>
      <x:c r="G26" s="2" t="str">
        <x:v>S03|21026007</x:v>
      </x:c>
      <x:c r="H26" s="2" t="n">
        <x:f>IFERROR(VLOOKUP(G26,'Ratings'!$A$6:$F$1387,6,FALSE),"Unknown")</x:f>
        <x:v>1</x:v>
      </x:c>
      <x:c r="I26" s="2" t="n">
        <x:f>IF(ISNUMBER(H26),1,0)</x:f>
        <x:v>1</x:v>
      </x:c>
      <x:c r="J26" s="2" t="n">
        <x:f>IF(ISNUMBER(H26),IF(H26&gt;=2,1,0),0)</x:f>
        <x:v>0</x:v>
      </x:c>
      <x:c r="K26" s="14" t="n">
        <x:f>IF(ISNUMBER(H26),2^H26-1,0)</x:f>
        <x:v>1</x:v>
      </x:c>
      <x:c r="L26" s="14" t="n">
        <x:f>K26/LOG(E26+1,2)</x:f>
        <x:v>1</x:v>
      </x:c>
      <x:c r="M26" s="10" t="n">
        <x:v>450</x:v>
      </x:c>
      <x:c r="N26" s="10" t="n">
        <x:v>3</x:v>
      </x:c>
      <x:c r="O26" s="10" t="n">
        <x:v>100</x:v>
      </x:c>
      <x:c r="P26" s="2" t="str">
        <x:v>D25</x:v>
      </x:c>
      <x:c r="Q26" s="2" t="str">
        <x:v>hdb flat</x:v>
      </x:c>
      <x:c r="R26" s="2" t="str">
        <x:v>https://www.propertyguru.com.sg/listing/hdb-for-rent-764a-woodlands-circle-21026007</x:v>
      </x:c>
      <x:c r="S26" s="2" t="str">
        <x:v>ranked</x:v>
      </x:c>
    </x:row>
    <x:row r="27" ht="22" customHeight="1">
      <x:c r="A27" s="2" t="str">
        <x:v>S03-T01</x:v>
      </x:c>
      <x:c r="B27" s="2" t="str">
        <x:v>S03</x:v>
      </x:c>
      <x:c r="C27" s="2" t="str">
        <x:v>Retained</x:v>
      </x:c>
      <x:c r="D27" s="11" t="n">
        <x:v>1</x:v>
      </x:c>
      <x:c r="E27" s="11" t="n">
        <x:v>2</x:v>
      </x:c>
      <x:c r="F27" s="2" t="str">
        <x:v>500281545</x:v>
      </x:c>
      <x:c r="G27" s="2" t="str">
        <x:v>S03|500281545</x:v>
      </x:c>
      <x:c r="H27" s="2" t="n">
        <x:f>IFERROR(VLOOKUP(G27,'Ratings'!$A$6:$F$1387,6,FALSE),"Unknown")</x:f>
        <x:v>1</x:v>
      </x:c>
      <x:c r="I27" s="2" t="n">
        <x:f>IF(ISNUMBER(H27),1,0)</x:f>
        <x:v>1</x:v>
      </x:c>
      <x:c r="J27" s="2" t="n">
        <x:f>IF(ISNUMBER(H27),IF(H27&gt;=2,1,0),0)</x:f>
        <x:v>0</x:v>
      </x:c>
      <x:c r="K27" s="14" t="n">
        <x:f>IF(ISNUMBER(H27),2^H27-1,0)</x:f>
        <x:v>1</x:v>
      </x:c>
      <x:c r="L27" s="14" t="n">
        <x:f>K27/LOG(E27+1,2)</x:f>
        <x:v>0.6309297535714575</x:v>
      </x:c>
      <x:c r="M27" s="10" t="n">
        <x:v>700</x:v>
      </x:c>
      <x:c r="N27" s="10" t="n">
        <x:v>3</x:v>
      </x:c>
      <x:c r="O27" s="10" t="n">
        <x:v>904</x:v>
      </x:c>
      <x:c r="P27" s="2" t="str">
        <x:v>D18</x:v>
      </x:c>
      <x:c r="Q27" s="2" t="str">
        <x:v>hdb flat</x:v>
      </x:c>
      <x:c r="R27" s="2" t="str">
        <x:v>https://www.propertyguru.com.sg/listing/hdb-for-rent-832-tampines-street-82-500281545</x:v>
      </x:c>
      <x:c r="S27" s="2" t="str">
        <x:v>ranked</x:v>
      </x:c>
    </x:row>
    <x:row r="28" ht="22" customHeight="1">
      <x:c r="A28" s="2" t="str">
        <x:v>S03-T01</x:v>
      </x:c>
      <x:c r="B28" s="2" t="str">
        <x:v>S03</x:v>
      </x:c>
      <x:c r="C28" s="2" t="str">
        <x:v>Retained</x:v>
      </x:c>
      <x:c r="D28" s="11" t="n">
        <x:v>1</x:v>
      </x:c>
      <x:c r="E28" s="11" t="n">
        <x:v>3</x:v>
      </x:c>
      <x:c r="F28" s="2" t="str">
        <x:v>60023928</x:v>
      </x:c>
      <x:c r="G28" s="2" t="str">
        <x:v>S03|60023928</x:v>
      </x:c>
      <x:c r="H28" s="2" t="n">
        <x:f>IFERROR(VLOOKUP(G28,'Ratings'!$A$6:$F$1387,6,FALSE),"Unknown")</x:f>
        <x:v>1</x:v>
      </x:c>
      <x:c r="I28" s="2" t="n">
        <x:f>IF(ISNUMBER(H28),1,0)</x:f>
        <x:v>1</x:v>
      </x:c>
      <x:c r="J28" s="2" t="n">
        <x:f>IF(ISNUMBER(H28),IF(H28&gt;=2,1,0),0)</x:f>
        <x:v>0</x:v>
      </x:c>
      <x:c r="K28" s="14" t="n">
        <x:f>IF(ISNUMBER(H28),2^H28-1,0)</x:f>
        <x:v>1</x:v>
      </x:c>
      <x:c r="L28" s="14" t="n">
        <x:f>K28/LOG(E28+1,2)</x:f>
        <x:v>0.5</x:v>
      </x:c>
      <x:c r="M28" s="10" t="n">
        <x:v>800</x:v>
      </x:c>
      <x:c r="N28" s="10" t="n">
        <x:v>2</x:v>
      </x:c>
      <x:c r="O28" s="10" t="n">
        <x:v>120</x:v>
      </x:c>
      <x:c r="P28" s="2" t="str">
        <x:v>D27</x:v>
      </x:c>
      <x:c r="Q28" s="2" t="str">
        <x:v>hdb flat</x:v>
      </x:c>
      <x:c r="R28" s="2" t="str">
        <x:v>https://www.propertyguru.com.sg/listing/hdb-for-rent-203-yishun-street-21-60023928</x:v>
      </x:c>
      <x:c r="S28" s="2" t="str">
        <x:v>ranked</x:v>
      </x:c>
    </x:row>
    <x:row r="29" ht="22" customHeight="1">
      <x:c r="A29" s="2" t="str">
        <x:v>S03-T01</x:v>
      </x:c>
      <x:c r="B29" s="2" t="str">
        <x:v>S03</x:v>
      </x:c>
      <x:c r="C29" s="2" t="str">
        <x:v>Retained</x:v>
      </x:c>
      <x:c r="D29" s="11" t="n">
        <x:v>1</x:v>
      </x:c>
      <x:c r="E29" s="11" t="n">
        <x:v>4</x:v>
      </x:c>
      <x:c r="F29" s="2" t="str">
        <x:v>25544801</x:v>
      </x:c>
      <x:c r="G29" s="2" t="str">
        <x:v>S03|25544801</x:v>
      </x:c>
      <x:c r="H29" s="2" t="n">
        <x:f>IFERROR(VLOOKUP(G29,'Ratings'!$A$6:$F$1387,6,FALSE),"Unknown")</x:f>
        <x:v>1</x:v>
      </x:c>
      <x:c r="I29" s="2" t="n">
        <x:f>IF(ISNUMBER(H29),1,0)</x:f>
        <x:v>1</x:v>
      </x:c>
      <x:c r="J29" s="2" t="n">
        <x:f>IF(ISNUMBER(H29),IF(H29&gt;=2,1,0),0)</x:f>
        <x:v>0</x:v>
      </x:c>
      <x:c r="K29" s="14" t="n">
        <x:f>IF(ISNUMBER(H29),2^H29-1,0)</x:f>
        <x:v>1</x:v>
      </x:c>
      <x:c r="L29" s="14" t="n">
        <x:f>K29/LOG(E29+1,2)</x:f>
        <x:v>0.43067655807339306</x:v>
      </x:c>
      <x:c r="M29" s="10" t="n">
        <x:v>950</x:v>
      </x:c>
      <x:c r="N29" s="10" t="n">
        <x:v>7</x:v>
      </x:c>
      <x:c r="O29" s="10" t="n">
        <x:v>100</x:v>
      </x:c>
      <x:c r="P29" s="2" t="str">
        <x:v>D16</x:v>
      </x:c>
      <x:c r="Q29" s="2" t="str">
        <x:v>condominium</x:v>
      </x:c>
      <x:c r="R29" s="2" t="str">
        <x:v>https://www.propertyguru.com.sg/listing/for-rent-the-bayshore-25544801</x:v>
      </x:c>
      <x:c r="S29" s="2" t="str">
        <x:v>ranked</x:v>
      </x:c>
    </x:row>
    <x:row r="30" ht="22" customHeight="1">
      <x:c r="A30" s="2" t="str">
        <x:v>S03-T01</x:v>
      </x:c>
      <x:c r="B30" s="2" t="str">
        <x:v>S03</x:v>
      </x:c>
      <x:c r="C30" s="2" t="str">
        <x:v>Retained</x:v>
      </x:c>
      <x:c r="D30" s="11" t="n">
        <x:v>1</x:v>
      </x:c>
      <x:c r="E30" s="11" t="n">
        <x:v>5</x:v>
      </x:c>
      <x:c r="F30" s="2" t="str">
        <x:v>500269618</x:v>
      </x:c>
      <x:c r="G30" s="2" t="str">
        <x:v>S03|500269618</x:v>
      </x:c>
      <x:c r="H30" s="2" t="n">
        <x:f>IFERROR(VLOOKUP(G30,'Ratings'!$A$6:$F$1387,6,FALSE),"Unknown")</x:f>
        <x:v>1</x:v>
      </x:c>
      <x:c r="I30" s="2" t="n">
        <x:f>IF(ISNUMBER(H30),1,0)</x:f>
        <x:v>1</x:v>
      </x:c>
      <x:c r="J30" s="2" t="n">
        <x:f>IF(ISNUMBER(H30),IF(H30&gt;=2,1,0),0)</x:f>
        <x:v>0</x:v>
      </x:c>
      <x:c r="K30" s="14" t="n">
        <x:f>IF(ISNUMBER(H30),2^H30-1,0)</x:f>
        <x:v>1</x:v>
      </x:c>
      <x:c r="L30" s="14" t="n">
        <x:f>K30/LOG(E30+1,2)</x:f>
        <x:v>0.38685280723454163</x:v>
      </x:c>
      <x:c r="M30" s="10" t="n">
        <x:v>1100</x:v>
      </x:c>
      <x:c r="N30" s="10" t="n">
        <x:v>3</x:v>
      </x:c>
      <x:c r="O30" s="10" t="n">
        <x:v>947</x:v>
      </x:c>
      <x:c r="P30" s="2" t="str">
        <x:v>D20</x:v>
      </x:c>
      <x:c r="Q30" s="2" t="str">
        <x:v>hdb flat</x:v>
      </x:c>
      <x:c r="R30" s="2" t="str">
        <x:v>https://www.propertyguru.com.sg/listing/hdb-for-rent-25-sin-ming-road-500269618</x:v>
      </x:c>
      <x:c r="S30" s="2" t="str">
        <x:v>ranked</x:v>
      </x:c>
    </x:row>
    <x:row r="31" ht="22" customHeight="1">
      <x:c r="A31" s="2" t="str">
        <x:v>S03-T01</x:v>
      </x:c>
      <x:c r="B31" s="2" t="str">
        <x:v>S03</x:v>
      </x:c>
      <x:c r="C31" s="2" t="str">
        <x:v>Retained</x:v>
      </x:c>
      <x:c r="D31" s="11" t="n">
        <x:v>1</x:v>
      </x:c>
      <x:c r="E31" s="11" t="n">
        <x:v>6</x:v>
      </x:c>
      <x:c r="F31" s="2" t="str">
        <x:v>25209933</x:v>
      </x:c>
      <x:c r="G31" s="2" t="str">
        <x:v>S03|25209933</x:v>
      </x:c>
      <x:c r="H31" s="2" t="n">
        <x:f>IFERROR(VLOOKUP(G31,'Ratings'!$A$6:$F$1387,6,FALSE),"Unknown")</x:f>
        <x:v>1</x:v>
      </x:c>
      <x:c r="I31" s="2" t="n">
        <x:f>IF(ISNUMBER(H31),1,0)</x:f>
        <x:v>1</x:v>
      </x:c>
      <x:c r="J31" s="2" t="n">
        <x:f>IF(ISNUMBER(H31),IF(H31&gt;=2,1,0),0)</x:f>
        <x:v>0</x:v>
      </x:c>
      <x:c r="K31" s="14" t="n">
        <x:f>IF(ISNUMBER(H31),2^H31-1,0)</x:f>
        <x:v>1</x:v>
      </x:c>
      <x:c r="L31" s="14" t="n">
        <x:f>K31/LOG(E31+1,2)</x:f>
        <x:v>0.3562071871080222</x:v>
      </x:c>
      <x:c r="M31" s="10" t="n">
        <x:v>1150</x:v>
      </x:c>
      <x:c r="N31" s="10" t="n">
        <x:v>3</x:v>
      </x:c>
      <x:c r="O31" s="10" t="n">
        <x:v>190</x:v>
      </x:c>
      <x:c r="P31" s="2" t="str">
        <x:v>D23</x:v>
      </x:c>
      <x:c r="Q31" s="2" t="str">
        <x:v>hdb flat</x:v>
      </x:c>
      <x:c r="R31" s="2" t="str">
        <x:v>https://www.propertyguru.com.sg/listing/hdb-for-rent-288g-bukit-batok-street-25-25209933</x:v>
      </x:c>
      <x:c r="S31" s="2" t="str">
        <x:v>ranked</x:v>
      </x:c>
    </x:row>
    <x:row r="32" ht="22" customHeight="1">
      <x:c r="A32" s="2" t="str">
        <x:v>S03-T01</x:v>
      </x:c>
      <x:c r="B32" s="2" t="str">
        <x:v>S03</x:v>
      </x:c>
      <x:c r="C32" s="2" t="str">
        <x:v>Retained</x:v>
      </x:c>
      <x:c r="D32" s="11" t="n">
        <x:v>1</x:v>
      </x:c>
      <x:c r="E32" s="11" t="n">
        <x:v>7</x:v>
      </x:c>
      <x:c r="F32" s="2" t="str">
        <x:v>25549139</x:v>
      </x:c>
      <x:c r="G32" s="2" t="str">
        <x:v>S03|25549139</x:v>
      </x:c>
      <x:c r="H32" s="2" t="n">
        <x:f>IFERROR(VLOOKUP(G32,'Ratings'!$A$6:$F$1387,6,FALSE),"Unknown")</x:f>
        <x:v>1</x:v>
      </x:c>
      <x:c r="I32" s="2" t="n">
        <x:f>IF(ISNUMBER(H32),1,0)</x:f>
        <x:v>1</x:v>
      </x:c>
      <x:c r="J32" s="2" t="n">
        <x:f>IF(ISNUMBER(H32),IF(H32&gt;=2,1,0),0)</x:f>
        <x:v>0</x:v>
      </x:c>
      <x:c r="K32" s="14" t="n">
        <x:f>IF(ISNUMBER(H32),2^H32-1,0)</x:f>
        <x:v>1</x:v>
      </x:c>
      <x:c r="L32" s="14" t="n">
        <x:f>K32/LOG(E32+1,2)</x:f>
        <x:v>0.3333333333333333</x:v>
      </x:c>
      <x:c r="M32" s="10" t="n">
        <x:v>1150</x:v>
      </x:c>
      <x:c r="N32" s="10" t="n">
        <x:v>6</x:v>
      </x:c>
      <x:c r="O32" s="10" t="n">
        <x:v>120</x:v>
      </x:c>
      <x:c r="P32" s="2" t="str">
        <x:v>D22</x:v>
      </x:c>
      <x:c r="Q32" s="2" t="str">
        <x:v>condominium</x:v>
      </x:c>
      <x:c r="R32" s="2" t="str">
        <x:v>https://www.propertyguru.com.sg/listing/for-rent-parc-oasis-25549139</x:v>
      </x:c>
      <x:c r="S32" s="2" t="str">
        <x:v>ranked</x:v>
      </x:c>
    </x:row>
    <x:row r="33" ht="22" customHeight="1">
      <x:c r="A33" s="2" t="str">
        <x:v>S03-T01</x:v>
      </x:c>
      <x:c r="B33" s="2" t="str">
        <x:v>S03</x:v>
      </x:c>
      <x:c r="C33" s="2" t="str">
        <x:v>Retained</x:v>
      </x:c>
      <x:c r="D33" s="11" t="n">
        <x:v>1</x:v>
      </x:c>
      <x:c r="E33" s="11" t="n">
        <x:v>8</x:v>
      </x:c>
      <x:c r="F33" s="2" t="str">
        <x:v>25280571</x:v>
      </x:c>
      <x:c r="G33" s="2" t="str">
        <x:v>S03|25280571</x:v>
      </x:c>
      <x:c r="H33" s="2" t="n">
        <x:f>IFERROR(VLOOKUP(G33,'Ratings'!$A$6:$F$1387,6,FALSE),"Unknown")</x:f>
        <x:v>1</x:v>
      </x:c>
      <x:c r="I33" s="2" t="n">
        <x:f>IF(ISNUMBER(H33),1,0)</x:f>
        <x:v>1</x:v>
      </x:c>
      <x:c r="J33" s="2" t="n">
        <x:f>IF(ISNUMBER(H33),IF(H33&gt;=2,1,0),0)</x:f>
        <x:v>0</x:v>
      </x:c>
      <x:c r="K33" s="14" t="n">
        <x:f>IF(ISNUMBER(H33),2^H33-1,0)</x:f>
        <x:v>1</x:v>
      </x:c>
      <x:c r="L33" s="14" t="n">
        <x:f>K33/LOG(E33+1,2)</x:f>
        <x:v>0.3154648767857287</x:v>
      </x:c>
      <x:c r="M33" s="10" t="n">
        <x:v>1200</x:v>
      </x:c>
      <x:c r="N33" s="10" t="n">
        <x:v>2</x:v>
      </x:c>
      <x:c r="O33" s="10" t="n">
        <x:v>300</x:v>
      </x:c>
      <x:c r="P33" s="2" t="str">
        <x:v>D08</x:v>
      </x:c>
      <x:c r="Q33" s="2" t="str">
        <x:v>hdb flat</x:v>
      </x:c>
      <x:c r="R33" s="2" t="str">
        <x:v>https://www.propertyguru.com.sg/listing/hdb-for-rent-661-buffalo-road-25280571</x:v>
      </x:c>
      <x:c r="S33" s="2" t="str">
        <x:v>ranked</x:v>
      </x:c>
    </x:row>
    <x:row r="34" ht="22" customHeight="1">
      <x:c r="A34" s="2" t="str">
        <x:v>S03-T01</x:v>
      </x:c>
      <x:c r="B34" s="2" t="str">
        <x:v>S03</x:v>
      </x:c>
      <x:c r="C34" s="2" t="str">
        <x:v>Retained</x:v>
      </x:c>
      <x:c r="D34" s="11" t="n">
        <x:v>1</x:v>
      </x:c>
      <x:c r="E34" s="11" t="n">
        <x:v>9</x:v>
      </x:c>
      <x:c r="F34" s="2" t="str">
        <x:v>500259048</x:v>
      </x:c>
      <x:c r="G34" s="2" t="str">
        <x:v>S03|500259048</x:v>
      </x:c>
      <x:c r="H34" s="2" t="n">
        <x:f>IFERROR(VLOOKUP(G34,'Ratings'!$A$6:$F$1387,6,FALSE),"Unknown")</x:f>
        <x:v>1</x:v>
      </x:c>
      <x:c r="I34" s="2" t="n">
        <x:f>IF(ISNUMBER(H34),1,0)</x:f>
        <x:v>1</x:v>
      </x:c>
      <x:c r="J34" s="2" t="n">
        <x:f>IF(ISNUMBER(H34),IF(H34&gt;=2,1,0),0)</x:f>
        <x:v>0</x:v>
      </x:c>
      <x:c r="K34" s="14" t="n">
        <x:f>IF(ISNUMBER(H34),2^H34-1,0)</x:f>
        <x:v>1</x:v>
      </x:c>
      <x:c r="L34" s="14" t="n">
        <x:f>K34/LOG(E34+1,2)</x:f>
        <x:v>0.30102999566398114</x:v>
      </x:c>
      <x:c r="M34" s="10" t="n">
        <x:v>1300</x:v>
      </x:c>
      <x:c r="N34" s="10" t="n">
        <x:v>3</x:v>
      </x:c>
      <x:c r="O34" s="10" t="n">
        <x:v>732</x:v>
      </x:c>
      <x:c r="P34" s="2" t="str">
        <x:v>D12</x:v>
      </x:c>
      <x:c r="Q34" s="2" t="str">
        <x:v>hdb flat</x:v>
      </x:c>
      <x:c r="R34" s="2" t="str">
        <x:v>https://www.propertyguru.com.sg/listing/hdb-for-rent-63-kallang-bahru-500259048</x:v>
      </x:c>
      <x:c r="S34" s="2" t="str">
        <x:v>ranked</x:v>
      </x:c>
    </x:row>
    <x:row r="35" ht="22" customHeight="1">
      <x:c r="A35" s="2" t="str">
        <x:v>S03-T01</x:v>
      </x:c>
      <x:c r="B35" s="2" t="str">
        <x:v>S03</x:v>
      </x:c>
      <x:c r="C35" s="2" t="str">
        <x:v>Retained</x:v>
      </x:c>
      <x:c r="D35" s="11" t="n">
        <x:v>1</x:v>
      </x:c>
      <x:c r="E35" s="11" t="n">
        <x:v>10</x:v>
      </x:c>
      <x:c r="F35" s="2" t="str">
        <x:v>500127611</x:v>
      </x:c>
      <x:c r="G35" s="2" t="str">
        <x:v>S03|500127611</x:v>
      </x:c>
      <x:c r="H35" s="2" t="n">
        <x:f>IFERROR(VLOOKUP(G35,'Ratings'!$A$6:$F$1387,6,FALSE),"Unknown")</x:f>
        <x:v>1</x:v>
      </x:c>
      <x:c r="I35" s="2" t="n">
        <x:f>IF(ISNUMBER(H35),1,0)</x:f>
        <x:v>1</x:v>
      </x:c>
      <x:c r="J35" s="2" t="n">
        <x:f>IF(ISNUMBER(H35),IF(H35&gt;=2,1,0),0)</x:f>
        <x:v>0</x:v>
      </x:c>
      <x:c r="K35" s="14" t="n">
        <x:f>IF(ISNUMBER(H35),2^H35-1,0)</x:f>
        <x:v>1</x:v>
      </x:c>
      <x:c r="L35" s="14" t="n">
        <x:f>K35/LOG(E35+1,2)</x:f>
        <x:v>0.2890648263178878</x:v>
      </x:c>
      <x:c r="M35" s="10" t="n">
        <x:v>1450</x:v>
      </x:c>
      <x:c r="N35" s="10" t="n">
        <x:v>2</x:v>
      </x:c>
      <x:c r="O35" s="10" t="n">
        <x:v>100</x:v>
      </x:c>
      <x:c r="P35" s="2" t="str">
        <x:v>D10</x:v>
      </x:c>
      <x:c r="Q35" s="2" t="str">
        <x:v>walk-up apartment</x:v>
      </x:c>
      <x:c r="R35" s="2" t="str">
        <x:v>https://www.propertyguru.com.sg/listing/for-rent-sixth-avenue-walk-up-apartment-500127611</x:v>
      </x:c>
      <x:c r="S35" s="2" t="str">
        <x:v>ranked</x:v>
      </x:c>
    </x:row>
    <x:row r="36" ht="22" customHeight="1">
      <x:c r="A36" s="2" t="str">
        <x:v>S04-T01</x:v>
      </x:c>
      <x:c r="B36" s="2" t="str">
        <x:v>S04</x:v>
      </x:c>
      <x:c r="C36" s="2" t="str">
        <x:v>Retained</x:v>
      </x:c>
      <x:c r="D36" s="11" t="n">
        <x:v>1</x:v>
      </x:c>
      <x:c r="E36" s="11" t="n">
        <x:v>1</x:v>
      </x:c>
      <x:c r="F36" s="2" t="str">
        <x:v>23509141</x:v>
      </x:c>
      <x:c r="G36" s="2" t="str">
        <x:v>S04|23509141</x:v>
      </x:c>
      <x:c r="H36" s="2" t="n">
        <x:f>IFERROR(VLOOKUP(G36,'Ratings'!$A$6:$F$1387,6,FALSE),"Unknown")</x:f>
        <x:v>3</x:v>
      </x:c>
      <x:c r="I36" s="2" t="n">
        <x:f>IF(ISNUMBER(H36),1,0)</x:f>
        <x:v>1</x:v>
      </x:c>
      <x:c r="J36" s="2" t="n">
        <x:f>IF(ISNUMBER(H36),IF(H36&gt;=2,1,0),0)</x:f>
        <x:v>1</x:v>
      </x:c>
      <x:c r="K36" s="14" t="n">
        <x:f>IF(ISNUMBER(H36),2^H36-1,0)</x:f>
        <x:v>7</x:v>
      </x:c>
      <x:c r="L36" s="14" t="n">
        <x:f>K36/LOG(E36+1,2)</x:f>
        <x:v>7</x:v>
      </x:c>
      <x:c r="M36" s="10" t="n">
        <x:v>3988</x:v>
      </x:c>
      <x:c r="N36" s="10" t="n">
        <x:v>3</x:v>
      </x:c>
      <x:c r="O36" s="10" t="n">
        <x:v>1270</x:v>
      </x:c>
      <x:c r="P36" s="2" t="str">
        <x:v>D05</x:v>
      </x:c>
      <x:c r="Q36" s="2" t="str">
        <x:v>hdb flat</x:v>
      </x:c>
      <x:c r="R36" s="2" t="str">
        <x:v>https://www.propertyguru.com.sg/listing/hdb-for-rent-717-clementi-west-street-2-23509141</x:v>
      </x:c>
      <x:c r="S36" s="2" t="str">
        <x:v>near_tie_sampling</x:v>
      </x:c>
    </x:row>
    <x:row r="37" ht="22" customHeight="1">
      <x:c r="A37" s="2" t="str">
        <x:v>S04-T01</x:v>
      </x:c>
      <x:c r="B37" s="2" t="str">
        <x:v>S04</x:v>
      </x:c>
      <x:c r="C37" s="2" t="str">
        <x:v>Retained</x:v>
      </x:c>
      <x:c r="D37" s="11" t="n">
        <x:v>1</x:v>
      </x:c>
      <x:c r="E37" s="11" t="n">
        <x:v>2</x:v>
      </x:c>
      <x:c r="F37" s="2" t="str">
        <x:v>500266415</x:v>
      </x:c>
      <x:c r="G37" s="2" t="str">
        <x:v>S04|500266415</x:v>
      </x:c>
      <x:c r="H37" s="2" t="n">
        <x:f>IFERROR(VLOOKUP(G37,'Ratings'!$A$6:$F$1387,6,FALSE),"Unknown")</x:f>
        <x:v>3</x:v>
      </x:c>
      <x:c r="I37" s="2" t="n">
        <x:f>IF(ISNUMBER(H37),1,0)</x:f>
        <x:v>1</x:v>
      </x:c>
      <x:c r="J37" s="2" t="n">
        <x:f>IF(ISNUMBER(H37),IF(H37&gt;=2,1,0),0)</x:f>
        <x:v>1</x:v>
      </x:c>
      <x:c r="K37" s="14" t="n">
        <x:f>IF(ISNUMBER(H37),2^H37-1,0)</x:f>
        <x:v>7</x:v>
      </x:c>
      <x:c r="L37" s="14" t="n">
        <x:f>K37/LOG(E37+1,2)</x:f>
        <x:v>4.4165082750002025</x:v>
      </x:c>
      <x:c r="M37" s="10" t="n">
        <x:v>3300</x:v>
      </x:c>
      <x:c r="N37" s="10" t="n">
        <x:v>2</x:v>
      </x:c>
      <x:c r="O37" s="10" t="n">
        <x:v>980</x:v>
      </x:c>
      <x:c r="P37" s="2" t="str">
        <x:v>D05</x:v>
      </x:c>
      <x:c r="Q37" s="2" t="str">
        <x:v>hdb flat</x:v>
      </x:c>
      <x:c r="R37" s="2" t="str">
        <x:v>https://www.propertyguru.com.sg/listing/hdb-for-rent-511-west-coast-drive-500266415</x:v>
      </x:c>
      <x:c r="S37" s="2" t="str">
        <x:v>near_tie_sampling</x:v>
      </x:c>
    </x:row>
    <x:row r="38" ht="22" customHeight="1">
      <x:c r="A38" s="2" t="str">
        <x:v>S04-T01</x:v>
      </x:c>
      <x:c r="B38" s="2" t="str">
        <x:v>S04</x:v>
      </x:c>
      <x:c r="C38" s="2" t="str">
        <x:v>Retained</x:v>
      </x:c>
      <x:c r="D38" s="11" t="n">
        <x:v>1</x:v>
      </x:c>
      <x:c r="E38" s="11" t="n">
        <x:v>3</x:v>
      </x:c>
      <x:c r="F38" s="2" t="str">
        <x:v>500164225</x:v>
      </x:c>
      <x:c r="G38" s="2" t="str">
        <x:v>S04|500164225</x:v>
      </x:c>
      <x:c r="H38" s="2" t="n">
        <x:f>IFERROR(VLOOKUP(G38,'Ratings'!$A$6:$F$1387,6,FALSE),"Unknown")</x:f>
        <x:v>3</x:v>
      </x:c>
      <x:c r="I38" s="2" t="n">
        <x:f>IF(ISNUMBER(H38),1,0)</x:f>
        <x:v>1</x:v>
      </x:c>
      <x:c r="J38" s="2" t="n">
        <x:f>IF(ISNUMBER(H38),IF(H38&gt;=2,1,0),0)</x:f>
        <x:v>1</x:v>
      </x:c>
      <x:c r="K38" s="14" t="n">
        <x:f>IF(ISNUMBER(H38),2^H38-1,0)</x:f>
        <x:v>7</x:v>
      </x:c>
      <x:c r="L38" s="14" t="n">
        <x:f>K38/LOG(E38+1,2)</x:f>
        <x:v>3.5</x:v>
      </x:c>
      <x:c r="M38" s="10" t="n">
        <x:v>3999</x:v>
      </x:c>
      <x:c r="N38" s="10" t="n">
        <x:v>3</x:v>
      </x:c>
      <x:c r="O38" s="10" t="n">
        <x:v>1238</x:v>
      </x:c>
      <x:c r="P38" s="2" t="str">
        <x:v>D05</x:v>
      </x:c>
      <x:c r="Q38" s="2" t="str">
        <x:v>hdb flat</x:v>
      </x:c>
      <x:c r="R38" s="2" t="str">
        <x:v>https://www.propertyguru.com.sg/listing/hdb-for-rent-604-clementi-west-street-1-500164225</x:v>
      </x:c>
      <x:c r="S38" s="2" t="str">
        <x:v>near_tie_sampling</x:v>
      </x:c>
    </x:row>
    <x:row r="39" ht="22" customHeight="1">
      <x:c r="A39" s="2" t="str">
        <x:v>S04-T01</x:v>
      </x:c>
      <x:c r="B39" s="2" t="str">
        <x:v>S04</x:v>
      </x:c>
      <x:c r="C39" s="2" t="str">
        <x:v>Retained</x:v>
      </x:c>
      <x:c r="D39" s="11" t="n">
        <x:v>1</x:v>
      </x:c>
      <x:c r="E39" s="11" t="n">
        <x:v>4</x:v>
      </x:c>
      <x:c r="F39" s="2" t="str">
        <x:v>18689152</x:v>
      </x:c>
      <x:c r="G39" s="2" t="str">
        <x:v>S04|18689152</x:v>
      </x:c>
      <x:c r="H39" s="2" t="n">
        <x:f>IFERROR(VLOOKUP(G39,'Ratings'!$A$6:$F$1387,6,FALSE),"Unknown")</x:f>
        <x:v>3</x:v>
      </x:c>
      <x:c r="I39" s="2" t="n">
        <x:f>IF(ISNUMBER(H39),1,0)</x:f>
        <x:v>1</x:v>
      </x:c>
      <x:c r="J39" s="2" t="n">
        <x:f>IF(ISNUMBER(H39),IF(H39&gt;=2,1,0),0)</x:f>
        <x:v>1</x:v>
      </x:c>
      <x:c r="K39" s="14" t="n">
        <x:f>IF(ISNUMBER(H39),2^H39-1,0)</x:f>
        <x:v>7</x:v>
      </x:c>
      <x:c r="L39" s="14" t="n">
        <x:f>K39/LOG(E39+1,2)</x:f>
        <x:v>3.0147359065137516</x:v>
      </x:c>
      <x:c r="M39" s="10" t="n">
        <x:v>3350</x:v>
      </x:c>
      <x:c r="N39" s="10" t="n">
        <x:v>2</x:v>
      </x:c>
      <x:c r="O39" s="10" t="n">
        <x:v>969</x:v>
      </x:c>
      <x:c r="P39" s="2" t="str">
        <x:v>D05</x:v>
      </x:c>
      <x:c r="Q39" s="2" t="str">
        <x:v>hdb flat</x:v>
      </x:c>
      <x:c r="R39" s="2" t="str">
        <x:v>https://www.propertyguru.com.sg/listing/hdb-for-rent-508-west-coast-drive-18689152</x:v>
      </x:c>
      <x:c r="S39" s="2" t="str">
        <x:v>near_tie_sampling</x:v>
      </x:c>
    </x:row>
    <x:row r="40" ht="22" customHeight="1">
      <x:c r="A40" s="2" t="str">
        <x:v>S04-T01</x:v>
      </x:c>
      <x:c r="B40" s="2" t="str">
        <x:v>S04</x:v>
      </x:c>
      <x:c r="C40" s="2" t="str">
        <x:v>Retained</x:v>
      </x:c>
      <x:c r="D40" s="11" t="n">
        <x:v>1</x:v>
      </x:c>
      <x:c r="E40" s="11" t="n">
        <x:v>5</x:v>
      </x:c>
      <x:c r="F40" s="2" t="str">
        <x:v>500267173</x:v>
      </x:c>
      <x:c r="G40" s="2" t="str">
        <x:v>S04|500267173</x:v>
      </x:c>
      <x:c r="H40" s="2" t="n">
        <x:f>IFERROR(VLOOKUP(G40,'Ratings'!$A$6:$F$1387,6,FALSE),"Unknown")</x:f>
        <x:v>2</x:v>
      </x:c>
      <x:c r="I40" s="2" t="n">
        <x:f>IF(ISNUMBER(H40),1,0)</x:f>
        <x:v>1</x:v>
      </x:c>
      <x:c r="J40" s="2" t="n">
        <x:f>IF(ISNUMBER(H40),IF(H40&gt;=2,1,0),0)</x:f>
        <x:v>1</x:v>
      </x:c>
      <x:c r="K40" s="14" t="n">
        <x:f>IF(ISNUMBER(H40),2^H40-1,0)</x:f>
        <x:v>3</x:v>
      </x:c>
      <x:c r="L40" s="14" t="n">
        <x:f>K40/LOG(E40+1,2)</x:f>
        <x:v>1.1605584217036249</x:v>
      </x:c>
      <x:c r="M40" s="10" t="n">
        <x:v>3000</x:v>
      </x:c>
      <x:c r="N40" s="10" t="n">
        <x:v>2</x:v>
      </x:c>
      <x:c r="O40" s="10" t="n">
        <x:v>721</x:v>
      </x:c>
      <x:c r="P40" s="2" t="str">
        <x:v>D05</x:v>
      </x:c>
      <x:c r="Q40" s="2" t="str">
        <x:v>hdb flat</x:v>
      </x:c>
      <x:c r="R40" s="2" t="str">
        <x:v>https://www.propertyguru.com.sg/listing/hdb-for-rent-306-clementi-avenue-4-500267173</x:v>
      </x:c>
      <x:c r="S40" s="2" t="str">
        <x:v>near_tie_sampling</x:v>
      </x:c>
    </x:row>
    <x:row r="41" ht="22" customHeight="1">
      <x:c r="A41" s="2" t="str">
        <x:v>S04-T01</x:v>
      </x:c>
      <x:c r="B41" s="2" t="str">
        <x:v>S04</x:v>
      </x:c>
      <x:c r="C41" s="2" t="str">
        <x:v>Retained</x:v>
      </x:c>
      <x:c r="D41" s="11" t="n">
        <x:v>1</x:v>
      </x:c>
      <x:c r="E41" s="11" t="n">
        <x:v>6</x:v>
      </x:c>
      <x:c r="F41" s="2" t="str">
        <x:v>20617351</x:v>
      </x:c>
      <x:c r="G41" s="2" t="str">
        <x:v>S04|20617351</x:v>
      </x:c>
      <x:c r="H41" s="2" t="n">
        <x:f>IFERROR(VLOOKUP(G41,'Ratings'!$A$6:$F$1387,6,FALSE),"Unknown")</x:f>
        <x:v>2</x:v>
      </x:c>
      <x:c r="I41" s="2" t="n">
        <x:f>IF(ISNUMBER(H41),1,0)</x:f>
        <x:v>1</x:v>
      </x:c>
      <x:c r="J41" s="2" t="n">
        <x:f>IF(ISNUMBER(H41),IF(H41&gt;=2,1,0),0)</x:f>
        <x:v>1</x:v>
      </x:c>
      <x:c r="K41" s="14" t="n">
        <x:f>IF(ISNUMBER(H41),2^H41-1,0)</x:f>
        <x:v>3</x:v>
      </x:c>
      <x:c r="L41" s="14" t="n">
        <x:f>K41/LOG(E41+1,2)</x:f>
        <x:v>1.0686215613240666</x:v>
      </x:c>
      <x:c r="M41" s="10" t="n">
        <x:v>3000</x:v>
      </x:c>
      <x:c r="N41" s="10" t="n">
        <x:v>2</x:v>
      </x:c>
      <x:c r="O41" s="10" t="n">
        <x:v>700</x:v>
      </x:c>
      <x:c r="P41" s="2" t="str">
        <x:v>D05</x:v>
      </x:c>
      <x:c r="Q41" s="2" t="str">
        <x:v>hdb flat</x:v>
      </x:c>
      <x:c r="R41" s="2" t="str">
        <x:v>https://www.propertyguru.com.sg/listing/hdb-for-rent-354-clementi-avenue-2-20617351</x:v>
      </x:c>
      <x:c r="S41" s="2" t="str">
        <x:v>near_tie_sampling</x:v>
      </x:c>
    </x:row>
    <x:row r="42" ht="22" customHeight="1">
      <x:c r="A42" s="2" t="str">
        <x:v>S04-T01</x:v>
      </x:c>
      <x:c r="B42" s="2" t="str">
        <x:v>S04</x:v>
      </x:c>
      <x:c r="C42" s="2" t="str">
        <x:v>Retained</x:v>
      </x:c>
      <x:c r="D42" s="11" t="n">
        <x:v>1</x:v>
      </x:c>
      <x:c r="E42" s="11" t="n">
        <x:v>7</x:v>
      </x:c>
      <x:c r="F42" s="2" t="str">
        <x:v>500262756</x:v>
      </x:c>
      <x:c r="G42" s="2" t="str">
        <x:v>S04|500262756</x:v>
      </x:c>
      <x:c r="H42" s="2" t="n">
        <x:f>IFERROR(VLOOKUP(G42,'Ratings'!$A$6:$F$1387,6,FALSE),"Unknown")</x:f>
        <x:v>2</x:v>
      </x:c>
      <x:c r="I42" s="2" t="n">
        <x:f>IF(ISNUMBER(H42),1,0)</x:f>
        <x:v>1</x:v>
      </x:c>
      <x:c r="J42" s="2" t="n">
        <x:f>IF(ISNUMBER(H42),IF(H42&gt;=2,1,0),0)</x:f>
        <x:v>1</x:v>
      </x:c>
      <x:c r="K42" s="14" t="n">
        <x:f>IF(ISNUMBER(H42),2^H42-1,0)</x:f>
        <x:v>3</x:v>
      </x:c>
      <x:c r="L42" s="14" t="n">
        <x:f>K42/LOG(E42+1,2)</x:f>
        <x:v>1</x:v>
      </x:c>
      <x:c r="M42" s="10" t="n">
        <x:v>3000</x:v>
      </x:c>
      <x:c r="N42" s="10" t="n">
        <x:v>2</x:v>
      </x:c>
      <x:c r="O42" s="10" t="n">
        <x:v>699</x:v>
      </x:c>
      <x:c r="P42" s="2" t="str">
        <x:v>D05</x:v>
      </x:c>
      <x:c r="Q42" s="2" t="str">
        <x:v>hdb flat</x:v>
      </x:c>
      <x:c r="R42" s="2" t="str">
        <x:v>https://www.propertyguru.com.sg/listing/hdb-for-rent-2-dover-road-500262756</x:v>
      </x:c>
      <x:c r="S42" s="2" t="str">
        <x:v>near_tie_sampling</x:v>
      </x:c>
    </x:row>
    <x:row r="43" ht="22" customHeight="1">
      <x:c r="A43" s="2" t="str">
        <x:v>S04-T01</x:v>
      </x:c>
      <x:c r="B43" s="2" t="str">
        <x:v>S04</x:v>
      </x:c>
      <x:c r="C43" s="2" t="str">
        <x:v>Retained</x:v>
      </x:c>
      <x:c r="D43" s="11" t="n">
        <x:v>1</x:v>
      </x:c>
      <x:c r="E43" s="11" t="n">
        <x:v>8</x:v>
      </x:c>
      <x:c r="F43" s="2" t="str">
        <x:v>24981163</x:v>
      </x:c>
      <x:c r="G43" s="2" t="str">
        <x:v>S04|24981163</x:v>
      </x:c>
      <x:c r="H43" s="2" t="n">
        <x:f>IFERROR(VLOOKUP(G43,'Ratings'!$A$6:$F$1387,6,FALSE),"Unknown")</x:f>
        <x:v>2</x:v>
      </x:c>
      <x:c r="I43" s="2" t="n">
        <x:f>IF(ISNUMBER(H43),1,0)</x:f>
        <x:v>1</x:v>
      </x:c>
      <x:c r="J43" s="2" t="n">
        <x:f>IF(ISNUMBER(H43),IF(H43&gt;=2,1,0),0)</x:f>
        <x:v>1</x:v>
      </x:c>
      <x:c r="K43" s="14" t="n">
        <x:f>IF(ISNUMBER(H43),2^H43-1,0)</x:f>
        <x:v>3</x:v>
      </x:c>
      <x:c r="L43" s="14" t="n">
        <x:f>K43/LOG(E43+1,2)</x:f>
        <x:v>0.9463946303571861</x:v>
      </x:c>
      <x:c r="M43" s="10" t="n">
        <x:v>3800</x:v>
      </x:c>
      <x:c r="N43" s="10" t="n">
        <x:v>3</x:v>
      </x:c>
      <x:c r="O43" s="10" t="n">
        <x:v>1012</x:v>
      </x:c>
      <x:c r="P43" s="2" t="str">
        <x:v>D05</x:v>
      </x:c>
      <x:c r="Q43" s="2" t="str">
        <x:v>hdb flat</x:v>
      </x:c>
      <x:c r="R43" s="2" t="str">
        <x:v>https://www.propertyguru.com.sg/listing/hdb-for-rent-381-clementi-avenue-5-24981163</x:v>
      </x:c>
      <x:c r="S43" s="2" t="str">
        <x:v>near_tie_sampling</x:v>
      </x:c>
    </x:row>
    <x:row r="44" ht="22" customHeight="1">
      <x:c r="A44" s="2" t="str">
        <x:v>S04-T01</x:v>
      </x:c>
      <x:c r="B44" s="2" t="str">
        <x:v>S04</x:v>
      </x:c>
      <x:c r="C44" s="2" t="str">
        <x:v>Retained</x:v>
      </x:c>
      <x:c r="D44" s="11" t="n">
        <x:v>1</x:v>
      </x:c>
      <x:c r="E44" s="11" t="n">
        <x:v>9</x:v>
      </x:c>
      <x:c r="F44" s="2" t="str">
        <x:v>60126094</x:v>
      </x:c>
      <x:c r="G44" s="2" t="str">
        <x:v>S04|60126094</x:v>
      </x:c>
      <x:c r="H44" s="2" t="n">
        <x:f>IFERROR(VLOOKUP(G44,'Ratings'!$A$6:$F$1387,6,FALSE),"Unknown")</x:f>
        <x:v>2</x:v>
      </x:c>
      <x:c r="I44" s="2" t="n">
        <x:f>IF(ISNUMBER(H44),1,0)</x:f>
        <x:v>1</x:v>
      </x:c>
      <x:c r="J44" s="2" t="n">
        <x:f>IF(ISNUMBER(H44),IF(H44&gt;=2,1,0),0)</x:f>
        <x:v>1</x:v>
      </x:c>
      <x:c r="K44" s="14" t="n">
        <x:f>IF(ISNUMBER(H44),2^H44-1,0)</x:f>
        <x:v>3</x:v>
      </x:c>
      <x:c r="L44" s="14" t="n">
        <x:f>K44/LOG(E44+1,2)</x:f>
        <x:v>0.9030899869919435</x:v>
      </x:c>
      <x:c r="M44" s="10" t="n">
        <x:v>3100</x:v>
      </x:c>
      <x:c r="N44" s="10" t="n">
        <x:v>2</x:v>
      </x:c>
      <x:c r="O44" s="10" t="n">
        <x:v>721</x:v>
      </x:c>
      <x:c r="P44" s="2" t="str">
        <x:v>D05</x:v>
      </x:c>
      <x:c r="Q44" s="2" t="str">
        <x:v>hdb flat</x:v>
      </x:c>
      <x:c r="R44" s="2" t="str">
        <x:v>https://www.propertyguru.com.sg/listing/hdb-for-rent-339-clementi-avenue-5-60126094</x:v>
      </x:c>
      <x:c r="S44" s="2" t="str">
        <x:v>near_tie_sampling</x:v>
      </x:c>
    </x:row>
    <x:row r="45" ht="22" customHeight="1">
      <x:c r="A45" s="2" t="str">
        <x:v>S04-T01</x:v>
      </x:c>
      <x:c r="B45" s="2" t="str">
        <x:v>S04</x:v>
      </x:c>
      <x:c r="C45" s="2" t="str">
        <x:v>Retained</x:v>
      </x:c>
      <x:c r="D45" s="11" t="n">
        <x:v>1</x:v>
      </x:c>
      <x:c r="E45" s="11" t="n">
        <x:v>10</x:v>
      </x:c>
      <x:c r="F45" s="2" t="str">
        <x:v>23927224</x:v>
      </x:c>
      <x:c r="G45" s="2" t="str">
        <x:v>S04|23927224</x:v>
      </x:c>
      <x:c r="H45" s="2" t="n">
        <x:f>IFERROR(VLOOKUP(G45,'Ratings'!$A$6:$F$1387,6,FALSE),"Unknown")</x:f>
        <x:v>2</x:v>
      </x:c>
      <x:c r="I45" s="2" t="n">
        <x:f>IF(ISNUMBER(H45),1,0)</x:f>
        <x:v>1</x:v>
      </x:c>
      <x:c r="J45" s="2" t="n">
        <x:f>IF(ISNUMBER(H45),IF(H45&gt;=2,1,0),0)</x:f>
        <x:v>1</x:v>
      </x:c>
      <x:c r="K45" s="14" t="n">
        <x:f>IF(ISNUMBER(H45),2^H45-1,0)</x:f>
        <x:v>3</x:v>
      </x:c>
      <x:c r="L45" s="14" t="n">
        <x:f>K45/LOG(E45+1,2)</x:f>
        <x:v>0.8671944789536634</x:v>
      </x:c>
      <x:c r="M45" s="10" t="n">
        <x:v>3300</x:v>
      </x:c>
      <x:c r="N45" s="10" t="n">
        <x:v>2</x:v>
      </x:c>
      <x:c r="O45" s="10" t="n">
        <x:v>797</x:v>
      </x:c>
      <x:c r="P45" s="2" t="str">
        <x:v>D05</x:v>
      </x:c>
      <x:c r="Q45" s="2" t="str">
        <x:v>hdb flat</x:v>
      </x:c>
      <x:c r="R45" s="2" t="str">
        <x:v>https://www.propertyguru.com.sg/listing/hdb-for-rent-610-clementi-west-street-1-23927224</x:v>
      </x:c>
      <x:c r="S45" s="2" t="str">
        <x:v>near_tie_sampling</x:v>
      </x:c>
    </x:row>
    <x:row r="46" ht="22" customHeight="1">
      <x:c r="A46" s="2" t="str">
        <x:v>S05-T01</x:v>
      </x:c>
      <x:c r="B46" s="2" t="str">
        <x:v>S05</x:v>
      </x:c>
      <x:c r="C46" s="2" t="str">
        <x:v>Retained</x:v>
      </x:c>
      <x:c r="D46" s="11" t="n">
        <x:v>1</x:v>
      </x:c>
      <x:c r="E46" s="11" t="n">
        <x:v>1</x:v>
      </x:c>
      <x:c r="F46" s="2" t="str">
        <x:v>500092043</x:v>
      </x:c>
      <x:c r="G46" s="2" t="str">
        <x:v>S05|500092043</x:v>
      </x:c>
      <x:c r="H46" s="2" t="n">
        <x:f>IFERROR(VLOOKUP(G46,'Ratings'!$A$6:$F$1387,6,FALSE),"Unknown")</x:f>
        <x:v>3</x:v>
      </x:c>
      <x:c r="I46" s="2" t="n">
        <x:f>IF(ISNUMBER(H46),1,0)</x:f>
        <x:v>1</x:v>
      </x:c>
      <x:c r="J46" s="2" t="n">
        <x:f>IF(ISNUMBER(H46),IF(H46&gt;=2,1,0),0)</x:f>
        <x:v>1</x:v>
      </x:c>
      <x:c r="K46" s="14" t="n">
        <x:f>IF(ISNUMBER(H46),2^H46-1,0)</x:f>
        <x:v>7</x:v>
      </x:c>
      <x:c r="L46" s="14" t="n">
        <x:f>K46/LOG(E46+1,2)</x:f>
        <x:v>7</x:v>
      </x:c>
      <x:c r="M46" s="10" t="n">
        <x:v>5500</x:v>
      </x:c>
      <x:c r="N46" s="10" t="n">
        <x:v>3</x:v>
      </x:c>
      <x:c r="O46" s="10" t="n">
        <x:v>1500</x:v>
      </x:c>
      <x:c r="P46" s="2" t="str">
        <x:v>D10</x:v>
      </x:c>
      <x:c r="Q46" s="2" t="str">
        <x:v>condominium</x:v>
      </x:c>
      <x:c r="R46" s="2" t="str">
        <x:v>https://www.propertyguru.com.sg/listing/for-rent-rainbow-mansions-500092043</x:v>
      </x:c>
      <x:c r="S46" s="2" t="str">
        <x:v>near_tie_sampling</x:v>
      </x:c>
    </x:row>
    <x:row r="47" ht="22" customHeight="1">
      <x:c r="A47" s="2" t="str">
        <x:v>S05-T01</x:v>
      </x:c>
      <x:c r="B47" s="2" t="str">
        <x:v>S05</x:v>
      </x:c>
      <x:c r="C47" s="2" t="str">
        <x:v>Retained</x:v>
      </x:c>
      <x:c r="D47" s="11" t="n">
        <x:v>1</x:v>
      </x:c>
      <x:c r="E47" s="11" t="n">
        <x:v>2</x:v>
      </x:c>
      <x:c r="F47" s="2" t="str">
        <x:v>20676599</x:v>
      </x:c>
      <x:c r="G47" s="2" t="str">
        <x:v>S05|20676599</x:v>
      </x:c>
      <x:c r="H47" s="2" t="n">
        <x:f>IFERROR(VLOOKUP(G47,'Ratings'!$A$6:$F$1387,6,FALSE),"Unknown")</x:f>
        <x:v>3</x:v>
      </x:c>
      <x:c r="I47" s="2" t="n">
        <x:f>IF(ISNUMBER(H47),1,0)</x:f>
        <x:v>1</x:v>
      </x:c>
      <x:c r="J47" s="2" t="n">
        <x:f>IF(ISNUMBER(H47),IF(H47&gt;=2,1,0),0)</x:f>
        <x:v>1</x:v>
      </x:c>
      <x:c r="K47" s="14" t="n">
        <x:f>IF(ISNUMBER(H47),2^H47-1,0)</x:f>
        <x:v>7</x:v>
      </x:c>
      <x:c r="L47" s="14" t="n">
        <x:f>K47/LOG(E47+1,2)</x:f>
        <x:v>4.4165082750002025</x:v>
      </x:c>
      <x:c r="M47" s="10" t="n">
        <x:v>5900</x:v>
      </x:c>
      <x:c r="N47" s="10" t="n">
        <x:v>3</x:v>
      </x:c>
      <x:c r="O47" s="10" t="n">
        <x:v>1744</x:v>
      </x:c>
      <x:c r="P47" s="2" t="str">
        <x:v>D10</x:v>
      </x:c>
      <x:c r="Q47" s="2" t="str">
        <x:v>condominium</x:v>
      </x:c>
      <x:c r="R47" s="2" t="str">
        <x:v>https://www.propertyguru.com.sg/listing/for-rent-ridgewood-condominium-20676599</x:v>
      </x:c>
      <x:c r="S47" s="2" t="str">
        <x:v>near_tie_sampling</x:v>
      </x:c>
    </x:row>
    <x:row r="48" ht="22" customHeight="1">
      <x:c r="A48" s="2" t="str">
        <x:v>S05-T01</x:v>
      </x:c>
      <x:c r="B48" s="2" t="str">
        <x:v>S05</x:v>
      </x:c>
      <x:c r="C48" s="2" t="str">
        <x:v>Retained</x:v>
      </x:c>
      <x:c r="D48" s="11" t="n">
        <x:v>1</x:v>
      </x:c>
      <x:c r="E48" s="11" t="n">
        <x:v>3</x:v>
      </x:c>
      <x:c r="F48" s="2" t="str">
        <x:v>22280837</x:v>
      </x:c>
      <x:c r="G48" s="2" t="str">
        <x:v>S05|22280837</x:v>
      </x:c>
      <x:c r="H48" s="2" t="n">
        <x:f>IFERROR(VLOOKUP(G48,'Ratings'!$A$6:$F$1387,6,FALSE),"Unknown")</x:f>
        <x:v>2</x:v>
      </x:c>
      <x:c r="I48" s="2" t="n">
        <x:f>IF(ISNUMBER(H48),1,0)</x:f>
        <x:v>1</x:v>
      </x:c>
      <x:c r="J48" s="2" t="n">
        <x:f>IF(ISNUMBER(H48),IF(H48&gt;=2,1,0),0)</x:f>
        <x:v>1</x:v>
      </x:c>
      <x:c r="K48" s="14" t="n">
        <x:f>IF(ISNUMBER(H48),2^H48-1,0)</x:f>
        <x:v>3</x:v>
      </x:c>
      <x:c r="L48" s="14" t="n">
        <x:f>K48/LOG(E48+1,2)</x:f>
        <x:v>1.5</x:v>
      </x:c>
      <x:c r="M48" s="10" t="n">
        <x:v>6300</x:v>
      </x:c>
      <x:c r="N48" s="10" t="n">
        <x:v>3</x:v>
      </x:c>
      <x:c r="O48" s="10" t="n">
        <x:v>1744</x:v>
      </x:c>
      <x:c r="P48" s="2" t="str">
        <x:v>D10</x:v>
      </x:c>
      <x:c r="Q48" s="2" t="str">
        <x:v>condominium</x:v>
      </x:c>
      <x:c r="R48" s="2" t="str">
        <x:v>https://www.propertyguru.com.sg/listing/for-rent-ridgewood-condominium-22280837</x:v>
      </x:c>
      <x:c r="S48" s="2" t="str">
        <x:v>near_tie_sampling</x:v>
      </x:c>
    </x:row>
    <x:row r="49" ht="22" customHeight="1">
      <x:c r="A49" s="2" t="str">
        <x:v>S05-T01</x:v>
      </x:c>
      <x:c r="B49" s="2" t="str">
        <x:v>S05</x:v>
      </x:c>
      <x:c r="C49" s="2" t="str">
        <x:v>Retained</x:v>
      </x:c>
      <x:c r="D49" s="11" t="n">
        <x:v>1</x:v>
      </x:c>
      <x:c r="E49" s="11" t="n">
        <x:v>4</x:v>
      </x:c>
      <x:c r="F49" s="2" t="str">
        <x:v>25141944</x:v>
      </x:c>
      <x:c r="G49" s="2" t="str">
        <x:v>S05|25141944</x:v>
      </x:c>
      <x:c r="H49" s="2" t="n">
        <x:f>IFERROR(VLOOKUP(G49,'Ratings'!$A$6:$F$1387,6,FALSE),"Unknown")</x:f>
        <x:v>2</x:v>
      </x:c>
      <x:c r="I49" s="2" t="n">
        <x:f>IF(ISNUMBER(H49),1,0)</x:f>
        <x:v>1</x:v>
      </x:c>
      <x:c r="J49" s="2" t="n">
        <x:f>IF(ISNUMBER(H49),IF(H49&gt;=2,1,0),0)</x:f>
        <x:v>1</x:v>
      </x:c>
      <x:c r="K49" s="14" t="n">
        <x:f>IF(ISNUMBER(H49),2^H49-1,0)</x:f>
        <x:v>3</x:v>
      </x:c>
      <x:c r="L49" s="14" t="n">
        <x:f>K49/LOG(E49+1,2)</x:f>
        <x:v>1.2920296742201793</x:v>
      </x:c>
      <x:c r="M49" s="10" t="n">
        <x:v>6300</x:v>
      </x:c>
      <x:c r="N49" s="10" t="n">
        <x:v>3</x:v>
      </x:c>
      <x:c r="O49" s="10" t="n">
        <x:v>1507</x:v>
      </x:c>
      <x:c r="P49" s="2" t="str">
        <x:v>D10</x:v>
      </x:c>
      <x:c r="Q49" s="2" t="str">
        <x:v>condominium</x:v>
      </x:c>
      <x:c r="R49" s="2" t="str">
        <x:v>https://www.propertyguru.com.sg/listing/for-rent-the-serenade-holland-25141944</x:v>
      </x:c>
      <x:c r="S49" s="2" t="str">
        <x:v>near_tie_sampling</x:v>
      </x:c>
    </x:row>
    <x:row r="50" ht="22" customHeight="1">
      <x:c r="A50" s="2" t="str">
        <x:v>S05-T01</x:v>
      </x:c>
      <x:c r="B50" s="2" t="str">
        <x:v>S05</x:v>
      </x:c>
      <x:c r="C50" s="2" t="str">
        <x:v>Retained</x:v>
      </x:c>
      <x:c r="D50" s="11" t="n">
        <x:v>1</x:v>
      </x:c>
      <x:c r="E50" s="11" t="n">
        <x:v>5</x:v>
      </x:c>
      <x:c r="F50" s="2" t="str">
        <x:v>21227435</x:v>
      </x:c>
      <x:c r="G50" s="2" t="str">
        <x:v>S05|21227435</x:v>
      </x:c>
      <x:c r="H50" s="2" t="n">
        <x:f>IFERROR(VLOOKUP(G50,'Ratings'!$A$6:$F$1387,6,FALSE),"Unknown")</x:f>
        <x:v>2</x:v>
      </x:c>
      <x:c r="I50" s="2" t="n">
        <x:f>IF(ISNUMBER(H50),1,0)</x:f>
        <x:v>1</x:v>
      </x:c>
      <x:c r="J50" s="2" t="n">
        <x:f>IF(ISNUMBER(H50),IF(H50&gt;=2,1,0),0)</x:f>
        <x:v>1</x:v>
      </x:c>
      <x:c r="K50" s="14" t="n">
        <x:f>IF(ISNUMBER(H50),2^H50-1,0)</x:f>
        <x:v>3</x:v>
      </x:c>
      <x:c r="L50" s="14" t="n">
        <x:f>K50/LOG(E50+1,2)</x:f>
        <x:v>1.1605584217036249</x:v>
      </x:c>
      <x:c r="M50" s="10" t="n">
        <x:v>6500</x:v>
      </x:c>
      <x:c r="N50" s="10" t="n">
        <x:v>4</x:v>
      </x:c>
      <x:c r="O50" s="10" t="n">
        <x:v>1650</x:v>
      </x:c>
      <x:c r="P50" s="2" t="str">
        <x:v>D10</x:v>
      </x:c>
      <x:c r="Q50" s="2" t="str">
        <x:v>condominium</x:v>
      </x:c>
      <x:c r="R50" s="2" t="str">
        <x:v>https://www.propertyguru.com.sg/listing/for-rent-ridgewood-condominium-21227435</x:v>
      </x:c>
      <x:c r="S50" s="2" t="str">
        <x:v>near_tie_sampling</x:v>
      </x:c>
    </x:row>
    <x:row r="51" ht="22" customHeight="1">
      <x:c r="A51" s="2" t="str">
        <x:v>S05-T01</x:v>
      </x:c>
      <x:c r="B51" s="2" t="str">
        <x:v>S05</x:v>
      </x:c>
      <x:c r="C51" s="2" t="str">
        <x:v>Retained</x:v>
      </x:c>
      <x:c r="D51" s="11" t="n">
        <x:v>1</x:v>
      </x:c>
      <x:c r="E51" s="11" t="n">
        <x:v>6</x:v>
      </x:c>
      <x:c r="F51" s="2" t="str">
        <x:v>24572583</x:v>
      </x:c>
      <x:c r="G51" s="2" t="str">
        <x:v>S05|24572583</x:v>
      </x:c>
      <x:c r="H51" s="2" t="n">
        <x:f>IFERROR(VLOOKUP(G51,'Ratings'!$A$6:$F$1387,6,FALSE),"Unknown")</x:f>
        <x:v>2</x:v>
      </x:c>
      <x:c r="I51" s="2" t="n">
        <x:f>IF(ISNUMBER(H51),1,0)</x:f>
        <x:v>1</x:v>
      </x:c>
      <x:c r="J51" s="2" t="n">
        <x:f>IF(ISNUMBER(H51),IF(H51&gt;=2,1,0),0)</x:f>
        <x:v>1</x:v>
      </x:c>
      <x:c r="K51" s="14" t="n">
        <x:f>IF(ISNUMBER(H51),2^H51-1,0)</x:f>
        <x:v>3</x:v>
      </x:c>
      <x:c r="L51" s="14" t="n">
        <x:f>K51/LOG(E51+1,2)</x:f>
        <x:v>1.0686215613240666</x:v>
      </x:c>
      <x:c r="M51" s="10" t="n">
        <x:v>6500</x:v>
      </x:c>
      <x:c r="N51" s="10" t="n">
        <x:v>3</x:v>
      </x:c>
      <x:c r="O51" s="10" t="n">
        <x:v>1700</x:v>
      </x:c>
      <x:c r="P51" s="2" t="str">
        <x:v>D10</x:v>
      </x:c>
      <x:c r="Q51" s="2" t="str">
        <x:v>condominium</x:v>
      </x:c>
      <x:c r="R51" s="2" t="str">
        <x:v>https://www.propertyguru.com.sg/listing/for-rent-ridgewood-condominium-24572583</x:v>
      </x:c>
      <x:c r="S51" s="2" t="str">
        <x:v>near_tie_sampling</x:v>
      </x:c>
    </x:row>
    <x:row r="52" ht="22" customHeight="1">
      <x:c r="A52" s="2" t="str">
        <x:v>S05-T01</x:v>
      </x:c>
      <x:c r="B52" s="2" t="str">
        <x:v>S05</x:v>
      </x:c>
      <x:c r="C52" s="2" t="str">
        <x:v>Retained</x:v>
      </x:c>
      <x:c r="D52" s="11" t="n">
        <x:v>1</x:v>
      </x:c>
      <x:c r="E52" s="11" t="n">
        <x:v>7</x:v>
      </x:c>
      <x:c r="F52" s="2" t="str">
        <x:v>500257662</x:v>
      </x:c>
      <x:c r="G52" s="2" t="str">
        <x:v>S05|500257662</x:v>
      </x:c>
      <x:c r="H52" s="2" t="n">
        <x:f>IFERROR(VLOOKUP(G52,'Ratings'!$A$6:$F$1387,6,FALSE),"Unknown")</x:f>
        <x:v>2</x:v>
      </x:c>
      <x:c r="I52" s="2" t="n">
        <x:f>IF(ISNUMBER(H52),1,0)</x:f>
        <x:v>1</x:v>
      </x:c>
      <x:c r="J52" s="2" t="n">
        <x:f>IF(ISNUMBER(H52),IF(H52&gt;=2,1,0),0)</x:f>
        <x:v>1</x:v>
      </x:c>
      <x:c r="K52" s="14" t="n">
        <x:f>IF(ISNUMBER(H52),2^H52-1,0)</x:f>
        <x:v>3</x:v>
      </x:c>
      <x:c r="L52" s="14" t="n">
        <x:f>K52/LOG(E52+1,2)</x:f>
        <x:v>1</x:v>
      </x:c>
      <x:c r="M52" s="10" t="n">
        <x:v>6500</x:v>
      </x:c>
      <x:c r="N52" s="10" t="n">
        <x:v>3</x:v>
      </x:c>
      <x:c r="O52" s="10" t="n">
        <x:v>1744</x:v>
      </x:c>
      <x:c r="P52" s="2" t="str">
        <x:v>D10</x:v>
      </x:c>
      <x:c r="Q52" s="2" t="str">
        <x:v>condominium</x:v>
      </x:c>
      <x:c r="R52" s="2" t="str">
        <x:v>https://www.propertyguru.com.sg/listing/for-rent-ridgewood-condominium-500257662</x:v>
      </x:c>
      <x:c r="S52" s="2" t="str">
        <x:v>near_tie_sampling</x:v>
      </x:c>
    </x:row>
    <x:row r="53" ht="22" customHeight="1">
      <x:c r="A53" s="2" t="str">
        <x:v>S05-T01</x:v>
      </x:c>
      <x:c r="B53" s="2" t="str">
        <x:v>S05</x:v>
      </x:c>
      <x:c r="C53" s="2" t="str">
        <x:v>Retained</x:v>
      </x:c>
      <x:c r="D53" s="11" t="n">
        <x:v>1</x:v>
      </x:c>
      <x:c r="E53" s="11" t="n">
        <x:v>8</x:v>
      </x:c>
      <x:c r="F53" s="2" t="str">
        <x:v>500266134</x:v>
      </x:c>
      <x:c r="G53" s="2" t="str">
        <x:v>S05|500266134</x:v>
      </x:c>
      <x:c r="H53" s="2" t="n">
        <x:f>IFERROR(VLOOKUP(G53,'Ratings'!$A$6:$F$1387,6,FALSE),"Unknown")</x:f>
        <x:v>2</x:v>
      </x:c>
      <x:c r="I53" s="2" t="n">
        <x:f>IF(ISNUMBER(H53),1,0)</x:f>
        <x:v>1</x:v>
      </x:c>
      <x:c r="J53" s="2" t="n">
        <x:f>IF(ISNUMBER(H53),IF(H53&gt;=2,1,0),0)</x:f>
        <x:v>1</x:v>
      </x:c>
      <x:c r="K53" s="14" t="n">
        <x:f>IF(ISNUMBER(H53),2^H53-1,0)</x:f>
        <x:v>3</x:v>
      </x:c>
      <x:c r="L53" s="14" t="n">
        <x:f>K53/LOG(E53+1,2)</x:f>
        <x:v>0.9463946303571861</x:v>
      </x:c>
      <x:c r="M53" s="10" t="n">
        <x:v>6500</x:v>
      </x:c>
      <x:c r="N53" s="10" t="n">
        <x:v>3</x:v>
      </x:c>
      <x:c r="O53" s="10" t="n">
        <x:v>1657</x:v>
      </x:c>
      <x:c r="P53" s="2" t="str">
        <x:v>D10</x:v>
      </x:c>
      <x:c r="Q53" s="2" t="str">
        <x:v>condominium</x:v>
      </x:c>
      <x:c r="R53" s="2" t="str">
        <x:v>https://www.propertyguru.com.sg/listing/for-rent-fairlodge-500266134</x:v>
      </x:c>
      <x:c r="S53" s="2" t="str">
        <x:v>near_tie_sampling</x:v>
      </x:c>
    </x:row>
    <x:row r="54" ht="22" customHeight="1">
      <x:c r="A54" s="2" t="str">
        <x:v>S05-T01</x:v>
      </x:c>
      <x:c r="B54" s="2" t="str">
        <x:v>S05</x:v>
      </x:c>
      <x:c r="C54" s="2" t="str">
        <x:v>Retained</x:v>
      </x:c>
      <x:c r="D54" s="11" t="n">
        <x:v>1</x:v>
      </x:c>
      <x:c r="E54" s="11" t="n">
        <x:v>9</x:v>
      </x:c>
      <x:c r="F54" s="2" t="str">
        <x:v>500285609</x:v>
      </x:c>
      <x:c r="G54" s="2" t="str">
        <x:v>S05|500285609</x:v>
      </x:c>
      <x:c r="H54" s="2" t="n">
        <x:f>IFERROR(VLOOKUP(G54,'Ratings'!$A$6:$F$1387,6,FALSE),"Unknown")</x:f>
        <x:v>1</x:v>
      </x:c>
      <x:c r="I54" s="2" t="n">
        <x:f>IF(ISNUMBER(H54),1,0)</x:f>
        <x:v>1</x:v>
      </x:c>
      <x:c r="J54" s="2" t="n">
        <x:f>IF(ISNUMBER(H54),IF(H54&gt;=2,1,0),0)</x:f>
        <x:v>0</x:v>
      </x:c>
      <x:c r="K54" s="14" t="n">
        <x:f>IF(ISNUMBER(H54),2^H54-1,0)</x:f>
        <x:v>1</x:v>
      </x:c>
      <x:c r="L54" s="14" t="n">
        <x:f>K54/LOG(E54+1,2)</x:f>
        <x:v>0.30102999566398114</x:v>
      </x:c>
      <x:c r="M54" s="10" t="n">
        <x:v>3400</x:v>
      </x:c>
      <x:c r="N54" s="10" t="n">
        <x:v>3</x:v>
      </x:c>
      <x:c r="O54" s="10" t="n">
        <x:v>699</x:v>
      </x:c>
      <x:c r="P54" s="2" t="str">
        <x:v>D10</x:v>
      </x:c>
      <x:c r="Q54" s="2" t="str">
        <x:v>hdb flat</x:v>
      </x:c>
      <x:c r="R54" s="2" t="str">
        <x:v>https://www.propertyguru.com.sg/listing/hdb-for-rent-9-holland-avenue-500285609</x:v>
      </x:c>
      <x:c r="S54" s="2" t="str">
        <x:v>near_tie_sampling</x:v>
      </x:c>
    </x:row>
    <x:row r="55" ht="22" customHeight="1">
      <x:c r="A55" s="2" t="str">
        <x:v>S05-T01</x:v>
      </x:c>
      <x:c r="B55" s="2" t="str">
        <x:v>S05</x:v>
      </x:c>
      <x:c r="C55" s="2" t="str">
        <x:v>Retained</x:v>
      </x:c>
      <x:c r="D55" s="11" t="n">
        <x:v>1</x:v>
      </x:c>
      <x:c r="E55" s="11" t="n">
        <x:v>10</x:v>
      </x:c>
      <x:c r="F55" s="2" t="str">
        <x:v>23454442</x:v>
      </x:c>
      <x:c r="G55" s="2" t="str">
        <x:v>S05|23454442</x:v>
      </x:c>
      <x:c r="H55" s="2" t="n">
        <x:f>IFERROR(VLOOKUP(G55,'Ratings'!$A$6:$F$1387,6,FALSE),"Unknown")</x:f>
        <x:v>1</x:v>
      </x:c>
      <x:c r="I55" s="2" t="n">
        <x:f>IF(ISNUMBER(H55),1,0)</x:f>
        <x:v>1</x:v>
      </x:c>
      <x:c r="J55" s="2" t="n">
        <x:f>IF(ISNUMBER(H55),IF(H55&gt;=2,1,0),0)</x:f>
        <x:v>0</x:v>
      </x:c>
      <x:c r="K55" s="14" t="n">
        <x:f>IF(ISNUMBER(H55),2^H55-1,0)</x:f>
        <x:v>1</x:v>
      </x:c>
      <x:c r="L55" s="14" t="n">
        <x:f>K55/LOG(E55+1,2)</x:f>
        <x:v>0.2890648263178878</x:v>
      </x:c>
      <x:c r="M55" s="10" t="n">
        <x:v>3500</x:v>
      </x:c>
      <x:c r="N55" s="10" t="n">
        <x:v>3</x:v>
      </x:c>
      <x:c r="O55" s="10" t="n">
        <x:v>699</x:v>
      </x:c>
      <x:c r="P55" s="2" t="str">
        <x:v>D10</x:v>
      </x:c>
      <x:c r="Q55" s="2" t="str">
        <x:v>hdb flat</x:v>
      </x:c>
      <x:c r="R55" s="2" t="str">
        <x:v>https://www.propertyguru.com.sg/listing/hdb-for-rent-1-ghim-moh-road-23454442</x:v>
      </x:c>
      <x:c r="S55" s="2" t="str">
        <x:v>near_tie_sampling</x:v>
      </x:c>
    </x:row>
    <x:row r="56" ht="22" customHeight="1">
      <x:c r="A56" s="2" t="str">
        <x:v>S06-T01</x:v>
      </x:c>
      <x:c r="B56" s="2" t="str">
        <x:v>S06</x:v>
      </x:c>
      <x:c r="C56" s="2" t="str">
        <x:v>Retained</x:v>
      </x:c>
      <x:c r="D56" s="11" t="n">
        <x:v>1</x:v>
      </x:c>
      <x:c r="E56" s="11" t="n">
        <x:v>1</x:v>
      </x:c>
      <x:c r="F56" s="2" t="str">
        <x:v>500273685</x:v>
      </x:c>
      <x:c r="G56" s="2" t="str">
        <x:v>S06|500273685</x:v>
      </x:c>
      <x:c r="H56" s="2" t="n">
        <x:f>IFERROR(VLOOKUP(G56,'Ratings'!$A$6:$F$1387,6,FALSE),"Unknown")</x:f>
        <x:v>3</x:v>
      </x:c>
      <x:c r="I56" s="2" t="n">
        <x:f>IF(ISNUMBER(H56),1,0)</x:f>
        <x:v>1</x:v>
      </x:c>
      <x:c r="J56" s="2" t="n">
        <x:f>IF(ISNUMBER(H56),IF(H56&gt;=2,1,0),0)</x:f>
        <x:v>1</x:v>
      </x:c>
      <x:c r="K56" s="14" t="n">
        <x:f>IF(ISNUMBER(H56),2^H56-1,0)</x:f>
        <x:v>7</x:v>
      </x:c>
      <x:c r="L56" s="14" t="n">
        <x:f>K56/LOG(E56+1,2)</x:f>
        <x:v>7</x:v>
      </x:c>
      <x:c r="M56" s="10" t="n">
        <x:v>4900</x:v>
      </x:c>
      <x:c r="N56" s="10" t="n">
        <x:v>2</x:v>
      </x:c>
      <x:c r="O56" s="10" t="n">
        <x:v>1744</x:v>
      </x:c>
      <x:c r="P56" s="2" t="str">
        <x:v>D09</x:v>
      </x:c>
      <x:c r="Q56" s="2" t="str">
        <x:v>condominium</x:v>
      </x:c>
      <x:c r="R56" s="2" t="str">
        <x:v>https://www.propertyguru.com.sg/listing/for-rent-cairnhill-astoria-500273685</x:v>
      </x:c>
      <x:c r="S56" s="2" t="str">
        <x:v>cold_start_exploration</x:v>
      </x:c>
    </x:row>
    <x:row r="57" ht="22" customHeight="1">
      <x:c r="A57" s="2" t="str">
        <x:v>S06-T01</x:v>
      </x:c>
      <x:c r="B57" s="2" t="str">
        <x:v>S06</x:v>
      </x:c>
      <x:c r="C57" s="2" t="str">
        <x:v>Retained</x:v>
      </x:c>
      <x:c r="D57" s="11" t="n">
        <x:v>1</x:v>
      </x:c>
      <x:c r="E57" s="11" t="n">
        <x:v>2</x:v>
      </x:c>
      <x:c r="F57" s="2" t="str">
        <x:v>23719546</x:v>
      </x:c>
      <x:c r="G57" s="2" t="str">
        <x:v>S06|23719546</x:v>
      </x:c>
      <x:c r="H57" s="2" t="n">
        <x:f>IFERROR(VLOOKUP(G57,'Ratings'!$A$6:$F$1387,6,FALSE),"Unknown")</x:f>
        <x:v>3</x:v>
      </x:c>
      <x:c r="I57" s="2" t="n">
        <x:f>IF(ISNUMBER(H57),1,0)</x:f>
        <x:v>1</x:v>
      </x:c>
      <x:c r="J57" s="2" t="n">
        <x:f>IF(ISNUMBER(H57),IF(H57&gt;=2,1,0),0)</x:f>
        <x:v>1</x:v>
      </x:c>
      <x:c r="K57" s="14" t="n">
        <x:f>IF(ISNUMBER(H57),2^H57-1,0)</x:f>
        <x:v>7</x:v>
      </x:c>
      <x:c r="L57" s="14" t="n">
        <x:f>K57/LOG(E57+1,2)</x:f>
        <x:v>4.4165082750002025</x:v>
      </x:c>
      <x:c r="M57" s="10" t="n">
        <x:v>4500</x:v>
      </x:c>
      <x:c r="N57" s="10" t="n">
        <x:v>2</x:v>
      </x:c>
      <x:c r="O57" s="10" t="n">
        <x:v>1200</x:v>
      </x:c>
      <x:c r="P57" s="2" t="str">
        <x:v>D09</x:v>
      </x:c>
      <x:c r="Q57" s="2" t="str">
        <x:v>condominium</x:v>
      </x:c>
      <x:c r="R57" s="2" t="str">
        <x:v>https://www.propertyguru.com.sg/listing/for-rent-lloyd-mansion-23719546</x:v>
      </x:c>
      <x:c r="S57" s="2" t="str">
        <x:v>cold_start_exploration</x:v>
      </x:c>
    </x:row>
    <x:row r="58" ht="22" customHeight="1">
      <x:c r="A58" s="2" t="str">
        <x:v>S06-T01</x:v>
      </x:c>
      <x:c r="B58" s="2" t="str">
        <x:v>S06</x:v>
      </x:c>
      <x:c r="C58" s="2" t="str">
        <x:v>Retained</x:v>
      </x:c>
      <x:c r="D58" s="11" t="n">
        <x:v>1</x:v>
      </x:c>
      <x:c r="E58" s="11" t="n">
        <x:v>3</x:v>
      </x:c>
      <x:c r="F58" s="2" t="str">
        <x:v>23185254</x:v>
      </x:c>
      <x:c r="G58" s="2" t="str">
        <x:v>S06|23185254</x:v>
      </x:c>
      <x:c r="H58" s="2" t="n">
        <x:f>IFERROR(VLOOKUP(G58,'Ratings'!$A$6:$F$1387,6,FALSE),"Unknown")</x:f>
        <x:v>3</x:v>
      </x:c>
      <x:c r="I58" s="2" t="n">
        <x:f>IF(ISNUMBER(H58),1,0)</x:f>
        <x:v>1</x:v>
      </x:c>
      <x:c r="J58" s="2" t="n">
        <x:f>IF(ISNUMBER(H58),IF(H58&gt;=2,1,0),0)</x:f>
        <x:v>1</x:v>
      </x:c>
      <x:c r="K58" s="14" t="n">
        <x:f>IF(ISNUMBER(H58),2^H58-1,0)</x:f>
        <x:v>7</x:v>
      </x:c>
      <x:c r="L58" s="14" t="n">
        <x:f>K58/LOG(E58+1,2)</x:f>
        <x:v>3.5</x:v>
      </x:c>
      <x:c r="M58" s="10" t="n">
        <x:v>5000</x:v>
      </x:c>
      <x:c r="N58" s="10" t="n">
        <x:v>2</x:v>
      </x:c>
      <x:c r="O58" s="10" t="n">
        <x:v>1109</x:v>
      </x:c>
      <x:c r="P58" s="2" t="str">
        <x:v>D10</x:v>
      </x:c>
      <x:c r="Q58" s="2" t="str">
        <x:v>condominium</x:v>
      </x:c>
      <x:c r="R58" s="2" t="str">
        <x:v>https://www.propertyguru.com.sg/listing/for-rent-the-aston-23185254</x:v>
      </x:c>
      <x:c r="S58" s="2" t="str">
        <x:v>cold_start_exploration</x:v>
      </x:c>
    </x:row>
    <x:row r="59" ht="22" customHeight="1">
      <x:c r="A59" s="2" t="str">
        <x:v>S06-T01</x:v>
      </x:c>
      <x:c r="B59" s="2" t="str">
        <x:v>S06</x:v>
      </x:c>
      <x:c r="C59" s="2" t="str">
        <x:v>Retained</x:v>
      </x:c>
      <x:c r="D59" s="11" t="n">
        <x:v>1</x:v>
      </x:c>
      <x:c r="E59" s="11" t="n">
        <x:v>4</x:v>
      </x:c>
      <x:c r="F59" s="2" t="str">
        <x:v>21435410</x:v>
      </x:c>
      <x:c r="G59" s="2" t="str">
        <x:v>S06|21435410</x:v>
      </x:c>
      <x:c r="H59" s="2" t="n">
        <x:f>IFERROR(VLOOKUP(G59,'Ratings'!$A$6:$F$1387,6,FALSE),"Unknown")</x:f>
        <x:v>3</x:v>
      </x:c>
      <x:c r="I59" s="2" t="n">
        <x:f>IF(ISNUMBER(H59),1,0)</x:f>
        <x:v>1</x:v>
      </x:c>
      <x:c r="J59" s="2" t="n">
        <x:f>IF(ISNUMBER(H59),IF(H59&gt;=2,1,0),0)</x:f>
        <x:v>1</x:v>
      </x:c>
      <x:c r="K59" s="14" t="n">
        <x:f>IF(ISNUMBER(H59),2^H59-1,0)</x:f>
        <x:v>7</x:v>
      </x:c>
      <x:c r="L59" s="14" t="n">
        <x:f>K59/LOG(E59+1,2)</x:f>
        <x:v>3.0147359065137516</x:v>
      </x:c>
      <x:c r="M59" s="10" t="n">
        <x:v>4850</x:v>
      </x:c>
      <x:c r="N59" s="10" t="n">
        <x:v>2</x:v>
      </x:c>
      <x:c r="O59" s="10" t="n">
        <x:v>1023</x:v>
      </x:c>
      <x:c r="P59" s="2" t="str">
        <x:v>D10</x:v>
      </x:c>
      <x:c r="Q59" s="2" t="str">
        <x:v>condominium</x:v>
      </x:c>
      <x:c r="R59" s="2" t="str">
        <x:v>https://www.propertyguru.com.sg/listing/for-rent-jervois-meadows-21435410</x:v>
      </x:c>
      <x:c r="S59" s="2" t="str">
        <x:v>cold_start_exploration</x:v>
      </x:c>
    </x:row>
    <x:row r="60" ht="22" customHeight="1">
      <x:c r="A60" s="2" t="str">
        <x:v>S06-T01</x:v>
      </x:c>
      <x:c r="B60" s="2" t="str">
        <x:v>S06</x:v>
      </x:c>
      <x:c r="C60" s="2" t="str">
        <x:v>Retained</x:v>
      </x:c>
      <x:c r="D60" s="11" t="n">
        <x:v>1</x:v>
      </x:c>
      <x:c r="E60" s="11" t="n">
        <x:v>5</x:v>
      </x:c>
      <x:c r="F60" s="2" t="str">
        <x:v>23079504</x:v>
      </x:c>
      <x:c r="G60" s="2" t="str">
        <x:v>S06|23079504</x:v>
      </x:c>
      <x:c r="H60" s="2" t="n">
        <x:f>IFERROR(VLOOKUP(G60,'Ratings'!$A$6:$F$1387,6,FALSE),"Unknown")</x:f>
        <x:v>3</x:v>
      </x:c>
      <x:c r="I60" s="2" t="n">
        <x:f>IF(ISNUMBER(H60),1,0)</x:f>
        <x:v>1</x:v>
      </x:c>
      <x:c r="J60" s="2" t="n">
        <x:f>IF(ISNUMBER(H60),IF(H60&gt;=2,1,0),0)</x:f>
        <x:v>1</x:v>
      </x:c>
      <x:c r="K60" s="14" t="n">
        <x:f>IF(ISNUMBER(H60),2^H60-1,0)</x:f>
        <x:v>7</x:v>
      </x:c>
      <x:c r="L60" s="14" t="n">
        <x:f>K60/LOG(E60+1,2)</x:f>
        <x:v>2.7079696506417914</x:v>
      </x:c>
      <x:c r="M60" s="10" t="n">
        <x:v>4200</x:v>
      </x:c>
      <x:c r="N60" s="10" t="n">
        <x:v>2</x:v>
      </x:c>
      <x:c r="O60" s="10" t="n">
        <x:v>1003</x:v>
      </x:c>
      <x:c r="P60" s="2" t="str">
        <x:v>D10</x:v>
      </x:c>
      <x:c r="Q60" s="2" t="str">
        <x:v>condominium</x:v>
      </x:c>
      <x:c r="R60" s="2" t="str">
        <x:v>https://www.propertyguru.com.sg/listing/for-rent-allsworth-park-23079504</x:v>
      </x:c>
      <x:c r="S60" s="2" t="str">
        <x:v>cold_start_exploration</x:v>
      </x:c>
    </x:row>
    <x:row r="61" ht="22" customHeight="1">
      <x:c r="A61" s="2" t="str">
        <x:v>S06-T01</x:v>
      </x:c>
      <x:c r="B61" s="2" t="str">
        <x:v>S06</x:v>
      </x:c>
      <x:c r="C61" s="2" t="str">
        <x:v>Retained</x:v>
      </x:c>
      <x:c r="D61" s="11" t="n">
        <x:v>1</x:v>
      </x:c>
      <x:c r="E61" s="11" t="n">
        <x:v>6</x:v>
      </x:c>
      <x:c r="F61" s="2" t="str">
        <x:v>19914824</x:v>
      </x:c>
      <x:c r="G61" s="2" t="str">
        <x:v>S06|19914824</x:v>
      </x:c>
      <x:c r="H61" s="2" t="n">
        <x:f>IFERROR(VLOOKUP(G61,'Ratings'!$A$6:$F$1387,6,FALSE),"Unknown")</x:f>
        <x:v>3</x:v>
      </x:c>
      <x:c r="I61" s="2" t="n">
        <x:f>IF(ISNUMBER(H61),1,0)</x:f>
        <x:v>1</x:v>
      </x:c>
      <x:c r="J61" s="2" t="n">
        <x:f>IF(ISNUMBER(H61),IF(H61&gt;=2,1,0),0)</x:f>
        <x:v>1</x:v>
      </x:c>
      <x:c r="K61" s="14" t="n">
        <x:f>IF(ISNUMBER(H61),2^H61-1,0)</x:f>
        <x:v>7</x:v>
      </x:c>
      <x:c r="L61" s="14" t="n">
        <x:f>K61/LOG(E61+1,2)</x:f>
        <x:v>2.493450309756155</x:v>
      </x:c>
      <x:c r="M61" s="10" t="n">
        <x:v>5000</x:v>
      </x:c>
      <x:c r="N61" s="10" t="n">
        <x:v>2</x:v>
      </x:c>
      <x:c r="O61" s="10" t="n">
        <x:v>1001</x:v>
      </x:c>
      <x:c r="P61" s="2" t="str">
        <x:v>D10</x:v>
      </x:c>
      <x:c r="Q61" s="2" t="str">
        <x:v>condominium</x:v>
      </x:c>
      <x:c r="R61" s="2" t="str">
        <x:v>https://www.propertyguru.com.sg/listing/for-rent-the-levelz-19914824</x:v>
      </x:c>
      <x:c r="S61" s="2" t="str">
        <x:v>cold_start_exploration</x:v>
      </x:c>
    </x:row>
    <x:row r="62" ht="22" customHeight="1">
      <x:c r="A62" s="2" t="str">
        <x:v>S06-T01</x:v>
      </x:c>
      <x:c r="B62" s="2" t="str">
        <x:v>S06</x:v>
      </x:c>
      <x:c r="C62" s="2" t="str">
        <x:v>Retained</x:v>
      </x:c>
      <x:c r="D62" s="11" t="n">
        <x:v>1</x:v>
      </x:c>
      <x:c r="E62" s="11" t="n">
        <x:v>7</x:v>
      </x:c>
      <x:c r="F62" s="2" t="str">
        <x:v>19642827</x:v>
      </x:c>
      <x:c r="G62" s="2" t="str">
        <x:v>S06|19642827</x:v>
      </x:c>
      <x:c r="H62" s="2" t="n">
        <x:f>IFERROR(VLOOKUP(G62,'Ratings'!$A$6:$F$1387,6,FALSE),"Unknown")</x:f>
        <x:v>3</x:v>
      </x:c>
      <x:c r="I62" s="2" t="n">
        <x:f>IF(ISNUMBER(H62),1,0)</x:f>
        <x:v>1</x:v>
      </x:c>
      <x:c r="J62" s="2" t="n">
        <x:f>IF(ISNUMBER(H62),IF(H62&gt;=2,1,0),0)</x:f>
        <x:v>1</x:v>
      </x:c>
      <x:c r="K62" s="14" t="n">
        <x:f>IF(ISNUMBER(H62),2^H62-1,0)</x:f>
        <x:v>7</x:v>
      </x:c>
      <x:c r="L62" s="14" t="n">
        <x:f>K62/LOG(E62+1,2)</x:f>
        <x:v>2.3333333333333335</x:v>
      </x:c>
      <x:c r="M62" s="10" t="n">
        <x:v>5000</x:v>
      </x:c>
      <x:c r="N62" s="10" t="n">
        <x:v>2</x:v>
      </x:c>
      <x:c r="O62" s="10" t="n">
        <x:v>990</x:v>
      </x:c>
      <x:c r="P62" s="2" t="str">
        <x:v>D10</x:v>
      </x:c>
      <x:c r="Q62" s="2" t="str">
        <x:v>condominium</x:v>
      </x:c>
      <x:c r="R62" s="2" t="str">
        <x:v>https://www.propertyguru.com.sg/listing/for-rent-the-levelz-19642827</x:v>
      </x:c>
      <x:c r="S62" s="2" t="str">
        <x:v>cold_start_exploration</x:v>
      </x:c>
    </x:row>
    <x:row r="63" ht="22" customHeight="1">
      <x:c r="A63" s="2" t="str">
        <x:v>S06-T01</x:v>
      </x:c>
      <x:c r="B63" s="2" t="str">
        <x:v>S06</x:v>
      </x:c>
      <x:c r="C63" s="2" t="str">
        <x:v>Retained</x:v>
      </x:c>
      <x:c r="D63" s="11" t="n">
        <x:v>1</x:v>
      </x:c>
      <x:c r="E63" s="11" t="n">
        <x:v>8</x:v>
      </x:c>
      <x:c r="F63" s="2" t="str">
        <x:v>23335252</x:v>
      </x:c>
      <x:c r="G63" s="2" t="str">
        <x:v>S06|23335252</x:v>
      </x:c>
      <x:c r="H63" s="2" t="n">
        <x:f>IFERROR(VLOOKUP(G63,'Ratings'!$A$6:$F$1387,6,FALSE),"Unknown")</x:f>
        <x:v>3</x:v>
      </x:c>
      <x:c r="I63" s="2" t="n">
        <x:f>IF(ISNUMBER(H63),1,0)</x:f>
        <x:v>1</x:v>
      </x:c>
      <x:c r="J63" s="2" t="n">
        <x:f>IF(ISNUMBER(H63),IF(H63&gt;=2,1,0),0)</x:f>
        <x:v>1</x:v>
      </x:c>
      <x:c r="K63" s="14" t="n">
        <x:f>IF(ISNUMBER(H63),2^H63-1,0)</x:f>
        <x:v>7</x:v>
      </x:c>
      <x:c r="L63" s="14" t="n">
        <x:f>K63/LOG(E63+1,2)</x:f>
        <x:v>2.208254137500101</x:v>
      </x:c>
      <x:c r="M63" s="10" t="n">
        <x:v>4500</x:v>
      </x:c>
      <x:c r="N63" s="10" t="n">
        <x:v>2</x:v>
      </x:c>
      <x:c r="O63" s="10" t="n">
        <x:v>979</x:v>
      </x:c>
      <x:c r="P63" s="2" t="str">
        <x:v>D10</x:v>
      </x:c>
      <x:c r="Q63" s="2" t="str">
        <x:v>condominium</x:v>
      </x:c>
      <x:c r="R63" s="2" t="str">
        <x:v>https://www.propertyguru.com.sg/listing/for-rent-the-chatelet-23335252</x:v>
      </x:c>
      <x:c r="S63" s="2" t="str">
        <x:v>cold_start_exploration</x:v>
      </x:c>
    </x:row>
    <x:row r="64" ht="22" customHeight="1">
      <x:c r="A64" s="2" t="str">
        <x:v>S06-T01</x:v>
      </x:c>
      <x:c r="B64" s="2" t="str">
        <x:v>S06</x:v>
      </x:c>
      <x:c r="C64" s="2" t="str">
        <x:v>Retained</x:v>
      </x:c>
      <x:c r="D64" s="11" t="n">
        <x:v>1</x:v>
      </x:c>
      <x:c r="E64" s="11" t="n">
        <x:v>9</x:v>
      </x:c>
      <x:c r="F64" s="2" t="str">
        <x:v>500264612</x:v>
      </x:c>
      <x:c r="G64" s="2" t="str">
        <x:v>S06|500264612</x:v>
      </x:c>
      <x:c r="H64" s="2" t="n">
        <x:f>IFERROR(VLOOKUP(G64,'Ratings'!$A$6:$F$1387,6,FALSE),"Unknown")</x:f>
        <x:v>2</x:v>
      </x:c>
      <x:c r="I64" s="2" t="n">
        <x:f>IF(ISNUMBER(H64),1,0)</x:f>
        <x:v>1</x:v>
      </x:c>
      <x:c r="J64" s="2" t="n">
        <x:f>IF(ISNUMBER(H64),IF(H64&gt;=2,1,0),0)</x:f>
        <x:v>1</x:v>
      </x:c>
      <x:c r="K64" s="14" t="n">
        <x:f>IF(ISNUMBER(H64),2^H64-1,0)</x:f>
        <x:v>3</x:v>
      </x:c>
      <x:c r="L64" s="14" t="n">
        <x:f>K64/LOG(E64+1,2)</x:f>
        <x:v>0.9030899869919435</x:v>
      </x:c>
      <x:c r="M64" s="10" t="n">
        <x:v>4400</x:v>
      </x:c>
      <x:c r="N64" s="10" t="n">
        <x:v>2</x:v>
      </x:c>
      <x:c r="O64" s="10" t="n">
        <x:v>883</x:v>
      </x:c>
      <x:c r="P64" s="2" t="str">
        <x:v>D10</x:v>
      </x:c>
      <x:c r="Q64" s="2" t="str">
        <x:v>condominium</x:v>
      </x:c>
      <x:c r="R64" s="2" t="str">
        <x:v>https://www.propertyguru.com.sg/listing/for-rent-tanglin-regency-500264612</x:v>
      </x:c>
      <x:c r="S64" s="2" t="str">
        <x:v>cold_start_exploration</x:v>
      </x:c>
    </x:row>
    <x:row r="65" ht="22" customHeight="1">
      <x:c r="A65" s="2" t="str">
        <x:v>S06-T01</x:v>
      </x:c>
      <x:c r="B65" s="2" t="str">
        <x:v>S06</x:v>
      </x:c>
      <x:c r="C65" s="2" t="str">
        <x:v>Retained</x:v>
      </x:c>
      <x:c r="D65" s="11" t="n">
        <x:v>1</x:v>
      </x:c>
      <x:c r="E65" s="11" t="n">
        <x:v>10</x:v>
      </x:c>
      <x:c r="F65" s="2" t="str">
        <x:v>25287178</x:v>
      </x:c>
      <x:c r="G65" s="2" t="str">
        <x:v>S06|25287178</x:v>
      </x:c>
      <x:c r="H65" s="2" t="n">
        <x:f>IFERROR(VLOOKUP(G65,'Ratings'!$A$6:$F$1387,6,FALSE),"Unknown")</x:f>
        <x:v>2</x:v>
      </x:c>
      <x:c r="I65" s="2" t="n">
        <x:f>IF(ISNUMBER(H65),1,0)</x:f>
        <x:v>1</x:v>
      </x:c>
      <x:c r="J65" s="2" t="n">
        <x:f>IF(ISNUMBER(H65),IF(H65&gt;=2,1,0),0)</x:f>
        <x:v>1</x:v>
      </x:c>
      <x:c r="K65" s="14" t="n">
        <x:f>IF(ISNUMBER(H65),2^H65-1,0)</x:f>
        <x:v>3</x:v>
      </x:c>
      <x:c r="L65" s="14" t="n">
        <x:f>K65/LOG(E65+1,2)</x:f>
        <x:v>0.8671944789536634</x:v>
      </x:c>
      <x:c r="M65" s="10" t="n">
        <x:v>5000</x:v>
      </x:c>
      <x:c r="N65" s="10" t="n">
        <x:v>2</x:v>
      </x:c>
      <x:c r="O65" s="10" t="n">
        <x:v>872</x:v>
      </x:c>
      <x:c r="P65" s="2" t="str">
        <x:v>D09</x:v>
      </x:c>
      <x:c r="Q65" s="2" t="str">
        <x:v>condominium</x:v>
      </x:c>
      <x:c r="R65" s="2" t="str">
        <x:v>https://www.propertyguru.com.sg/listing/for-rent-the-bayron-25287178</x:v>
      </x:c>
      <x:c r="S65" s="2" t="str">
        <x:v>cold_start_exploration</x:v>
      </x:c>
    </x:row>
    <x:row r="66" ht="22" customHeight="1">
      <x:c r="A66" s="2" t="str">
        <x:v>S07-T01</x:v>
      </x:c>
      <x:c r="B66" s="2" t="str">
        <x:v>S07</x:v>
      </x:c>
      <x:c r="C66" s="2" t="str">
        <x:v>Retained</x:v>
      </x:c>
      <x:c r="D66" s="11" t="n">
        <x:v>1</x:v>
      </x:c>
      <x:c r="E66" s="11" t="n">
        <x:v>1</x:v>
      </x:c>
      <x:c r="F66" s="2" t="str">
        <x:v>500281545</x:v>
      </x:c>
      <x:c r="G66" s="2" t="str">
        <x:v>S07|500281545</x:v>
      </x:c>
      <x:c r="H66" s="2" t="n">
        <x:f>IFERROR(VLOOKUP(G66,'Ratings'!$A$6:$F$1387,6,FALSE),"Unknown")</x:f>
        <x:v>3</x:v>
      </x:c>
      <x:c r="I66" s="2" t="n">
        <x:f>IF(ISNUMBER(H66),1,0)</x:f>
        <x:v>1</x:v>
      </x:c>
      <x:c r="J66" s="2" t="n">
        <x:f>IF(ISNUMBER(H66),IF(H66&gt;=2,1,0),0)</x:f>
        <x:v>1</x:v>
      </x:c>
      <x:c r="K66" s="14" t="n">
        <x:f>IF(ISNUMBER(H66),2^H66-1,0)</x:f>
        <x:v>7</x:v>
      </x:c>
      <x:c r="L66" s="14" t="n">
        <x:f>K66/LOG(E66+1,2)</x:f>
        <x:v>7</x:v>
      </x:c>
      <x:c r="M66" s="10" t="n">
        <x:v>700</x:v>
      </x:c>
      <x:c r="N66" s="10" t="n">
        <x:v>3</x:v>
      </x:c>
      <x:c r="O66" s="10" t="n">
        <x:v>904</x:v>
      </x:c>
      <x:c r="P66" s="2" t="str">
        <x:v>D18</x:v>
      </x:c>
      <x:c r="Q66" s="2" t="str">
        <x:v>hdb flat</x:v>
      </x:c>
      <x:c r="R66" s="2" t="str">
        <x:v>https://www.propertyguru.com.sg/listing/hdb-for-rent-832-tampines-street-82-500281545</x:v>
      </x:c>
      <x:c r="S66" s="2" t="str">
        <x:v>cold_start_exploration</x:v>
      </x:c>
    </x:row>
    <x:row r="67" ht="22" customHeight="1">
      <x:c r="A67" s="2" t="str">
        <x:v>S07-T01</x:v>
      </x:c>
      <x:c r="B67" s="2" t="str">
        <x:v>S07</x:v>
      </x:c>
      <x:c r="C67" s="2" t="str">
        <x:v>Retained</x:v>
      </x:c>
      <x:c r="D67" s="11" t="n">
        <x:v>1</x:v>
      </x:c>
      <x:c r="E67" s="11" t="n">
        <x:v>2</x:v>
      </x:c>
      <x:c r="F67" s="2" t="str">
        <x:v>500269987</x:v>
      </x:c>
      <x:c r="G67" s="2" t="str">
        <x:v>S07|500269987</x:v>
      </x:c>
      <x:c r="H67" s="2" t="n">
        <x:f>IFERROR(VLOOKUP(G67,'Ratings'!$A$6:$F$1387,6,FALSE),"Unknown")</x:f>
        <x:v>3</x:v>
      </x:c>
      <x:c r="I67" s="2" t="n">
        <x:f>IF(ISNUMBER(H67),1,0)</x:f>
        <x:v>1</x:v>
      </x:c>
      <x:c r="J67" s="2" t="n">
        <x:f>IF(ISNUMBER(H67),IF(H67&gt;=2,1,0),0)</x:f>
        <x:v>1</x:v>
      </x:c>
      <x:c r="K67" s="14" t="n">
        <x:f>IF(ISNUMBER(H67),2^H67-1,0)</x:f>
        <x:v>7</x:v>
      </x:c>
      <x:c r="L67" s="14" t="n">
        <x:f>K67/LOG(E67+1,2)</x:f>
        <x:v>4.4165082750002025</x:v>
      </x:c>
      <x:c r="M67" s="10" t="n">
        <x:v>2700</x:v>
      </x:c>
      <x:c r="N67" s="10" t="n">
        <x:v>2</x:v>
      </x:c>
      <x:c r="O67" s="10" t="n">
        <x:v>735</x:v>
      </x:c>
      <x:c r="P67" s="2" t="str">
        <x:v>D18</x:v>
      </x:c>
      <x:c r="Q67" s="2" t="str">
        <x:v>hdb flat</x:v>
      </x:c>
      <x:c r="R67" s="2" t="str">
        <x:v>https://www.propertyguru.com.sg/listing/hdb-for-rent-292-tampines-street-22-500269987</x:v>
      </x:c>
      <x:c r="S67" s="2" t="str">
        <x:v>cold_start_exploration</x:v>
      </x:c>
    </x:row>
    <x:row r="68" ht="22" customHeight="1">
      <x:c r="A68" s="2" t="str">
        <x:v>S07-T01</x:v>
      </x:c>
      <x:c r="B68" s="2" t="str">
        <x:v>S07</x:v>
      </x:c>
      <x:c r="C68" s="2" t="str">
        <x:v>Retained</x:v>
      </x:c>
      <x:c r="D68" s="11" t="n">
        <x:v>1</x:v>
      </x:c>
      <x:c r="E68" s="11" t="n">
        <x:v>3</x:v>
      </x:c>
      <x:c r="F68" s="2" t="str">
        <x:v>500272688</x:v>
      </x:c>
      <x:c r="G68" s="2" t="str">
        <x:v>S07|500272688</x:v>
      </x:c>
      <x:c r="H68" s="2" t="n">
        <x:f>IFERROR(VLOOKUP(G68,'Ratings'!$A$6:$F$1387,6,FALSE),"Unknown")</x:f>
        <x:v>3</x:v>
      </x:c>
      <x:c r="I68" s="2" t="n">
        <x:f>IF(ISNUMBER(H68),1,0)</x:f>
        <x:v>1</x:v>
      </x:c>
      <x:c r="J68" s="2" t="n">
        <x:f>IF(ISNUMBER(H68),IF(H68&gt;=2,1,0),0)</x:f>
        <x:v>1</x:v>
      </x:c>
      <x:c r="K68" s="14" t="n">
        <x:f>IF(ISNUMBER(H68),2^H68-1,0)</x:f>
        <x:v>7</x:v>
      </x:c>
      <x:c r="L68" s="14" t="n">
        <x:f>K68/LOG(E68+1,2)</x:f>
        <x:v>3.5</x:v>
      </x:c>
      <x:c r="M68" s="10" t="n">
        <x:v>2700</x:v>
      </x:c>
      <x:c r="N68" s="10" t="n">
        <x:v>2</x:v>
      </x:c>
      <x:c r="O68" s="10" t="n">
        <x:v>735</x:v>
      </x:c>
      <x:c r="P68" s="2" t="str">
        <x:v>D18</x:v>
      </x:c>
      <x:c r="Q68" s="2" t="str">
        <x:v>hdb flat</x:v>
      </x:c>
      <x:c r="R68" s="2" t="str">
        <x:v>https://www.propertyguru.com.sg/listing/hdb-for-rent-219-tampines-street-24-500272688</x:v>
      </x:c>
      <x:c r="S68" s="2" t="str">
        <x:v>cold_start_exploration</x:v>
      </x:c>
    </x:row>
    <x:row r="69" ht="22" customHeight="1">
      <x:c r="A69" s="2" t="str">
        <x:v>S07-T01</x:v>
      </x:c>
      <x:c r="B69" s="2" t="str">
        <x:v>S07</x:v>
      </x:c>
      <x:c r="C69" s="2" t="str">
        <x:v>Retained</x:v>
      </x:c>
      <x:c r="D69" s="11" t="n">
        <x:v>1</x:v>
      </x:c>
      <x:c r="E69" s="11" t="n">
        <x:v>4</x:v>
      </x:c>
      <x:c r="F69" s="2" t="str">
        <x:v>25545825</x:v>
      </x:c>
      <x:c r="G69" s="2" t="str">
        <x:v>S07|25545825</x:v>
      </x:c>
      <x:c r="H69" s="2" t="n">
        <x:f>IFERROR(VLOOKUP(G69,'Ratings'!$A$6:$F$1387,6,FALSE),"Unknown")</x:f>
        <x:v>3</x:v>
      </x:c>
      <x:c r="I69" s="2" t="n">
        <x:f>IF(ISNUMBER(H69),1,0)</x:f>
        <x:v>1</x:v>
      </x:c>
      <x:c r="J69" s="2" t="n">
        <x:f>IF(ISNUMBER(H69),IF(H69&gt;=2,1,0),0)</x:f>
        <x:v>1</x:v>
      </x:c>
      <x:c r="K69" s="14" t="n">
        <x:f>IF(ISNUMBER(H69),2^H69-1,0)</x:f>
        <x:v>7</x:v>
      </x:c>
      <x:c r="L69" s="14" t="n">
        <x:f>K69/LOG(E69+1,2)</x:f>
        <x:v>3.0147359065137516</x:v>
      </x:c>
      <x:c r="M69" s="10" t="n">
        <x:v>2900</x:v>
      </x:c>
      <x:c r="N69" s="10" t="n">
        <x:v>2</x:v>
      </x:c>
      <x:c r="O69" s="10" t="n">
        <x:v>721</x:v>
      </x:c>
      <x:c r="P69" s="2" t="str">
        <x:v>D18</x:v>
      </x:c>
      <x:c r="Q69" s="2" t="str">
        <x:v>hdb flat</x:v>
      </x:c>
      <x:c r="R69" s="2" t="str">
        <x:v>https://www.propertyguru.com.sg/listing/hdb-for-rent-825-tampines-street-81-25545825</x:v>
      </x:c>
      <x:c r="S69" s="2" t="str">
        <x:v>cold_start_exploration</x:v>
      </x:c>
    </x:row>
    <x:row r="70" ht="22" customHeight="1">
      <x:c r="A70" s="2" t="str">
        <x:v>S07-T01</x:v>
      </x:c>
      <x:c r="B70" s="2" t="str">
        <x:v>S07</x:v>
      </x:c>
      <x:c r="C70" s="2" t="str">
        <x:v>Retained</x:v>
      </x:c>
      <x:c r="D70" s="11" t="n">
        <x:v>1</x:v>
      </x:c>
      <x:c r="E70" s="11" t="n">
        <x:v>5</x:v>
      </x:c>
      <x:c r="F70" s="2" t="str">
        <x:v>24362276</x:v>
      </x:c>
      <x:c r="G70" s="2" t="str">
        <x:v>S07|24362276</x:v>
      </x:c>
      <x:c r="H70" s="2" t="n">
        <x:f>IFERROR(VLOOKUP(G70,'Ratings'!$A$6:$F$1387,6,FALSE),"Unknown")</x:f>
        <x:v>2</x:v>
      </x:c>
      <x:c r="I70" s="2" t="n">
        <x:f>IF(ISNUMBER(H70),1,0)</x:f>
        <x:v>1</x:v>
      </x:c>
      <x:c r="J70" s="2" t="n">
        <x:f>IF(ISNUMBER(H70),IF(H70&gt;=2,1,0),0)</x:f>
        <x:v>1</x:v>
      </x:c>
      <x:c r="K70" s="14" t="n">
        <x:f>IF(ISNUMBER(H70),2^H70-1,0)</x:f>
        <x:v>3</x:v>
      </x:c>
      <x:c r="L70" s="14" t="n">
        <x:f>K70/LOG(E70+1,2)</x:f>
        <x:v>1.1605584217036249</x:v>
      </x:c>
      <x:c r="M70" s="10" t="n">
        <x:v>3000</x:v>
      </x:c>
      <x:c r="N70" s="10" t="n">
        <x:v>2</x:v>
      </x:c>
      <x:c r="O70" s="10" t="n">
        <x:v>732</x:v>
      </x:c>
      <x:c r="P70" s="2" t="str">
        <x:v>D18</x:v>
      </x:c>
      <x:c r="Q70" s="2" t="str">
        <x:v>hdb flat</x:v>
      </x:c>
      <x:c r="R70" s="2" t="str">
        <x:v>https://www.propertyguru.com.sg/listing/hdb-for-rent-258-tampines-street-21-24362276</x:v>
      </x:c>
      <x:c r="S70" s="2" t="str">
        <x:v>cold_start_exploration</x:v>
      </x:c>
    </x:row>
    <x:row r="71" ht="22" customHeight="1">
      <x:c r="A71" s="2" t="str">
        <x:v>S07-T01</x:v>
      </x:c>
      <x:c r="B71" s="2" t="str">
        <x:v>S07</x:v>
      </x:c>
      <x:c r="C71" s="2" t="str">
        <x:v>Retained</x:v>
      </x:c>
      <x:c r="D71" s="11" t="n">
        <x:v>1</x:v>
      </x:c>
      <x:c r="E71" s="11" t="n">
        <x:v>6</x:v>
      </x:c>
      <x:c r="F71" s="2" t="str">
        <x:v>24640962</x:v>
      </x:c>
      <x:c r="G71" s="2" t="str">
        <x:v>S07|24640962</x:v>
      </x:c>
      <x:c r="H71" s="2" t="n">
        <x:f>IFERROR(VLOOKUP(G71,'Ratings'!$A$6:$F$1387,6,FALSE),"Unknown")</x:f>
        <x:v>2</x:v>
      </x:c>
      <x:c r="I71" s="2" t="n">
        <x:f>IF(ISNUMBER(H71),1,0)</x:f>
        <x:v>1</x:v>
      </x:c>
      <x:c r="J71" s="2" t="n">
        <x:f>IF(ISNUMBER(H71),IF(H71&gt;=2,1,0),0)</x:f>
        <x:v>1</x:v>
      </x:c>
      <x:c r="K71" s="14" t="n">
        <x:f>IF(ISNUMBER(H71),2^H71-1,0)</x:f>
        <x:v>3</x:v>
      </x:c>
      <x:c r="L71" s="14" t="n">
        <x:f>K71/LOG(E71+1,2)</x:f>
        <x:v>1.0686215613240666</x:v>
      </x:c>
      <x:c r="M71" s="10" t="n">
        <x:v>3000</x:v>
      </x:c>
      <x:c r="N71" s="10" t="n">
        <x:v>2</x:v>
      </x:c>
      <x:c r="O71" s="10" t="n">
        <x:v>785</x:v>
      </x:c>
      <x:c r="P71" s="2" t="str">
        <x:v>D18</x:v>
      </x:c>
      <x:c r="Q71" s="2" t="str">
        <x:v>hdb flat</x:v>
      </x:c>
      <x:c r="R71" s="2" t="str">
        <x:v>https://www.propertyguru.com.sg/listing/hdb-for-rent-144-tampines-street-12-24640962</x:v>
      </x:c>
      <x:c r="S71" s="2" t="str">
        <x:v>cold_start_exploration</x:v>
      </x:c>
    </x:row>
    <x:row r="72" ht="22" customHeight="1">
      <x:c r="A72" s="2" t="str">
        <x:v>S07-T01</x:v>
      </x:c>
      <x:c r="B72" s="2" t="str">
        <x:v>S07</x:v>
      </x:c>
      <x:c r="C72" s="2" t="str">
        <x:v>Retained</x:v>
      </x:c>
      <x:c r="D72" s="11" t="n">
        <x:v>1</x:v>
      </x:c>
      <x:c r="E72" s="11" t="n">
        <x:v>7</x:v>
      </x:c>
      <x:c r="F72" s="2" t="str">
        <x:v>25096808</x:v>
      </x:c>
      <x:c r="G72" s="2" t="str">
        <x:v>S07|25096808</x:v>
      </x:c>
      <x:c r="H72" s="2" t="n">
        <x:f>IFERROR(VLOOKUP(G72,'Ratings'!$A$6:$F$1387,6,FALSE),"Unknown")</x:f>
        <x:v>2</x:v>
      </x:c>
      <x:c r="I72" s="2" t="n">
        <x:f>IF(ISNUMBER(H72),1,0)</x:f>
        <x:v>1</x:v>
      </x:c>
      <x:c r="J72" s="2" t="n">
        <x:f>IF(ISNUMBER(H72),IF(H72&gt;=2,1,0),0)</x:f>
        <x:v>1</x:v>
      </x:c>
      <x:c r="K72" s="14" t="n">
        <x:f>IF(ISNUMBER(H72),2^H72-1,0)</x:f>
        <x:v>3</x:v>
      </x:c>
      <x:c r="L72" s="14" t="n">
        <x:f>K72/LOG(E72+1,2)</x:f>
        <x:v>1</x:v>
      </x:c>
      <x:c r="M72" s="10" t="n">
        <x:v>3000</x:v>
      </x:c>
      <x:c r="N72" s="10" t="n">
        <x:v>2</x:v>
      </x:c>
      <x:c r="O72" s="10" t="n">
        <x:v>796</x:v>
      </x:c>
      <x:c r="P72" s="2" t="str">
        <x:v>D18</x:v>
      </x:c>
      <x:c r="Q72" s="2" t="str">
        <x:v>hdb flat</x:v>
      </x:c>
      <x:c r="R72" s="2" t="str">
        <x:v>https://www.propertyguru.com.sg/listing/hdb-for-rent-287-tampines-street-22-25096808</x:v>
      </x:c>
      <x:c r="S72" s="2" t="str">
        <x:v>cold_start_exploration</x:v>
      </x:c>
    </x:row>
    <x:row r="73" ht="22" customHeight="1">
      <x:c r="A73" s="2" t="str">
        <x:v>S07-T01</x:v>
      </x:c>
      <x:c r="B73" s="2" t="str">
        <x:v>S07</x:v>
      </x:c>
      <x:c r="C73" s="2" t="str">
        <x:v>Retained</x:v>
      </x:c>
      <x:c r="D73" s="11" t="n">
        <x:v>1</x:v>
      </x:c>
      <x:c r="E73" s="11" t="n">
        <x:v>8</x:v>
      </x:c>
      <x:c r="F73" s="2" t="str">
        <x:v>500264690</x:v>
      </x:c>
      <x:c r="G73" s="2" t="str">
        <x:v>S07|500264690</x:v>
      </x:c>
      <x:c r="H73" s="2" t="n">
        <x:f>IFERROR(VLOOKUP(G73,'Ratings'!$A$6:$F$1387,6,FALSE),"Unknown")</x:f>
        <x:v>2</x:v>
      </x:c>
      <x:c r="I73" s="2" t="n">
        <x:f>IF(ISNUMBER(H73),1,0)</x:f>
        <x:v>1</x:v>
      </x:c>
      <x:c r="J73" s="2" t="n">
        <x:f>IF(ISNUMBER(H73),IF(H73&gt;=2,1,0),0)</x:f>
        <x:v>1</x:v>
      </x:c>
      <x:c r="K73" s="14" t="n">
        <x:f>IF(ISNUMBER(H73),2^H73-1,0)</x:f>
        <x:v>3</x:v>
      </x:c>
      <x:c r="L73" s="14" t="n">
        <x:f>K73/LOG(E73+1,2)</x:f>
        <x:v>0.9463946303571861</x:v>
      </x:c>
      <x:c r="M73" s="10" t="n">
        <x:v>3000</x:v>
      </x:c>
      <x:c r="N73" s="10" t="n">
        <x:v>2</x:v>
      </x:c>
      <x:c r="O73" s="10" t="n">
        <x:v>700</x:v>
      </x:c>
      <x:c r="P73" s="2" t="str">
        <x:v>D18</x:v>
      </x:c>
      <x:c r="Q73" s="2" t="str">
        <x:v>hdb flat</x:v>
      </x:c>
      <x:c r="R73" s="2" t="str">
        <x:v>https://www.propertyguru.com.sg/listing/hdb-for-rent-914-tampines-street-91-500264690</x:v>
      </x:c>
      <x:c r="S73" s="2" t="str">
        <x:v>cold_start_exploration</x:v>
      </x:c>
    </x:row>
    <x:row r="74" ht="22" customHeight="1">
      <x:c r="A74" s="2" t="str">
        <x:v>S07-T01</x:v>
      </x:c>
      <x:c r="B74" s="2" t="str">
        <x:v>S07</x:v>
      </x:c>
      <x:c r="C74" s="2" t="str">
        <x:v>Retained</x:v>
      </x:c>
      <x:c r="D74" s="11" t="n">
        <x:v>1</x:v>
      </x:c>
      <x:c r="E74" s="11" t="n">
        <x:v>9</x:v>
      </x:c>
      <x:c r="F74" s="2" t="str">
        <x:v>25534000</x:v>
      </x:c>
      <x:c r="G74" s="2" t="str">
        <x:v>S07|25534000</x:v>
      </x:c>
      <x:c r="H74" s="2" t="n">
        <x:f>IFERROR(VLOOKUP(G74,'Ratings'!$A$6:$F$1387,6,FALSE),"Unknown")</x:f>
        <x:v>2</x:v>
      </x:c>
      <x:c r="I74" s="2" t="n">
        <x:f>IF(ISNUMBER(H74),1,0)</x:f>
        <x:v>1</x:v>
      </x:c>
      <x:c r="J74" s="2" t="n">
        <x:f>IF(ISNUMBER(H74),IF(H74&gt;=2,1,0),0)</x:f>
        <x:v>1</x:v>
      </x:c>
      <x:c r="K74" s="14" t="n">
        <x:f>IF(ISNUMBER(H74),2^H74-1,0)</x:f>
        <x:v>3</x:v>
      </x:c>
      <x:c r="L74" s="14" t="n">
        <x:f>K74/LOG(E74+1,2)</x:f>
        <x:v>0.9030899869919435</x:v>
      </x:c>
      <x:c r="M74" s="10" t="n">
        <x:v>3100</x:v>
      </x:c>
      <x:c r="N74" s="10" t="n">
        <x:v>2</x:v>
      </x:c>
      <x:c r="O74" s="10" t="n">
        <x:v>785</x:v>
      </x:c>
      <x:c r="P74" s="2" t="str">
        <x:v>D18</x:v>
      </x:c>
      <x:c r="Q74" s="2" t="str">
        <x:v>hdb flat</x:v>
      </x:c>
      <x:c r="R74" s="2" t="str">
        <x:v>https://www.propertyguru.com.sg/listing/hdb-for-rent-234-tampines-street-21-25534000</x:v>
      </x:c>
      <x:c r="S74" s="2" t="str">
        <x:v>cold_start_exploration</x:v>
      </x:c>
    </x:row>
    <x:row r="75" ht="22" customHeight="1">
      <x:c r="A75" s="2" t="str">
        <x:v>S07-T01</x:v>
      </x:c>
      <x:c r="B75" s="2" t="str">
        <x:v>S07</x:v>
      </x:c>
      <x:c r="C75" s="2" t="str">
        <x:v>Retained</x:v>
      </x:c>
      <x:c r="D75" s="11" t="n">
        <x:v>1</x:v>
      </x:c>
      <x:c r="E75" s="11" t="n">
        <x:v>10</x:v>
      </x:c>
      <x:c r="F75" s="2" t="str">
        <x:v>500023775</x:v>
      </x:c>
      <x:c r="G75" s="2" t="str">
        <x:v>S07|500023775</x:v>
      </x:c>
      <x:c r="H75" s="2" t="n">
        <x:f>IFERROR(VLOOKUP(G75,'Ratings'!$A$6:$F$1387,6,FALSE),"Unknown")</x:f>
        <x:v>2</x:v>
      </x:c>
      <x:c r="I75" s="2" t="n">
        <x:f>IF(ISNUMBER(H75),1,0)</x:f>
        <x:v>1</x:v>
      </x:c>
      <x:c r="J75" s="2" t="n">
        <x:f>IF(ISNUMBER(H75),IF(H75&gt;=2,1,0),0)</x:f>
        <x:v>1</x:v>
      </x:c>
      <x:c r="K75" s="14" t="n">
        <x:f>IF(ISNUMBER(H75),2^H75-1,0)</x:f>
        <x:v>3</x:v>
      </x:c>
      <x:c r="L75" s="14" t="n">
        <x:f>K75/LOG(E75+1,2)</x:f>
        <x:v>0.8671944789536634</x:v>
      </x:c>
      <x:c r="M75" s="10" t="n">
        <x:v>3200</x:v>
      </x:c>
      <x:c r="N75" s="10" t="n">
        <x:v>2</x:v>
      </x:c>
      <x:c r="O75" s="10" t="n">
        <x:v>811</x:v>
      </x:c>
      <x:c r="P75" s="2" t="str">
        <x:v>D18</x:v>
      </x:c>
      <x:c r="Q75" s="2" t="str">
        <x:v>hdb flat</x:v>
      </x:c>
      <x:c r="R75" s="2" t="str">
        <x:v>https://www.propertyguru.com.sg/listing/hdb-for-rent-819-tampines-street-81-500023775</x:v>
      </x:c>
      <x:c r="S75" s="2" t="str">
        <x:v>cold_start_exploration</x:v>
      </x:c>
    </x:row>
    <x:row r="76" ht="22" customHeight="1">
      <x:c r="A76" s="2" t="str">
        <x:v>S08-T01</x:v>
      </x:c>
      <x:c r="B76" s="2" t="str">
        <x:v>S08</x:v>
      </x:c>
      <x:c r="C76" s="2" t="str">
        <x:v>Retained</x:v>
      </x:c>
      <x:c r="D76" s="11" t="n">
        <x:v>1</x:v>
      </x:c>
      <x:c r="E76" s="11" t="n">
        <x:v>1</x:v>
      </x:c>
      <x:c r="F76" s="2" t="str">
        <x:v>20692755</x:v>
      </x:c>
      <x:c r="G76" s="2" t="str">
        <x:v>S08|20692755</x:v>
      </x:c>
      <x:c r="H76" s="2" t="n">
        <x:f>IFERROR(VLOOKUP(G76,'Ratings'!$A$6:$F$1387,6,FALSE),"Unknown")</x:f>
        <x:v>3</x:v>
      </x:c>
      <x:c r="I76" s="2" t="n">
        <x:f>IF(ISNUMBER(H76),1,0)</x:f>
        <x:v>1</x:v>
      </x:c>
      <x:c r="J76" s="2" t="n">
        <x:f>IF(ISNUMBER(H76),IF(H76&gt;=2,1,0),0)</x:f>
        <x:v>1</x:v>
      </x:c>
      <x:c r="K76" s="14" t="n">
        <x:f>IF(ISNUMBER(H76),2^H76-1,0)</x:f>
        <x:v>7</x:v>
      </x:c>
      <x:c r="L76" s="14" t="n">
        <x:f>K76/LOG(E76+1,2)</x:f>
        <x:v>7</x:v>
      </x:c>
      <x:c r="M76" s="10" t="n">
        <x:v>3000</x:v>
      </x:c>
      <x:c r="N76" s="10" t="n">
        <x:v>1</x:v>
      </x:c>
      <x:c r="O76" s="10" t="n">
        <x:v>517</x:v>
      </x:c>
      <x:c r="P76" s="2" t="str">
        <x:v>D03</x:v>
      </x:c>
      <x:c r="Q76" s="2" t="str">
        <x:v>condominium</x:v>
      </x:c>
      <x:c r="R76" s="2" t="str">
        <x:v>https://www.propertyguru.com.sg/listing/for-rent-alexis-20692755</x:v>
      </x:c>
      <x:c r="S76" s="2" t="str">
        <x:v>cold_start_exploration</x:v>
      </x:c>
    </x:row>
    <x:row r="77" ht="22" customHeight="1">
      <x:c r="A77" s="2" t="str">
        <x:v>S08-T01</x:v>
      </x:c>
      <x:c r="B77" s="2" t="str">
        <x:v>S08</x:v>
      </x:c>
      <x:c r="C77" s="2" t="str">
        <x:v>Retained</x:v>
      </x:c>
      <x:c r="D77" s="11" t="n">
        <x:v>1</x:v>
      </x:c>
      <x:c r="E77" s="11" t="n">
        <x:v>2</x:v>
      </x:c>
      <x:c r="F77" s="2" t="str">
        <x:v>17715224</x:v>
      </x:c>
      <x:c r="G77" s="2" t="str">
        <x:v>S08|17715224</x:v>
      </x:c>
      <x:c r="H77" s="2" t="n">
        <x:f>IFERROR(VLOOKUP(G77,'Ratings'!$A$6:$F$1387,6,FALSE),"Unknown")</x:f>
        <x:v>2</x:v>
      </x:c>
      <x:c r="I77" s="2" t="n">
        <x:f>IF(ISNUMBER(H77),1,0)</x:f>
        <x:v>1</x:v>
      </x:c>
      <x:c r="J77" s="2" t="n">
        <x:f>IF(ISNUMBER(H77),IF(H77&gt;=2,1,0),0)</x:f>
        <x:v>1</x:v>
      </x:c>
      <x:c r="K77" s="14" t="n">
        <x:f>IF(ISNUMBER(H77),2^H77-1,0)</x:f>
        <x:v>3</x:v>
      </x:c>
      <x:c r="L77" s="14" t="n">
        <x:f>K77/LOG(E77+1,2)</x:f>
        <x:v>1.8927892607143724</x:v>
      </x:c>
      <x:c r="M77" s="10" t="n">
        <x:v>2900</x:v>
      </x:c>
      <x:c r="N77" s="10" t="n">
        <x:v>1</x:v>
      </x:c>
      <x:c r="O77" s="10" t="n">
        <x:v>400</x:v>
      </x:c>
      <x:c r="P77" s="2" t="str">
        <x:v>D03</x:v>
      </x:c>
      <x:c r="Q77" s="2" t="str">
        <x:v>apartment</x:v>
      </x:c>
      <x:c r="R77" s="2" t="str">
        <x:v>https://www.propertyguru.com.sg/listing/for-rent-tiong-poh-road-17715224</x:v>
      </x:c>
      <x:c r="S77" s="2" t="str">
        <x:v>cold_start_exploration</x:v>
      </x:c>
    </x:row>
    <x:row r="78" ht="22" customHeight="1">
      <x:c r="A78" s="2" t="str">
        <x:v>S08-T01</x:v>
      </x:c>
      <x:c r="B78" s="2" t="str">
        <x:v>S08</x:v>
      </x:c>
      <x:c r="C78" s="2" t="str">
        <x:v>Retained</x:v>
      </x:c>
      <x:c r="D78" s="11" t="n">
        <x:v>1</x:v>
      </x:c>
      <x:c r="E78" s="11" t="n">
        <x:v>3</x:v>
      </x:c>
      <x:c r="F78" s="2" t="str">
        <x:v>25283210</x:v>
      </x:c>
      <x:c r="G78" s="2" t="str">
        <x:v>S08|25283210</x:v>
      </x:c>
      <x:c r="H78" s="2" t="n">
        <x:f>IFERROR(VLOOKUP(G78,'Ratings'!$A$6:$F$1387,6,FALSE),"Unknown")</x:f>
        <x:v>2</x:v>
      </x:c>
      <x:c r="I78" s="2" t="n">
        <x:f>IF(ISNUMBER(H78),1,0)</x:f>
        <x:v>1</x:v>
      </x:c>
      <x:c r="J78" s="2" t="n">
        <x:f>IF(ISNUMBER(H78),IF(H78&gt;=2,1,0),0)</x:f>
        <x:v>1</x:v>
      </x:c>
      <x:c r="K78" s="14" t="n">
        <x:f>IF(ISNUMBER(H78),2^H78-1,0)</x:f>
        <x:v>3</x:v>
      </x:c>
      <x:c r="L78" s="14" t="n">
        <x:f>K78/LOG(E78+1,2)</x:f>
        <x:v>1.5</x:v>
      </x:c>
      <x:c r="M78" s="10" t="n">
        <x:v>1200</x:v>
      </x:c>
      <x:c r="N78" s="10" t="n">
        <x:v>1</x:v>
      </x:c>
      <x:c r="O78" s="10" t="n">
        <x:v>200</x:v>
      </x:c>
      <x:c r="P78" s="2" t="str">
        <x:v>D05</x:v>
      </x:c>
      <x:c r="Q78" s="2" t="str">
        <x:v>condominium</x:v>
      </x:c>
      <x:c r="R78" s="2" t="str">
        <x:v>https://www.propertyguru.com.sg/listing/for-rent-heritage-view-25283210</x:v>
      </x:c>
      <x:c r="S78" s="2" t="str">
        <x:v>cold_start_exploration</x:v>
      </x:c>
    </x:row>
    <x:row r="79" ht="22" customHeight="1">
      <x:c r="A79" s="2" t="str">
        <x:v>S08-T01</x:v>
      </x:c>
      <x:c r="B79" s="2" t="str">
        <x:v>S08</x:v>
      </x:c>
      <x:c r="C79" s="2" t="str">
        <x:v>Retained</x:v>
      </x:c>
      <x:c r="D79" s="11" t="n">
        <x:v>1</x:v>
      </x:c>
      <x:c r="E79" s="11" t="n">
        <x:v>4</x:v>
      </x:c>
      <x:c r="F79" s="2" t="str">
        <x:v>500281649</x:v>
      </x:c>
      <x:c r="G79" s="2" t="str">
        <x:v>S08|500281649</x:v>
      </x:c>
      <x:c r="H79" s="2" t="n">
        <x:f>IFERROR(VLOOKUP(G79,'Ratings'!$A$6:$F$1387,6,FALSE),"Unknown")</x:f>
        <x:v>2</x:v>
      </x:c>
      <x:c r="I79" s="2" t="n">
        <x:f>IF(ISNUMBER(H79),1,0)</x:f>
        <x:v>1</x:v>
      </x:c>
      <x:c r="J79" s="2" t="n">
        <x:f>IF(ISNUMBER(H79),IF(H79&gt;=2,1,0),0)</x:f>
        <x:v>1</x:v>
      </x:c>
      <x:c r="K79" s="14" t="n">
        <x:f>IF(ISNUMBER(H79),2^H79-1,0)</x:f>
        <x:v>3</x:v>
      </x:c>
      <x:c r="L79" s="14" t="n">
        <x:f>K79/LOG(E79+1,2)</x:f>
        <x:v>1.2920296742201793</x:v>
      </x:c>
      <x:c r="M79" s="10" t="n">
        <x:v>1500</x:v>
      </x:c>
      <x:c r="N79" s="10" t="n">
        <x:v>1</x:v>
      </x:c>
      <x:c r="O79" s="10" t="n">
        <x:v>150</x:v>
      </x:c>
      <x:c r="P79" s="2" t="str">
        <x:v>D05</x:v>
      </x:c>
      <x:c r="Q79" s="2" t="str">
        <x:v>condominium</x:v>
      </x:c>
      <x:c r="R79" s="2" t="str">
        <x:v>https://www.propertyguru.com.sg/listing/for-rent-pandan-valley-500281649</x:v>
      </x:c>
      <x:c r="S79" s="2" t="str">
        <x:v>cold_start_exploration</x:v>
      </x:c>
    </x:row>
    <x:row r="80" ht="22" customHeight="1">
      <x:c r="A80" s="2" t="str">
        <x:v>S08-T01</x:v>
      </x:c>
      <x:c r="B80" s="2" t="str">
        <x:v>S08</x:v>
      </x:c>
      <x:c r="C80" s="2" t="str">
        <x:v>Retained</x:v>
      </x:c>
      <x:c r="D80" s="11" t="n">
        <x:v>1</x:v>
      </x:c>
      <x:c r="E80" s="11" t="n">
        <x:v>5</x:v>
      </x:c>
      <x:c r="F80" s="2" t="str">
        <x:v>60008774</x:v>
      </x:c>
      <x:c r="G80" s="2" t="str">
        <x:v>S08|60008774</x:v>
      </x:c>
      <x:c r="H80" s="2" t="n">
        <x:f>IFERROR(VLOOKUP(G80,'Ratings'!$A$6:$F$1387,6,FALSE),"Unknown")</x:f>
        <x:v>2</x:v>
      </x:c>
      <x:c r="I80" s="2" t="n">
        <x:f>IF(ISNUMBER(H80),1,0)</x:f>
        <x:v>1</x:v>
      </x:c>
      <x:c r="J80" s="2" t="n">
        <x:f>IF(ISNUMBER(H80),IF(H80&gt;=2,1,0),0)</x:f>
        <x:v>1</x:v>
      </x:c>
      <x:c r="K80" s="14" t="n">
        <x:f>IF(ISNUMBER(H80),2^H80-1,0)</x:f>
        <x:v>3</x:v>
      </x:c>
      <x:c r="L80" s="14" t="n">
        <x:f>K80/LOG(E80+1,2)</x:f>
        <x:v>1.1605584217036249</x:v>
      </x:c>
      <x:c r="M80" s="10" t="n">
        <x:v>2600</x:v>
      </x:c>
      <x:c r="N80" s="10" t="n">
        <x:v>1</x:v>
      </x:c>
      <x:c r="O80" s="10" t="n">
        <x:v>250</x:v>
      </x:c>
      <x:c r="P80" s="2" t="str">
        <x:v>D05</x:v>
      </x:c>
      <x:c r="Q80" s="2" t="str">
        <x:v>apartment</x:v>
      </x:c>
      <x:c r="R80" s="2" t="str">
        <x:v>https://www.propertyguru.com.sg/listing/for-rent-whitehaven-60008774</x:v>
      </x:c>
      <x:c r="S80" s="2" t="str">
        <x:v>cold_start_exploration</x:v>
      </x:c>
    </x:row>
    <x:row r="81" ht="22" customHeight="1">
      <x:c r="A81" s="2" t="str">
        <x:v>S08-T01</x:v>
      </x:c>
      <x:c r="B81" s="2" t="str">
        <x:v>S08</x:v>
      </x:c>
      <x:c r="C81" s="2" t="str">
        <x:v>Retained</x:v>
      </x:c>
      <x:c r="D81" s="11" t="n">
        <x:v>1</x:v>
      </x:c>
      <x:c r="E81" s="11" t="n">
        <x:v>6</x:v>
      </x:c>
      <x:c r="F81" s="2" t="str">
        <x:v>19003513</x:v>
      </x:c>
      <x:c r="G81" s="2" t="str">
        <x:v>S08|19003513</x:v>
      </x:c>
      <x:c r="H81" s="2" t="n">
        <x:f>IFERROR(VLOOKUP(G81,'Ratings'!$A$6:$F$1387,6,FALSE),"Unknown")</x:f>
        <x:v>1</x:v>
      </x:c>
      <x:c r="I81" s="2" t="n">
        <x:f>IF(ISNUMBER(H81),1,0)</x:f>
        <x:v>1</x:v>
      </x:c>
      <x:c r="J81" s="2" t="n">
        <x:f>IF(ISNUMBER(H81),IF(H81&gt;=2,1,0),0)</x:f>
        <x:v>0</x:v>
      </x:c>
      <x:c r="K81" s="14" t="n">
        <x:f>IF(ISNUMBER(H81),2^H81-1,0)</x:f>
        <x:v>1</x:v>
      </x:c>
      <x:c r="L81" s="14" t="n">
        <x:f>K81/LOG(E81+1,2)</x:f>
        <x:v>0.3562071871080222</x:v>
      </x:c>
      <x:c r="M81" s="10" t="n">
        <x:v>2800</x:v>
      </x:c>
      <x:c r="N81" s="10" t="n">
        <x:v>1</x:v>
      </x:c>
      <x:c r="O81" s="10" t="n">
        <x:v>657</x:v>
      </x:c>
      <x:c r="P81" s="2" t="str">
        <x:v>D17</x:v>
      </x:c>
      <x:c r="Q81" s="2" t="str">
        <x:v>condominium</x:v>
      </x:c>
      <x:c r="R81" s="2" t="str">
        <x:v>https://www.propertyguru.com.sg/listing/for-rent-estella-gardens-19003513</x:v>
      </x:c>
      <x:c r="S81" s="2" t="str">
        <x:v>cold_start_exploration</x:v>
      </x:c>
    </x:row>
    <x:row r="82" ht="22" customHeight="1">
      <x:c r="A82" s="2" t="str">
        <x:v>S08-T01</x:v>
      </x:c>
      <x:c r="B82" s="2" t="str">
        <x:v>S08</x:v>
      </x:c>
      <x:c r="C82" s="2" t="str">
        <x:v>Retained</x:v>
      </x:c>
      <x:c r="D82" s="11" t="n">
        <x:v>1</x:v>
      </x:c>
      <x:c r="E82" s="11" t="n">
        <x:v>7</x:v>
      </x:c>
      <x:c r="F82" s="2" t="str">
        <x:v>19176837</x:v>
      </x:c>
      <x:c r="G82" s="2" t="str">
        <x:v>S08|19176837</x:v>
      </x:c>
      <x:c r="H82" s="2" t="n">
        <x:f>IFERROR(VLOOKUP(G82,'Ratings'!$A$6:$F$1387,6,FALSE),"Unknown")</x:f>
        <x:v>1</x:v>
      </x:c>
      <x:c r="I82" s="2" t="n">
        <x:f>IF(ISNUMBER(H82),1,0)</x:f>
        <x:v>1</x:v>
      </x:c>
      <x:c r="J82" s="2" t="n">
        <x:f>IF(ISNUMBER(H82),IF(H82&gt;=2,1,0),0)</x:f>
        <x:v>0</x:v>
      </x:c>
      <x:c r="K82" s="14" t="n">
        <x:f>IF(ISNUMBER(H82),2^H82-1,0)</x:f>
        <x:v>1</x:v>
      </x:c>
      <x:c r="L82" s="14" t="n">
        <x:f>K82/LOG(E82+1,2)</x:f>
        <x:v>0.3333333333333333</x:v>
      </x:c>
      <x:c r="M82" s="10" t="n">
        <x:v>2700</x:v>
      </x:c>
      <x:c r="N82" s="10" t="n">
        <x:v>1</x:v>
      </x:c>
      <x:c r="O82" s="10" t="n">
        <x:v>592</x:v>
      </x:c>
      <x:c r="P82" s="2" t="str">
        <x:v>D25</x:v>
      </x:c>
      <x:c r="Q82" s="2" t="str">
        <x:v>condominium</x:v>
      </x:c>
      <x:c r="R82" s="2" t="str">
        <x:v>https://www.propertyguru.com.sg/listing/for-rent-woodhaven-19176837</x:v>
      </x:c>
      <x:c r="S82" s="2" t="str">
        <x:v>cold_start_exploration</x:v>
      </x:c>
    </x:row>
    <x:row r="83" ht="22" customHeight="1">
      <x:c r="A83" s="2" t="str">
        <x:v>S08-T01</x:v>
      </x:c>
      <x:c r="B83" s="2" t="str">
        <x:v>S08</x:v>
      </x:c>
      <x:c r="C83" s="2" t="str">
        <x:v>Retained</x:v>
      </x:c>
      <x:c r="D83" s="11" t="n">
        <x:v>1</x:v>
      </x:c>
      <x:c r="E83" s="11" t="n">
        <x:v>8</x:v>
      </x:c>
      <x:c r="F83" s="2" t="str">
        <x:v>20359216</x:v>
      </x:c>
      <x:c r="G83" s="2" t="str">
        <x:v>S08|20359216</x:v>
      </x:c>
      <x:c r="H83" s="2" t="n">
        <x:f>IFERROR(VLOOKUP(G83,'Ratings'!$A$6:$F$1387,6,FALSE),"Unknown")</x:f>
        <x:v>1</x:v>
      </x:c>
      <x:c r="I83" s="2" t="n">
        <x:f>IF(ISNUMBER(H83),1,0)</x:f>
        <x:v>1</x:v>
      </x:c>
      <x:c r="J83" s="2" t="n">
        <x:f>IF(ISNUMBER(H83),IF(H83&gt;=2,1,0),0)</x:f>
        <x:v>0</x:v>
      </x:c>
      <x:c r="K83" s="14" t="n">
        <x:f>IF(ISNUMBER(H83),2^H83-1,0)</x:f>
        <x:v>1</x:v>
      </x:c>
      <x:c r="L83" s="14" t="n">
        <x:f>K83/LOG(E83+1,2)</x:f>
        <x:v>0.3154648767857287</x:v>
      </x:c>
      <x:c r="M83" s="10" t="n">
        <x:v>3000</x:v>
      </x:c>
      <x:c r="N83" s="10" t="n">
        <x:v>1</x:v>
      </x:c>
      <x:c r="O83" s="10" t="n">
        <x:v>540</x:v>
      </x:c>
      <x:c r="P83" s="2" t="str">
        <x:v>D16</x:v>
      </x:c>
      <x:c r="Q83" s="2" t="str">
        <x:v>condominium</x:v>
      </x:c>
      <x:c r="R83" s="2" t="str">
        <x:v>https://www.propertyguru.com.sg/listing/for-rent-urban-vista-20359216</x:v>
      </x:c>
      <x:c r="S83" s="2" t="str">
        <x:v>cold_start_exploration</x:v>
      </x:c>
    </x:row>
    <x:row r="84" ht="22" customHeight="1">
      <x:c r="A84" s="2" t="str">
        <x:v>S08-T01</x:v>
      </x:c>
      <x:c r="B84" s="2" t="str">
        <x:v>S08</x:v>
      </x:c>
      <x:c r="C84" s="2" t="str">
        <x:v>Retained</x:v>
      </x:c>
      <x:c r="D84" s="11" t="n">
        <x:v>1</x:v>
      </x:c>
      <x:c r="E84" s="11" t="n">
        <x:v>9</x:v>
      </x:c>
      <x:c r="F84" s="2" t="str">
        <x:v>20657197</x:v>
      </x:c>
      <x:c r="G84" s="2" t="str">
        <x:v>S08|20657197</x:v>
      </x:c>
      <x:c r="H84" s="2" t="n">
        <x:f>IFERROR(VLOOKUP(G84,'Ratings'!$A$6:$F$1387,6,FALSE),"Unknown")</x:f>
        <x:v>1</x:v>
      </x:c>
      <x:c r="I84" s="2" t="n">
        <x:f>IF(ISNUMBER(H84),1,0)</x:f>
        <x:v>1</x:v>
      </x:c>
      <x:c r="J84" s="2" t="n">
        <x:f>IF(ISNUMBER(H84),IF(H84&gt;=2,1,0),0)</x:f>
        <x:v>0</x:v>
      </x:c>
      <x:c r="K84" s="14" t="n">
        <x:f>IF(ISNUMBER(H84),2^H84-1,0)</x:f>
        <x:v>1</x:v>
      </x:c>
      <x:c r="L84" s="14" t="n">
        <x:f>K84/LOG(E84+1,2)</x:f>
        <x:v>0.30102999566398114</x:v>
      </x:c>
      <x:c r="M84" s="10" t="n">
        <x:v>3000</x:v>
      </x:c>
      <x:c r="N84" s="10" t="n">
        <x:v>1</x:v>
      </x:c>
      <x:c r="O84" s="10" t="n">
        <x:v>516</x:v>
      </x:c>
      <x:c r="P84" s="2" t="str">
        <x:v>D12</x:v>
      </x:c>
      <x:c r="Q84" s="2" t="str">
        <x:v>condominium</x:v>
      </x:c>
      <x:c r="R84" s="2" t="str">
        <x:v>https://www.propertyguru.com.sg/listing/for-rent-riverbay-20657197</x:v>
      </x:c>
      <x:c r="S84" s="2" t="str">
        <x:v>cold_start_exploration</x:v>
      </x:c>
    </x:row>
    <x:row r="85" ht="22" customHeight="1">
      <x:c r="A85" s="2" t="str">
        <x:v>S08-T01</x:v>
      </x:c>
      <x:c r="B85" s="2" t="str">
        <x:v>S08</x:v>
      </x:c>
      <x:c r="C85" s="2" t="str">
        <x:v>Retained</x:v>
      </x:c>
      <x:c r="D85" s="11" t="n">
        <x:v>1</x:v>
      </x:c>
      <x:c r="E85" s="11" t="n">
        <x:v>10</x:v>
      </x:c>
      <x:c r="F85" s="2" t="str">
        <x:v>21757421</x:v>
      </x:c>
      <x:c r="G85" s="2" t="str">
        <x:v>S08|21757421</x:v>
      </x:c>
      <x:c r="H85" s="2" t="n">
        <x:f>IFERROR(VLOOKUP(G85,'Ratings'!$A$6:$F$1387,6,FALSE),"Unknown")</x:f>
        <x:v>1</x:v>
      </x:c>
      <x:c r="I85" s="2" t="n">
        <x:f>IF(ISNUMBER(H85),1,0)</x:f>
        <x:v>1</x:v>
      </x:c>
      <x:c r="J85" s="2" t="n">
        <x:f>IF(ISNUMBER(H85),IF(H85&gt;=2,1,0),0)</x:f>
        <x:v>0</x:v>
      </x:c>
      <x:c r="K85" s="14" t="n">
        <x:f>IF(ISNUMBER(H85),2^H85-1,0)</x:f>
        <x:v>1</x:v>
      </x:c>
      <x:c r="L85" s="14" t="n">
        <x:f>K85/LOG(E85+1,2)</x:f>
        <x:v>0.2890648263178878</x:v>
      </x:c>
      <x:c r="M85" s="10" t="n">
        <x:v>2900</x:v>
      </x:c>
      <x:c r="N85" s="10" t="n">
        <x:v>1</x:v>
      </x:c>
      <x:c r="O85" s="10" t="n">
        <x:v>646</x:v>
      </x:c>
      <x:c r="P85" s="2" t="str">
        <x:v>D17</x:v>
      </x:c>
      <x:c r="Q85" s="2" t="str">
        <x:v>condominium</x:v>
      </x:c>
      <x:c r="R85" s="2" t="str">
        <x:v>https://www.propertyguru.com.sg/listing/for-rent-carissa-park-condo-21757421</x:v>
      </x:c>
      <x:c r="S85" s="2" t="str">
        <x:v>cold_start_exploration</x:v>
      </x:c>
    </x:row>
    <x:row r="86" ht="22" customHeight="1">
      <x:c r="A86" s="2" t="str">
        <x:v>S09-T01</x:v>
      </x:c>
      <x:c r="B86" s="2" t="str">
        <x:v>S09</x:v>
      </x:c>
      <x:c r="C86" s="2" t="str">
        <x:v>Retained</x:v>
      </x:c>
      <x:c r="D86" s="11" t="n">
        <x:v>1</x:v>
      </x:c>
      <x:c r="E86" s="11" t="n">
        <x:v>1</x:v>
      </x:c>
      <x:c r="F86" s="2" t="str">
        <x:v>500272797</x:v>
      </x:c>
      <x:c r="G86" s="2" t="str">
        <x:v>S09|500272797</x:v>
      </x:c>
      <x:c r="H86" s="2" t="n">
        <x:f>IFERROR(VLOOKUP(G86,'Ratings'!$A$6:$F$1387,6,FALSE),"Unknown")</x:f>
        <x:v>3</x:v>
      </x:c>
      <x:c r="I86" s="2" t="n">
        <x:f>IF(ISNUMBER(H86),1,0)</x:f>
        <x:v>1</x:v>
      </x:c>
      <x:c r="J86" s="2" t="n">
        <x:f>IF(ISNUMBER(H86),IF(H86&gt;=2,1,0),0)</x:f>
        <x:v>1</x:v>
      </x:c>
      <x:c r="K86" s="14" t="n">
        <x:f>IF(ISNUMBER(H86),2^H86-1,0)</x:f>
        <x:v>7</x:v>
      </x:c>
      <x:c r="L86" s="14" t="n">
        <x:f>K86/LOG(E86+1,2)</x:f>
        <x:v>7</x:v>
      </x:c>
      <x:c r="M86" s="10" t="n">
        <x:v>2999</x:v>
      </x:c>
      <x:c r="N86" s="10" t="n">
        <x:v>3</x:v>
      </x:c>
      <x:c r="O86" s="10" t="n">
        <x:v>1119</x:v>
      </x:c>
      <x:c r="P86" s="2" t="str">
        <x:v>D18</x:v>
      </x:c>
      <x:c r="Q86" s="2" t="str">
        <x:v>hdb flat</x:v>
      </x:c>
      <x:c r="R86" s="2" t="str">
        <x:v>https://www.propertyguru.com.sg/listing/hdb-for-rent-637-pasir-ris-drive-1-500272797</x:v>
      </x:c>
      <x:c r="S86" s="2" t="str">
        <x:v>cold_start_exploration</x:v>
      </x:c>
    </x:row>
    <x:row r="87" ht="22" customHeight="1">
      <x:c r="A87" s="2" t="str">
        <x:v>S09-T01</x:v>
      </x:c>
      <x:c r="B87" s="2" t="str">
        <x:v>S09</x:v>
      </x:c>
      <x:c r="C87" s="2" t="str">
        <x:v>Retained</x:v>
      </x:c>
      <x:c r="D87" s="11" t="n">
        <x:v>1</x:v>
      </x:c>
      <x:c r="E87" s="11" t="n">
        <x:v>2</x:v>
      </x:c>
      <x:c r="F87" s="2" t="str">
        <x:v>500275409</x:v>
      </x:c>
      <x:c r="G87" s="2" t="str">
        <x:v>S09|500275409</x:v>
      </x:c>
      <x:c r="H87" s="2" t="n">
        <x:f>IFERROR(VLOOKUP(G87,'Ratings'!$A$6:$F$1387,6,FALSE),"Unknown")</x:f>
        <x:v>3</x:v>
      </x:c>
      <x:c r="I87" s="2" t="n">
        <x:f>IF(ISNUMBER(H87),1,0)</x:f>
        <x:v>1</x:v>
      </x:c>
      <x:c r="J87" s="2" t="n">
        <x:f>IF(ISNUMBER(H87),IF(H87&gt;=2,1,0),0)</x:f>
        <x:v>1</x:v>
      </x:c>
      <x:c r="K87" s="14" t="n">
        <x:f>IF(ISNUMBER(H87),2^H87-1,0)</x:f>
        <x:v>7</x:v>
      </x:c>
      <x:c r="L87" s="14" t="n">
        <x:f>K87/LOG(E87+1,2)</x:f>
        <x:v>4.4165082750002025</x:v>
      </x:c>
      <x:c r="M87" s="10" t="n">
        <x:v>3400</x:v>
      </x:c>
      <x:c r="N87" s="10" t="n">
        <x:v>3</x:v>
      </x:c>
      <x:c r="O87" s="10" t="n">
        <x:v>1120</x:v>
      </x:c>
      <x:c r="P87" s="2" t="str">
        <x:v>D18</x:v>
      </x:c>
      <x:c r="Q87" s="2" t="str">
        <x:v>hdb flat</x:v>
      </x:c>
      <x:c r="R87" s="2" t="str">
        <x:v>https://www.propertyguru.com.sg/listing/hdb-for-rent-109-simei-street-1-500275409</x:v>
      </x:c>
      <x:c r="S87" s="2" t="str">
        <x:v>cold_start_exploration</x:v>
      </x:c>
    </x:row>
    <x:row r="88" ht="22" customHeight="1">
      <x:c r="A88" s="2" t="str">
        <x:v>S09-T01</x:v>
      </x:c>
      <x:c r="B88" s="2" t="str">
        <x:v>S09</x:v>
      </x:c>
      <x:c r="C88" s="2" t="str">
        <x:v>Retained</x:v>
      </x:c>
      <x:c r="D88" s="11" t="n">
        <x:v>1</x:v>
      </x:c>
      <x:c r="E88" s="11" t="n">
        <x:v>3</x:v>
      </x:c>
      <x:c r="F88" s="2" t="str">
        <x:v>19192277</x:v>
      </x:c>
      <x:c r="G88" s="2" t="str">
        <x:v>S09|19192277</x:v>
      </x:c>
      <x:c r="H88" s="2" t="n">
        <x:f>IFERROR(VLOOKUP(G88,'Ratings'!$A$6:$F$1387,6,FALSE),"Unknown")</x:f>
        <x:v>3</x:v>
      </x:c>
      <x:c r="I88" s="2" t="n">
        <x:f>IF(ISNUMBER(H88),1,0)</x:f>
        <x:v>1</x:v>
      </x:c>
      <x:c r="J88" s="2" t="n">
        <x:f>IF(ISNUMBER(H88),IF(H88&gt;=2,1,0),0)</x:f>
        <x:v>1</x:v>
      </x:c>
      <x:c r="K88" s="14" t="n">
        <x:f>IF(ISNUMBER(H88),2^H88-1,0)</x:f>
        <x:v>7</x:v>
      </x:c>
      <x:c r="L88" s="14" t="n">
        <x:f>K88/LOG(E88+1,2)</x:f>
        <x:v>3.5</x:v>
      </x:c>
      <x:c r="M88" s="10" t="n">
        <x:v>3500</x:v>
      </x:c>
      <x:c r="N88" s="10" t="n">
        <x:v>3</x:v>
      </x:c>
      <x:c r="O88" s="10" t="n">
        <x:v>1119</x:v>
      </x:c>
      <x:c r="P88" s="2" t="str">
        <x:v>D18</x:v>
      </x:c>
      <x:c r="Q88" s="2" t="str">
        <x:v>hdb flat</x:v>
      </x:c>
      <x:c r="R88" s="2" t="str">
        <x:v>https://www.propertyguru.com.sg/listing/hdb-for-rent-487-pasir-ris-drive-4-19192277</x:v>
      </x:c>
      <x:c r="S88" s="2" t="str">
        <x:v>cold_start_exploration</x:v>
      </x:c>
    </x:row>
    <x:row r="89" ht="22" customHeight="1">
      <x:c r="A89" s="2" t="str">
        <x:v>S09-T01</x:v>
      </x:c>
      <x:c r="B89" s="2" t="str">
        <x:v>S09</x:v>
      </x:c>
      <x:c r="C89" s="2" t="str">
        <x:v>Retained</x:v>
      </x:c>
      <x:c r="D89" s="11" t="n">
        <x:v>1</x:v>
      </x:c>
      <x:c r="E89" s="11" t="n">
        <x:v>4</x:v>
      </x:c>
      <x:c r="F89" s="2" t="str">
        <x:v>19578583</x:v>
      </x:c>
      <x:c r="G89" s="2" t="str">
        <x:v>S09|19578583</x:v>
      </x:c>
      <x:c r="H89" s="2" t="n">
        <x:f>IFERROR(VLOOKUP(G89,'Ratings'!$A$6:$F$1387,6,FALSE),"Unknown")</x:f>
        <x:v>3</x:v>
      </x:c>
      <x:c r="I89" s="2" t="n">
        <x:f>IF(ISNUMBER(H89),1,0)</x:f>
        <x:v>1</x:v>
      </x:c>
      <x:c r="J89" s="2" t="n">
        <x:f>IF(ISNUMBER(H89),IF(H89&gt;=2,1,0),0)</x:f>
        <x:v>1</x:v>
      </x:c>
      <x:c r="K89" s="14" t="n">
        <x:f>IF(ISNUMBER(H89),2^H89-1,0)</x:f>
        <x:v>7</x:v>
      </x:c>
      <x:c r="L89" s="14" t="n">
        <x:f>K89/LOG(E89+1,2)</x:f>
        <x:v>3.0147359065137516</x:v>
      </x:c>
      <x:c r="M89" s="10" t="n">
        <x:v>3500</x:v>
      </x:c>
      <x:c r="N89" s="10" t="n">
        <x:v>3</x:v>
      </x:c>
      <x:c r="O89" s="10" t="n">
        <x:v>1119</x:v>
      </x:c>
      <x:c r="P89" s="2" t="str">
        <x:v>D18</x:v>
      </x:c>
      <x:c r="Q89" s="2" t="str">
        <x:v>hdb flat</x:v>
      </x:c>
      <x:c r="R89" s="2" t="str">
        <x:v>https://www.propertyguru.com.sg/listing/hdb-for-rent-634-pasir-ris-drive-1-19578583</x:v>
      </x:c>
      <x:c r="S89" s="2" t="str">
        <x:v>cold_start_exploration</x:v>
      </x:c>
    </x:row>
    <x:row r="90" ht="22" customHeight="1">
      <x:c r="A90" s="2" t="str">
        <x:v>S09-T01</x:v>
      </x:c>
      <x:c r="B90" s="2" t="str">
        <x:v>S09</x:v>
      </x:c>
      <x:c r="C90" s="2" t="str">
        <x:v>Retained</x:v>
      </x:c>
      <x:c r="D90" s="11" t="n">
        <x:v>1</x:v>
      </x:c>
      <x:c r="E90" s="11" t="n">
        <x:v>5</x:v>
      </x:c>
      <x:c r="F90" s="2" t="str">
        <x:v>500283656</x:v>
      </x:c>
      <x:c r="G90" s="2" t="str">
        <x:v>S09|500283656</x:v>
      </x:c>
      <x:c r="H90" s="2" t="n">
        <x:f>IFERROR(VLOOKUP(G90,'Ratings'!$A$6:$F$1387,6,FALSE),"Unknown")</x:f>
        <x:v>3</x:v>
      </x:c>
      <x:c r="I90" s="2" t="n">
        <x:f>IF(ISNUMBER(H90),1,0)</x:f>
        <x:v>1</x:v>
      </x:c>
      <x:c r="J90" s="2" t="n">
        <x:f>IF(ISNUMBER(H90),IF(H90&gt;=2,1,0),0)</x:f>
        <x:v>1</x:v>
      </x:c>
      <x:c r="K90" s="14" t="n">
        <x:f>IF(ISNUMBER(H90),2^H90-1,0)</x:f>
        <x:v>7</x:v>
      </x:c>
      <x:c r="L90" s="14" t="n">
        <x:f>K90/LOG(E90+1,2)</x:f>
        <x:v>2.7079696506417914</x:v>
      </x:c>
      <x:c r="M90" s="10" t="n">
        <x:v>3500</x:v>
      </x:c>
      <x:c r="N90" s="10" t="n">
        <x:v>3</x:v>
      </x:c>
      <x:c r="O90" s="10" t="n">
        <x:v>1012</x:v>
      </x:c>
      <x:c r="P90" s="2" t="str">
        <x:v>D18</x:v>
      </x:c>
      <x:c r="Q90" s="2" t="str">
        <x:v>hdb flat</x:v>
      </x:c>
      <x:c r="R90" s="2" t="str">
        <x:v>https://www.propertyguru.com.sg/listing/hdb-for-rent-520-pasir-ris-street-52-500283656</x:v>
      </x:c>
      <x:c r="S90" s="2" t="str">
        <x:v>cold_start_exploration</x:v>
      </x:c>
    </x:row>
    <x:row r="91" ht="22" customHeight="1">
      <x:c r="A91" s="2" t="str">
        <x:v>S09-T01</x:v>
      </x:c>
      <x:c r="B91" s="2" t="str">
        <x:v>S09</x:v>
      </x:c>
      <x:c r="C91" s="2" t="str">
        <x:v>Retained</x:v>
      </x:c>
      <x:c r="D91" s="11" t="n">
        <x:v>1</x:v>
      </x:c>
      <x:c r="E91" s="11" t="n">
        <x:v>6</x:v>
      </x:c>
      <x:c r="F91" s="2" t="str">
        <x:v>20148207</x:v>
      </x:c>
      <x:c r="G91" s="2" t="str">
        <x:v>S09|20148207</x:v>
      </x:c>
      <x:c r="H91" s="2" t="n">
        <x:f>IFERROR(VLOOKUP(G91,'Ratings'!$A$6:$F$1387,6,FALSE),"Unknown")</x:f>
        <x:v>2</x:v>
      </x:c>
      <x:c r="I91" s="2" t="n">
        <x:f>IF(ISNUMBER(H91),1,0)</x:f>
        <x:v>1</x:v>
      </x:c>
      <x:c r="J91" s="2" t="n">
        <x:f>IF(ISNUMBER(H91),IF(H91&gt;=2,1,0),0)</x:f>
        <x:v>1</x:v>
      </x:c>
      <x:c r="K91" s="14" t="n">
        <x:f>IF(ISNUMBER(H91),2^H91-1,0)</x:f>
        <x:v>3</x:v>
      </x:c>
      <x:c r="L91" s="14" t="n">
        <x:f>K91/LOG(E91+1,2)</x:f>
        <x:v>1.0686215613240666</x:v>
      </x:c>
      <x:c r="M91" s="10" t="n">
        <x:v>3600</x:v>
      </x:c>
      <x:c r="N91" s="10" t="n">
        <x:v>3</x:v>
      </x:c>
      <x:c r="O91" s="10" t="n">
        <x:v>1345</x:v>
      </x:c>
      <x:c r="P91" s="2" t="str">
        <x:v>D18</x:v>
      </x:c>
      <x:c r="Q91" s="2" t="str">
        <x:v>hdb flat</x:v>
      </x:c>
      <x:c r="R91" s="2" t="str">
        <x:v>https://www.propertyguru.com.sg/listing/hdb-for-rent-731-tampines-street-71-20148207</x:v>
      </x:c>
      <x:c r="S91" s="2" t="str">
        <x:v>cold_start_exploration</x:v>
      </x:c>
    </x:row>
    <x:row r="92" ht="22" customHeight="1">
      <x:c r="A92" s="2" t="str">
        <x:v>S09-T01</x:v>
      </x:c>
      <x:c r="B92" s="2" t="str">
        <x:v>S09</x:v>
      </x:c>
      <x:c r="C92" s="2" t="str">
        <x:v>Retained</x:v>
      </x:c>
      <x:c r="D92" s="11" t="n">
        <x:v>1</x:v>
      </x:c>
      <x:c r="E92" s="11" t="n">
        <x:v>7</x:v>
      </x:c>
      <x:c r="F92" s="2" t="str">
        <x:v>23414684</x:v>
      </x:c>
      <x:c r="G92" s="2" t="str">
        <x:v>S09|23414684</x:v>
      </x:c>
      <x:c r="H92" s="2" t="n">
        <x:f>IFERROR(VLOOKUP(G92,'Ratings'!$A$6:$F$1387,6,FALSE),"Unknown")</x:f>
        <x:v>2</x:v>
      </x:c>
      <x:c r="I92" s="2" t="n">
        <x:f>IF(ISNUMBER(H92),1,0)</x:f>
        <x:v>1</x:v>
      </x:c>
      <x:c r="J92" s="2" t="n">
        <x:f>IF(ISNUMBER(H92),IF(H92&gt;=2,1,0),0)</x:f>
        <x:v>1</x:v>
      </x:c>
      <x:c r="K92" s="14" t="n">
        <x:f>IF(ISNUMBER(H92),2^H92-1,0)</x:f>
        <x:v>3</x:v>
      </x:c>
      <x:c r="L92" s="14" t="n">
        <x:f>K92/LOG(E92+1,2)</x:f>
        <x:v>1</x:v>
      </x:c>
      <x:c r="M92" s="10" t="n">
        <x:v>3600</x:v>
      </x:c>
      <x:c r="N92" s="10" t="n">
        <x:v>3</x:v>
      </x:c>
      <x:c r="O92" s="10" t="n">
        <x:v>1011</x:v>
      </x:c>
      <x:c r="P92" s="2" t="str">
        <x:v>D18</x:v>
      </x:c>
      <x:c r="Q92" s="2" t="str">
        <x:v>hdb flat</x:v>
      </x:c>
      <x:c r="R92" s="2" t="str">
        <x:v>https://www.propertyguru.com.sg/listing/hdb-for-rent-871b-tampines-street-86-23414684</x:v>
      </x:c>
      <x:c r="S92" s="2" t="str">
        <x:v>cold_start_exploration</x:v>
      </x:c>
    </x:row>
    <x:row r="93" ht="22" customHeight="1">
      <x:c r="A93" s="2" t="str">
        <x:v>S09-T01</x:v>
      </x:c>
      <x:c r="B93" s="2" t="str">
        <x:v>S09</x:v>
      </x:c>
      <x:c r="C93" s="2" t="str">
        <x:v>Retained</x:v>
      </x:c>
      <x:c r="D93" s="11" t="n">
        <x:v>1</x:v>
      </x:c>
      <x:c r="E93" s="11" t="n">
        <x:v>8</x:v>
      </x:c>
      <x:c r="F93" s="2" t="str">
        <x:v>500269799</x:v>
      </x:c>
      <x:c r="G93" s="2" t="str">
        <x:v>S09|500269799</x:v>
      </x:c>
      <x:c r="H93" s="2" t="n">
        <x:f>IFERROR(VLOOKUP(G93,'Ratings'!$A$6:$F$1387,6,FALSE),"Unknown")</x:f>
        <x:v>2</x:v>
      </x:c>
      <x:c r="I93" s="2" t="n">
        <x:f>IF(ISNUMBER(H93),1,0)</x:f>
        <x:v>1</x:v>
      </x:c>
      <x:c r="J93" s="2" t="n">
        <x:f>IF(ISNUMBER(H93),IF(H93&gt;=2,1,0),0)</x:f>
        <x:v>1</x:v>
      </x:c>
      <x:c r="K93" s="14" t="n">
        <x:f>IF(ISNUMBER(H93),2^H93-1,0)</x:f>
        <x:v>3</x:v>
      </x:c>
      <x:c r="L93" s="14" t="n">
        <x:f>K93/LOG(E93+1,2)</x:f>
        <x:v>0.9463946303571861</x:v>
      </x:c>
      <x:c r="M93" s="10" t="n">
        <x:v>3600</x:v>
      </x:c>
      <x:c r="N93" s="10" t="n">
        <x:v>3</x:v>
      </x:c>
      <x:c r="O93" s="10" t="n">
        <x:v>1119</x:v>
      </x:c>
      <x:c r="P93" s="2" t="str">
        <x:v>D18</x:v>
      </x:c>
      <x:c r="Q93" s="2" t="str">
        <x:v>hdb flat</x:v>
      </x:c>
      <x:c r="R93" s="2" t="str">
        <x:v>https://www.propertyguru.com.sg/listing/hdb-for-rent-160-simei-road-500269799</x:v>
      </x:c>
      <x:c r="S93" s="2" t="str">
        <x:v>cold_start_exploration</x:v>
      </x:c>
    </x:row>
    <x:row r="94" ht="22" customHeight="1">
      <x:c r="A94" s="2" t="str">
        <x:v>S09-T01</x:v>
      </x:c>
      <x:c r="B94" s="2" t="str">
        <x:v>S09</x:v>
      </x:c>
      <x:c r="C94" s="2" t="str">
        <x:v>Retained</x:v>
      </x:c>
      <x:c r="D94" s="11" t="n">
        <x:v>1</x:v>
      </x:c>
      <x:c r="E94" s="11" t="n">
        <x:v>9</x:v>
      </x:c>
      <x:c r="F94" s="2" t="str">
        <x:v>60052971</x:v>
      </x:c>
      <x:c r="G94" s="2" t="str">
        <x:v>S09|60052971</x:v>
      </x:c>
      <x:c r="H94" s="2" t="n">
        <x:f>IFERROR(VLOOKUP(G94,'Ratings'!$A$6:$F$1387,6,FALSE),"Unknown")</x:f>
        <x:v>2</x:v>
      </x:c>
      <x:c r="I94" s="2" t="n">
        <x:f>IF(ISNUMBER(H94),1,0)</x:f>
        <x:v>1</x:v>
      </x:c>
      <x:c r="J94" s="2" t="n">
        <x:f>IF(ISNUMBER(H94),IF(H94&gt;=2,1,0),0)</x:f>
        <x:v>1</x:v>
      </x:c>
      <x:c r="K94" s="14" t="n">
        <x:f>IF(ISNUMBER(H94),2^H94-1,0)</x:f>
        <x:v>3</x:v>
      </x:c>
      <x:c r="L94" s="14" t="n">
        <x:f>K94/LOG(E94+1,2)</x:f>
        <x:v>0.9030899869919435</x:v>
      </x:c>
      <x:c r="M94" s="10" t="n">
        <x:v>3600</x:v>
      </x:c>
      <x:c r="N94" s="10" t="n">
        <x:v>3</x:v>
      </x:c>
      <x:c r="O94" s="10" t="n">
        <x:v>1109</x:v>
      </x:c>
      <x:c r="P94" s="2" t="str">
        <x:v>D18</x:v>
      </x:c>
      <x:c r="Q94" s="2" t="str">
        <x:v>hdb flat</x:v>
      </x:c>
      <x:c r="R94" s="2" t="str">
        <x:v>https://www.propertyguru.com.sg/listing/hdb-for-rent-730-tampines-street-71-60052971</x:v>
      </x:c>
      <x:c r="S94" s="2" t="str">
        <x:v>cold_start_exploration</x:v>
      </x:c>
    </x:row>
    <x:row r="95" ht="22" customHeight="1">
      <x:c r="A95" s="2" t="str">
        <x:v>S09-T01</x:v>
      </x:c>
      <x:c r="B95" s="2" t="str">
        <x:v>S09</x:v>
      </x:c>
      <x:c r="C95" s="2" t="str">
        <x:v>Retained</x:v>
      </x:c>
      <x:c r="D95" s="11" t="n">
        <x:v>1</x:v>
      </x:c>
      <x:c r="E95" s="11" t="n">
        <x:v>10</x:v>
      </x:c>
      <x:c r="F95" s="2" t="str">
        <x:v>60179146</x:v>
      </x:c>
      <x:c r="G95" s="2" t="str">
        <x:v>S09|60179146</x:v>
      </x:c>
      <x:c r="H95" s="2" t="n">
        <x:f>IFERROR(VLOOKUP(G95,'Ratings'!$A$6:$F$1387,6,FALSE),"Unknown")</x:f>
        <x:v>2</x:v>
      </x:c>
      <x:c r="I95" s="2" t="n">
        <x:f>IF(ISNUMBER(H95),1,0)</x:f>
        <x:v>1</x:v>
      </x:c>
      <x:c r="J95" s="2" t="n">
        <x:f>IF(ISNUMBER(H95),IF(H95&gt;=2,1,0),0)</x:f>
        <x:v>1</x:v>
      </x:c>
      <x:c r="K95" s="14" t="n">
        <x:f>IF(ISNUMBER(H95),2^H95-1,0)</x:f>
        <x:v>3</x:v>
      </x:c>
      <x:c r="L95" s="14" t="n">
        <x:f>K95/LOG(E95+1,2)</x:f>
        <x:v>0.8671944789536634</x:v>
      </x:c>
      <x:c r="M95" s="10" t="n">
        <x:v>3600</x:v>
      </x:c>
      <x:c r="N95" s="10" t="n">
        <x:v>3</x:v>
      </x:c>
      <x:c r="O95" s="10" t="n">
        <x:v>1378</x:v>
      </x:c>
      <x:c r="P95" s="2" t="str">
        <x:v>D18</x:v>
      </x:c>
      <x:c r="Q95" s="2" t="str">
        <x:v>hdb flat</x:v>
      </x:c>
      <x:c r="R95" s="2" t="str">
        <x:v>https://www.propertyguru.com.sg/listing/hdb-for-rent-757-pasir-ris-street-71-60179146</x:v>
      </x:c>
      <x:c r="S95" s="2" t="str">
        <x:v>cold_start_exploration</x:v>
      </x:c>
    </x:row>
    <x:row r="96" ht="22" customHeight="1">
      <x:c r="A96" s="2" t="str">
        <x:v>S10-T01</x:v>
      </x:c>
      <x:c r="B96" s="2" t="str">
        <x:v>S10</x:v>
      </x:c>
      <x:c r="C96" s="2" t="str">
        <x:v>Retained</x:v>
      </x:c>
      <x:c r="D96" s="11" t="n">
        <x:v>1</x:v>
      </x:c>
      <x:c r="E96" s="11" t="n">
        <x:v>1</x:v>
      </x:c>
      <x:c r="F96" s="2" t="str">
        <x:v>500228379</x:v>
      </x:c>
      <x:c r="G96" s="2" t="str">
        <x:v>S10|500228379</x:v>
      </x:c>
      <x:c r="H96" s="2" t="n">
        <x:f>IFERROR(VLOOKUP(G96,'Ratings'!$A$6:$F$1387,6,FALSE),"Unknown")</x:f>
        <x:v>3</x:v>
      </x:c>
      <x:c r="I96" s="2" t="n">
        <x:f>IF(ISNUMBER(H96),1,0)</x:f>
        <x:v>1</x:v>
      </x:c>
      <x:c r="J96" s="2" t="n">
        <x:f>IF(ISNUMBER(H96),IF(H96&gt;=2,1,0),0)</x:f>
        <x:v>1</x:v>
      </x:c>
      <x:c r="K96" s="14" t="n">
        <x:f>IF(ISNUMBER(H96),2^H96-1,0)</x:f>
        <x:v>7</x:v>
      </x:c>
      <x:c r="L96" s="14" t="n">
        <x:f>K96/LOG(E96+1,2)</x:f>
        <x:v>7</x:v>
      </x:c>
      <x:c r="M96" s="10" t="n">
        <x:v>6999</x:v>
      </x:c>
      <x:c r="N96" s="10" t="n">
        <x:v>6</x:v>
      </x:c>
      <x:c r="O96" s="10" t="n">
        <x:v>5000</x:v>
      </x:c>
      <x:c r="P96" s="2" t="str">
        <x:v>D19</x:v>
      </x:c>
      <x:c r="Q96" s="2" t="str">
        <x:v>semi-detached house</x:v>
      </x:c>
      <x:c r="R96" s="2" t="str">
        <x:v>https://www.propertyguru.com.sg/listing/for-rent-tai-yuan-garden-500228379</x:v>
      </x:c>
      <x:c r="S96" s="2" t="str">
        <x:v>near_tie_sampling</x:v>
      </x:c>
    </x:row>
    <x:row r="97" ht="22" customHeight="1">
      <x:c r="A97" s="2" t="str">
        <x:v>S10-T01</x:v>
      </x:c>
      <x:c r="B97" s="2" t="str">
        <x:v>S10</x:v>
      </x:c>
      <x:c r="C97" s="2" t="str">
        <x:v>Retained</x:v>
      </x:c>
      <x:c r="D97" s="11" t="n">
        <x:v>1</x:v>
      </x:c>
      <x:c r="E97" s="11" t="n">
        <x:v>2</x:v>
      </x:c>
      <x:c r="F97" s="2" t="str">
        <x:v>500091209</x:v>
      </x:c>
      <x:c r="G97" s="2" t="str">
        <x:v>S10|500091209</x:v>
      </x:c>
      <x:c r="H97" s="2" t="n">
        <x:f>IFERROR(VLOOKUP(G97,'Ratings'!$A$6:$F$1387,6,FALSE),"Unknown")</x:f>
        <x:v>3</x:v>
      </x:c>
      <x:c r="I97" s="2" t="n">
        <x:f>IF(ISNUMBER(H97),1,0)</x:f>
        <x:v>1</x:v>
      </x:c>
      <x:c r="J97" s="2" t="n">
        <x:f>IF(ISNUMBER(H97),IF(H97&gt;=2,1,0),0)</x:f>
        <x:v>1</x:v>
      </x:c>
      <x:c r="K97" s="14" t="n">
        <x:f>IF(ISNUMBER(H97),2^H97-1,0)</x:f>
        <x:v>7</x:v>
      </x:c>
      <x:c r="L97" s="14" t="n">
        <x:f>K97/LOG(E97+1,2)</x:f>
        <x:v>4.4165082750002025</x:v>
      </x:c>
      <x:c r="M97" s="10" t="n">
        <x:v>6000</x:v>
      </x:c>
      <x:c r="N97" s="10" t="n">
        <x:v>5</x:v>
      </x:c>
      <x:c r="O97" s="10" t="n">
        <x:v>3950</x:v>
      </x:c>
      <x:c r="P97" s="2" t="str">
        <x:v>D28</x:v>
      </x:c>
      <x:c r="Q97" s="2" t="str">
        <x:v>semi-detached house</x:v>
      </x:c>
      <x:c r="R97" s="2" t="str">
        <x:v>https://www.propertyguru.com.sg/listing/for-rent-semi-detached-house-for-rent-500091209</x:v>
      </x:c>
      <x:c r="S97" s="2" t="str">
        <x:v>near_tie_sampling</x:v>
      </x:c>
    </x:row>
    <x:row r="98" ht="22" customHeight="1">
      <x:c r="A98" s="2" t="str">
        <x:v>S10-T01</x:v>
      </x:c>
      <x:c r="B98" s="2" t="str">
        <x:v>S10</x:v>
      </x:c>
      <x:c r="C98" s="2" t="str">
        <x:v>Retained</x:v>
      </x:c>
      <x:c r="D98" s="11" t="n">
        <x:v>1</x:v>
      </x:c>
      <x:c r="E98" s="11" t="n">
        <x:v>3</x:v>
      </x:c>
      <x:c r="F98" s="2" t="str">
        <x:v>500033395</x:v>
      </x:c>
      <x:c r="G98" s="2" t="str">
        <x:v>S10|500033395</x:v>
      </x:c>
      <x:c r="H98" s="2" t="n">
        <x:f>IFERROR(VLOOKUP(G98,'Ratings'!$A$6:$F$1387,6,FALSE),"Unknown")</x:f>
        <x:v>3</x:v>
      </x:c>
      <x:c r="I98" s="2" t="n">
        <x:f>IF(ISNUMBER(H98),1,0)</x:f>
        <x:v>1</x:v>
      </x:c>
      <x:c r="J98" s="2" t="n">
        <x:f>IF(ISNUMBER(H98),IF(H98&gt;=2,1,0),0)</x:f>
        <x:v>1</x:v>
      </x:c>
      <x:c r="K98" s="14" t="n">
        <x:f>IF(ISNUMBER(H98),2^H98-1,0)</x:f>
        <x:v>7</x:v>
      </x:c>
      <x:c r="L98" s="14" t="n">
        <x:f>K98/LOG(E98+1,2)</x:f>
        <x:v>3.5</x:v>
      </x:c>
      <x:c r="M98" s="10" t="n">
        <x:v>6999</x:v>
      </x:c>
      <x:c r="N98" s="10" t="n">
        <x:v>3</x:v>
      </x:c>
      <x:c r="O98" s="10" t="n">
        <x:v>4188</x:v>
      </x:c>
      <x:c r="P98" s="2" t="str">
        <x:v>D19</x:v>
      </x:c>
      <x:c r="Q98" s="2" t="str">
        <x:v>semi-detached house</x:v>
      </x:c>
      <x:c r="R98" s="2" t="str">
        <x:v>https://www.propertyguru.com.sg/listing/for-rent-serangoon-gardens-way-500033395</x:v>
      </x:c>
      <x:c r="S98" s="2" t="str">
        <x:v>near_tie_sampling</x:v>
      </x:c>
    </x:row>
    <x:row r="99" ht="22" customHeight="1">
      <x:c r="A99" s="2" t="str">
        <x:v>S10-T01</x:v>
      </x:c>
      <x:c r="B99" s="2" t="str">
        <x:v>S10</x:v>
      </x:c>
      <x:c r="C99" s="2" t="str">
        <x:v>Retained</x:v>
      </x:c>
      <x:c r="D99" s="11" t="n">
        <x:v>1</x:v>
      </x:c>
      <x:c r="E99" s="11" t="n">
        <x:v>4</x:v>
      </x:c>
      <x:c r="F99" s="2" t="str">
        <x:v>500267452</x:v>
      </x:c>
      <x:c r="G99" s="2" t="str">
        <x:v>S10|500267452</x:v>
      </x:c>
      <x:c r="H99" s="2" t="n">
        <x:f>IFERROR(VLOOKUP(G99,'Ratings'!$A$6:$F$1387,6,FALSE),"Unknown")</x:f>
        <x:v>3</x:v>
      </x:c>
      <x:c r="I99" s="2" t="n">
        <x:f>IF(ISNUMBER(H99),1,0)</x:f>
        <x:v>1</x:v>
      </x:c>
      <x:c r="J99" s="2" t="n">
        <x:f>IF(ISNUMBER(H99),IF(H99&gt;=2,1,0),0)</x:f>
        <x:v>1</x:v>
      </x:c>
      <x:c r="K99" s="14" t="n">
        <x:f>IF(ISNUMBER(H99),2^H99-1,0)</x:f>
        <x:v>7</x:v>
      </x:c>
      <x:c r="L99" s="14" t="n">
        <x:f>K99/LOG(E99+1,2)</x:f>
        <x:v>3.0147359065137516</x:v>
      </x:c>
      <x:c r="M99" s="10" t="n">
        <x:v>6900</x:v>
      </x:c>
      <x:c r="N99" s="10" t="n">
        <x:v>4</x:v>
      </x:c>
      <x:c r="O99" s="10" t="n">
        <x:v>4000</x:v>
      </x:c>
      <x:c r="P99" s="2" t="str">
        <x:v>D17</x:v>
      </x:c>
      <x:c r="Q99" s="2" t="str">
        <x:v>semi-detached house</x:v>
      </x:c>
      <x:c r="R99" s="2" t="str">
        <x:v>https://www.propertyguru.com.sg/listing/for-rent-clydescove-500267452</x:v>
      </x:c>
      <x:c r="S99" s="2" t="str">
        <x:v>near_tie_sampling</x:v>
      </x:c>
    </x:row>
    <x:row r="100" ht="22" customHeight="1">
      <x:c r="A100" s="2" t="str">
        <x:v>S10-T01</x:v>
      </x:c>
      <x:c r="B100" s="2" t="str">
        <x:v>S10</x:v>
      </x:c>
      <x:c r="C100" s="2" t="str">
        <x:v>Retained</x:v>
      </x:c>
      <x:c r="D100" s="11" t="n">
        <x:v>1</x:v>
      </x:c>
      <x:c r="E100" s="11" t="n">
        <x:v>5</x:v>
      </x:c>
      <x:c r="F100" s="2" t="str">
        <x:v>500267883</x:v>
      </x:c>
      <x:c r="G100" s="2" t="str">
        <x:v>S10|500267883</x:v>
      </x:c>
      <x:c r="H100" s="2" t="n">
        <x:f>IFERROR(VLOOKUP(G100,'Ratings'!$A$6:$F$1387,6,FALSE),"Unknown")</x:f>
        <x:v>3</x:v>
      </x:c>
      <x:c r="I100" s="2" t="n">
        <x:f>IF(ISNUMBER(H100),1,0)</x:f>
        <x:v>1</x:v>
      </x:c>
      <x:c r="J100" s="2" t="n">
        <x:f>IF(ISNUMBER(H100),IF(H100&gt;=2,1,0),0)</x:f>
        <x:v>1</x:v>
      </x:c>
      <x:c r="K100" s="14" t="n">
        <x:f>IF(ISNUMBER(H100),2^H100-1,0)</x:f>
        <x:v>7</x:v>
      </x:c>
      <x:c r="L100" s="14" t="n">
        <x:f>K100/LOG(E100+1,2)</x:f>
        <x:v>2.7079696506417914</x:v>
      </x:c>
      <x:c r="M100" s="10" t="n">
        <x:v>6900</x:v>
      </x:c>
      <x:c r="N100" s="10" t="n">
        <x:v>4</x:v>
      </x:c>
      <x:c r="O100" s="10" t="n">
        <x:v>4000</x:v>
      </x:c>
      <x:c r="P100" s="2" t="str">
        <x:v>D17</x:v>
      </x:c>
      <x:c r="Q100" s="2" t="str">
        <x:v>semi-detached house</x:v>
      </x:c>
      <x:c r="R100" s="2" t="str">
        <x:v>https://www.propertyguru.com.sg/listing/for-rent-loyang-terrace-500267883</x:v>
      </x:c>
      <x:c r="S100" s="2" t="str">
        <x:v>near_tie_sampling</x:v>
      </x:c>
    </x:row>
    <x:row r="101" ht="22" customHeight="1">
      <x:c r="A101" s="2" t="str">
        <x:v>S10-T01</x:v>
      </x:c>
      <x:c r="B101" s="2" t="str">
        <x:v>S10</x:v>
      </x:c>
      <x:c r="C101" s="2" t="str">
        <x:v>Retained</x:v>
      </x:c>
      <x:c r="D101" s="11" t="n">
        <x:v>1</x:v>
      </x:c>
      <x:c r="E101" s="11" t="n">
        <x:v>6</x:v>
      </x:c>
      <x:c r="F101" s="2" t="str">
        <x:v>18758626</x:v>
      </x:c>
      <x:c r="G101" s="2" t="str">
        <x:v>S10|18758626</x:v>
      </x:c>
      <x:c r="H101" s="2" t="n">
        <x:f>IFERROR(VLOOKUP(G101,'Ratings'!$A$6:$F$1387,6,FALSE),"Unknown")</x:f>
        <x:v>3</x:v>
      </x:c>
      <x:c r="I101" s="2" t="n">
        <x:f>IF(ISNUMBER(H101),1,0)</x:f>
        <x:v>1</x:v>
      </x:c>
      <x:c r="J101" s="2" t="n">
        <x:f>IF(ISNUMBER(H101),IF(H101&gt;=2,1,0),0)</x:f>
        <x:v>1</x:v>
      </x:c>
      <x:c r="K101" s="14" t="n">
        <x:f>IF(ISNUMBER(H101),2^H101-1,0)</x:f>
        <x:v>7</x:v>
      </x:c>
      <x:c r="L101" s="14" t="n">
        <x:f>K101/LOG(E101+1,2)</x:f>
        <x:v>2.493450309756155</x:v>
      </x:c>
      <x:c r="M101" s="10" t="n">
        <x:v>7000</x:v>
      </x:c>
      <x:c r="N101" s="10" t="n">
        <x:v>5</x:v>
      </x:c>
      <x:c r="O101" s="10" t="n">
        <x:v>4000</x:v>
      </x:c>
      <x:c r="P101" s="2" t="str">
        <x:v>D28</x:v>
      </x:c>
      <x:c r="Q101" s="2" t="str">
        <x:v>semi-detached house</x:v>
      </x:c>
      <x:c r="R101" s="2" t="str">
        <x:v>https://www.propertyguru.com.sg/listing/for-rent-begonia-drive-18758626</x:v>
      </x:c>
      <x:c r="S101" s="2" t="str">
        <x:v>near_tie_sampling</x:v>
      </x:c>
    </x:row>
    <x:row r="102" ht="22" customHeight="1">
      <x:c r="A102" s="2" t="str">
        <x:v>S10-T01</x:v>
      </x:c>
      <x:c r="B102" s="2" t="str">
        <x:v>S10</x:v>
      </x:c>
      <x:c r="C102" s="2" t="str">
        <x:v>Retained</x:v>
      </x:c>
      <x:c r="D102" s="11" t="n">
        <x:v>1</x:v>
      </x:c>
      <x:c r="E102" s="11" t="n">
        <x:v>7</x:v>
      </x:c>
      <x:c r="F102" s="2" t="str">
        <x:v>500210327</x:v>
      </x:c>
      <x:c r="G102" s="2" t="str">
        <x:v>S10|500210327</x:v>
      </x:c>
      <x:c r="H102" s="2" t="n">
        <x:f>IFERROR(VLOOKUP(G102,'Ratings'!$A$6:$F$1387,6,FALSE),"Unknown")</x:f>
        <x:v>3</x:v>
      </x:c>
      <x:c r="I102" s="2" t="n">
        <x:f>IF(ISNUMBER(H102),1,0)</x:f>
        <x:v>1</x:v>
      </x:c>
      <x:c r="J102" s="2" t="n">
        <x:f>IF(ISNUMBER(H102),IF(H102&gt;=2,1,0),0)</x:f>
        <x:v>1</x:v>
      </x:c>
      <x:c r="K102" s="14" t="n">
        <x:f>IF(ISNUMBER(H102),2^H102-1,0)</x:f>
        <x:v>7</x:v>
      </x:c>
      <x:c r="L102" s="14" t="n">
        <x:f>K102/LOG(E102+1,2)</x:f>
        <x:v>2.3333333333333335</x:v>
      </x:c>
      <x:c r="M102" s="10" t="n">
        <x:v>7000</x:v>
      </x:c>
      <x:c r="N102" s="10" t="n">
        <x:v>5</x:v>
      </x:c>
      <x:c r="O102" s="10" t="n">
        <x:v>4000</x:v>
      </x:c>
      <x:c r="P102" s="2" t="str">
        <x:v>D23</x:v>
      </x:c>
      <x:c r="Q102" s="2" t="str">
        <x:v>terraced house</x:v>
      </x:c>
      <x:c r="R102" s="2" t="str">
        <x:v>https://www.propertyguru.com.sg/listing/for-rent-pavilion-park-500210327</x:v>
      </x:c>
      <x:c r="S102" s="2" t="str">
        <x:v>near_tie_sampling</x:v>
      </x:c>
    </x:row>
    <x:row r="103" ht="22" customHeight="1">
      <x:c r="A103" s="2" t="str">
        <x:v>S10-T01</x:v>
      </x:c>
      <x:c r="B103" s="2" t="str">
        <x:v>S10</x:v>
      </x:c>
      <x:c r="C103" s="2" t="str">
        <x:v>Retained</x:v>
      </x:c>
      <x:c r="D103" s="11" t="n">
        <x:v>1</x:v>
      </x:c>
      <x:c r="E103" s="11" t="n">
        <x:v>8</x:v>
      </x:c>
      <x:c r="F103" s="2" t="str">
        <x:v>500228638</x:v>
      </x:c>
      <x:c r="G103" s="2" t="str">
        <x:v>S10|500228638</x:v>
      </x:c>
      <x:c r="H103" s="2" t="n">
        <x:f>IFERROR(VLOOKUP(G103,'Ratings'!$A$6:$F$1387,6,FALSE),"Unknown")</x:f>
        <x:v>3</x:v>
      </x:c>
      <x:c r="I103" s="2" t="n">
        <x:f>IF(ISNUMBER(H103),1,0)</x:f>
        <x:v>1</x:v>
      </x:c>
      <x:c r="J103" s="2" t="n">
        <x:f>IF(ISNUMBER(H103),IF(H103&gt;=2,1,0),0)</x:f>
        <x:v>1</x:v>
      </x:c>
      <x:c r="K103" s="14" t="n">
        <x:f>IF(ISNUMBER(H103),2^H103-1,0)</x:f>
        <x:v>7</x:v>
      </x:c>
      <x:c r="L103" s="14" t="n">
        <x:f>K103/LOG(E103+1,2)</x:f>
        <x:v>2.208254137500101</x:v>
      </x:c>
      <x:c r="M103" s="10" t="n">
        <x:v>7000</x:v>
      </x:c>
      <x:c r="N103" s="10" t="n">
        <x:v>5</x:v>
      </x:c>
      <x:c r="O103" s="10" t="n">
        <x:v>4000</x:v>
      </x:c>
      <x:c r="P103" s="2" t="str">
        <x:v>D21</x:v>
      </x:c>
      <x:c r="Q103" s="2" t="str">
        <x:v>terraced house</x:v>
      </x:c>
      <x:c r="R103" s="2" t="str">
        <x:v>https://www.propertyguru.com.sg/listing/for-rent-toh-tuck-road-500228638</x:v>
      </x:c>
      <x:c r="S103" s="2" t="str">
        <x:v>near_tie_sampling</x:v>
      </x:c>
    </x:row>
    <x:row r="104" ht="22" customHeight="1">
      <x:c r="A104" s="2" t="str">
        <x:v>S10-T01</x:v>
      </x:c>
      <x:c r="B104" s="2" t="str">
        <x:v>S10</x:v>
      </x:c>
      <x:c r="C104" s="2" t="str">
        <x:v>Retained</x:v>
      </x:c>
      <x:c r="D104" s="11" t="n">
        <x:v>1</x:v>
      </x:c>
      <x:c r="E104" s="11" t="n">
        <x:v>9</x:v>
      </x:c>
      <x:c r="F104" s="2" t="str">
        <x:v>24019669</x:v>
      </x:c>
      <x:c r="G104" s="2" t="str">
        <x:v>S10|24019669</x:v>
      </x:c>
      <x:c r="H104" s="2" t="n">
        <x:f>IFERROR(VLOOKUP(G104,'Ratings'!$A$6:$F$1387,6,FALSE),"Unknown")</x:f>
        <x:v>2</x:v>
      </x:c>
      <x:c r="I104" s="2" t="n">
        <x:f>IF(ISNUMBER(H104),1,0)</x:f>
        <x:v>1</x:v>
      </x:c>
      <x:c r="J104" s="2" t="n">
        <x:f>IF(ISNUMBER(H104),IF(H104&gt;=2,1,0),0)</x:f>
        <x:v>1</x:v>
      </x:c>
      <x:c r="K104" s="14" t="n">
        <x:f>IF(ISNUMBER(H104),2^H104-1,0)</x:f>
        <x:v>3</x:v>
      </x:c>
      <x:c r="L104" s="14" t="n">
        <x:f>K104/LOG(E104+1,2)</x:f>
        <x:v>0.9030899869919435</x:v>
      </x:c>
      <x:c r="M104" s="10" t="n">
        <x:v>7000</x:v>
      </x:c>
      <x:c r="N104" s="10" t="n">
        <x:v>5</x:v>
      </x:c>
      <x:c r="O104" s="10" t="n">
        <x:v>3800</x:v>
      </x:c>
      <x:c r="P104" s="2" t="str">
        <x:v>D26</x:v>
      </x:c>
      <x:c r="Q104" s="2" t="str">
        <x:v>semi-detached house</x:v>
      </x:c>
      <x:c r="R104" s="2" t="str">
        <x:v>https://www.propertyguru.com.sg/listing/for-rent-springleaf-crescent-24019669</x:v>
      </x:c>
      <x:c r="S104" s="2" t="str">
        <x:v>near_tie_sampling</x:v>
      </x:c>
    </x:row>
    <x:row r="105" ht="22" customHeight="1">
      <x:c r="A105" s="2" t="str">
        <x:v>S10-T01</x:v>
      </x:c>
      <x:c r="B105" s="2" t="str">
        <x:v>S10</x:v>
      </x:c>
      <x:c r="C105" s="2" t="str">
        <x:v>Retained</x:v>
      </x:c>
      <x:c r="D105" s="11" t="n">
        <x:v>1</x:v>
      </x:c>
      <x:c r="E105" s="11" t="n">
        <x:v>10</x:v>
      </x:c>
      <x:c r="F105" s="2" t="str">
        <x:v>25115782</x:v>
      </x:c>
      <x:c r="G105" s="2" t="str">
        <x:v>S10|25115782</x:v>
      </x:c>
      <x:c r="H105" s="2" t="n">
        <x:f>IFERROR(VLOOKUP(G105,'Ratings'!$A$6:$F$1387,6,FALSE),"Unknown")</x:f>
        <x:v>2</x:v>
      </x:c>
      <x:c r="I105" s="2" t="n">
        <x:f>IF(ISNUMBER(H105),1,0)</x:f>
        <x:v>1</x:v>
      </x:c>
      <x:c r="J105" s="2" t="n">
        <x:f>IF(ISNUMBER(H105),IF(H105&gt;=2,1,0),0)</x:f>
        <x:v>1</x:v>
      </x:c>
      <x:c r="K105" s="14" t="n">
        <x:f>IF(ISNUMBER(H105),2^H105-1,0)</x:f>
        <x:v>3</x:v>
      </x:c>
      <x:c r="L105" s="14" t="n">
        <x:f>K105/LOG(E105+1,2)</x:f>
        <x:v>0.8671944789536634</x:v>
      </x:c>
      <x:c r="M105" s="10" t="n">
        <x:v>6900</x:v>
      </x:c>
      <x:c r="N105" s="10" t="n">
        <x:v>4</x:v>
      </x:c>
      <x:c r="O105" s="10" t="n">
        <x:v>3500</x:v>
      </x:c>
      <x:c r="P105" s="2" t="str">
        <x:v>D17</x:v>
      </x:c>
      <x:c r="Q105" s="2" t="str">
        <x:v>semi-detached house</x:v>
      </x:c>
      <x:c r="R105" s="2" t="str">
        <x:v>https://www.propertyguru.com.sg/listing/for-rent-loyang-terrace-25115782</x:v>
      </x:c>
      <x:c r="S105" s="2" t="str">
        <x:v>near_tie_sampling</x:v>
      </x:c>
    </x:row>
    <x:row r="106" ht="22" customHeight="1">
      <x:c r="A106" s="2" t="str">
        <x:v>S11-T01</x:v>
      </x:c>
      <x:c r="B106" s="2" t="str">
        <x:v>S11</x:v>
      </x:c>
      <x:c r="C106" s="2" t="str">
        <x:v>Retained</x:v>
      </x:c>
      <x:c r="D106" s="11" t="n">
        <x:v>1</x:v>
      </x:c>
      <x:c r="E106" s="11" t="n">
        <x:v>1</x:v>
      </x:c>
      <x:c r="F106" s="2" t="str">
        <x:v>500262756</x:v>
      </x:c>
      <x:c r="G106" s="2" t="str">
        <x:v>S11|500262756</x:v>
      </x:c>
      <x:c r="H106" s="2" t="n">
        <x:f>IFERROR(VLOOKUP(G106,'Ratings'!$A$6:$F$1387,6,FALSE),"Unknown")</x:f>
        <x:v>3</x:v>
      </x:c>
      <x:c r="I106" s="2" t="n">
        <x:f>IF(ISNUMBER(H106),1,0)</x:f>
        <x:v>1</x:v>
      </x:c>
      <x:c r="J106" s="2" t="n">
        <x:f>IF(ISNUMBER(H106),IF(H106&gt;=2,1,0),0)</x:f>
        <x:v>1</x:v>
      </x:c>
      <x:c r="K106" s="14" t="n">
        <x:f>IF(ISNUMBER(H106),2^H106-1,0)</x:f>
        <x:v>7</x:v>
      </x:c>
      <x:c r="L106" s="14" t="n">
        <x:f>K106/LOG(E106+1,2)</x:f>
        <x:v>7</x:v>
      </x:c>
      <x:c r="M106" s="10" t="n">
        <x:v>3000</x:v>
      </x:c>
      <x:c r="N106" s="10" t="n">
        <x:v>2</x:v>
      </x:c>
      <x:c r="O106" s="10" t="n">
        <x:v>699</x:v>
      </x:c>
      <x:c r="P106" s="2" t="str">
        <x:v>D05</x:v>
      </x:c>
      <x:c r="Q106" s="2" t="str">
        <x:v>hdb flat</x:v>
      </x:c>
      <x:c r="R106" s="2" t="str">
        <x:v>https://www.propertyguru.com.sg/listing/hdb-for-rent-2-dover-road-500262756</x:v>
      </x:c>
      <x:c r="S106" s="2" t="str">
        <x:v>near_tie_sampling</x:v>
      </x:c>
    </x:row>
    <x:row r="107" ht="22" customHeight="1">
      <x:c r="A107" s="2" t="str">
        <x:v>S11-T01</x:v>
      </x:c>
      <x:c r="B107" s="2" t="str">
        <x:v>S11</x:v>
      </x:c>
      <x:c r="C107" s="2" t="str">
        <x:v>Retained</x:v>
      </x:c>
      <x:c r="D107" s="11" t="n">
        <x:v>1</x:v>
      </x:c>
      <x:c r="E107" s="11" t="n">
        <x:v>2</x:v>
      </x:c>
      <x:c r="F107" s="2" t="str">
        <x:v>20945749</x:v>
      </x:c>
      <x:c r="G107" s="2" t="str">
        <x:v>S11|20945749</x:v>
      </x:c>
      <x:c r="H107" s="2" t="n">
        <x:f>IFERROR(VLOOKUP(G107,'Ratings'!$A$6:$F$1387,6,FALSE),"Unknown")</x:f>
        <x:v>3</x:v>
      </x:c>
      <x:c r="I107" s="2" t="n">
        <x:f>IF(ISNUMBER(H107),1,0)</x:f>
        <x:v>1</x:v>
      </x:c>
      <x:c r="J107" s="2" t="n">
        <x:f>IF(ISNUMBER(H107),IF(H107&gt;=2,1,0),0)</x:f>
        <x:v>1</x:v>
      </x:c>
      <x:c r="K107" s="14" t="n">
        <x:f>IF(ISNUMBER(H107),2^H107-1,0)</x:f>
        <x:v>7</x:v>
      </x:c>
      <x:c r="L107" s="14" t="n">
        <x:f>K107/LOG(E107+1,2)</x:f>
        <x:v>4.4165082750002025</x:v>
      </x:c>
      <x:c r="M107" s="10" t="n">
        <x:v>3200</x:v>
      </x:c>
      <x:c r="N107" s="10" t="n">
        <x:v>2</x:v>
      </x:c>
      <x:c r="O107" s="10" t="n">
        <x:v>700</x:v>
      </x:c>
      <x:c r="P107" s="2" t="str">
        <x:v>D05</x:v>
      </x:c>
      <x:c r="Q107" s="2" t="str">
        <x:v>hdb flat</x:v>
      </x:c>
      <x:c r="R107" s="2" t="str">
        <x:v>https://www.propertyguru.com.sg/listing/hdb-for-rent-1-dover-road-20945749</x:v>
      </x:c>
      <x:c r="S107" s="2" t="str">
        <x:v>near_tie_sampling</x:v>
      </x:c>
    </x:row>
    <x:row r="108" ht="22" customHeight="1">
      <x:c r="A108" s="2" t="str">
        <x:v>S11-T01</x:v>
      </x:c>
      <x:c r="B108" s="2" t="str">
        <x:v>S11</x:v>
      </x:c>
      <x:c r="C108" s="2" t="str">
        <x:v>Retained</x:v>
      </x:c>
      <x:c r="D108" s="11" t="n">
        <x:v>1</x:v>
      </x:c>
      <x:c r="E108" s="11" t="n">
        <x:v>3</x:v>
      </x:c>
      <x:c r="F108" s="2" t="str">
        <x:v>23927224</x:v>
      </x:c>
      <x:c r="G108" s="2" t="str">
        <x:v>S11|23927224</x:v>
      </x:c>
      <x:c r="H108" s="2" t="n">
        <x:f>IFERROR(VLOOKUP(G108,'Ratings'!$A$6:$F$1387,6,FALSE),"Unknown")</x:f>
        <x:v>3</x:v>
      </x:c>
      <x:c r="I108" s="2" t="n">
        <x:f>IF(ISNUMBER(H108),1,0)</x:f>
        <x:v>1</x:v>
      </x:c>
      <x:c r="J108" s="2" t="n">
        <x:f>IF(ISNUMBER(H108),IF(H108&gt;=2,1,0),0)</x:f>
        <x:v>1</x:v>
      </x:c>
      <x:c r="K108" s="14" t="n">
        <x:f>IF(ISNUMBER(H108),2^H108-1,0)</x:f>
        <x:v>7</x:v>
      </x:c>
      <x:c r="L108" s="14" t="n">
        <x:f>K108/LOG(E108+1,2)</x:f>
        <x:v>3.5</x:v>
      </x:c>
      <x:c r="M108" s="10" t="n">
        <x:v>3300</x:v>
      </x:c>
      <x:c r="N108" s="10" t="n">
        <x:v>2</x:v>
      </x:c>
      <x:c r="O108" s="10" t="n">
        <x:v>797</x:v>
      </x:c>
      <x:c r="P108" s="2" t="str">
        <x:v>D05</x:v>
      </x:c>
      <x:c r="Q108" s="2" t="str">
        <x:v>hdb flat</x:v>
      </x:c>
      <x:c r="R108" s="2" t="str">
        <x:v>https://www.propertyguru.com.sg/listing/hdb-for-rent-610-clementi-west-street-1-23927224</x:v>
      </x:c>
      <x:c r="S108" s="2" t="str">
        <x:v>near_tie_sampling</x:v>
      </x:c>
    </x:row>
    <x:row r="109" ht="22" customHeight="1">
      <x:c r="A109" s="2" t="str">
        <x:v>S11-T01</x:v>
      </x:c>
      <x:c r="B109" s="2" t="str">
        <x:v>S11</x:v>
      </x:c>
      <x:c r="C109" s="2" t="str">
        <x:v>Retained</x:v>
      </x:c>
      <x:c r="D109" s="11" t="n">
        <x:v>1</x:v>
      </x:c>
      <x:c r="E109" s="11" t="n">
        <x:v>4</x:v>
      </x:c>
      <x:c r="F109" s="2" t="str">
        <x:v>21406855</x:v>
      </x:c>
      <x:c r="G109" s="2" t="str">
        <x:v>S11|21406855</x:v>
      </x:c>
      <x:c r="H109" s="2" t="n">
        <x:f>IFERROR(VLOOKUP(G109,'Ratings'!$A$6:$F$1387,6,FALSE),"Unknown")</x:f>
        <x:v>3</x:v>
      </x:c>
      <x:c r="I109" s="2" t="n">
        <x:f>IF(ISNUMBER(H109),1,0)</x:f>
        <x:v>1</x:v>
      </x:c>
      <x:c r="J109" s="2" t="n">
        <x:f>IF(ISNUMBER(H109),IF(H109&gt;=2,1,0),0)</x:f>
        <x:v>1</x:v>
      </x:c>
      <x:c r="K109" s="14" t="n">
        <x:f>IF(ISNUMBER(H109),2^H109-1,0)</x:f>
        <x:v>7</x:v>
      </x:c>
      <x:c r="L109" s="14" t="n">
        <x:f>K109/LOG(E109+1,2)</x:f>
        <x:v>3.0147359065137516</x:v>
      </x:c>
      <x:c r="M109" s="10" t="n">
        <x:v>3300</x:v>
      </x:c>
      <x:c r="N109" s="10" t="n">
        <x:v>3</x:v>
      </x:c>
      <x:c r="O109" s="10" t="n">
        <x:v>700</x:v>
      </x:c>
      <x:c r="P109" s="2" t="str">
        <x:v>D05</x:v>
      </x:c>
      <x:c r="Q109" s="2" t="str">
        <x:v>hdb flat</x:v>
      </x:c>
      <x:c r="R109" s="2" t="str">
        <x:v>https://www.propertyguru.com.sg/listing/hdb-for-rent-21-dover-crescent-21406855</x:v>
      </x:c>
      <x:c r="S109" s="2" t="str">
        <x:v>near_tie_sampling</x:v>
      </x:c>
    </x:row>
    <x:row r="110" ht="22" customHeight="1">
      <x:c r="A110" s="2" t="str">
        <x:v>S11-T01</x:v>
      </x:c>
      <x:c r="B110" s="2" t="str">
        <x:v>S11</x:v>
      </x:c>
      <x:c r="C110" s="2" t="str">
        <x:v>Retained</x:v>
      </x:c>
      <x:c r="D110" s="11" t="n">
        <x:v>1</x:v>
      </x:c>
      <x:c r="E110" s="11" t="n">
        <x:v>5</x:v>
      </x:c>
      <x:c r="F110" s="2" t="str">
        <x:v>25224990</x:v>
      </x:c>
      <x:c r="G110" s="2" t="str">
        <x:v>S11|25224990</x:v>
      </x:c>
      <x:c r="H110" s="2" t="n">
        <x:f>IFERROR(VLOOKUP(G110,'Ratings'!$A$6:$F$1387,6,FALSE),"Unknown")</x:f>
        <x:v>3</x:v>
      </x:c>
      <x:c r="I110" s="2" t="n">
        <x:f>IF(ISNUMBER(H110),1,0)</x:f>
        <x:v>1</x:v>
      </x:c>
      <x:c r="J110" s="2" t="n">
        <x:f>IF(ISNUMBER(H110),IF(H110&gt;=2,1,0),0)</x:f>
        <x:v>1</x:v>
      </x:c>
      <x:c r="K110" s="14" t="n">
        <x:f>IF(ISNUMBER(H110),2^H110-1,0)</x:f>
        <x:v>7</x:v>
      </x:c>
      <x:c r="L110" s="14" t="n">
        <x:f>K110/LOG(E110+1,2)</x:f>
        <x:v>2.7079696506417914</x:v>
      </x:c>
      <x:c r="M110" s="10" t="n">
        <x:v>3500</x:v>
      </x:c>
      <x:c r="N110" s="10" t="n">
        <x:v>2</x:v>
      </x:c>
      <x:c r="O110" s="10" t="n">
        <x:v>721</x:v>
      </x:c>
      <x:c r="P110" s="2" t="str">
        <x:v>D05</x:v>
      </x:c>
      <x:c r="Q110" s="2" t="str">
        <x:v>hdb flat</x:v>
      </x:c>
      <x:c r="R110" s="2" t="str">
        <x:v>https://www.propertyguru.com.sg/listing/hdb-for-rent-608-clementi-west-street-1-25224990</x:v>
      </x:c>
      <x:c r="S110" s="2" t="str">
        <x:v>near_tie_sampling</x:v>
      </x:c>
    </x:row>
    <x:row r="111" ht="22" customHeight="1">
      <x:c r="A111" s="2" t="str">
        <x:v>S11-T01</x:v>
      </x:c>
      <x:c r="B111" s="2" t="str">
        <x:v>S11</x:v>
      </x:c>
      <x:c r="C111" s="2" t="str">
        <x:v>Retained</x:v>
      </x:c>
      <x:c r="D111" s="11" t="n">
        <x:v>1</x:v>
      </x:c>
      <x:c r="E111" s="11" t="n">
        <x:v>6</x:v>
      </x:c>
      <x:c r="F111" s="2" t="str">
        <x:v>500226876</x:v>
      </x:c>
      <x:c r="G111" s="2" t="str">
        <x:v>S11|500226876</x:v>
      </x:c>
      <x:c r="H111" s="2" t="n">
        <x:f>IFERROR(VLOOKUP(G111,'Ratings'!$A$6:$F$1387,6,FALSE),"Unknown")</x:f>
        <x:v>2</x:v>
      </x:c>
      <x:c r="I111" s="2" t="n">
        <x:f>IF(ISNUMBER(H111),1,0)</x:f>
        <x:v>1</x:v>
      </x:c>
      <x:c r="J111" s="2" t="n">
        <x:f>IF(ISNUMBER(H111),IF(H111&gt;=2,1,0),0)</x:f>
        <x:v>1</x:v>
      </x:c>
      <x:c r="K111" s="14" t="n">
        <x:f>IF(ISNUMBER(H111),2^H111-1,0)</x:f>
        <x:v>3</x:v>
      </x:c>
      <x:c r="L111" s="14" t="n">
        <x:f>K111/LOG(E111+1,2)</x:f>
        <x:v>1.0686215613240666</x:v>
      </x:c>
      <x:c r="M111" s="10" t="n">
        <x:v>1100</x:v>
      </x:c>
      <x:c r="N111" s="10" t="n">
        <x:v>1</x:v>
      </x:c>
      <x:c r="O111" s="10" t="n">
        <x:v>118</x:v>
      </x:c>
      <x:c r="P111" s="2" t="str">
        <x:v>D10</x:v>
      </x:c>
      <x:c r="Q111" s="2" t="str">
        <x:v>hdb flat</x:v>
      </x:c>
      <x:c r="R111" s="2" t="str">
        <x:v>https://www.propertyguru.com.sg/listing/hdb-for-rent-8-holland-avenue-500226876</x:v>
      </x:c>
      <x:c r="S111" s="2" t="str">
        <x:v>near_tie_sampling</x:v>
      </x:c>
    </x:row>
    <x:row r="112" ht="22" customHeight="1">
      <x:c r="A112" s="2" t="str">
        <x:v>S11-T01</x:v>
      </x:c>
      <x:c r="B112" s="2" t="str">
        <x:v>S11</x:v>
      </x:c>
      <x:c r="C112" s="2" t="str">
        <x:v>Retained</x:v>
      </x:c>
      <x:c r="D112" s="11" t="n">
        <x:v>1</x:v>
      </x:c>
      <x:c r="E112" s="11" t="n">
        <x:v>7</x:v>
      </x:c>
      <x:c r="F112" s="2" t="str">
        <x:v>23839651</x:v>
      </x:c>
      <x:c r="G112" s="2" t="str">
        <x:v>S11|23839651</x:v>
      </x:c>
      <x:c r="H112" s="2" t="n">
        <x:f>IFERROR(VLOOKUP(G112,'Ratings'!$A$6:$F$1387,6,FALSE),"Unknown")</x:f>
        <x:v>2</x:v>
      </x:c>
      <x:c r="I112" s="2" t="n">
        <x:f>IF(ISNUMBER(H112),1,0)</x:f>
        <x:v>1</x:v>
      </x:c>
      <x:c r="J112" s="2" t="n">
        <x:f>IF(ISNUMBER(H112),IF(H112&gt;=2,1,0),0)</x:f>
        <x:v>1</x:v>
      </x:c>
      <x:c r="K112" s="14" t="n">
        <x:f>IF(ISNUMBER(H112),2^H112-1,0)</x:f>
        <x:v>3</x:v>
      </x:c>
      <x:c r="L112" s="14" t="n">
        <x:f>K112/LOG(E112+1,2)</x:f>
        <x:v>1</x:v>
      </x:c>
      <x:c r="M112" s="10" t="n">
        <x:v>1450</x:v>
      </x:c>
      <x:c r="N112" s="10" t="n">
        <x:v>1</x:v>
      </x:c>
      <x:c r="O112" s="10" t="n">
        <x:v>721</x:v>
      </x:c>
      <x:c r="P112" s="2" t="str">
        <x:v>D05</x:v>
      </x:c>
      <x:c r="Q112" s="2" t="str">
        <x:v>hdb flat</x:v>
      </x:c>
      <x:c r="R112" s="2" t="str">
        <x:v>https://www.propertyguru.com.sg/listing/hdb-for-rent-701-west-coast-road-23839651</x:v>
      </x:c>
      <x:c r="S112" s="2" t="str">
        <x:v>near_tie_sampling</x:v>
      </x:c>
    </x:row>
    <x:row r="113" ht="22" customHeight="1">
      <x:c r="A113" s="2" t="str">
        <x:v>S11-T01</x:v>
      </x:c>
      <x:c r="B113" s="2" t="str">
        <x:v>S11</x:v>
      </x:c>
      <x:c r="C113" s="2" t="str">
        <x:v>Retained</x:v>
      </x:c>
      <x:c r="D113" s="11" t="n">
        <x:v>1</x:v>
      </x:c>
      <x:c r="E113" s="11" t="n">
        <x:v>8</x:v>
      </x:c>
      <x:c r="F113" s="2" t="str">
        <x:v>500215736</x:v>
      </x:c>
      <x:c r="G113" s="2" t="str">
        <x:v>S11|500215736</x:v>
      </x:c>
      <x:c r="H113" s="2" t="n">
        <x:f>IFERROR(VLOOKUP(G113,'Ratings'!$A$6:$F$1387,6,FALSE),"Unknown")</x:f>
        <x:v>2</x:v>
      </x:c>
      <x:c r="I113" s="2" t="n">
        <x:f>IF(ISNUMBER(H113),1,0)</x:f>
        <x:v>1</x:v>
      </x:c>
      <x:c r="J113" s="2" t="n">
        <x:f>IF(ISNUMBER(H113),IF(H113&gt;=2,1,0),0)</x:f>
        <x:v>1</x:v>
      </x:c>
      <x:c r="K113" s="14" t="n">
        <x:f>IF(ISNUMBER(H113),2^H113-1,0)</x:f>
        <x:v>3</x:v>
      </x:c>
      <x:c r="L113" s="14" t="n">
        <x:f>K113/LOG(E113+1,2)</x:f>
        <x:v>0.9463946303571861</x:v>
      </x:c>
      <x:c r="M113" s="10" t="n">
        <x:v>1450</x:v>
      </x:c>
      <x:c r="N113" s="10" t="n">
        <x:v>1</x:v>
      </x:c>
      <x:c r="O113" s="10" t="n">
        <x:v>721</x:v>
      </x:c>
      <x:c r="P113" s="2" t="str">
        <x:v>D05</x:v>
      </x:c>
      <x:c r="Q113" s="2" t="str">
        <x:v>hdb flat</x:v>
      </x:c>
      <x:c r="R113" s="2" t="str">
        <x:v>https://www.propertyguru.com.sg/listing/hdb-for-rent-701-west-coast-road-500215736</x:v>
      </x:c>
      <x:c r="S113" s="2" t="str">
        <x:v>near_tie_sampling</x:v>
      </x:c>
    </x:row>
    <x:row r="114" ht="22" customHeight="1">
      <x:c r="A114" s="2" t="str">
        <x:v>S11-T01</x:v>
      </x:c>
      <x:c r="B114" s="2" t="str">
        <x:v>S11</x:v>
      </x:c>
      <x:c r="C114" s="2" t="str">
        <x:v>Retained</x:v>
      </x:c>
      <x:c r="D114" s="11" t="n">
        <x:v>1</x:v>
      </x:c>
      <x:c r="E114" s="11" t="n">
        <x:v>9</x:v>
      </x:c>
      <x:c r="F114" s="2" t="str">
        <x:v>23368920</x:v>
      </x:c>
      <x:c r="G114" s="2" t="str">
        <x:v>S11|23368920</x:v>
      </x:c>
      <x:c r="H114" s="2" t="n">
        <x:f>IFERROR(VLOOKUP(G114,'Ratings'!$A$6:$F$1387,6,FALSE),"Unknown")</x:f>
        <x:v>2</x:v>
      </x:c>
      <x:c r="I114" s="2" t="n">
        <x:f>IF(ISNUMBER(H114),1,0)</x:f>
        <x:v>1</x:v>
      </x:c>
      <x:c r="J114" s="2" t="n">
        <x:f>IF(ISNUMBER(H114),IF(H114&gt;=2,1,0),0)</x:f>
        <x:v>1</x:v>
      </x:c>
      <x:c r="K114" s="14" t="n">
        <x:f>IF(ISNUMBER(H114),2^H114-1,0)</x:f>
        <x:v>3</x:v>
      </x:c>
      <x:c r="L114" s="14" t="n">
        <x:f>K114/LOG(E114+1,2)</x:f>
        <x:v>0.9030899869919435</x:v>
      </x:c>
      <x:c r="M114" s="10" t="n">
        <x:v>1300</x:v>
      </x:c>
      <x:c r="N114" s="10" t="n">
        <x:v>1</x:v>
      </x:c>
      <x:c r="O114" s="10" t="n">
        <x:v>102</x:v>
      </x:c>
      <x:c r="P114" s="2" t="str">
        <x:v>D10</x:v>
      </x:c>
      <x:c r="Q114" s="2" t="str">
        <x:v>hdb flat</x:v>
      </x:c>
      <x:c r="R114" s="2" t="str">
        <x:v>https://www.propertyguru.com.sg/listing/hdb-for-rent-18d-holland-drive-23368920</x:v>
      </x:c>
      <x:c r="S114" s="2" t="str">
        <x:v>near_tie_sampling</x:v>
      </x:c>
    </x:row>
    <x:row r="115" ht="22" customHeight="1">
      <x:c r="A115" s="2" t="str">
        <x:v>S11-T01</x:v>
      </x:c>
      <x:c r="B115" s="2" t="str">
        <x:v>S11</x:v>
      </x:c>
      <x:c r="C115" s="2" t="str">
        <x:v>Retained</x:v>
      </x:c>
      <x:c r="D115" s="11" t="n">
        <x:v>1</x:v>
      </x:c>
      <x:c r="E115" s="11" t="n">
        <x:v>10</x:v>
      </x:c>
      <x:c r="F115" s="2" t="str">
        <x:v>24194570</x:v>
      </x:c>
      <x:c r="G115" s="2" t="str">
        <x:v>S11|24194570</x:v>
      </x:c>
      <x:c r="H115" s="2" t="n">
        <x:f>IFERROR(VLOOKUP(G115,'Ratings'!$A$6:$F$1387,6,FALSE),"Unknown")</x:f>
        <x:v>2</x:v>
      </x:c>
      <x:c r="I115" s="2" t="n">
        <x:f>IF(ISNUMBER(H115),1,0)</x:f>
        <x:v>1</x:v>
      </x:c>
      <x:c r="J115" s="2" t="n">
        <x:f>IF(ISNUMBER(H115),IF(H115&gt;=2,1,0),0)</x:f>
        <x:v>1</x:v>
      </x:c>
      <x:c r="K115" s="14" t="n">
        <x:f>IF(ISNUMBER(H115),2^H115-1,0)</x:f>
        <x:v>3</x:v>
      </x:c>
      <x:c r="L115" s="14" t="n">
        <x:f>K115/LOG(E115+1,2)</x:f>
        <x:v>0.8671944789536634</x:v>
      </x:c>
      <x:c r="M115" s="10" t="n">
        <x:v>3300</x:v>
      </x:c>
      <x:c r="N115" s="10" t="n">
        <x:v>2</x:v>
      </x:c>
      <x:c r="O115" s="10" t="n">
        <x:v>721</x:v>
      </x:c>
      <x:c r="P115" s="2" t="str">
        <x:v>D05</x:v>
      </x:c>
      <x:c r="Q115" s="2" t="str">
        <x:v>hdb flat</x:v>
      </x:c>
      <x:c r="R115" s="2" t="str">
        <x:v>https://www.propertyguru.com.sg/listing/hdb-for-rent-729-clementi-west-street-2-24194570</x:v>
      </x:c>
      <x:c r="S115" s="2" t="str">
        <x:v>near_tie_sampling</x:v>
      </x:c>
    </x:row>
    <x:row r="116" ht="22" customHeight="1">
      <x:c r="A116" s="2" t="str">
        <x:v>S12-T01</x:v>
      </x:c>
      <x:c r="B116" s="2" t="str">
        <x:v>S12</x:v>
      </x:c>
      <x:c r="C116" s="2" t="str">
        <x:v>Retained</x:v>
      </x:c>
      <x:c r="D116" s="11" t="n">
        <x:v>1</x:v>
      </x:c>
      <x:c r="E116" s="11" t="n">
        <x:v>1</x:v>
      </x:c>
      <x:c r="F116" s="2" t="str">
        <x:v>500266415</x:v>
      </x:c>
      <x:c r="G116" s="2" t="str">
        <x:v>S12|500266415</x:v>
      </x:c>
      <x:c r="H116" s="2" t="n">
        <x:f>IFERROR(VLOOKUP(G116,'Ratings'!$A$6:$F$1387,6,FALSE),"Unknown")</x:f>
        <x:v>3</x:v>
      </x:c>
      <x:c r="I116" s="2" t="n">
        <x:f>IF(ISNUMBER(H116),1,0)</x:f>
        <x:v>1</x:v>
      </x:c>
      <x:c r="J116" s="2" t="n">
        <x:f>IF(ISNUMBER(H116),IF(H116&gt;=2,1,0),0)</x:f>
        <x:v>1</x:v>
      </x:c>
      <x:c r="K116" s="14" t="n">
        <x:f>IF(ISNUMBER(H116),2^H116-1,0)</x:f>
        <x:v>7</x:v>
      </x:c>
      <x:c r="L116" s="14" t="n">
        <x:f>K116/LOG(E116+1,2)</x:f>
        <x:v>7</x:v>
      </x:c>
      <x:c r="M116" s="10" t="n">
        <x:v>3300</x:v>
      </x:c>
      <x:c r="N116" s="10" t="n">
        <x:v>2</x:v>
      </x:c>
      <x:c r="O116" s="10" t="n">
        <x:v>980</x:v>
      </x:c>
      <x:c r="P116" s="2" t="str">
        <x:v>D05</x:v>
      </x:c>
      <x:c r="Q116" s="2" t="str">
        <x:v>hdb flat</x:v>
      </x:c>
      <x:c r="R116" s="2" t="str">
        <x:v>https://www.propertyguru.com.sg/listing/hdb-for-rent-511-west-coast-drive-500266415</x:v>
      </x:c>
      <x:c r="S116" s="2" t="str">
        <x:v>cold_start_exploration</x:v>
      </x:c>
    </x:row>
    <x:row r="117" ht="22" customHeight="1">
      <x:c r="A117" s="2" t="str">
        <x:v>S12-T01</x:v>
      </x:c>
      <x:c r="B117" s="2" t="str">
        <x:v>S12</x:v>
      </x:c>
      <x:c r="C117" s="2" t="str">
        <x:v>Retained</x:v>
      </x:c>
      <x:c r="D117" s="11" t="n">
        <x:v>1</x:v>
      </x:c>
      <x:c r="E117" s="11" t="n">
        <x:v>2</x:v>
      </x:c>
      <x:c r="F117" s="2" t="str">
        <x:v>18689152</x:v>
      </x:c>
      <x:c r="G117" s="2" t="str">
        <x:v>S12|18689152</x:v>
      </x:c>
      <x:c r="H117" s="2" t="n">
        <x:f>IFERROR(VLOOKUP(G117,'Ratings'!$A$6:$F$1387,6,FALSE),"Unknown")</x:f>
        <x:v>3</x:v>
      </x:c>
      <x:c r="I117" s="2" t="n">
        <x:f>IF(ISNUMBER(H117),1,0)</x:f>
        <x:v>1</x:v>
      </x:c>
      <x:c r="J117" s="2" t="n">
        <x:f>IF(ISNUMBER(H117),IF(H117&gt;=2,1,0),0)</x:f>
        <x:v>1</x:v>
      </x:c>
      <x:c r="K117" s="14" t="n">
        <x:f>IF(ISNUMBER(H117),2^H117-1,0)</x:f>
        <x:v>7</x:v>
      </x:c>
      <x:c r="L117" s="14" t="n">
        <x:f>K117/LOG(E117+1,2)</x:f>
        <x:v>4.4165082750002025</x:v>
      </x:c>
      <x:c r="M117" s="10" t="n">
        <x:v>3350</x:v>
      </x:c>
      <x:c r="N117" s="10" t="n">
        <x:v>2</x:v>
      </x:c>
      <x:c r="O117" s="10" t="n">
        <x:v>969</x:v>
      </x:c>
      <x:c r="P117" s="2" t="str">
        <x:v>D05</x:v>
      </x:c>
      <x:c r="Q117" s="2" t="str">
        <x:v>hdb flat</x:v>
      </x:c>
      <x:c r="R117" s="2" t="str">
        <x:v>https://www.propertyguru.com.sg/listing/hdb-for-rent-508-west-coast-drive-18689152</x:v>
      </x:c>
      <x:c r="S117" s="2" t="str">
        <x:v>cold_start_exploration</x:v>
      </x:c>
    </x:row>
    <x:row r="118" ht="22" customHeight="1">
      <x:c r="A118" s="2" t="str">
        <x:v>S12-T01</x:v>
      </x:c>
      <x:c r="B118" s="2" t="str">
        <x:v>S12</x:v>
      </x:c>
      <x:c r="C118" s="2" t="str">
        <x:v>Retained</x:v>
      </x:c>
      <x:c r="D118" s="11" t="n">
        <x:v>1</x:v>
      </x:c>
      <x:c r="E118" s="11" t="n">
        <x:v>3</x:v>
      </x:c>
      <x:c r="F118" s="2" t="str">
        <x:v>500277448</x:v>
      </x:c>
      <x:c r="G118" s="2" t="str">
        <x:v>S12|500277448</x:v>
      </x:c>
      <x:c r="H118" s="2" t="n">
        <x:f>IFERROR(VLOOKUP(G118,'Ratings'!$A$6:$F$1387,6,FALSE),"Unknown")</x:f>
        <x:v>3</x:v>
      </x:c>
      <x:c r="I118" s="2" t="n">
        <x:f>IF(ISNUMBER(H118),1,0)</x:f>
        <x:v>1</x:v>
      </x:c>
      <x:c r="J118" s="2" t="n">
        <x:f>IF(ISNUMBER(H118),IF(H118&gt;=2,1,0),0)</x:f>
        <x:v>1</x:v>
      </x:c>
      <x:c r="K118" s="14" t="n">
        <x:f>IF(ISNUMBER(H118),2^H118-1,0)</x:f>
        <x:v>7</x:v>
      </x:c>
      <x:c r="L118" s="14" t="n">
        <x:f>K118/LOG(E118+1,2)</x:f>
        <x:v>3.5</x:v>
      </x:c>
      <x:c r="M118" s="10" t="n">
        <x:v>3400</x:v>
      </x:c>
      <x:c r="N118" s="10" t="n">
        <x:v>3</x:v>
      </x:c>
      <x:c r="O118" s="10" t="n">
        <x:v>1208</x:v>
      </x:c>
      <x:c r="P118" s="2" t="str">
        <x:v>D04</x:v>
      </x:c>
      <x:c r="Q118" s="2" t="str">
        <x:v>hdb flat</x:v>
      </x:c>
      <x:c r="R118" s="2" t="str">
        <x:v>https://www.propertyguru.com.sg/listing/hdb-for-rent-114-depot-road-500277448</x:v>
      </x:c>
      <x:c r="S118" s="2" t="str">
        <x:v>cold_start_exploration</x:v>
      </x:c>
    </x:row>
    <x:row r="119" ht="22" customHeight="1">
      <x:c r="A119" s="2" t="str">
        <x:v>S12-T01</x:v>
      </x:c>
      <x:c r="B119" s="2" t="str">
        <x:v>S12</x:v>
      </x:c>
      <x:c r="C119" s="2" t="str">
        <x:v>Retained</x:v>
      </x:c>
      <x:c r="D119" s="11" t="n">
        <x:v>1</x:v>
      </x:c>
      <x:c r="E119" s="11" t="n">
        <x:v>4</x:v>
      </x:c>
      <x:c r="F119" s="2" t="str">
        <x:v>24981163</x:v>
      </x:c>
      <x:c r="G119" s="2" t="str">
        <x:v>S12|24981163</x:v>
      </x:c>
      <x:c r="H119" s="2" t="n">
        <x:f>IFERROR(VLOOKUP(G119,'Ratings'!$A$6:$F$1387,6,FALSE),"Unknown")</x:f>
        <x:v>3</x:v>
      </x:c>
      <x:c r="I119" s="2" t="n">
        <x:f>IF(ISNUMBER(H119),1,0)</x:f>
        <x:v>1</x:v>
      </x:c>
      <x:c r="J119" s="2" t="n">
        <x:f>IF(ISNUMBER(H119),IF(H119&gt;=2,1,0),0)</x:f>
        <x:v>1</x:v>
      </x:c>
      <x:c r="K119" s="14" t="n">
        <x:f>IF(ISNUMBER(H119),2^H119-1,0)</x:f>
        <x:v>7</x:v>
      </x:c>
      <x:c r="L119" s="14" t="n">
        <x:f>K119/LOG(E119+1,2)</x:f>
        <x:v>3.0147359065137516</x:v>
      </x:c>
      <x:c r="M119" s="10" t="n">
        <x:v>3800</x:v>
      </x:c>
      <x:c r="N119" s="10" t="n">
        <x:v>3</x:v>
      </x:c>
      <x:c r="O119" s="10" t="n">
        <x:v>1012</x:v>
      </x:c>
      <x:c r="P119" s="2" t="str">
        <x:v>D05</x:v>
      </x:c>
      <x:c r="Q119" s="2" t="str">
        <x:v>hdb flat</x:v>
      </x:c>
      <x:c r="R119" s="2" t="str">
        <x:v>https://www.propertyguru.com.sg/listing/hdb-for-rent-381-clementi-avenue-5-24981163</x:v>
      </x:c>
      <x:c r="S119" s="2" t="str">
        <x:v>cold_start_exploration</x:v>
      </x:c>
    </x:row>
    <x:row r="120" ht="22" customHeight="1">
      <x:c r="A120" s="2" t="str">
        <x:v>S12-T01</x:v>
      </x:c>
      <x:c r="B120" s="2" t="str">
        <x:v>S12</x:v>
      </x:c>
      <x:c r="C120" s="2" t="str">
        <x:v>Retained</x:v>
      </x:c>
      <x:c r="D120" s="11" t="n">
        <x:v>1</x:v>
      </x:c>
      <x:c r="E120" s="11" t="n">
        <x:v>5</x:v>
      </x:c>
      <x:c r="F120" s="2" t="str">
        <x:v>500265860</x:v>
      </x:c>
      <x:c r="G120" s="2" t="str">
        <x:v>S12|500265860</x:v>
      </x:c>
      <x:c r="H120" s="2" t="n">
        <x:f>IFERROR(VLOOKUP(G120,'Ratings'!$A$6:$F$1387,6,FALSE),"Unknown")</x:f>
        <x:v>3</x:v>
      </x:c>
      <x:c r="I120" s="2" t="n">
        <x:f>IF(ISNUMBER(H120),1,0)</x:f>
        <x:v>1</x:v>
      </x:c>
      <x:c r="J120" s="2" t="n">
        <x:f>IF(ISNUMBER(H120),IF(H120&gt;=2,1,0),0)</x:f>
        <x:v>1</x:v>
      </x:c>
      <x:c r="K120" s="14" t="n">
        <x:f>IF(ISNUMBER(H120),2^H120-1,0)</x:f>
        <x:v>7</x:v>
      </x:c>
      <x:c r="L120" s="14" t="n">
        <x:f>K120/LOG(E120+1,2)</x:f>
        <x:v>2.7079696506417914</x:v>
      </x:c>
      <x:c r="M120" s="10" t="n">
        <x:v>3800</x:v>
      </x:c>
      <x:c r="N120" s="10" t="n">
        <x:v>3</x:v>
      </x:c>
      <x:c r="O120" s="10" t="n">
        <x:v>1313</x:v>
      </x:c>
      <x:c r="P120" s="2" t="str">
        <x:v>D21</x:v>
      </x:c>
      <x:c r="Q120" s="2" t="str">
        <x:v>hdb flat</x:v>
      </x:c>
      <x:c r="R120" s="2" t="str">
        <x:v>https://www.propertyguru.com.sg/listing/hdb-for-rent-5-toh-yi-drive-500265860</x:v>
      </x:c>
      <x:c r="S120" s="2" t="str">
        <x:v>cold_start_exploration</x:v>
      </x:c>
    </x:row>
    <x:row r="121" ht="22" customHeight="1">
      <x:c r="A121" s="2" t="str">
        <x:v>S12-T01</x:v>
      </x:c>
      <x:c r="B121" s="2" t="str">
        <x:v>S12</x:v>
      </x:c>
      <x:c r="C121" s="2" t="str">
        <x:v>Retained</x:v>
      </x:c>
      <x:c r="D121" s="11" t="n">
        <x:v>1</x:v>
      </x:c>
      <x:c r="E121" s="11" t="n">
        <x:v>6</x:v>
      </x:c>
      <x:c r="F121" s="2" t="str">
        <x:v>500275187</x:v>
      </x:c>
      <x:c r="G121" s="2" t="str">
        <x:v>S12|500275187</x:v>
      </x:c>
      <x:c r="H121" s="2" t="n">
        <x:f>IFERROR(VLOOKUP(G121,'Ratings'!$A$6:$F$1387,6,FALSE),"Unknown")</x:f>
        <x:v>3</x:v>
      </x:c>
      <x:c r="I121" s="2" t="n">
        <x:f>IF(ISNUMBER(H121),1,0)</x:f>
        <x:v>1</x:v>
      </x:c>
      <x:c r="J121" s="2" t="n">
        <x:f>IF(ISNUMBER(H121),IF(H121&gt;=2,1,0),0)</x:f>
        <x:v>1</x:v>
      </x:c>
      <x:c r="K121" s="14" t="n">
        <x:f>IF(ISNUMBER(H121),2^H121-1,0)</x:f>
        <x:v>7</x:v>
      </x:c>
      <x:c r="L121" s="14" t="n">
        <x:f>K121/LOG(E121+1,2)</x:f>
        <x:v>2.493450309756155</x:v>
      </x:c>
      <x:c r="M121" s="10" t="n">
        <x:v>3800</x:v>
      </x:c>
      <x:c r="N121" s="10" t="n">
        <x:v>3</x:v>
      </x:c>
      <x:c r="O121" s="10" t="n">
        <x:v>980</x:v>
      </x:c>
      <x:c r="P121" s="2" t="str">
        <x:v>D05</x:v>
      </x:c>
      <x:c r="Q121" s="2" t="str">
        <x:v>hdb flat</x:v>
      </x:c>
      <x:c r="R121" s="2" t="str">
        <x:v>https://www.propertyguru.com.sg/listing/hdb-for-rent-315-clementi-avenue-4-500275187</x:v>
      </x:c>
      <x:c r="S121" s="2" t="str">
        <x:v>cold_start_exploration</x:v>
      </x:c>
    </x:row>
    <x:row r="122" ht="22" customHeight="1">
      <x:c r="A122" s="2" t="str">
        <x:v>S12-T01</x:v>
      </x:c>
      <x:c r="B122" s="2" t="str">
        <x:v>S12</x:v>
      </x:c>
      <x:c r="C122" s="2" t="str">
        <x:v>Retained</x:v>
      </x:c>
      <x:c r="D122" s="11" t="n">
        <x:v>1</x:v>
      </x:c>
      <x:c r="E122" s="11" t="n">
        <x:v>7</x:v>
      </x:c>
      <x:c r="F122" s="2" t="str">
        <x:v>500267822</x:v>
      </x:c>
      <x:c r="G122" s="2" t="str">
        <x:v>S12|500267822</x:v>
      </x:c>
      <x:c r="H122" s="2" t="n">
        <x:f>IFERROR(VLOOKUP(G122,'Ratings'!$A$6:$F$1387,6,FALSE),"Unknown")</x:f>
        <x:v>3</x:v>
      </x:c>
      <x:c r="I122" s="2" t="n">
        <x:f>IF(ISNUMBER(H122),1,0)</x:f>
        <x:v>1</x:v>
      </x:c>
      <x:c r="J122" s="2" t="n">
        <x:f>IF(ISNUMBER(H122),IF(H122&gt;=2,1,0),0)</x:f>
        <x:v>1</x:v>
      </x:c>
      <x:c r="K122" s="14" t="n">
        <x:f>IF(ISNUMBER(H122),2^H122-1,0)</x:f>
        <x:v>7</x:v>
      </x:c>
      <x:c r="L122" s="14" t="n">
        <x:f>K122/LOG(E122+1,2)</x:f>
        <x:v>2.3333333333333335</x:v>
      </x:c>
      <x:c r="M122" s="10" t="n">
        <x:v>3880</x:v>
      </x:c>
      <x:c r="N122" s="10" t="n">
        <x:v>3</x:v>
      </x:c>
      <x:c r="O122" s="10" t="n">
        <x:v>980</x:v>
      </x:c>
      <x:c r="P122" s="2" t="str">
        <x:v>D05</x:v>
      </x:c>
      <x:c r="Q122" s="2" t="str">
        <x:v>hdb flat</x:v>
      </x:c>
      <x:c r="R122" s="2" t="str">
        <x:v>https://www.propertyguru.com.sg/listing/hdb-for-rent-373-clementi-avenue-4-500267822</x:v>
      </x:c>
      <x:c r="S122" s="2" t="str">
        <x:v>cold_start_exploration</x:v>
      </x:c>
    </x:row>
    <x:row r="123" ht="22" customHeight="1">
      <x:c r="A123" s="2" t="str">
        <x:v>S12-T01</x:v>
      </x:c>
      <x:c r="B123" s="2" t="str">
        <x:v>S12</x:v>
      </x:c>
      <x:c r="C123" s="2" t="str">
        <x:v>Retained</x:v>
      </x:c>
      <x:c r="D123" s="11" t="n">
        <x:v>1</x:v>
      </x:c>
      <x:c r="E123" s="11" t="n">
        <x:v>8</x:v>
      </x:c>
      <x:c r="F123" s="2" t="str">
        <x:v>23818798</x:v>
      </x:c>
      <x:c r="G123" s="2" t="str">
        <x:v>S12|23818798</x:v>
      </x:c>
      <x:c r="H123" s="2" t="n">
        <x:f>IFERROR(VLOOKUP(G123,'Ratings'!$A$6:$F$1387,6,FALSE),"Unknown")</x:f>
        <x:v>3</x:v>
      </x:c>
      <x:c r="I123" s="2" t="n">
        <x:f>IF(ISNUMBER(H123),1,0)</x:f>
        <x:v>1</x:v>
      </x:c>
      <x:c r="J123" s="2" t="n">
        <x:f>IF(ISNUMBER(H123),IF(H123&gt;=2,1,0),0)</x:f>
        <x:v>1</x:v>
      </x:c>
      <x:c r="K123" s="14" t="n">
        <x:f>IF(ISNUMBER(H123),2^H123-1,0)</x:f>
        <x:v>7</x:v>
      </x:c>
      <x:c r="L123" s="14" t="n">
        <x:f>K123/LOG(E123+1,2)</x:f>
        <x:v>2.208254137500101</x:v>
      </x:c>
      <x:c r="M123" s="10" t="n">
        <x:v>3900</x:v>
      </x:c>
      <x:c r="N123" s="10" t="n">
        <x:v>3</x:v>
      </x:c>
      <x:c r="O123" s="10" t="n">
        <x:v>968</x:v>
      </x:c>
      <x:c r="P123" s="2" t="str">
        <x:v>D03</x:v>
      </x:c>
      <x:c r="Q123" s="2" t="str">
        <x:v>hdb flat</x:v>
      </x:c>
      <x:c r="R123" s="2" t="str">
        <x:v>https://www.propertyguru.com.sg/listing/hdb-for-rent-168a-queensway-23818798</x:v>
      </x:c>
      <x:c r="S123" s="2" t="str">
        <x:v>cold_start_exploration</x:v>
      </x:c>
    </x:row>
    <x:row r="124" ht="22" customHeight="1">
      <x:c r="A124" s="2" t="str">
        <x:v>S12-T01</x:v>
      </x:c>
      <x:c r="B124" s="2" t="str">
        <x:v>S12</x:v>
      </x:c>
      <x:c r="C124" s="2" t="str">
        <x:v>Retained</x:v>
      </x:c>
      <x:c r="D124" s="11" t="n">
        <x:v>1</x:v>
      </x:c>
      <x:c r="E124" s="11" t="n">
        <x:v>9</x:v>
      </x:c>
      <x:c r="F124" s="2" t="str">
        <x:v>500251234</x:v>
      </x:c>
      <x:c r="G124" s="2" t="str">
        <x:v>S12|500251234</x:v>
      </x:c>
      <x:c r="H124" s="2" t="n">
        <x:f>IFERROR(VLOOKUP(G124,'Ratings'!$A$6:$F$1387,6,FALSE),"Unknown")</x:f>
        <x:v>3</x:v>
      </x:c>
      <x:c r="I124" s="2" t="n">
        <x:f>IF(ISNUMBER(H124),1,0)</x:f>
        <x:v>1</x:v>
      </x:c>
      <x:c r="J124" s="2" t="n">
        <x:f>IF(ISNUMBER(H124),IF(H124&gt;=2,1,0),0)</x:f>
        <x:v>1</x:v>
      </x:c>
      <x:c r="K124" s="14" t="n">
        <x:f>IF(ISNUMBER(H124),2^H124-1,0)</x:f>
        <x:v>7</x:v>
      </x:c>
      <x:c r="L124" s="14" t="n">
        <x:f>K124/LOG(E124+1,2)</x:f>
        <x:v>2.1072099696478683</x:v>
      </x:c>
      <x:c r="M124" s="10" t="n">
        <x:v>3900</x:v>
      </x:c>
      <x:c r="N124" s="10" t="n">
        <x:v>3</x:v>
      </x:c>
      <x:c r="O124" s="10" t="n">
        <x:v>1000</x:v>
      </x:c>
      <x:c r="P124" s="2" t="str">
        <x:v>D05</x:v>
      </x:c>
      <x:c r="Q124" s="2" t="str">
        <x:v>hdb flat</x:v>
      </x:c>
      <x:c r="R124" s="2" t="str">
        <x:v>https://www.propertyguru.com.sg/listing/hdb-for-rent-506-west-coast-drive-500251234</x:v>
      </x:c>
      <x:c r="S124" s="2" t="str">
        <x:v>cold_start_exploration</x:v>
      </x:c>
    </x:row>
    <x:row r="125" ht="22" customHeight="1">
      <x:c r="A125" s="2" t="str">
        <x:v>S12-T01</x:v>
      </x:c>
      <x:c r="B125" s="2" t="str">
        <x:v>S12</x:v>
      </x:c>
      <x:c r="C125" s="2" t="str">
        <x:v>Retained</x:v>
      </x:c>
      <x:c r="D125" s="11" t="n">
        <x:v>1</x:v>
      </x:c>
      <x:c r="E125" s="11" t="n">
        <x:v>10</x:v>
      </x:c>
      <x:c r="F125" s="2" t="str">
        <x:v>24176266</x:v>
      </x:c>
      <x:c r="G125" s="2" t="str">
        <x:v>S12|24176266</x:v>
      </x:c>
      <x:c r="H125" s="2" t="n">
        <x:f>IFERROR(VLOOKUP(G125,'Ratings'!$A$6:$F$1387,6,FALSE),"Unknown")</x:f>
        <x:v>2</x:v>
      </x:c>
      <x:c r="I125" s="2" t="n">
        <x:f>IF(ISNUMBER(H125),1,0)</x:f>
        <x:v>1</x:v>
      </x:c>
      <x:c r="J125" s="2" t="n">
        <x:f>IF(ISNUMBER(H125),IF(H125&gt;=2,1,0),0)</x:f>
        <x:v>1</x:v>
      </x:c>
      <x:c r="K125" s="14" t="n">
        <x:f>IF(ISNUMBER(H125),2^H125-1,0)</x:f>
        <x:v>3</x:v>
      </x:c>
      <x:c r="L125" s="14" t="n">
        <x:f>K125/LOG(E125+1,2)</x:f>
        <x:v>0.8671944789536634</x:v>
      </x:c>
      <x:c r="M125" s="10" t="n">
        <x:v>4200</x:v>
      </x:c>
      <x:c r="N125" s="10" t="n">
        <x:v>3</x:v>
      </x:c>
      <x:c r="O125" s="10" t="n">
        <x:v>914</x:v>
      </x:c>
      <x:c r="P125" s="2" t="str">
        <x:v>D03</x:v>
      </x:c>
      <x:c r="Q125" s="2" t="str">
        <x:v>hdb flat</x:v>
      </x:c>
      <x:c r="R125" s="2" t="str">
        <x:v>https://www.propertyguru.com.sg/listing/hdb-for-rent-161-mei-ling-street-24176266</x:v>
      </x:c>
      <x:c r="S125" s="2" t="str">
        <x:v>cold_start_exploration</x:v>
      </x:c>
    </x:row>
    <x:row r="126" ht="22" customHeight="1">
      <x:c r="A126" s="2" t="str">
        <x:v>S13-T01</x:v>
      </x:c>
      <x:c r="B126" s="2" t="str">
        <x:v>S13</x:v>
      </x:c>
      <x:c r="C126" s="2" t="str">
        <x:v>Retained</x:v>
      </x:c>
      <x:c r="D126" s="11" t="n">
        <x:v>1</x:v>
      </x:c>
      <x:c r="E126" s="11" t="n">
        <x:v>1</x:v>
      </x:c>
      <x:c r="F126" s="2" t="str">
        <x:v>500226876</x:v>
      </x:c>
      <x:c r="G126" s="2" t="str">
        <x:v>S13|500226876</x:v>
      </x:c>
      <x:c r="H126" s="2" t="n">
        <x:f>IFERROR(VLOOKUP(G126,'Ratings'!$A$6:$F$1387,6,FALSE),"Unknown")</x:f>
        <x:v>3</x:v>
      </x:c>
      <x:c r="I126" s="2" t="n">
        <x:f>IF(ISNUMBER(H126),1,0)</x:f>
        <x:v>1</x:v>
      </x:c>
      <x:c r="J126" s="2" t="n">
        <x:f>IF(ISNUMBER(H126),IF(H126&gt;=2,1,0),0)</x:f>
        <x:v>1</x:v>
      </x:c>
      <x:c r="K126" s="14" t="n">
        <x:f>IF(ISNUMBER(H126),2^H126-1,0)</x:f>
        <x:v>7</x:v>
      </x:c>
      <x:c r="L126" s="14" t="n">
        <x:f>K126/LOG(E126+1,2)</x:f>
        <x:v>7</x:v>
      </x:c>
      <x:c r="M126" s="10" t="n">
        <x:v>1100</x:v>
      </x:c>
      <x:c r="N126" s="10" t="n">
        <x:v>1</x:v>
      </x:c>
      <x:c r="O126" s="10" t="n">
        <x:v>118</x:v>
      </x:c>
      <x:c r="P126" s="2" t="str">
        <x:v>D10</x:v>
      </x:c>
      <x:c r="Q126" s="2" t="str">
        <x:v>hdb flat</x:v>
      </x:c>
      <x:c r="R126" s="2" t="str">
        <x:v>https://www.propertyguru.com.sg/listing/hdb-for-rent-8-holland-avenue-500226876</x:v>
      </x:c>
      <x:c r="S126" s="2" t="str">
        <x:v>ranked</x:v>
      </x:c>
    </x:row>
    <x:row r="127" ht="22" customHeight="1">
      <x:c r="A127" s="2" t="str">
        <x:v>S13-T01</x:v>
      </x:c>
      <x:c r="B127" s="2" t="str">
        <x:v>S13</x:v>
      </x:c>
      <x:c r="C127" s="2" t="str">
        <x:v>Retained</x:v>
      </x:c>
      <x:c r="D127" s="11" t="n">
        <x:v>1</x:v>
      </x:c>
      <x:c r="E127" s="11" t="n">
        <x:v>2</x:v>
      </x:c>
      <x:c r="F127" s="2" t="str">
        <x:v>23368920</x:v>
      </x:c>
      <x:c r="G127" s="2" t="str">
        <x:v>S13|23368920</x:v>
      </x:c>
      <x:c r="H127" s="2" t="n">
        <x:f>IFERROR(VLOOKUP(G127,'Ratings'!$A$6:$F$1387,6,FALSE),"Unknown")</x:f>
        <x:v>3</x:v>
      </x:c>
      <x:c r="I127" s="2" t="n">
        <x:f>IF(ISNUMBER(H127),1,0)</x:f>
        <x:v>1</x:v>
      </x:c>
      <x:c r="J127" s="2" t="n">
        <x:f>IF(ISNUMBER(H127),IF(H127&gt;=2,1,0),0)</x:f>
        <x:v>1</x:v>
      </x:c>
      <x:c r="K127" s="14" t="n">
        <x:f>IF(ISNUMBER(H127),2^H127-1,0)</x:f>
        <x:v>7</x:v>
      </x:c>
      <x:c r="L127" s="14" t="n">
        <x:f>K127/LOG(E127+1,2)</x:f>
        <x:v>4.4165082750002025</x:v>
      </x:c>
      <x:c r="M127" s="10" t="n">
        <x:v>1300</x:v>
      </x:c>
      <x:c r="N127" s="10" t="n">
        <x:v>1</x:v>
      </x:c>
      <x:c r="O127" s="10" t="n">
        <x:v>102</x:v>
      </x:c>
      <x:c r="P127" s="2" t="str">
        <x:v>D10</x:v>
      </x:c>
      <x:c r="Q127" s="2" t="str">
        <x:v>hdb flat</x:v>
      </x:c>
      <x:c r="R127" s="2" t="str">
        <x:v>https://www.propertyguru.com.sg/listing/hdb-for-rent-18d-holland-drive-23368920</x:v>
      </x:c>
      <x:c r="S127" s="2" t="str">
        <x:v>ranked</x:v>
      </x:c>
    </x:row>
    <x:row r="128" ht="22" customHeight="1">
      <x:c r="A128" s="2" t="str">
        <x:v>S13-T01</x:v>
      </x:c>
      <x:c r="B128" s="2" t="str">
        <x:v>S13</x:v>
      </x:c>
      <x:c r="C128" s="2" t="str">
        <x:v>Retained</x:v>
      </x:c>
      <x:c r="D128" s="11" t="n">
        <x:v>1</x:v>
      </x:c>
      <x:c r="E128" s="11" t="n">
        <x:v>3</x:v>
      </x:c>
      <x:c r="F128" s="2" t="str">
        <x:v>500240708</x:v>
      </x:c>
      <x:c r="G128" s="2" t="str">
        <x:v>S13|500240708</x:v>
      </x:c>
      <x:c r="H128" s="2" t="n">
        <x:f>IFERROR(VLOOKUP(G128,'Ratings'!$A$6:$F$1387,6,FALSE),"Unknown")</x:f>
        <x:v>2</x:v>
      </x:c>
      <x:c r="I128" s="2" t="n">
        <x:f>IF(ISNUMBER(H128),1,0)</x:f>
        <x:v>1</x:v>
      </x:c>
      <x:c r="J128" s="2" t="n">
        <x:f>IF(ISNUMBER(H128),IF(H128&gt;=2,1,0),0)</x:f>
        <x:v>1</x:v>
      </x:c>
      <x:c r="K128" s="14" t="n">
        <x:f>IF(ISNUMBER(H128),2^H128-1,0)</x:f>
        <x:v>3</x:v>
      </x:c>
      <x:c r="L128" s="14" t="n">
        <x:f>K128/LOG(E128+1,2)</x:f>
        <x:v>1.5</x:v>
      </x:c>
      <x:c r="M128" s="10" t="n">
        <x:v>700</x:v>
      </x:c>
      <x:c r="N128" s="10" t="n">
        <x:v>1</x:v>
      </x:c>
      <x:c r="O128" s="10" t="n">
        <x:v>150</x:v>
      </x:c>
      <x:c r="P128" s="2" t="str">
        <x:v>D22</x:v>
      </x:c>
      <x:c r="Q128" s="2" t="str">
        <x:v>hdb flat</x:v>
      </x:c>
      <x:c r="R128" s="2" t="str">
        <x:v>https://www.propertyguru.com.sg/listing/hdb-for-rent-412-pandan-gardens-500240708</x:v>
      </x:c>
      <x:c r="S128" s="2" t="str">
        <x:v>ranked</x:v>
      </x:c>
    </x:row>
    <x:row r="129" ht="22" customHeight="1">
      <x:c r="A129" s="2" t="str">
        <x:v>S13-T01</x:v>
      </x:c>
      <x:c r="B129" s="2" t="str">
        <x:v>S13</x:v>
      </x:c>
      <x:c r="C129" s="2" t="str">
        <x:v>Retained</x:v>
      </x:c>
      <x:c r="D129" s="11" t="n">
        <x:v>1</x:v>
      </x:c>
      <x:c r="E129" s="11" t="n">
        <x:v>4</x:v>
      </x:c>
      <x:c r="F129" s="2" t="str">
        <x:v>23839651</x:v>
      </x:c>
      <x:c r="G129" s="2" t="str">
        <x:v>S13|23839651</x:v>
      </x:c>
      <x:c r="H129" s="2" t="n">
        <x:f>IFERROR(VLOOKUP(G129,'Ratings'!$A$6:$F$1387,6,FALSE),"Unknown")</x:f>
        <x:v>3</x:v>
      </x:c>
      <x:c r="I129" s="2" t="n">
        <x:f>IF(ISNUMBER(H129),1,0)</x:f>
        <x:v>1</x:v>
      </x:c>
      <x:c r="J129" s="2" t="n">
        <x:f>IF(ISNUMBER(H129),IF(H129&gt;=2,1,0),0)</x:f>
        <x:v>1</x:v>
      </x:c>
      <x:c r="K129" s="14" t="n">
        <x:f>IF(ISNUMBER(H129),2^H129-1,0)</x:f>
        <x:v>7</x:v>
      </x:c>
      <x:c r="L129" s="14" t="n">
        <x:f>K129/LOG(E129+1,2)</x:f>
        <x:v>3.0147359065137516</x:v>
      </x:c>
      <x:c r="M129" s="10" t="n">
        <x:v>1450</x:v>
      </x:c>
      <x:c r="N129" s="10" t="n">
        <x:v>1</x:v>
      </x:c>
      <x:c r="O129" s="10" t="n">
        <x:v>721</x:v>
      </x:c>
      <x:c r="P129" s="2" t="str">
        <x:v>D05</x:v>
      </x:c>
      <x:c r="Q129" s="2" t="str">
        <x:v>hdb flat</x:v>
      </x:c>
      <x:c r="R129" s="2" t="str">
        <x:v>https://www.propertyguru.com.sg/listing/hdb-for-rent-701-west-coast-road-23839651</x:v>
      </x:c>
      <x:c r="S129" s="2" t="str">
        <x:v>ranked</x:v>
      </x:c>
    </x:row>
    <x:row r="130" ht="22" customHeight="1">
      <x:c r="A130" s="2" t="str">
        <x:v>S13-T01</x:v>
      </x:c>
      <x:c r="B130" s="2" t="str">
        <x:v>S13</x:v>
      </x:c>
      <x:c r="C130" s="2" t="str">
        <x:v>Retained</x:v>
      </x:c>
      <x:c r="D130" s="11" t="n">
        <x:v>1</x:v>
      </x:c>
      <x:c r="E130" s="11" t="n">
        <x:v>5</x:v>
      </x:c>
      <x:c r="F130" s="2" t="str">
        <x:v>500215736</x:v>
      </x:c>
      <x:c r="G130" s="2" t="str">
        <x:v>S13|500215736</x:v>
      </x:c>
      <x:c r="H130" s="2" t="n">
        <x:f>IFERROR(VLOOKUP(G130,'Ratings'!$A$6:$F$1387,6,FALSE),"Unknown")</x:f>
        <x:v>3</x:v>
      </x:c>
      <x:c r="I130" s="2" t="n">
        <x:f>IF(ISNUMBER(H130),1,0)</x:f>
        <x:v>1</x:v>
      </x:c>
      <x:c r="J130" s="2" t="n">
        <x:f>IF(ISNUMBER(H130),IF(H130&gt;=2,1,0),0)</x:f>
        <x:v>1</x:v>
      </x:c>
      <x:c r="K130" s="14" t="n">
        <x:f>IF(ISNUMBER(H130),2^H130-1,0)</x:f>
        <x:v>7</x:v>
      </x:c>
      <x:c r="L130" s="14" t="n">
        <x:f>K130/LOG(E130+1,2)</x:f>
        <x:v>2.7079696506417914</x:v>
      </x:c>
      <x:c r="M130" s="10" t="n">
        <x:v>1450</x:v>
      </x:c>
      <x:c r="N130" s="10" t="n">
        <x:v>1</x:v>
      </x:c>
      <x:c r="O130" s="10" t="n">
        <x:v>721</x:v>
      </x:c>
      <x:c r="P130" s="2" t="str">
        <x:v>D05</x:v>
      </x:c>
      <x:c r="Q130" s="2" t="str">
        <x:v>hdb flat</x:v>
      </x:c>
      <x:c r="R130" s="2" t="str">
        <x:v>https://www.propertyguru.com.sg/listing/hdb-for-rent-701-west-coast-road-500215736</x:v>
      </x:c>
      <x:c r="S130" s="2" t="str">
        <x:v>ranked</x:v>
      </x:c>
    </x:row>
    <x:row r="131" ht="22" customHeight="1">
      <x:c r="A131" s="2" t="str">
        <x:v>S13-T01</x:v>
      </x:c>
      <x:c r="B131" s="2" t="str">
        <x:v>S13</x:v>
      </x:c>
      <x:c r="C131" s="2" t="str">
        <x:v>Retained</x:v>
      </x:c>
      <x:c r="D131" s="11" t="n">
        <x:v>1</x:v>
      </x:c>
      <x:c r="E131" s="11" t="n">
        <x:v>6</x:v>
      </x:c>
      <x:c r="F131" s="2" t="str">
        <x:v>12620560</x:v>
      </x:c>
      <x:c r="G131" s="2" t="str">
        <x:v>S13|12620560</x:v>
      </x:c>
      <x:c r="H131" s="2" t="n">
        <x:f>IFERROR(VLOOKUP(G131,'Ratings'!$A$6:$F$1387,6,FALSE),"Unknown")</x:f>
        <x:v>2</x:v>
      </x:c>
      <x:c r="I131" s="2" t="n">
        <x:f>IF(ISNUMBER(H131),1,0)</x:f>
        <x:v>1</x:v>
      </x:c>
      <x:c r="J131" s="2" t="n">
        <x:f>IF(ISNUMBER(H131),IF(H131&gt;=2,1,0),0)</x:f>
        <x:v>1</x:v>
      </x:c>
      <x:c r="K131" s="14" t="n">
        <x:f>IF(ISNUMBER(H131),2^H131-1,0)</x:f>
        <x:v>3</x:v>
      </x:c>
      <x:c r="L131" s="14" t="n">
        <x:f>K131/LOG(E131+1,2)</x:f>
        <x:v>1.0686215613240666</x:v>
      </x:c>
      <x:c r="M131" s="10" t="n">
        <x:v>850</x:v>
      </x:c>
      <x:c r="N131" s="10" t="n">
        <x:v>1</x:v>
      </x:c>
      <x:c r="O131" s="10" t="n">
        <x:v>1291</x:v>
      </x:c>
      <x:c r="P131" s="2" t="str">
        <x:v>D10</x:v>
      </x:c>
      <x:c r="Q131" s="2" t="str">
        <x:v>hdb flat</x:v>
      </x:c>
      <x:c r="R131" s="2" t="str">
        <x:v>https://www.propertyguru.com.sg/listing/hdb-for-rent-1-queen-s-road-12620560</x:v>
      </x:c>
      <x:c r="S131" s="2" t="str">
        <x:v>ranked</x:v>
      </x:c>
    </x:row>
    <x:row r="132" ht="22" customHeight="1">
      <x:c r="A132" s="2" t="str">
        <x:v>S13-T01</x:v>
      </x:c>
      <x:c r="B132" s="2" t="str">
        <x:v>S13</x:v>
      </x:c>
      <x:c r="C132" s="2" t="str">
        <x:v>Retained</x:v>
      </x:c>
      <x:c r="D132" s="11" t="n">
        <x:v>1</x:v>
      </x:c>
      <x:c r="E132" s="11" t="n">
        <x:v>7</x:v>
      </x:c>
      <x:c r="F132" s="2" t="str">
        <x:v>500285985</x:v>
      </x:c>
      <x:c r="G132" s="2" t="str">
        <x:v>S13|500285985</x:v>
      </x:c>
      <x:c r="H132" s="2" t="n">
        <x:f>IFERROR(VLOOKUP(G132,'Ratings'!$A$6:$F$1387,6,FALSE),"Unknown")</x:f>
        <x:v>3</x:v>
      </x:c>
      <x:c r="I132" s="2" t="n">
        <x:f>IF(ISNUMBER(H132),1,0)</x:f>
        <x:v>1</x:v>
      </x:c>
      <x:c r="J132" s="2" t="n">
        <x:f>IF(ISNUMBER(H132),IF(H132&gt;=2,1,0),0)</x:f>
        <x:v>1</x:v>
      </x:c>
      <x:c r="K132" s="14" t="n">
        <x:f>IF(ISNUMBER(H132),2^H132-1,0)</x:f>
        <x:v>7</x:v>
      </x:c>
      <x:c r="L132" s="14" t="n">
        <x:f>K132/LOG(E132+1,2)</x:f>
        <x:v>2.3333333333333335</x:v>
      </x:c>
      <x:c r="M132" s="10" t="n">
        <x:v>1400</x:v>
      </x:c>
      <x:c r="N132" s="10" t="n">
        <x:v>1</x:v>
      </x:c>
      <x:c r="O132" s="10" t="n">
        <x:v>1001</x:v>
      </x:c>
      <x:c r="P132" s="2" t="str">
        <x:v>D05</x:v>
      </x:c>
      <x:c r="Q132" s="2" t="str">
        <x:v>hdb flat</x:v>
      </x:c>
      <x:c r="R132" s="2" t="str">
        <x:v>https://www.propertyguru.com.sg/listing/hdb-for-rent-441b-clementi-avenue-3-500285985</x:v>
      </x:c>
      <x:c r="S132" s="2" t="str">
        <x:v>ranked</x:v>
      </x:c>
    </x:row>
    <x:row r="133" ht="22" customHeight="1">
      <x:c r="A133" s="2" t="str">
        <x:v>S13-T01</x:v>
      </x:c>
      <x:c r="B133" s="2" t="str">
        <x:v>S13</x:v>
      </x:c>
      <x:c r="C133" s="2" t="str">
        <x:v>Retained</x:v>
      </x:c>
      <x:c r="D133" s="11" t="n">
        <x:v>1</x:v>
      </x:c>
      <x:c r="E133" s="11" t="n">
        <x:v>8</x:v>
      </x:c>
      <x:c r="F133" s="2" t="str">
        <x:v>500283878</x:v>
      </x:c>
      <x:c r="G133" s="2" t="str">
        <x:v>S13|500283878</x:v>
      </x:c>
      <x:c r="H133" s="2" t="n">
        <x:f>IFERROR(VLOOKUP(G133,'Ratings'!$A$6:$F$1387,6,FALSE),"Unknown")</x:f>
        <x:v>2</x:v>
      </x:c>
      <x:c r="I133" s="2" t="n">
        <x:f>IF(ISNUMBER(H133),1,0)</x:f>
        <x:v>1</x:v>
      </x:c>
      <x:c r="J133" s="2" t="n">
        <x:f>IF(ISNUMBER(H133),IF(H133&gt;=2,1,0),0)</x:f>
        <x:v>1</x:v>
      </x:c>
      <x:c r="K133" s="14" t="n">
        <x:f>IF(ISNUMBER(H133),2^H133-1,0)</x:f>
        <x:v>3</x:v>
      </x:c>
      <x:c r="L133" s="14" t="n">
        <x:f>K133/LOG(E133+1,2)</x:f>
        <x:v>0.9463946303571861</x:v>
      </x:c>
      <x:c r="M133" s="10" t="n">
        <x:v>1000</x:v>
      </x:c>
      <x:c r="N133" s="10" t="n">
        <x:v>1</x:v>
      </x:c>
      <x:c r="O133" s="10" t="n">
        <x:v>861</x:v>
      </x:c>
      <x:c r="P133" s="2" t="str">
        <x:v>D03</x:v>
      </x:c>
      <x:c r="Q133" s="2" t="str">
        <x:v>hdb flat</x:v>
      </x:c>
      <x:c r="R133" s="2" t="str">
        <x:v>https://www.propertyguru.com.sg/listing/hdb-for-rent-63a-lengkok-bahru-500283878</x:v>
      </x:c>
      <x:c r="S133" s="2" t="str">
        <x:v>ranked</x:v>
      </x:c>
    </x:row>
    <x:row r="134" ht="22" customHeight="1">
      <x:c r="A134" s="2" t="str">
        <x:v>S13-T01</x:v>
      </x:c>
      <x:c r="B134" s="2" t="str">
        <x:v>S13</x:v>
      </x:c>
      <x:c r="C134" s="2" t="str">
        <x:v>Retained</x:v>
      </x:c>
      <x:c r="D134" s="11" t="n">
        <x:v>1</x:v>
      </x:c>
      <x:c r="E134" s="11" t="n">
        <x:v>9</x:v>
      </x:c>
      <x:c r="F134" s="2" t="str">
        <x:v>24636744</x:v>
      </x:c>
      <x:c r="G134" s="2" t="str">
        <x:v>S13|24636744</x:v>
      </x:c>
      <x:c r="H134" s="2" t="n">
        <x:f>IFERROR(VLOOKUP(G134,'Ratings'!$A$6:$F$1387,6,FALSE),"Unknown")</x:f>
        <x:v>2</x:v>
      </x:c>
      <x:c r="I134" s="2" t="n">
        <x:f>IF(ISNUMBER(H134),1,0)</x:f>
        <x:v>1</x:v>
      </x:c>
      <x:c r="J134" s="2" t="n">
        <x:f>IF(ISNUMBER(H134),IF(H134&gt;=2,1,0),0)</x:f>
        <x:v>1</x:v>
      </x:c>
      <x:c r="K134" s="14" t="n">
        <x:f>IF(ISNUMBER(H134),2^H134-1,0)</x:f>
        <x:v>3</x:v>
      </x:c>
      <x:c r="L134" s="14" t="n">
        <x:f>K134/LOG(E134+1,2)</x:f>
        <x:v>0.9030899869919435</x:v>
      </x:c>
      <x:c r="M134" s="10" t="n">
        <x:v>1300</x:v>
      </x:c>
      <x:c r="N134" s="10" t="n">
        <x:v>1</x:v>
      </x:c>
      <x:c r="O134" s="10" t="n">
        <x:v>100</x:v>
      </x:c>
      <x:c r="P134" s="2" t="str">
        <x:v>D03</x:v>
      </x:c>
      <x:c r="Q134" s="2" t="str">
        <x:v>hdb flat</x:v>
      </x:c>
      <x:c r="R134" s="2" t="str">
        <x:v>https://www.propertyguru.com.sg/listing/hdb-for-rent-93-dawson-road-24636744</x:v>
      </x:c>
      <x:c r="S134" s="2" t="str">
        <x:v>ranked</x:v>
      </x:c>
    </x:row>
    <x:row r="135" ht="22" customHeight="1">
      <x:c r="A135" s="2" t="str">
        <x:v>S13-T01</x:v>
      </x:c>
      <x:c r="B135" s="2" t="str">
        <x:v>S13</x:v>
      </x:c>
      <x:c r="C135" s="2" t="str">
        <x:v>Retained</x:v>
      </x:c>
      <x:c r="D135" s="11" t="n">
        <x:v>1</x:v>
      </x:c>
      <x:c r="E135" s="11" t="n">
        <x:v>10</x:v>
      </x:c>
      <x:c r="F135" s="2" t="str">
        <x:v>500229237</x:v>
      </x:c>
      <x:c r="G135" s="2" t="str">
        <x:v>S13|500229237</x:v>
      </x:c>
      <x:c r="H135" s="2" t="n">
        <x:f>IFERROR(VLOOKUP(G135,'Ratings'!$A$6:$F$1387,6,FALSE),"Unknown")</x:f>
        <x:v>2</x:v>
      </x:c>
      <x:c r="I135" s="2" t="n">
        <x:f>IF(ISNUMBER(H135),1,0)</x:f>
        <x:v>1</x:v>
      </x:c>
      <x:c r="J135" s="2" t="n">
        <x:f>IF(ISNUMBER(H135),IF(H135&gt;=2,1,0),0)</x:f>
        <x:v>1</x:v>
      </x:c>
      <x:c r="K135" s="14" t="n">
        <x:f>IF(ISNUMBER(H135),2^H135-1,0)</x:f>
        <x:v>3</x:v>
      </x:c>
      <x:c r="L135" s="14" t="n">
        <x:f>K135/LOG(E135+1,2)</x:f>
        <x:v>0.8671944789536634</x:v>
      </x:c>
      <x:c r="M135" s="10" t="n">
        <x:v>900</x:v>
      </x:c>
      <x:c r="N135" s="10" t="n">
        <x:v>1</x:v>
      </x:c>
      <x:c r="O135" s="10" t="n">
        <x:v>118</x:v>
      </x:c>
      <x:c r="P135" s="2" t="str">
        <x:v>D22</x:v>
      </x:c>
      <x:c r="Q135" s="2" t="str">
        <x:v>hdb flat</x:v>
      </x:c>
      <x:c r="R135" s="2" t="str">
        <x:v>https://www.propertyguru.com.sg/listing/hdb-for-rent-21-teban-gardens-road-500229237</x:v>
      </x:c>
      <x:c r="S135" s="2" t="str">
        <x:v>ranked</x:v>
      </x:c>
    </x:row>
    <x:row r="136" ht="22" customHeight="1">
      <x:c r="A136" s="2" t="str">
        <x:v>S14-T01</x:v>
      </x:c>
      <x:c r="B136" s="2" t="str">
        <x:v>S14</x:v>
      </x:c>
      <x:c r="C136" s="2" t="str">
        <x:v>Retained</x:v>
      </x:c>
      <x:c r="D136" s="11" t="n">
        <x:v>1</x:v>
      </x:c>
      <x:c r="E136" s="11" t="n">
        <x:v>1</x:v>
      </x:c>
      <x:c r="F136" s="2" t="str">
        <x:v>500240708</x:v>
      </x:c>
      <x:c r="G136" s="2" t="str">
        <x:v>S14|500240708</x:v>
      </x:c>
      <x:c r="H136" s="2" t="n">
        <x:f>IFERROR(VLOOKUP(G136,'Ratings'!$A$6:$F$1387,6,FALSE),"Unknown")</x:f>
        <x:v>3</x:v>
      </x:c>
      <x:c r="I136" s="2" t="n">
        <x:f>IF(ISNUMBER(H136),1,0)</x:f>
        <x:v>1</x:v>
      </x:c>
      <x:c r="J136" s="2" t="n">
        <x:f>IF(ISNUMBER(H136),IF(H136&gt;=2,1,0),0)</x:f>
        <x:v>1</x:v>
      </x:c>
      <x:c r="K136" s="14" t="n">
        <x:f>IF(ISNUMBER(H136),2^H136-1,0)</x:f>
        <x:v>7</x:v>
      </x:c>
      <x:c r="L136" s="14" t="n">
        <x:f>K136/LOG(E136+1,2)</x:f>
        <x:v>7</x:v>
      </x:c>
      <x:c r="M136" s="10" t="n">
        <x:v>700</x:v>
      </x:c>
      <x:c r="N136" s="10" t="n">
        <x:v>1</x:v>
      </x:c>
      <x:c r="O136" s="10" t="n">
        <x:v>150</x:v>
      </x:c>
      <x:c r="P136" s="2" t="str">
        <x:v>D22</x:v>
      </x:c>
      <x:c r="Q136" s="2" t="str">
        <x:v>hdb flat</x:v>
      </x:c>
      <x:c r="R136" s="2" t="str">
        <x:v>https://www.propertyguru.com.sg/listing/hdb-for-rent-412-pandan-gardens-500240708</x:v>
      </x:c>
      <x:c r="S136" s="2" t="str">
        <x:v>cold_start_exploration</x:v>
      </x:c>
    </x:row>
    <x:row r="137" ht="22" customHeight="1">
      <x:c r="A137" s="2" t="str">
        <x:v>S14-T01</x:v>
      </x:c>
      <x:c r="B137" s="2" t="str">
        <x:v>S14</x:v>
      </x:c>
      <x:c r="C137" s="2" t="str">
        <x:v>Retained</x:v>
      </x:c>
      <x:c r="D137" s="11" t="n">
        <x:v>1</x:v>
      </x:c>
      <x:c r="E137" s="11" t="n">
        <x:v>2</x:v>
      </x:c>
      <x:c r="F137" s="2" t="str">
        <x:v>500151464</x:v>
      </x:c>
      <x:c r="G137" s="2" t="str">
        <x:v>S14|500151464</x:v>
      </x:c>
      <x:c r="H137" s="2" t="n">
        <x:f>IFERROR(VLOOKUP(G137,'Ratings'!$A$6:$F$1387,6,FALSE),"Unknown")</x:f>
        <x:v>2</x:v>
      </x:c>
      <x:c r="I137" s="2" t="n">
        <x:f>IF(ISNUMBER(H137),1,0)</x:f>
        <x:v>1</x:v>
      </x:c>
      <x:c r="J137" s="2" t="n">
        <x:f>IF(ISNUMBER(H137),IF(H137&gt;=2,1,0),0)</x:f>
        <x:v>1</x:v>
      </x:c>
      <x:c r="K137" s="14" t="n">
        <x:f>IF(ISNUMBER(H137),2^H137-1,0)</x:f>
        <x:v>3</x:v>
      </x:c>
      <x:c r="L137" s="14" t="n">
        <x:f>K137/LOG(E137+1,2)</x:f>
        <x:v>1.8927892607143724</x:v>
      </x:c>
      <x:c r="M137" s="10" t="n">
        <x:v>600</x:v>
      </x:c>
      <x:c r="N137" s="10" t="n">
        <x:v>1</x:v>
      </x:c>
      <x:c r="O137" s="10"/>
      <x:c r="P137" s="2" t="str">
        <x:v>D12</x:v>
      </x:c>
      <x:c r="Q137" s="2" t="str">
        <x:v>hdb flat</x:v>
      </x:c>
      <x:c r="R137" s="2" t="str">
        <x:v>https://www.propertyguru.com.sg/listing/hdb-for-rent-98-whampoa-drive-500151464</x:v>
      </x:c>
      <x:c r="S137" s="2" t="str">
        <x:v>cold_start_exploration</x:v>
      </x:c>
    </x:row>
    <x:row r="138" ht="22" customHeight="1">
      <x:c r="A138" s="2" t="str">
        <x:v>S14-T01</x:v>
      </x:c>
      <x:c r="B138" s="2" t="str">
        <x:v>S14</x:v>
      </x:c>
      <x:c r="C138" s="2" t="str">
        <x:v>Retained</x:v>
      </x:c>
      <x:c r="D138" s="11" t="n">
        <x:v>1</x:v>
      </x:c>
      <x:c r="E138" s="11" t="n">
        <x:v>3</x:v>
      </x:c>
      <x:c r="F138" s="2" t="str">
        <x:v>12620560</x:v>
      </x:c>
      <x:c r="G138" s="2" t="str">
        <x:v>S14|12620560</x:v>
      </x:c>
      <x:c r="H138" s="2" t="n">
        <x:f>IFERROR(VLOOKUP(G138,'Ratings'!$A$6:$F$1387,6,FALSE),"Unknown")</x:f>
        <x:v>3</x:v>
      </x:c>
      <x:c r="I138" s="2" t="n">
        <x:f>IF(ISNUMBER(H138),1,0)</x:f>
        <x:v>1</x:v>
      </x:c>
      <x:c r="J138" s="2" t="n">
        <x:f>IF(ISNUMBER(H138),IF(H138&gt;=2,1,0),0)</x:f>
        <x:v>1</x:v>
      </x:c>
      <x:c r="K138" s="14" t="n">
        <x:f>IF(ISNUMBER(H138),2^H138-1,0)</x:f>
        <x:v>7</x:v>
      </x:c>
      <x:c r="L138" s="14" t="n">
        <x:f>K138/LOG(E138+1,2)</x:f>
        <x:v>3.5</x:v>
      </x:c>
      <x:c r="M138" s="10" t="n">
        <x:v>850</x:v>
      </x:c>
      <x:c r="N138" s="10" t="n">
        <x:v>1</x:v>
      </x:c>
      <x:c r="O138" s="10" t="n">
        <x:v>1291</x:v>
      </x:c>
      <x:c r="P138" s="2" t="str">
        <x:v>D10</x:v>
      </x:c>
      <x:c r="Q138" s="2" t="str">
        <x:v>hdb flat</x:v>
      </x:c>
      <x:c r="R138" s="2" t="str">
        <x:v>https://www.propertyguru.com.sg/listing/hdb-for-rent-1-queen-s-road-12620560</x:v>
      </x:c>
      <x:c r="S138" s="2" t="str">
        <x:v>cold_start_exploration</x:v>
      </x:c>
    </x:row>
    <x:row r="139" ht="22" customHeight="1">
      <x:c r="A139" s="2" t="str">
        <x:v>S14-T01</x:v>
      </x:c>
      <x:c r="B139" s="2" t="str">
        <x:v>S14</x:v>
      </x:c>
      <x:c r="C139" s="2" t="str">
        <x:v>Retained</x:v>
      </x:c>
      <x:c r="D139" s="11" t="n">
        <x:v>1</x:v>
      </x:c>
      <x:c r="E139" s="11" t="n">
        <x:v>4</x:v>
      </x:c>
      <x:c r="F139" s="2" t="str">
        <x:v>500211232</x:v>
      </x:c>
      <x:c r="G139" s="2" t="str">
        <x:v>S14|500211232</x:v>
      </x:c>
      <x:c r="H139" s="2" t="n">
        <x:f>IFERROR(VLOOKUP(G139,'Ratings'!$A$6:$F$1387,6,FALSE),"Unknown")</x:f>
        <x:v>2</x:v>
      </x:c>
      <x:c r="I139" s="2" t="n">
        <x:f>IF(ISNUMBER(H139),1,0)</x:f>
        <x:v>1</x:v>
      </x:c>
      <x:c r="J139" s="2" t="n">
        <x:f>IF(ISNUMBER(H139),IF(H139&gt;=2,1,0),0)</x:f>
        <x:v>1</x:v>
      </x:c>
      <x:c r="K139" s="14" t="n">
        <x:f>IF(ISNUMBER(H139),2^H139-1,0)</x:f>
        <x:v>3</x:v>
      </x:c>
      <x:c r="L139" s="14" t="n">
        <x:f>K139/LOG(E139+1,2)</x:f>
        <x:v>1.2920296742201793</x:v>
      </x:c>
      <x:c r="M139" s="10" t="n">
        <x:v>550</x:v>
      </x:c>
      <x:c r="N139" s="10" t="n">
        <x:v>1</x:v>
      </x:c>
      <x:c r="O139" s="10"/>
      <x:c r="P139" s="2" t="str">
        <x:v>D20</x:v>
      </x:c>
      <x:c r="Q139" s="2" t="str">
        <x:v>hdb flat</x:v>
      </x:c>
      <x:c r="R139" s="2" t="str">
        <x:v>https://www.propertyguru.com.sg/listing/hdb-for-rent-629-ang-mo-kio-avenue-4-500211232</x:v>
      </x:c>
      <x:c r="S139" s="2" t="str">
        <x:v>cold_start_exploration</x:v>
      </x:c>
    </x:row>
    <x:row r="140" ht="22" customHeight="1">
      <x:c r="A140" s="2" t="str">
        <x:v>S14-T01</x:v>
      </x:c>
      <x:c r="B140" s="2" t="str">
        <x:v>S14</x:v>
      </x:c>
      <x:c r="C140" s="2" t="str">
        <x:v>Retained</x:v>
      </x:c>
      <x:c r="D140" s="11" t="n">
        <x:v>1</x:v>
      </x:c>
      <x:c r="E140" s="11" t="n">
        <x:v>5</x:v>
      </x:c>
      <x:c r="F140" s="2" t="str">
        <x:v>500271520</x:v>
      </x:c>
      <x:c r="G140" s="2" t="str">
        <x:v>S14|500271520</x:v>
      </x:c>
      <x:c r="H140" s="2" t="n">
        <x:f>IFERROR(VLOOKUP(G140,'Ratings'!$A$6:$F$1387,6,FALSE),"Unknown")</x:f>
        <x:v>2</x:v>
      </x:c>
      <x:c r="I140" s="2" t="n">
        <x:f>IF(ISNUMBER(H140),1,0)</x:f>
        <x:v>1</x:v>
      </x:c>
      <x:c r="J140" s="2" t="n">
        <x:f>IF(ISNUMBER(H140),IF(H140&gt;=2,1,0),0)</x:f>
        <x:v>1</x:v>
      </x:c>
      <x:c r="K140" s="14" t="n">
        <x:f>IF(ISNUMBER(H140),2^H140-1,0)</x:f>
        <x:v>3</x:v>
      </x:c>
      <x:c r="L140" s="14" t="n">
        <x:f>K140/LOG(E140+1,2)</x:f>
        <x:v>1.1605584217036249</x:v>
      </x:c>
      <x:c r="M140" s="10" t="n">
        <x:v>750</x:v>
      </x:c>
      <x:c r="N140" s="10" t="n">
        <x:v>1</x:v>
      </x:c>
      <x:c r="O140" s="10"/>
      <x:c r="P140" s="2" t="str">
        <x:v>D22</x:v>
      </x:c>
      <x:c r="Q140" s="2" t="str">
        <x:v>hdb flat</x:v>
      </x:c>
      <x:c r="R140" s="2" t="str">
        <x:v>https://www.propertyguru.com.sg/listing/hdb-for-rent-361-yung-an-road-500271520</x:v>
      </x:c>
      <x:c r="S140" s="2" t="str">
        <x:v>cold_start_exploration</x:v>
      </x:c>
    </x:row>
    <x:row r="141" ht="22" customHeight="1">
      <x:c r="A141" s="2" t="str">
        <x:v>S14-T01</x:v>
      </x:c>
      <x:c r="B141" s="2" t="str">
        <x:v>S14</x:v>
      </x:c>
      <x:c r="C141" s="2" t="str">
        <x:v>Retained</x:v>
      </x:c>
      <x:c r="D141" s="11" t="n">
        <x:v>1</x:v>
      </x:c>
      <x:c r="E141" s="11" t="n">
        <x:v>6</x:v>
      </x:c>
      <x:c r="F141" s="2" t="str">
        <x:v>500267182</x:v>
      </x:c>
      <x:c r="G141" s="2" t="str">
        <x:v>S14|500267182</x:v>
      </x:c>
      <x:c r="H141" s="2" t="n">
        <x:f>IFERROR(VLOOKUP(G141,'Ratings'!$A$6:$F$1387,6,FALSE),"Unknown")</x:f>
        <x:v>2</x:v>
      </x:c>
      <x:c r="I141" s="2" t="n">
        <x:f>IF(ISNUMBER(H141),1,0)</x:f>
        <x:v>1</x:v>
      </x:c>
      <x:c r="J141" s="2" t="n">
        <x:f>IF(ISNUMBER(H141),IF(H141&gt;=2,1,0),0)</x:f>
        <x:v>1</x:v>
      </x:c>
      <x:c r="K141" s="14" t="n">
        <x:f>IF(ISNUMBER(H141),2^H141-1,0)</x:f>
        <x:v>3</x:v>
      </x:c>
      <x:c r="L141" s="14" t="n">
        <x:f>K141/LOG(E141+1,2)</x:f>
        <x:v>1.0686215613240666</x:v>
      </x:c>
      <x:c r="M141" s="10" t="n">
        <x:v>700</x:v>
      </x:c>
      <x:c r="N141" s="10" t="n">
        <x:v>1</x:v>
      </x:c>
      <x:c r="O141" s="10" t="n">
        <x:v>150</x:v>
      </x:c>
      <x:c r="P141" s="2" t="str">
        <x:v>D23</x:v>
      </x:c>
      <x:c r="Q141" s="2" t="str">
        <x:v>hdb flat</x:v>
      </x:c>
      <x:c r="R141" s="2" t="str">
        <x:v>https://www.propertyguru.com.sg/listing/hdb-for-rent-253-bangkit-road-500267182</x:v>
      </x:c>
      <x:c r="S141" s="2" t="str">
        <x:v>cold_start_exploration</x:v>
      </x:c>
    </x:row>
    <x:row r="142" ht="22" customHeight="1">
      <x:c r="A142" s="2" t="str">
        <x:v>S14-T01</x:v>
      </x:c>
      <x:c r="B142" s="2" t="str">
        <x:v>S14</x:v>
      </x:c>
      <x:c r="C142" s="2" t="str">
        <x:v>Retained</x:v>
      </x:c>
      <x:c r="D142" s="11" t="n">
        <x:v>1</x:v>
      </x:c>
      <x:c r="E142" s="11" t="n">
        <x:v>7</x:v>
      </x:c>
      <x:c r="F142" s="2" t="str">
        <x:v>21026007</x:v>
      </x:c>
      <x:c r="G142" s="2" t="str">
        <x:v>S14|21026007</x:v>
      </x:c>
      <x:c r="H142" s="2" t="n">
        <x:f>IFERROR(VLOOKUP(G142,'Ratings'!$A$6:$F$1387,6,FALSE),"Unknown")</x:f>
        <x:v>2</x:v>
      </x:c>
      <x:c r="I142" s="2" t="n">
        <x:f>IF(ISNUMBER(H142),1,0)</x:f>
        <x:v>1</x:v>
      </x:c>
      <x:c r="J142" s="2" t="n">
        <x:f>IF(ISNUMBER(H142),IF(H142&gt;=2,1,0),0)</x:f>
        <x:v>1</x:v>
      </x:c>
      <x:c r="K142" s="14" t="n">
        <x:f>IF(ISNUMBER(H142),2^H142-1,0)</x:f>
        <x:v>3</x:v>
      </x:c>
      <x:c r="L142" s="14" t="n">
        <x:f>K142/LOG(E142+1,2)</x:f>
        <x:v>1</x:v>
      </x:c>
      <x:c r="M142" s="10" t="n">
        <x:v>450</x:v>
      </x:c>
      <x:c r="N142" s="10" t="n">
        <x:v>3</x:v>
      </x:c>
      <x:c r="O142" s="10" t="n">
        <x:v>100</x:v>
      </x:c>
      <x:c r="P142" s="2" t="str">
        <x:v>D25</x:v>
      </x:c>
      <x:c r="Q142" s="2" t="str">
        <x:v>hdb flat</x:v>
      </x:c>
      <x:c r="R142" s="2" t="str">
        <x:v>https://www.propertyguru.com.sg/listing/hdb-for-rent-764a-woodlands-circle-21026007</x:v>
      </x:c>
      <x:c r="S142" s="2" t="str">
        <x:v>cold_start_exploration</x:v>
      </x:c>
    </x:row>
    <x:row r="143" ht="22" customHeight="1">
      <x:c r="A143" s="2" t="str">
        <x:v>S14-T01</x:v>
      </x:c>
      <x:c r="B143" s="2" t="str">
        <x:v>S14</x:v>
      </x:c>
      <x:c r="C143" s="2" t="str">
        <x:v>Retained</x:v>
      </x:c>
      <x:c r="D143" s="11" t="n">
        <x:v>1</x:v>
      </x:c>
      <x:c r="E143" s="11" t="n">
        <x:v>8</x:v>
      </x:c>
      <x:c r="F143" s="2" t="str">
        <x:v>500267278</x:v>
      </x:c>
      <x:c r="G143" s="2" t="str">
        <x:v>S14|500267278</x:v>
      </x:c>
      <x:c r="H143" s="2" t="n">
        <x:f>IFERROR(VLOOKUP(G143,'Ratings'!$A$6:$F$1387,6,FALSE),"Unknown")</x:f>
        <x:v>2</x:v>
      </x:c>
      <x:c r="I143" s="2" t="n">
        <x:f>IF(ISNUMBER(H143),1,0)</x:f>
        <x:v>1</x:v>
      </x:c>
      <x:c r="J143" s="2" t="n">
        <x:f>IF(ISNUMBER(H143),IF(H143&gt;=2,1,0),0)</x:f>
        <x:v>1</x:v>
      </x:c>
      <x:c r="K143" s="14" t="n">
        <x:f>IF(ISNUMBER(H143),2^H143-1,0)</x:f>
        <x:v>3</x:v>
      </x:c>
      <x:c r="L143" s="14" t="n">
        <x:f>K143/LOG(E143+1,2)</x:f>
        <x:v>0.9463946303571861</x:v>
      </x:c>
      <x:c r="M143" s="10" t="n">
        <x:v>900</x:v>
      </x:c>
      <x:c r="N143" s="10" t="n">
        <x:v>1</x:v>
      </x:c>
      <x:c r="O143" s="10"/>
      <x:c r="P143" s="2" t="str">
        <x:v>D12</x:v>
      </x:c>
      <x:c r="Q143" s="2" t="str">
        <x:v>hdb flat</x:v>
      </x:c>
      <x:c r="R143" s="2" t="str">
        <x:v>https://www.propertyguru.com.sg/listing/hdb-for-rent-50-lorong-5-toa-payoh-500267278</x:v>
      </x:c>
      <x:c r="S143" s="2" t="str">
        <x:v>cold_start_exploration</x:v>
      </x:c>
    </x:row>
    <x:row r="144" ht="22" customHeight="1">
      <x:c r="A144" s="2" t="str">
        <x:v>S14-T01</x:v>
      </x:c>
      <x:c r="B144" s="2" t="str">
        <x:v>S14</x:v>
      </x:c>
      <x:c r="C144" s="2" t="str">
        <x:v>Retained</x:v>
      </x:c>
      <x:c r="D144" s="11" t="n">
        <x:v>1</x:v>
      </x:c>
      <x:c r="E144" s="11" t="n">
        <x:v>9</x:v>
      </x:c>
      <x:c r="F144" s="2" t="str">
        <x:v>500282319</x:v>
      </x:c>
      <x:c r="G144" s="2" t="str">
        <x:v>S14|500282319</x:v>
      </x:c>
      <x:c r="H144" s="2" t="n">
        <x:f>IFERROR(VLOOKUP(G144,'Ratings'!$A$6:$F$1387,6,FALSE),"Unknown")</x:f>
        <x:v>2</x:v>
      </x:c>
      <x:c r="I144" s="2" t="n">
        <x:f>IF(ISNUMBER(H144),1,0)</x:f>
        <x:v>1</x:v>
      </x:c>
      <x:c r="J144" s="2" t="n">
        <x:f>IF(ISNUMBER(H144),IF(H144&gt;=2,1,0),0)</x:f>
        <x:v>1</x:v>
      </x:c>
      <x:c r="K144" s="14" t="n">
        <x:f>IF(ISNUMBER(H144),2^H144-1,0)</x:f>
        <x:v>3</x:v>
      </x:c>
      <x:c r="L144" s="14" t="n">
        <x:f>K144/LOG(E144+1,2)</x:f>
        <x:v>0.9030899869919435</x:v>
      </x:c>
      <x:c r="M144" s="10" t="n">
        <x:v>700</x:v>
      </x:c>
      <x:c r="N144" s="10" t="n">
        <x:v>1</x:v>
      </x:c>
      <x:c r="O144" s="10"/>
      <x:c r="P144" s="2" t="str">
        <x:v>D25</x:v>
      </x:c>
      <x:c r="Q144" s="2" t="str">
        <x:v>hdb flat</x:v>
      </x:c>
      <x:c r="R144" s="2" t="str">
        <x:v>https://www.propertyguru.com.sg/listing/hdb-for-rent-351-woodlands-avenue-1-500282319</x:v>
      </x:c>
      <x:c r="S144" s="2" t="str">
        <x:v>cold_start_exploration</x:v>
      </x:c>
    </x:row>
    <x:row r="145" ht="22" customHeight="1">
      <x:c r="A145" s="2" t="str">
        <x:v>S14-T01</x:v>
      </x:c>
      <x:c r="B145" s="2" t="str">
        <x:v>S14</x:v>
      </x:c>
      <x:c r="C145" s="2" t="str">
        <x:v>Retained</x:v>
      </x:c>
      <x:c r="D145" s="11" t="n">
        <x:v>1</x:v>
      </x:c>
      <x:c r="E145" s="11" t="n">
        <x:v>10</x:v>
      </x:c>
      <x:c r="F145" s="2" t="str">
        <x:v>500281216</x:v>
      </x:c>
      <x:c r="G145" s="2" t="str">
        <x:v>S14|500281216</x:v>
      </x:c>
      <x:c r="H145" s="2" t="n">
        <x:f>IFERROR(VLOOKUP(G145,'Ratings'!$A$6:$F$1387,6,FALSE),"Unknown")</x:f>
        <x:v>2</x:v>
      </x:c>
      <x:c r="I145" s="2" t="n">
        <x:f>IF(ISNUMBER(H145),1,0)</x:f>
        <x:v>1</x:v>
      </x:c>
      <x:c r="J145" s="2" t="n">
        <x:f>IF(ISNUMBER(H145),IF(H145&gt;=2,1,0),0)</x:f>
        <x:v>1</x:v>
      </x:c>
      <x:c r="K145" s="14" t="n">
        <x:f>IF(ISNUMBER(H145),2^H145-1,0)</x:f>
        <x:v>3</x:v>
      </x:c>
      <x:c r="L145" s="14" t="n">
        <x:f>K145/LOG(E145+1,2)</x:f>
        <x:v>0.8671944789536634</x:v>
      </x:c>
      <x:c r="M145" s="10" t="n">
        <x:v>760</x:v>
      </x:c>
      <x:c r="N145" s="10" t="n">
        <x:v>1</x:v>
      </x:c>
      <x:c r="O145" s="10" t="n">
        <x:v>215</x:v>
      </x:c>
      <x:c r="P145" s="2" t="str">
        <x:v>D19</x:v>
      </x:c>
      <x:c r="Q145" s="2" t="str">
        <x:v>hdb flat</x:v>
      </x:c>
      <x:c r="R145" s="2" t="str">
        <x:v>https://www.propertyguru.com.sg/listing/hdb-for-rent-133-lorong-ah-soo-500281216</x:v>
      </x:c>
      <x:c r="S145" s="2" t="str">
        <x:v>cold_start_exploration</x:v>
      </x:c>
    </x:row>
    <x:row r="146" ht="22" customHeight="1">
      <x:c r="A146" s="2" t="str">
        <x:v>S15-T01</x:v>
      </x:c>
      <x:c r="B146" s="2" t="str">
        <x:v>S15</x:v>
      </x:c>
      <x:c r="C146" s="2" t="str">
        <x:v>Retained</x:v>
      </x:c>
      <x:c r="D146" s="11" t="n">
        <x:v>1</x:v>
      </x:c>
      <x:c r="E146" s="11" t="n">
        <x:v>1</x:v>
      </x:c>
      <x:c r="F146" s="2" t="str">
        <x:v>18074957</x:v>
      </x:c>
      <x:c r="G146" s="2" t="str">
        <x:v>S15|18074957</x:v>
      </x:c>
      <x:c r="H146" s="2" t="n">
        <x:f>IFERROR(VLOOKUP(G146,'Ratings'!$A$6:$F$1387,6,FALSE),"Unknown")</x:f>
        <x:v>3</x:v>
      </x:c>
      <x:c r="I146" s="2" t="n">
        <x:f>IF(ISNUMBER(H146),1,0)</x:f>
        <x:v>1</x:v>
      </x:c>
      <x:c r="J146" s="2" t="n">
        <x:f>IF(ISNUMBER(H146),IF(H146&gt;=2,1,0),0)</x:f>
        <x:v>1</x:v>
      </x:c>
      <x:c r="K146" s="14" t="n">
        <x:f>IF(ISNUMBER(H146),2^H146-1,0)</x:f>
        <x:v>7</x:v>
      </x:c>
      <x:c r="L146" s="14" t="n">
        <x:f>K146/LOG(E146+1,2)</x:f>
        <x:v>7</x:v>
      </x:c>
      <x:c r="M146" s="10" t="n">
        <x:v>4500</x:v>
      </x:c>
      <x:c r="N146" s="10" t="n">
        <x:v>3</x:v>
      </x:c>
      <x:c r="O146" s="10" t="n">
        <x:v>1000</x:v>
      </x:c>
      <x:c r="P146" s="2" t="str">
        <x:v>D05</x:v>
      </x:c>
      <x:c r="Q146" s="2" t="str">
        <x:v>hdb flat</x:v>
      </x:c>
      <x:c r="R146" s="2" t="str">
        <x:v>https://www.propertyguru.com.sg/listing/hdb-for-rent-456-clementi-avenue-3-18074957</x:v>
      </x:c>
      <x:c r="S146" s="2" t="str">
        <x:v>cold_start_exploration</x:v>
      </x:c>
    </x:row>
    <x:row r="147" ht="22" customHeight="1">
      <x:c r="A147" s="2" t="str">
        <x:v>S15-T01</x:v>
      </x:c>
      <x:c r="B147" s="2" t="str">
        <x:v>S15</x:v>
      </x:c>
      <x:c r="C147" s="2" t="str">
        <x:v>Retained</x:v>
      </x:c>
      <x:c r="D147" s="11" t="n">
        <x:v>1</x:v>
      </x:c>
      <x:c r="E147" s="11" t="n">
        <x:v>2</x:v>
      </x:c>
      <x:c r="F147" s="2" t="str">
        <x:v>19221832</x:v>
      </x:c>
      <x:c r="G147" s="2" t="str">
        <x:v>S15|19221832</x:v>
      </x:c>
      <x:c r="H147" s="2" t="n">
        <x:f>IFERROR(VLOOKUP(G147,'Ratings'!$A$6:$F$1387,6,FALSE),"Unknown")</x:f>
        <x:v>3</x:v>
      </x:c>
      <x:c r="I147" s="2" t="n">
        <x:f>IF(ISNUMBER(H147),1,0)</x:f>
        <x:v>1</x:v>
      </x:c>
      <x:c r="J147" s="2" t="n">
        <x:f>IF(ISNUMBER(H147),IF(H147&gt;=2,1,0),0)</x:f>
        <x:v>1</x:v>
      </x:c>
      <x:c r="K147" s="14" t="n">
        <x:f>IF(ISNUMBER(H147),2^H147-1,0)</x:f>
        <x:v>7</x:v>
      </x:c>
      <x:c r="L147" s="14" t="n">
        <x:f>K147/LOG(E147+1,2)</x:f>
        <x:v>4.4165082750002025</x:v>
      </x:c>
      <x:c r="M147" s="10" t="n">
        <x:v>4200</x:v>
      </x:c>
      <x:c r="N147" s="10" t="n">
        <x:v>3</x:v>
      </x:c>
      <x:c r="O147" s="10" t="n">
        <x:v>1184</x:v>
      </x:c>
      <x:c r="P147" s="2" t="str">
        <x:v>D05</x:v>
      </x:c>
      <x:c r="Q147" s="2" t="str">
        <x:v>hdb flat</x:v>
      </x:c>
      <x:c r="R147" s="2" t="str">
        <x:v>https://www.propertyguru.com.sg/listing/hdb-for-rent-458-clementi-avenue-3-19221832</x:v>
      </x:c>
      <x:c r="S147" s="2" t="str">
        <x:v>cold_start_exploration</x:v>
      </x:c>
    </x:row>
    <x:row r="148" ht="22" customHeight="1">
      <x:c r="A148" s="2" t="str">
        <x:v>S15-T01</x:v>
      </x:c>
      <x:c r="B148" s="2" t="str">
        <x:v>S15</x:v>
      </x:c>
      <x:c r="C148" s="2" t="str">
        <x:v>Retained</x:v>
      </x:c>
      <x:c r="D148" s="11" t="n">
        <x:v>1</x:v>
      </x:c>
      <x:c r="E148" s="11" t="n">
        <x:v>3</x:v>
      </x:c>
      <x:c r="F148" s="2" t="str">
        <x:v>20599188</x:v>
      </x:c>
      <x:c r="G148" s="2" t="str">
        <x:v>S15|20599188</x:v>
      </x:c>
      <x:c r="H148" s="2" t="n">
        <x:f>IFERROR(VLOOKUP(G148,'Ratings'!$A$6:$F$1387,6,FALSE),"Unknown")</x:f>
        <x:v>3</x:v>
      </x:c>
      <x:c r="I148" s="2" t="n">
        <x:f>IF(ISNUMBER(H148),1,0)</x:f>
        <x:v>1</x:v>
      </x:c>
      <x:c r="J148" s="2" t="n">
        <x:f>IF(ISNUMBER(H148),IF(H148&gt;=2,1,0),0)</x:f>
        <x:v>1</x:v>
      </x:c>
      <x:c r="K148" s="14" t="n">
        <x:f>IF(ISNUMBER(H148),2^H148-1,0)</x:f>
        <x:v>7</x:v>
      </x:c>
      <x:c r="L148" s="14" t="n">
        <x:f>K148/LOG(E148+1,2)</x:f>
        <x:v>3.5</x:v>
      </x:c>
      <x:c r="M148" s="10" t="n">
        <x:v>4500</x:v>
      </x:c>
      <x:c r="N148" s="10" t="n">
        <x:v>3</x:v>
      </x:c>
      <x:c r="O148" s="10" t="n">
        <x:v>1335</x:v>
      </x:c>
      <x:c r="P148" s="2" t="str">
        <x:v>D05</x:v>
      </x:c>
      <x:c r="Q148" s="2" t="str">
        <x:v>hdb flat</x:v>
      </x:c>
      <x:c r="R148" s="2" t="str">
        <x:v>https://www.propertyguru.com.sg/listing/hdb-for-rent-28d-dover-crescent-20599188</x:v>
      </x:c>
      <x:c r="S148" s="2" t="str">
        <x:v>cold_start_exploration</x:v>
      </x:c>
    </x:row>
    <x:row r="149" ht="22" customHeight="1">
      <x:c r="A149" s="2" t="str">
        <x:v>S15-T01</x:v>
      </x:c>
      <x:c r="B149" s="2" t="str">
        <x:v>S15</x:v>
      </x:c>
      <x:c r="C149" s="2" t="str">
        <x:v>Retained</x:v>
      </x:c>
      <x:c r="D149" s="11" t="n">
        <x:v>1</x:v>
      </x:c>
      <x:c r="E149" s="11" t="n">
        <x:v>4</x:v>
      </x:c>
      <x:c r="F149" s="2" t="str">
        <x:v>25299240</x:v>
      </x:c>
      <x:c r="G149" s="2" t="str">
        <x:v>S15|25299240</x:v>
      </x:c>
      <x:c r="H149" s="2" t="n">
        <x:f>IFERROR(VLOOKUP(G149,'Ratings'!$A$6:$F$1387,6,FALSE),"Unknown")</x:f>
        <x:v>3</x:v>
      </x:c>
      <x:c r="I149" s="2" t="n">
        <x:f>IF(ISNUMBER(H149),1,0)</x:f>
        <x:v>1</x:v>
      </x:c>
      <x:c r="J149" s="2" t="n">
        <x:f>IF(ISNUMBER(H149),IF(H149&gt;=2,1,0),0)</x:f>
        <x:v>1</x:v>
      </x:c>
      <x:c r="K149" s="14" t="n">
        <x:f>IF(ISNUMBER(H149),2^H149-1,0)</x:f>
        <x:v>7</x:v>
      </x:c>
      <x:c r="L149" s="14" t="n">
        <x:f>K149/LOG(E149+1,2)</x:f>
        <x:v>3.0147359065137516</x:v>
      </x:c>
      <x:c r="M149" s="10" t="n">
        <x:v>5000</x:v>
      </x:c>
      <x:c r="N149" s="10" t="n">
        <x:v>2</x:v>
      </x:c>
      <x:c r="O149" s="10" t="n">
        <x:v>1184</x:v>
      </x:c>
      <x:c r="P149" s="2" t="str">
        <x:v>D05</x:v>
      </x:c>
      <x:c r="Q149" s="2" t="str">
        <x:v>condominium</x:v>
      </x:c>
      <x:c r="R149" s="2" t="str">
        <x:v>https://www.propertyguru.com.sg/listing/for-rent-clementiwoods-condominium-25299240</x:v>
      </x:c>
      <x:c r="S149" s="2" t="str">
        <x:v>cold_start_exploration</x:v>
      </x:c>
    </x:row>
    <x:row r="150" ht="22" customHeight="1">
      <x:c r="A150" s="2" t="str">
        <x:v>S15-T01</x:v>
      </x:c>
      <x:c r="B150" s="2" t="str">
        <x:v>S15</x:v>
      </x:c>
      <x:c r="C150" s="2" t="str">
        <x:v>Retained</x:v>
      </x:c>
      <x:c r="D150" s="11" t="n">
        <x:v>1</x:v>
      </x:c>
      <x:c r="E150" s="11" t="n">
        <x:v>5</x:v>
      </x:c>
      <x:c r="F150" s="2" t="str">
        <x:v>500251234</x:v>
      </x:c>
      <x:c r="G150" s="2" t="str">
        <x:v>S15|500251234</x:v>
      </x:c>
      <x:c r="H150" s="2" t="n">
        <x:f>IFERROR(VLOOKUP(G150,'Ratings'!$A$6:$F$1387,6,FALSE),"Unknown")</x:f>
        <x:v>3</x:v>
      </x:c>
      <x:c r="I150" s="2" t="n">
        <x:f>IF(ISNUMBER(H150),1,0)</x:f>
        <x:v>1</x:v>
      </x:c>
      <x:c r="J150" s="2" t="n">
        <x:f>IF(ISNUMBER(H150),IF(H150&gt;=2,1,0),0)</x:f>
        <x:v>1</x:v>
      </x:c>
      <x:c r="K150" s="14" t="n">
        <x:f>IF(ISNUMBER(H150),2^H150-1,0)</x:f>
        <x:v>7</x:v>
      </x:c>
      <x:c r="L150" s="14" t="n">
        <x:f>K150/LOG(E150+1,2)</x:f>
        <x:v>2.7079696506417914</x:v>
      </x:c>
      <x:c r="M150" s="10" t="n">
        <x:v>3900</x:v>
      </x:c>
      <x:c r="N150" s="10" t="n">
        <x:v>3</x:v>
      </x:c>
      <x:c r="O150" s="10" t="n">
        <x:v>1000</x:v>
      </x:c>
      <x:c r="P150" s="2" t="str">
        <x:v>D05</x:v>
      </x:c>
      <x:c r="Q150" s="2" t="str">
        <x:v>hdb flat</x:v>
      </x:c>
      <x:c r="R150" s="2" t="str">
        <x:v>https://www.propertyguru.com.sg/listing/hdb-for-rent-506-west-coast-drive-500251234</x:v>
      </x:c>
      <x:c r="S150" s="2" t="str">
        <x:v>cold_start_exploration</x:v>
      </x:c>
    </x:row>
    <x:row r="151" ht="22" customHeight="1">
      <x:c r="A151" s="2" t="str">
        <x:v>S15-T01</x:v>
      </x:c>
      <x:c r="B151" s="2" t="str">
        <x:v>S15</x:v>
      </x:c>
      <x:c r="C151" s="2" t="str">
        <x:v>Retained</x:v>
      </x:c>
      <x:c r="D151" s="11" t="n">
        <x:v>1</x:v>
      </x:c>
      <x:c r="E151" s="11" t="n">
        <x:v>6</x:v>
      </x:c>
      <x:c r="F151" s="2" t="str">
        <x:v>500265127</x:v>
      </x:c>
      <x:c r="G151" s="2" t="str">
        <x:v>S15|500265127</x:v>
      </x:c>
      <x:c r="H151" s="2" t="n">
        <x:f>IFERROR(VLOOKUP(G151,'Ratings'!$A$6:$F$1387,6,FALSE),"Unknown")</x:f>
        <x:v>3</x:v>
      </x:c>
      <x:c r="I151" s="2" t="n">
        <x:f>IF(ISNUMBER(H151),1,0)</x:f>
        <x:v>1</x:v>
      </x:c>
      <x:c r="J151" s="2" t="n">
        <x:f>IF(ISNUMBER(H151),IF(H151&gt;=2,1,0),0)</x:f>
        <x:v>1</x:v>
      </x:c>
      <x:c r="K151" s="14" t="n">
        <x:f>IF(ISNUMBER(H151),2^H151-1,0)</x:f>
        <x:v>7</x:v>
      </x:c>
      <x:c r="L151" s="14" t="n">
        <x:f>K151/LOG(E151+1,2)</x:f>
        <x:v>2.493450309756155</x:v>
      </x:c>
      <x:c r="M151" s="10" t="n">
        <x:v>4200</x:v>
      </x:c>
      <x:c r="N151" s="10" t="n">
        <x:v>2</x:v>
      </x:c>
      <x:c r="O151" s="10" t="n">
        <x:v>1032</x:v>
      </x:c>
      <x:c r="P151" s="2" t="str">
        <x:v>D05</x:v>
      </x:c>
      <x:c r="Q151" s="2" t="str">
        <x:v>hdb flat</x:v>
      </x:c>
      <x:c r="R151" s="2" t="str">
        <x:v>https://www.propertyguru.com.sg/listing/hdb-for-rent-28b-dover-crescent-500265127</x:v>
      </x:c>
      <x:c r="S151" s="2" t="str">
        <x:v>cold_start_exploration</x:v>
      </x:c>
    </x:row>
    <x:row r="152" ht="22" customHeight="1">
      <x:c r="A152" s="2" t="str">
        <x:v>S15-T01</x:v>
      </x:c>
      <x:c r="B152" s="2" t="str">
        <x:v>S15</x:v>
      </x:c>
      <x:c r="C152" s="2" t="str">
        <x:v>Retained</x:v>
      </x:c>
      <x:c r="D152" s="11" t="n">
        <x:v>1</x:v>
      </x:c>
      <x:c r="E152" s="11" t="n">
        <x:v>7</x:v>
      </x:c>
      <x:c r="F152" s="2" t="str">
        <x:v>18885948</x:v>
      </x:c>
      <x:c r="G152" s="2" t="str">
        <x:v>S15|18885948</x:v>
      </x:c>
      <x:c r="H152" s="2" t="n">
        <x:f>IFERROR(VLOOKUP(G152,'Ratings'!$A$6:$F$1387,6,FALSE),"Unknown")</x:f>
        <x:v>2</x:v>
      </x:c>
      <x:c r="I152" s="2" t="n">
        <x:f>IF(ISNUMBER(H152),1,0)</x:f>
        <x:v>1</x:v>
      </x:c>
      <x:c r="J152" s="2" t="n">
        <x:f>IF(ISNUMBER(H152),IF(H152&gt;=2,1,0),0)</x:f>
        <x:v>1</x:v>
      </x:c>
      <x:c r="K152" s="14" t="n">
        <x:f>IF(ISNUMBER(H152),2^H152-1,0)</x:f>
        <x:v>3</x:v>
      </x:c>
      <x:c r="L152" s="14" t="n">
        <x:f>K152/LOG(E152+1,2)</x:f>
        <x:v>1</x:v>
      </x:c>
      <x:c r="M152" s="10" t="n">
        <x:v>3980</x:v>
      </x:c>
      <x:c r="N152" s="10" t="n">
        <x:v>3</x:v>
      </x:c>
      <x:c r="O152" s="10" t="n">
        <x:v>979</x:v>
      </x:c>
      <x:c r="P152" s="2" t="str">
        <x:v>D05</x:v>
      </x:c>
      <x:c r="Q152" s="2" t="str">
        <x:v>hdb flat</x:v>
      </x:c>
      <x:c r="R152" s="2" t="str">
        <x:v>https://www.propertyguru.com.sg/listing/hdb-for-rent-511-west-coast-drive-18885948</x:v>
      </x:c>
      <x:c r="S152" s="2" t="str">
        <x:v>cold_start_exploration</x:v>
      </x:c>
    </x:row>
    <x:row r="153" ht="22" customHeight="1">
      <x:c r="A153" s="2" t="str">
        <x:v>S15-T01</x:v>
      </x:c>
      <x:c r="B153" s="2" t="str">
        <x:v>S15</x:v>
      </x:c>
      <x:c r="C153" s="2" t="str">
        <x:v>Retained</x:v>
      </x:c>
      <x:c r="D153" s="11" t="n">
        <x:v>1</x:v>
      </x:c>
      <x:c r="E153" s="11" t="n">
        <x:v>8</x:v>
      </x:c>
      <x:c r="F153" s="2" t="str">
        <x:v>19266007</x:v>
      </x:c>
      <x:c r="G153" s="2" t="str">
        <x:v>S15|19266007</x:v>
      </x:c>
      <x:c r="H153" s="2" t="n">
        <x:f>IFERROR(VLOOKUP(G153,'Ratings'!$A$6:$F$1387,6,FALSE),"Unknown")</x:f>
        <x:v>2</x:v>
      </x:c>
      <x:c r="I153" s="2" t="n">
        <x:f>IF(ISNUMBER(H153),1,0)</x:f>
        <x:v>1</x:v>
      </x:c>
      <x:c r="J153" s="2" t="n">
        <x:f>IF(ISNUMBER(H153),IF(H153&gt;=2,1,0),0)</x:f>
        <x:v>1</x:v>
      </x:c>
      <x:c r="K153" s="14" t="n">
        <x:f>IF(ISNUMBER(H153),2^H153-1,0)</x:f>
        <x:v>3</x:v>
      </x:c>
      <x:c r="L153" s="14" t="n">
        <x:f>K153/LOG(E153+1,2)</x:f>
        <x:v>0.9463946303571861</x:v>
      </x:c>
      <x:c r="M153" s="10" t="n">
        <x:v>4500</x:v>
      </x:c>
      <x:c r="N153" s="10" t="n">
        <x:v>2</x:v>
      </x:c>
      <x:c r="O153" s="10" t="n">
        <x:v>957</x:v>
      </x:c>
      <x:c r="P153" s="2" t="str">
        <x:v>D05</x:v>
      </x:c>
      <x:c r="Q153" s="2" t="str">
        <x:v>condominium</x:v>
      </x:c>
      <x:c r="R153" s="2" t="str">
        <x:v>https://www.propertyguru.com.sg/listing/for-rent-regent-park-19266007</x:v>
      </x:c>
      <x:c r="S153" s="2" t="str">
        <x:v>cold_start_exploration</x:v>
      </x:c>
    </x:row>
    <x:row r="154" ht="22" customHeight="1">
      <x:c r="A154" s="2" t="str">
        <x:v>S15-T01</x:v>
      </x:c>
      <x:c r="B154" s="2" t="str">
        <x:v>S15</x:v>
      </x:c>
      <x:c r="C154" s="2" t="str">
        <x:v>Retained</x:v>
      </x:c>
      <x:c r="D154" s="11" t="n">
        <x:v>1</x:v>
      </x:c>
      <x:c r="E154" s="11" t="n">
        <x:v>9</x:v>
      </x:c>
      <x:c r="F154" s="2" t="str">
        <x:v>20052544</x:v>
      </x:c>
      <x:c r="G154" s="2" t="str">
        <x:v>S15|20052544</x:v>
      </x:c>
      <x:c r="H154" s="2" t="n">
        <x:f>IFERROR(VLOOKUP(G154,'Ratings'!$A$6:$F$1387,6,FALSE),"Unknown")</x:f>
        <x:v>2</x:v>
      </x:c>
      <x:c r="I154" s="2" t="n">
        <x:f>IF(ISNUMBER(H154),1,0)</x:f>
        <x:v>1</x:v>
      </x:c>
      <x:c r="J154" s="2" t="n">
        <x:f>IF(ISNUMBER(H154),IF(H154&gt;=2,1,0),0)</x:f>
        <x:v>1</x:v>
      </x:c>
      <x:c r="K154" s="14" t="n">
        <x:f>IF(ISNUMBER(H154),2^H154-1,0)</x:f>
        <x:v>3</x:v>
      </x:c>
      <x:c r="L154" s="14" t="n">
        <x:f>K154/LOG(E154+1,2)</x:f>
        <x:v>0.9030899869919435</x:v>
      </x:c>
      <x:c r="M154" s="10" t="n">
        <x:v>4500</x:v>
      </x:c>
      <x:c r="N154" s="10" t="n">
        <x:v>2</x:v>
      </x:c>
      <x:c r="O154" s="10" t="n">
        <x:v>786</x:v>
      </x:c>
      <x:c r="P154" s="2" t="str">
        <x:v>D05</x:v>
      </x:c>
      <x:c r="Q154" s="2" t="str">
        <x:v>condominium</x:v>
      </x:c>
      <x:c r="R154" s="2" t="str">
        <x:v>https://www.propertyguru.com.sg/listing/for-rent-hundred-trees-20052544</x:v>
      </x:c>
      <x:c r="S154" s="2" t="str">
        <x:v>cold_start_exploration</x:v>
      </x:c>
    </x:row>
    <x:row r="155" ht="22" customHeight="1">
      <x:c r="A155" s="2" t="str">
        <x:v>S15-T01</x:v>
      </x:c>
      <x:c r="B155" s="2" t="str">
        <x:v>S15</x:v>
      </x:c>
      <x:c r="C155" s="2" t="str">
        <x:v>Retained</x:v>
      </x:c>
      <x:c r="D155" s="11" t="n">
        <x:v>1</x:v>
      </x:c>
      <x:c r="E155" s="11" t="n">
        <x:v>10</x:v>
      </x:c>
      <x:c r="F155" s="2" t="str">
        <x:v>20205305</x:v>
      </x:c>
      <x:c r="G155" s="2" t="str">
        <x:v>S15|20205305</x:v>
      </x:c>
      <x:c r="H155" s="2" t="n">
        <x:f>IFERROR(VLOOKUP(G155,'Ratings'!$A$6:$F$1387,6,FALSE),"Unknown")</x:f>
        <x:v>2</x:v>
      </x:c>
      <x:c r="I155" s="2" t="n">
        <x:f>IF(ISNUMBER(H155),1,0)</x:f>
        <x:v>1</x:v>
      </x:c>
      <x:c r="J155" s="2" t="n">
        <x:f>IF(ISNUMBER(H155),IF(H155&gt;=2,1,0),0)</x:f>
        <x:v>1</x:v>
      </x:c>
      <x:c r="K155" s="14" t="n">
        <x:f>IF(ISNUMBER(H155),2^H155-1,0)</x:f>
        <x:v>3</x:v>
      </x:c>
      <x:c r="L155" s="14" t="n">
        <x:f>K155/LOG(E155+1,2)</x:f>
        <x:v>0.8671944789536634</x:v>
      </x:c>
      <x:c r="M155" s="10" t="n">
        <x:v>3200</x:v>
      </x:c>
      <x:c r="N155" s="10" t="n">
        <x:v>2</x:v>
      </x:c>
      <x:c r="O155" s="10" t="n">
        <x:v>721</x:v>
      </x:c>
      <x:c r="P155" s="2" t="str">
        <x:v>D05</x:v>
      </x:c>
      <x:c r="Q155" s="2" t="str">
        <x:v>hdb flat</x:v>
      </x:c>
      <x:c r="R155" s="2" t="str">
        <x:v>https://www.propertyguru.com.sg/listing/hdb-for-rent-379-clementi-avenue-5-20205305</x:v>
      </x:c>
      <x:c r="S155" s="2" t="str">
        <x:v>cold_start_exploration</x:v>
      </x:c>
    </x:row>
    <x:row r="156" ht="22" customHeight="1">
      <x:c r="A156" s="2" t="str">
        <x:v>S16-T01</x:v>
      </x:c>
      <x:c r="B156" s="2" t="str">
        <x:v>S16</x:v>
      </x:c>
      <x:c r="C156" s="2" t="str">
        <x:v>Retained</x:v>
      </x:c>
      <x:c r="D156" s="11" t="n">
        <x:v>1</x:v>
      </x:c>
      <x:c r="E156" s="11" t="n">
        <x:v>1</x:v>
      </x:c>
      <x:c r="F156" s="2" t="str">
        <x:v>18074957</x:v>
      </x:c>
      <x:c r="G156" s="2" t="str">
        <x:v>S16|18074957</x:v>
      </x:c>
      <x:c r="H156" s="2" t="n">
        <x:f>IFERROR(VLOOKUP(G156,'Ratings'!$A$6:$F$1387,6,FALSE),"Unknown")</x:f>
        <x:v>3</x:v>
      </x:c>
      <x:c r="I156" s="2" t="n">
        <x:f>IF(ISNUMBER(H156),1,0)</x:f>
        <x:v>1</x:v>
      </x:c>
      <x:c r="J156" s="2" t="n">
        <x:f>IF(ISNUMBER(H156),IF(H156&gt;=2,1,0),0)</x:f>
        <x:v>1</x:v>
      </x:c>
      <x:c r="K156" s="14" t="n">
        <x:f>IF(ISNUMBER(H156),2^H156-1,0)</x:f>
        <x:v>7</x:v>
      </x:c>
      <x:c r="L156" s="14" t="n">
        <x:f>K156/LOG(E156+1,2)</x:f>
        <x:v>7</x:v>
      </x:c>
      <x:c r="M156" s="10" t="n">
        <x:v>4500</x:v>
      </x:c>
      <x:c r="N156" s="10" t="n">
        <x:v>3</x:v>
      </x:c>
      <x:c r="O156" s="10" t="n">
        <x:v>1000</x:v>
      </x:c>
      <x:c r="P156" s="2" t="str">
        <x:v>D05</x:v>
      </x:c>
      <x:c r="Q156" s="2" t="str">
        <x:v>hdb flat</x:v>
      </x:c>
      <x:c r="R156" s="2" t="str">
        <x:v>https://www.propertyguru.com.sg/listing/hdb-for-rent-456-clementi-avenue-3-18074957</x:v>
      </x:c>
      <x:c r="S156" s="2" t="str">
        <x:v>cold_start_exploration</x:v>
      </x:c>
    </x:row>
    <x:row r="157" ht="22" customHeight="1">
      <x:c r="A157" s="2" t="str">
        <x:v>S16-T01</x:v>
      </x:c>
      <x:c r="B157" s="2" t="str">
        <x:v>S16</x:v>
      </x:c>
      <x:c r="C157" s="2" t="str">
        <x:v>Retained</x:v>
      </x:c>
      <x:c r="D157" s="11" t="n">
        <x:v>1</x:v>
      </x:c>
      <x:c r="E157" s="11" t="n">
        <x:v>2</x:v>
      </x:c>
      <x:c r="F157" s="2" t="str">
        <x:v>22773305</x:v>
      </x:c>
      <x:c r="G157" s="2" t="str">
        <x:v>S16|22773305</x:v>
      </x:c>
      <x:c r="H157" s="2" t="n">
        <x:f>IFERROR(VLOOKUP(G157,'Ratings'!$A$6:$F$1387,6,FALSE),"Unknown")</x:f>
        <x:v>3</x:v>
      </x:c>
      <x:c r="I157" s="2" t="n">
        <x:f>IF(ISNUMBER(H157),1,0)</x:f>
        <x:v>1</x:v>
      </x:c>
      <x:c r="J157" s="2" t="n">
        <x:f>IF(ISNUMBER(H157),IF(H157&gt;=2,1,0),0)</x:f>
        <x:v>1</x:v>
      </x:c>
      <x:c r="K157" s="14" t="n">
        <x:f>IF(ISNUMBER(H157),2^H157-1,0)</x:f>
        <x:v>7</x:v>
      </x:c>
      <x:c r="L157" s="14" t="n">
        <x:f>K157/LOG(E157+1,2)</x:f>
        <x:v>4.4165082750002025</x:v>
      </x:c>
      <x:c r="M157" s="10" t="n">
        <x:v>4500</x:v>
      </x:c>
      <x:c r="N157" s="10" t="n">
        <x:v>3</x:v>
      </x:c>
      <x:c r="O157" s="10" t="n">
        <x:v>1259</x:v>
      </x:c>
      <x:c r="P157" s="2" t="str">
        <x:v>D05</x:v>
      </x:c>
      <x:c r="Q157" s="2" t="str">
        <x:v>hdb flat</x:v>
      </x:c>
      <x:c r="R157" s="2" t="str">
        <x:v>https://www.propertyguru.com.sg/listing/hdb-for-rent-355-clementi-avenue-2-22773305</x:v>
      </x:c>
      <x:c r="S157" s="2" t="str">
        <x:v>cold_start_exploration</x:v>
      </x:c>
    </x:row>
    <x:row r="158" ht="22" customHeight="1">
      <x:c r="A158" s="2" t="str">
        <x:v>S16-T01</x:v>
      </x:c>
      <x:c r="B158" s="2" t="str">
        <x:v>S16</x:v>
      </x:c>
      <x:c r="C158" s="2" t="str">
        <x:v>Retained</x:v>
      </x:c>
      <x:c r="D158" s="11" t="n">
        <x:v>1</x:v>
      </x:c>
      <x:c r="E158" s="11" t="n">
        <x:v>3</x:v>
      </x:c>
      <x:c r="F158" s="2" t="str">
        <x:v>24981163</x:v>
      </x:c>
      <x:c r="G158" s="2" t="str">
        <x:v>S16|24981163</x:v>
      </x:c>
      <x:c r="H158" s="2" t="n">
        <x:f>IFERROR(VLOOKUP(G158,'Ratings'!$A$6:$F$1387,6,FALSE),"Unknown")</x:f>
        <x:v>3</x:v>
      </x:c>
      <x:c r="I158" s="2" t="n">
        <x:f>IF(ISNUMBER(H158),1,0)</x:f>
        <x:v>1</x:v>
      </x:c>
      <x:c r="J158" s="2" t="n">
        <x:f>IF(ISNUMBER(H158),IF(H158&gt;=2,1,0),0)</x:f>
        <x:v>1</x:v>
      </x:c>
      <x:c r="K158" s="14" t="n">
        <x:f>IF(ISNUMBER(H158),2^H158-1,0)</x:f>
        <x:v>7</x:v>
      </x:c>
      <x:c r="L158" s="14" t="n">
        <x:f>K158/LOG(E158+1,2)</x:f>
        <x:v>3.5</x:v>
      </x:c>
      <x:c r="M158" s="10" t="n">
        <x:v>3800</x:v>
      </x:c>
      <x:c r="N158" s="10" t="n">
        <x:v>3</x:v>
      </x:c>
      <x:c r="O158" s="10" t="n">
        <x:v>1012</x:v>
      </x:c>
      <x:c r="P158" s="2" t="str">
        <x:v>D05</x:v>
      </x:c>
      <x:c r="Q158" s="2" t="str">
        <x:v>hdb flat</x:v>
      </x:c>
      <x:c r="R158" s="2" t="str">
        <x:v>https://www.propertyguru.com.sg/listing/hdb-for-rent-381-clementi-avenue-5-24981163</x:v>
      </x:c>
      <x:c r="S158" s="2" t="str">
        <x:v>cold_start_exploration</x:v>
      </x:c>
    </x:row>
    <x:row r="159" ht="22" customHeight="1">
      <x:c r="A159" s="2" t="str">
        <x:v>S16-T01</x:v>
      </x:c>
      <x:c r="B159" s="2" t="str">
        <x:v>S16</x:v>
      </x:c>
      <x:c r="C159" s="2" t="str">
        <x:v>Retained</x:v>
      </x:c>
      <x:c r="D159" s="11" t="n">
        <x:v>1</x:v>
      </x:c>
      <x:c r="E159" s="11" t="n">
        <x:v>4</x:v>
      </x:c>
      <x:c r="F159" s="2" t="str">
        <x:v>500164225</x:v>
      </x:c>
      <x:c r="G159" s="2" t="str">
        <x:v>S16|500164225</x:v>
      </x:c>
      <x:c r="H159" s="2" t="n">
        <x:f>IFERROR(VLOOKUP(G159,'Ratings'!$A$6:$F$1387,6,FALSE),"Unknown")</x:f>
        <x:v>3</x:v>
      </x:c>
      <x:c r="I159" s="2" t="n">
        <x:f>IF(ISNUMBER(H159),1,0)</x:f>
        <x:v>1</x:v>
      </x:c>
      <x:c r="J159" s="2" t="n">
        <x:f>IF(ISNUMBER(H159),IF(H159&gt;=2,1,0),0)</x:f>
        <x:v>1</x:v>
      </x:c>
      <x:c r="K159" s="14" t="n">
        <x:f>IF(ISNUMBER(H159),2^H159-1,0)</x:f>
        <x:v>7</x:v>
      </x:c>
      <x:c r="L159" s="14" t="n">
        <x:f>K159/LOG(E159+1,2)</x:f>
        <x:v>3.0147359065137516</x:v>
      </x:c>
      <x:c r="M159" s="10" t="n">
        <x:v>3999</x:v>
      </x:c>
      <x:c r="N159" s="10" t="n">
        <x:v>3</x:v>
      </x:c>
      <x:c r="O159" s="10" t="n">
        <x:v>1238</x:v>
      </x:c>
      <x:c r="P159" s="2" t="str">
        <x:v>D05</x:v>
      </x:c>
      <x:c r="Q159" s="2" t="str">
        <x:v>hdb flat</x:v>
      </x:c>
      <x:c r="R159" s="2" t="str">
        <x:v>https://www.propertyguru.com.sg/listing/hdb-for-rent-604-clementi-west-street-1-500164225</x:v>
      </x:c>
      <x:c r="S159" s="2" t="str">
        <x:v>cold_start_exploration</x:v>
      </x:c>
    </x:row>
    <x:row r="160" ht="22" customHeight="1">
      <x:c r="A160" s="2" t="str">
        <x:v>S16-T01</x:v>
      </x:c>
      <x:c r="B160" s="2" t="str">
        <x:v>S16</x:v>
      </x:c>
      <x:c r="C160" s="2" t="str">
        <x:v>Retained</x:v>
      </x:c>
      <x:c r="D160" s="11" t="n">
        <x:v>1</x:v>
      </x:c>
      <x:c r="E160" s="11" t="n">
        <x:v>5</x:v>
      </x:c>
      <x:c r="F160" s="2" t="str">
        <x:v>500264910</x:v>
      </x:c>
      <x:c r="G160" s="2" t="str">
        <x:v>S16|500264910</x:v>
      </x:c>
      <x:c r="H160" s="2" t="n">
        <x:f>IFERROR(VLOOKUP(G160,'Ratings'!$A$6:$F$1387,6,FALSE),"Unknown")</x:f>
        <x:v>3</x:v>
      </x:c>
      <x:c r="I160" s="2" t="n">
        <x:f>IF(ISNUMBER(H160),1,0)</x:f>
        <x:v>1</x:v>
      </x:c>
      <x:c r="J160" s="2" t="n">
        <x:f>IF(ISNUMBER(H160),IF(H160&gt;=2,1,0),0)</x:f>
        <x:v>1</x:v>
      </x:c>
      <x:c r="K160" s="14" t="n">
        <x:f>IF(ISNUMBER(H160),2^H160-1,0)</x:f>
        <x:v>7</x:v>
      </x:c>
      <x:c r="L160" s="14" t="n">
        <x:f>K160/LOG(E160+1,2)</x:f>
        <x:v>2.7079696506417914</x:v>
      </x:c>
      <x:c r="M160" s="10" t="n">
        <x:v>4500</x:v>
      </x:c>
      <x:c r="N160" s="10" t="n">
        <x:v>3</x:v>
      </x:c>
      <x:c r="O160" s="10" t="n">
        <x:v>1001</x:v>
      </x:c>
      <x:c r="P160" s="2" t="str">
        <x:v>D05</x:v>
      </x:c>
      <x:c r="Q160" s="2" t="str">
        <x:v>hdb flat</x:v>
      </x:c>
      <x:c r="R160" s="2" t="str">
        <x:v>https://www.propertyguru.com.sg/listing/hdb-for-rent-375-clementi-avenue-4-500264910</x:v>
      </x:c>
      <x:c r="S160" s="2" t="str">
        <x:v>cold_start_exploration</x:v>
      </x:c>
    </x:row>
    <x:row r="161" ht="22" customHeight="1">
      <x:c r="A161" s="2" t="str">
        <x:v>S16-T01</x:v>
      </x:c>
      <x:c r="B161" s="2" t="str">
        <x:v>S16</x:v>
      </x:c>
      <x:c r="C161" s="2" t="str">
        <x:v>Retained</x:v>
      </x:c>
      <x:c r="D161" s="11" t="n">
        <x:v>1</x:v>
      </x:c>
      <x:c r="E161" s="11" t="n">
        <x:v>6</x:v>
      </x:c>
      <x:c r="F161" s="2" t="str">
        <x:v>500280490</x:v>
      </x:c>
      <x:c r="G161" s="2" t="str">
        <x:v>S16|500280490</x:v>
      </x:c>
      <x:c r="H161" s="2" t="n">
        <x:f>IFERROR(VLOOKUP(G161,'Ratings'!$A$6:$F$1387,6,FALSE),"Unknown")</x:f>
        <x:v>3</x:v>
      </x:c>
      <x:c r="I161" s="2" t="n">
        <x:f>IF(ISNUMBER(H161),1,0)</x:f>
        <x:v>1</x:v>
      </x:c>
      <x:c r="J161" s="2" t="n">
        <x:f>IF(ISNUMBER(H161),IF(H161&gt;=2,1,0),0)</x:f>
        <x:v>1</x:v>
      </x:c>
      <x:c r="K161" s="14" t="n">
        <x:f>IF(ISNUMBER(H161),2^H161-1,0)</x:f>
        <x:v>7</x:v>
      </x:c>
      <x:c r="L161" s="14" t="n">
        <x:f>K161/LOG(E161+1,2)</x:f>
        <x:v>2.493450309756155</x:v>
      </x:c>
      <x:c r="M161" s="10" t="n">
        <x:v>4800</x:v>
      </x:c>
      <x:c r="N161" s="10" t="n">
        <x:v>2</x:v>
      </x:c>
      <x:c r="O161" s="10" t="n">
        <x:v>1076</x:v>
      </x:c>
      <x:c r="P161" s="2" t="str">
        <x:v>D05</x:v>
      </x:c>
      <x:c r="Q161" s="2" t="str">
        <x:v>condominium</x:v>
      </x:c>
      <x:c r="R161" s="2" t="str">
        <x:v>https://www.propertyguru.com.sg/listing/for-rent-botannia-500280490</x:v>
      </x:c>
      <x:c r="S161" s="2" t="str">
        <x:v>cold_start_exploration</x:v>
      </x:c>
    </x:row>
    <x:row r="162" ht="22" customHeight="1">
      <x:c r="A162" s="2" t="str">
        <x:v>S16-T01</x:v>
      </x:c>
      <x:c r="B162" s="2" t="str">
        <x:v>S16</x:v>
      </x:c>
      <x:c r="C162" s="2" t="str">
        <x:v>Retained</x:v>
      </x:c>
      <x:c r="D162" s="11" t="n">
        <x:v>1</x:v>
      </x:c>
      <x:c r="E162" s="11" t="n">
        <x:v>7</x:v>
      </x:c>
      <x:c r="F162" s="2" t="str">
        <x:v>60120018</x:v>
      </x:c>
      <x:c r="G162" s="2" t="str">
        <x:v>S16|60120018</x:v>
      </x:c>
      <x:c r="H162" s="2" t="n">
        <x:f>IFERROR(VLOOKUP(G162,'Ratings'!$A$6:$F$1387,6,FALSE),"Unknown")</x:f>
        <x:v>3</x:v>
      </x:c>
      <x:c r="I162" s="2" t="n">
        <x:f>IF(ISNUMBER(H162),1,0)</x:f>
        <x:v>1</x:v>
      </x:c>
      <x:c r="J162" s="2" t="n">
        <x:f>IF(ISNUMBER(H162),IF(H162&gt;=2,1,0),0)</x:f>
        <x:v>1</x:v>
      </x:c>
      <x:c r="K162" s="14" t="n">
        <x:f>IF(ISNUMBER(H162),2^H162-1,0)</x:f>
        <x:v>7</x:v>
      </x:c>
      <x:c r="L162" s="14" t="n">
        <x:f>K162/LOG(E162+1,2)</x:f>
        <x:v>2.3333333333333335</x:v>
      </x:c>
      <x:c r="M162" s="10" t="n">
        <x:v>4500</x:v>
      </x:c>
      <x:c r="N162" s="10" t="n">
        <x:v>3</x:v>
      </x:c>
      <x:c r="O162" s="10" t="n">
        <x:v>1345</x:v>
      </x:c>
      <x:c r="P162" s="2" t="str">
        <x:v>D05</x:v>
      </x:c>
      <x:c r="Q162" s="2" t="str">
        <x:v>hdb flat</x:v>
      </x:c>
      <x:c r="R162" s="2" t="str">
        <x:v>https://www.propertyguru.com.sg/listing/hdb-for-rent-414-commonwealth-avenue-west-60120018</x:v>
      </x:c>
      <x:c r="S162" s="2" t="str">
        <x:v>cold_start_exploration</x:v>
      </x:c>
    </x:row>
    <x:row r="163" ht="22" customHeight="1">
      <x:c r="A163" s="2" t="str">
        <x:v>S16-T01</x:v>
      </x:c>
      <x:c r="B163" s="2" t="str">
        <x:v>S16</x:v>
      </x:c>
      <x:c r="C163" s="2" t="str">
        <x:v>Retained</x:v>
      </x:c>
      <x:c r="D163" s="11" t="n">
        <x:v>1</x:v>
      </x:c>
      <x:c r="E163" s="11" t="n">
        <x:v>8</x:v>
      </x:c>
      <x:c r="F163" s="2" t="str">
        <x:v>1248978</x:v>
      </x:c>
      <x:c r="G163" s="2" t="str">
        <x:v>S16|1248978</x:v>
      </x:c>
      <x:c r="H163" s="2" t="n">
        <x:f>IFERROR(VLOOKUP(G163,'Ratings'!$A$6:$F$1387,6,FALSE),"Unknown")</x:f>
        <x:v>2</x:v>
      </x:c>
      <x:c r="I163" s="2" t="n">
        <x:f>IF(ISNUMBER(H163),1,0)</x:f>
        <x:v>1</x:v>
      </x:c>
      <x:c r="J163" s="2" t="n">
        <x:f>IF(ISNUMBER(H163),IF(H163&gt;=2,1,0),0)</x:f>
        <x:v>1</x:v>
      </x:c>
      <x:c r="K163" s="14" t="n">
        <x:f>IF(ISNUMBER(H163),2^H163-1,0)</x:f>
        <x:v>3</x:v>
      </x:c>
      <x:c r="L163" s="14" t="n">
        <x:f>K163/LOG(E163+1,2)</x:f>
        <x:v>0.9463946303571861</x:v>
      </x:c>
      <x:c r="M163" s="10" t="n">
        <x:v>3800</x:v>
      </x:c>
      <x:c r="N163" s="10" t="n">
        <x:v>3</x:v>
      </x:c>
      <x:c r="O163" s="10" t="n">
        <x:v>1238</x:v>
      </x:c>
      <x:c r="P163" s="2" t="str">
        <x:v>D16</x:v>
      </x:c>
      <x:c r="Q163" s="2" t="str">
        <x:v>hdb flat</x:v>
      </x:c>
      <x:c r="R163" s="2" t="str">
        <x:v>https://www.propertyguru.com.sg/listing/hdb-for-rent-763-bedok-reservoir-view-1248978</x:v>
      </x:c>
      <x:c r="S163" s="2" t="str">
        <x:v>cold_start_exploration</x:v>
      </x:c>
    </x:row>
    <x:row r="164" ht="22" customHeight="1">
      <x:c r="A164" s="2" t="str">
        <x:v>S16-T01</x:v>
      </x:c>
      <x:c r="B164" s="2" t="str">
        <x:v>S16</x:v>
      </x:c>
      <x:c r="C164" s="2" t="str">
        <x:v>Retained</x:v>
      </x:c>
      <x:c r="D164" s="11" t="n">
        <x:v>1</x:v>
      </x:c>
      <x:c r="E164" s="11" t="n">
        <x:v>9</x:v>
      </x:c>
      <x:c r="F164" s="2" t="str">
        <x:v>13383072</x:v>
      </x:c>
      <x:c r="G164" s="2" t="str">
        <x:v>S16|13383072</x:v>
      </x:c>
      <x:c r="H164" s="2" t="n">
        <x:f>IFERROR(VLOOKUP(G164,'Ratings'!$A$6:$F$1387,6,FALSE),"Unknown")</x:f>
        <x:v>2</x:v>
      </x:c>
      <x:c r="I164" s="2" t="n">
        <x:f>IF(ISNUMBER(H164),1,0)</x:f>
        <x:v>1</x:v>
      </x:c>
      <x:c r="J164" s="2" t="n">
        <x:f>IF(ISNUMBER(H164),IF(H164&gt;=2,1,0),0)</x:f>
        <x:v>1</x:v>
      </x:c>
      <x:c r="K164" s="14" t="n">
        <x:f>IF(ISNUMBER(H164),2^H164-1,0)</x:f>
        <x:v>3</x:v>
      </x:c>
      <x:c r="L164" s="14" t="n">
        <x:f>K164/LOG(E164+1,2)</x:f>
        <x:v>0.9030899869919435</x:v>
      </x:c>
      <x:c r="M164" s="10" t="n">
        <x:v>4500</x:v>
      </x:c>
      <x:c r="N164" s="10" t="n">
        <x:v>2</x:v>
      </x:c>
      <x:c r="O164" s="10" t="n">
        <x:v>1055</x:v>
      </x:c>
      <x:c r="P164" s="2" t="str">
        <x:v>D21</x:v>
      </x:c>
      <x:c r="Q164" s="2" t="str">
        <x:v>condominium</x:v>
      </x:c>
      <x:c r="R164" s="2" t="str">
        <x:v>https://www.propertyguru.com.sg/listing/for-rent-signature-park-13383072</x:v>
      </x:c>
      <x:c r="S164" s="2" t="str">
        <x:v>cold_start_exploration</x:v>
      </x:c>
    </x:row>
    <x:row r="165" ht="22" customHeight="1">
      <x:c r="A165" s="2" t="str">
        <x:v>S16-T01</x:v>
      </x:c>
      <x:c r="B165" s="2" t="str">
        <x:v>S16</x:v>
      </x:c>
      <x:c r="C165" s="2" t="str">
        <x:v>Retained</x:v>
      </x:c>
      <x:c r="D165" s="11" t="n">
        <x:v>1</x:v>
      </x:c>
      <x:c r="E165" s="11" t="n">
        <x:v>10</x:v>
      </x:c>
      <x:c r="F165" s="2" t="str">
        <x:v>13840195</x:v>
      </x:c>
      <x:c r="G165" s="2" t="str">
        <x:v>S16|13840195</x:v>
      </x:c>
      <x:c r="H165" s="2" t="n">
        <x:f>IFERROR(VLOOKUP(G165,'Ratings'!$A$6:$F$1387,6,FALSE),"Unknown")</x:f>
        <x:v>2</x:v>
      </x:c>
      <x:c r="I165" s="2" t="n">
        <x:f>IF(ISNUMBER(H165),1,0)</x:f>
        <x:v>1</x:v>
      </x:c>
      <x:c r="J165" s="2" t="n">
        <x:f>IF(ISNUMBER(H165),IF(H165&gt;=2,1,0),0)</x:f>
        <x:v>1</x:v>
      </x:c>
      <x:c r="K165" s="14" t="n">
        <x:f>IF(ISNUMBER(H165),2^H165-1,0)</x:f>
        <x:v>3</x:v>
      </x:c>
      <x:c r="L165" s="14" t="n">
        <x:f>K165/LOG(E165+1,2)</x:f>
        <x:v>0.8671944789536634</x:v>
      </x:c>
      <x:c r="M165" s="10" t="n">
        <x:v>4900</x:v>
      </x:c>
      <x:c r="N165" s="10" t="n">
        <x:v>3</x:v>
      </x:c>
      <x:c r="O165" s="10" t="n">
        <x:v>1044</x:v>
      </x:c>
      <x:c r="P165" s="2" t="str">
        <x:v>D15</x:v>
      </x:c>
      <x:c r="Q165" s="2" t="str">
        <x:v>condominium</x:v>
      </x:c>
      <x:c r="R165" s="2" t="str">
        <x:v>https://www.propertyguru.com.sg/listing/for-rent-fortune-spring-13840195</x:v>
      </x:c>
      <x:c r="S165" s="2" t="str">
        <x:v>cold_start_exploration</x:v>
      </x:c>
    </x:row>
    <x:row r="166" ht="22" customHeight="1">
      <x:c r="A166" s="2" t="str">
        <x:v>S17-T01</x:v>
      </x:c>
      <x:c r="B166" s="2" t="str">
        <x:v>S17</x:v>
      </x:c>
      <x:c r="C166" s="2" t="str">
        <x:v>Retained</x:v>
      </x:c>
      <x:c r="D166" s="11" t="n">
        <x:v>1</x:v>
      </x:c>
      <x:c r="E166" s="11" t="n">
        <x:v>1</x:v>
      </x:c>
      <x:c r="F166" s="2" t="str">
        <x:v>500267173</x:v>
      </x:c>
      <x:c r="G166" s="2" t="str">
        <x:v>S17|500267173</x:v>
      </x:c>
      <x:c r="H166" s="2" t="n">
        <x:f>IFERROR(VLOOKUP(G166,'Ratings'!$A$6:$F$1387,6,FALSE),"Unknown")</x:f>
        <x:v>3</x:v>
      </x:c>
      <x:c r="I166" s="2" t="n">
        <x:f>IF(ISNUMBER(H166),1,0)</x:f>
        <x:v>1</x:v>
      </x:c>
      <x:c r="J166" s="2" t="n">
        <x:f>IF(ISNUMBER(H166),IF(H166&gt;=2,1,0),0)</x:f>
        <x:v>1</x:v>
      </x:c>
      <x:c r="K166" s="14" t="n">
        <x:f>IF(ISNUMBER(H166),2^H166-1,0)</x:f>
        <x:v>7</x:v>
      </x:c>
      <x:c r="L166" s="14" t="n">
        <x:f>K166/LOG(E166+1,2)</x:f>
        <x:v>7</x:v>
      </x:c>
      <x:c r="M166" s="10" t="n">
        <x:v>3000</x:v>
      </x:c>
      <x:c r="N166" s="10" t="n">
        <x:v>2</x:v>
      </x:c>
      <x:c r="O166" s="10" t="n">
        <x:v>721</x:v>
      </x:c>
      <x:c r="P166" s="2" t="str">
        <x:v>D05</x:v>
      </x:c>
      <x:c r="Q166" s="2" t="str">
        <x:v>hdb flat</x:v>
      </x:c>
      <x:c r="R166" s="2" t="str">
        <x:v>https://www.propertyguru.com.sg/listing/hdb-for-rent-306-clementi-avenue-4-500267173</x:v>
      </x:c>
      <x:c r="S166" s="2" t="str">
        <x:v>small_pool</x:v>
      </x:c>
    </x:row>
    <x:row r="167" ht="22" customHeight="1">
      <x:c r="A167" s="2" t="str">
        <x:v>S17-T01</x:v>
      </x:c>
      <x:c r="B167" s="2" t="str">
        <x:v>S17</x:v>
      </x:c>
      <x:c r="C167" s="2" t="str">
        <x:v>Retained</x:v>
      </x:c>
      <x:c r="D167" s="11" t="n">
        <x:v>1</x:v>
      </x:c>
      <x:c r="E167" s="11" t="n">
        <x:v>2</x:v>
      </x:c>
      <x:c r="F167" s="2" t="str">
        <x:v>20617351</x:v>
      </x:c>
      <x:c r="G167" s="2" t="str">
        <x:v>S17|20617351</x:v>
      </x:c>
      <x:c r="H167" s="2" t="n">
        <x:f>IFERROR(VLOOKUP(G167,'Ratings'!$A$6:$F$1387,6,FALSE),"Unknown")</x:f>
        <x:v>3</x:v>
      </x:c>
      <x:c r="I167" s="2" t="n">
        <x:f>IF(ISNUMBER(H167),1,0)</x:f>
        <x:v>1</x:v>
      </x:c>
      <x:c r="J167" s="2" t="n">
        <x:f>IF(ISNUMBER(H167),IF(H167&gt;=2,1,0),0)</x:f>
        <x:v>1</x:v>
      </x:c>
      <x:c r="K167" s="14" t="n">
        <x:f>IF(ISNUMBER(H167),2^H167-1,0)</x:f>
        <x:v>7</x:v>
      </x:c>
      <x:c r="L167" s="14" t="n">
        <x:f>K167/LOG(E167+1,2)</x:f>
        <x:v>4.4165082750002025</x:v>
      </x:c>
      <x:c r="M167" s="10" t="n">
        <x:v>3000</x:v>
      </x:c>
      <x:c r="N167" s="10" t="n">
        <x:v>2</x:v>
      </x:c>
      <x:c r="O167" s="10" t="n">
        <x:v>700</x:v>
      </x:c>
      <x:c r="P167" s="2" t="str">
        <x:v>D05</x:v>
      </x:c>
      <x:c r="Q167" s="2" t="str">
        <x:v>hdb flat</x:v>
      </x:c>
      <x:c r="R167" s="2" t="str">
        <x:v>https://www.propertyguru.com.sg/listing/hdb-for-rent-354-clementi-avenue-2-20617351</x:v>
      </x:c>
      <x:c r="S167" s="2" t="str">
        <x:v>small_pool</x:v>
      </x:c>
    </x:row>
    <x:row r="168" ht="22" customHeight="1">
      <x:c r="A168" s="2" t="str">
        <x:v>S17-T01</x:v>
      </x:c>
      <x:c r="B168" s="2" t="str">
        <x:v>S17</x:v>
      </x:c>
      <x:c r="C168" s="2" t="str">
        <x:v>Retained</x:v>
      </x:c>
      <x:c r="D168" s="11" t="n">
        <x:v>1</x:v>
      </x:c>
      <x:c r="E168" s="11" t="n">
        <x:v>3</x:v>
      </x:c>
      <x:c r="F168" s="2" t="str">
        <x:v>500262756</x:v>
      </x:c>
      <x:c r="G168" s="2" t="str">
        <x:v>S17|500262756</x:v>
      </x:c>
      <x:c r="H168" s="2" t="n">
        <x:f>IFERROR(VLOOKUP(G168,'Ratings'!$A$6:$F$1387,6,FALSE),"Unknown")</x:f>
        <x:v>3</x:v>
      </x:c>
      <x:c r="I168" s="2" t="n">
        <x:f>IF(ISNUMBER(H168),1,0)</x:f>
        <x:v>1</x:v>
      </x:c>
      <x:c r="J168" s="2" t="n">
        <x:f>IF(ISNUMBER(H168),IF(H168&gt;=2,1,0),0)</x:f>
        <x:v>1</x:v>
      </x:c>
      <x:c r="K168" s="14" t="n">
        <x:f>IF(ISNUMBER(H168),2^H168-1,0)</x:f>
        <x:v>7</x:v>
      </x:c>
      <x:c r="L168" s="14" t="n">
        <x:f>K168/LOG(E168+1,2)</x:f>
        <x:v>3.5</x:v>
      </x:c>
      <x:c r="M168" s="10" t="n">
        <x:v>3000</x:v>
      </x:c>
      <x:c r="N168" s="10" t="n">
        <x:v>2</x:v>
      </x:c>
      <x:c r="O168" s="10" t="n">
        <x:v>699</x:v>
      </x:c>
      <x:c r="P168" s="2" t="str">
        <x:v>D05</x:v>
      </x:c>
      <x:c r="Q168" s="2" t="str">
        <x:v>hdb flat</x:v>
      </x:c>
      <x:c r="R168" s="2" t="str">
        <x:v>https://www.propertyguru.com.sg/listing/hdb-for-rent-2-dover-road-500262756</x:v>
      </x:c>
      <x:c r="S168" s="2" t="str">
        <x:v>small_pool</x:v>
      </x:c>
    </x:row>
    <x:row r="169" ht="22" customHeight="1">
      <x:c r="A169" s="2" t="str">
        <x:v>S18-T01</x:v>
      </x:c>
      <x:c r="B169" s="2" t="str">
        <x:v>S18</x:v>
      </x:c>
      <x:c r="C169" s="2" t="str">
        <x:v>Retained</x:v>
      </x:c>
      <x:c r="D169" s="11" t="n">
        <x:v>1</x:v>
      </x:c>
      <x:c r="E169" s="11" t="n">
        <x:v>1</x:v>
      </x:c>
      <x:c r="F169" s="2" t="str">
        <x:v>21026007</x:v>
      </x:c>
      <x:c r="G169" s="2" t="str">
        <x:v>S18|21026007</x:v>
      </x:c>
      <x:c r="H169" s="2" t="n">
        <x:f>IFERROR(VLOOKUP(G169,'Ratings'!$A$6:$F$1387,6,FALSE),"Unknown")</x:f>
        <x:v>3</x:v>
      </x:c>
      <x:c r="I169" s="2" t="n">
        <x:f>IF(ISNUMBER(H169),1,0)</x:f>
        <x:v>1</x:v>
      </x:c>
      <x:c r="J169" s="2" t="n">
        <x:f>IF(ISNUMBER(H169),IF(H169&gt;=2,1,0),0)</x:f>
        <x:v>1</x:v>
      </x:c>
      <x:c r="K169" s="14" t="n">
        <x:f>IF(ISNUMBER(H169),2^H169-1,0)</x:f>
        <x:v>7</x:v>
      </x:c>
      <x:c r="L169" s="14" t="n">
        <x:f>K169/LOG(E169+1,2)</x:f>
        <x:v>7</x:v>
      </x:c>
      <x:c r="M169" s="10" t="n">
        <x:v>450</x:v>
      </x:c>
      <x:c r="N169" s="10" t="n">
        <x:v>3</x:v>
      </x:c>
      <x:c r="O169" s="10" t="n">
        <x:v>100</x:v>
      </x:c>
      <x:c r="P169" s="2" t="str">
        <x:v>D25</x:v>
      </x:c>
      <x:c r="Q169" s="2" t="str">
        <x:v>hdb flat</x:v>
      </x:c>
      <x:c r="R169" s="2" t="str">
        <x:v>https://www.propertyguru.com.sg/listing/hdb-for-rent-764a-woodlands-circle-21026007</x:v>
      </x:c>
      <x:c r="S169" s="2" t="str">
        <x:v>ranked</x:v>
      </x:c>
    </x:row>
    <x:row r="170" ht="22" customHeight="1">
      <x:c r="A170" s="2" t="str">
        <x:v>S18-T01</x:v>
      </x:c>
      <x:c r="B170" s="2" t="str">
        <x:v>S18</x:v>
      </x:c>
      <x:c r="C170" s="2" t="str">
        <x:v>Retained</x:v>
      </x:c>
      <x:c r="D170" s="11" t="n">
        <x:v>1</x:v>
      </x:c>
      <x:c r="E170" s="11" t="n">
        <x:v>2</x:v>
      </x:c>
      <x:c r="F170" s="2" t="str">
        <x:v>500281545</x:v>
      </x:c>
      <x:c r="G170" s="2" t="str">
        <x:v>S18|500281545</x:v>
      </x:c>
      <x:c r="H170" s="2" t="n">
        <x:f>IFERROR(VLOOKUP(G170,'Ratings'!$A$6:$F$1387,6,FALSE),"Unknown")</x:f>
        <x:v>3</x:v>
      </x:c>
      <x:c r="I170" s="2" t="n">
        <x:f>IF(ISNUMBER(H170),1,0)</x:f>
        <x:v>1</x:v>
      </x:c>
      <x:c r="J170" s="2" t="n">
        <x:f>IF(ISNUMBER(H170),IF(H170&gt;=2,1,0),0)</x:f>
        <x:v>1</x:v>
      </x:c>
      <x:c r="K170" s="14" t="n">
        <x:f>IF(ISNUMBER(H170),2^H170-1,0)</x:f>
        <x:v>7</x:v>
      </x:c>
      <x:c r="L170" s="14" t="n">
        <x:f>K170/LOG(E170+1,2)</x:f>
        <x:v>4.4165082750002025</x:v>
      </x:c>
      <x:c r="M170" s="10" t="n">
        <x:v>700</x:v>
      </x:c>
      <x:c r="N170" s="10" t="n">
        <x:v>3</x:v>
      </x:c>
      <x:c r="O170" s="10" t="n">
        <x:v>904</x:v>
      </x:c>
      <x:c r="P170" s="2" t="str">
        <x:v>D18</x:v>
      </x:c>
      <x:c r="Q170" s="2" t="str">
        <x:v>hdb flat</x:v>
      </x:c>
      <x:c r="R170" s="2" t="str">
        <x:v>https://www.propertyguru.com.sg/listing/hdb-for-rent-832-tampines-street-82-500281545</x:v>
      </x:c>
      <x:c r="S170" s="2" t="str">
        <x:v>ranked</x:v>
      </x:c>
    </x:row>
    <x:row r="171" ht="22" customHeight="1">
      <x:c r="A171" s="2" t="str">
        <x:v>S18-T01</x:v>
      </x:c>
      <x:c r="B171" s="2" t="str">
        <x:v>S18</x:v>
      </x:c>
      <x:c r="C171" s="2" t="str">
        <x:v>Retained</x:v>
      </x:c>
      <x:c r="D171" s="11" t="n">
        <x:v>1</x:v>
      </x:c>
      <x:c r="E171" s="11" t="n">
        <x:v>3</x:v>
      </x:c>
      <x:c r="F171" s="2" t="str">
        <x:v>60023928</x:v>
      </x:c>
      <x:c r="G171" s="2" t="str">
        <x:v>S18|60023928</x:v>
      </x:c>
      <x:c r="H171" s="2" t="n">
        <x:f>IFERROR(VLOOKUP(G171,'Ratings'!$A$6:$F$1387,6,FALSE),"Unknown")</x:f>
        <x:v>3</x:v>
      </x:c>
      <x:c r="I171" s="2" t="n">
        <x:f>IF(ISNUMBER(H171),1,0)</x:f>
        <x:v>1</x:v>
      </x:c>
      <x:c r="J171" s="2" t="n">
        <x:f>IF(ISNUMBER(H171),IF(H171&gt;=2,1,0),0)</x:f>
        <x:v>1</x:v>
      </x:c>
      <x:c r="K171" s="14" t="n">
        <x:f>IF(ISNUMBER(H171),2^H171-1,0)</x:f>
        <x:v>7</x:v>
      </x:c>
      <x:c r="L171" s="14" t="n">
        <x:f>K171/LOG(E171+1,2)</x:f>
        <x:v>3.5</x:v>
      </x:c>
      <x:c r="M171" s="10" t="n">
        <x:v>800</x:v>
      </x:c>
      <x:c r="N171" s="10" t="n">
        <x:v>2</x:v>
      </x:c>
      <x:c r="O171" s="10" t="n">
        <x:v>120</x:v>
      </x:c>
      <x:c r="P171" s="2" t="str">
        <x:v>D27</x:v>
      </x:c>
      <x:c r="Q171" s="2" t="str">
        <x:v>hdb flat</x:v>
      </x:c>
      <x:c r="R171" s="2" t="str">
        <x:v>https://www.propertyguru.com.sg/listing/hdb-for-rent-203-yishun-street-21-60023928</x:v>
      </x:c>
      <x:c r="S171" s="2" t="str">
        <x:v>ranked</x:v>
      </x:c>
    </x:row>
    <x:row r="172" ht="22" customHeight="1">
      <x:c r="A172" s="2" t="str">
        <x:v>S18-T01</x:v>
      </x:c>
      <x:c r="B172" s="2" t="str">
        <x:v>S18</x:v>
      </x:c>
      <x:c r="C172" s="2" t="str">
        <x:v>Retained</x:v>
      </x:c>
      <x:c r="D172" s="11" t="n">
        <x:v>1</x:v>
      </x:c>
      <x:c r="E172" s="11" t="n">
        <x:v>4</x:v>
      </x:c>
      <x:c r="F172" s="2" t="str">
        <x:v>25544801</x:v>
      </x:c>
      <x:c r="G172" s="2" t="str">
        <x:v>S18|25544801</x:v>
      </x:c>
      <x:c r="H172" s="2" t="n">
        <x:f>IFERROR(VLOOKUP(G172,'Ratings'!$A$6:$F$1387,6,FALSE),"Unknown")</x:f>
        <x:v>3</x:v>
      </x:c>
      <x:c r="I172" s="2" t="n">
        <x:f>IF(ISNUMBER(H172),1,0)</x:f>
        <x:v>1</x:v>
      </x:c>
      <x:c r="J172" s="2" t="n">
        <x:f>IF(ISNUMBER(H172),IF(H172&gt;=2,1,0),0)</x:f>
        <x:v>1</x:v>
      </x:c>
      <x:c r="K172" s="14" t="n">
        <x:f>IF(ISNUMBER(H172),2^H172-1,0)</x:f>
        <x:v>7</x:v>
      </x:c>
      <x:c r="L172" s="14" t="n">
        <x:f>K172/LOG(E172+1,2)</x:f>
        <x:v>3.0147359065137516</x:v>
      </x:c>
      <x:c r="M172" s="10" t="n">
        <x:v>950</x:v>
      </x:c>
      <x:c r="N172" s="10" t="n">
        <x:v>7</x:v>
      </x:c>
      <x:c r="O172" s="10" t="n">
        <x:v>100</x:v>
      </x:c>
      <x:c r="P172" s="2" t="str">
        <x:v>D16</x:v>
      </x:c>
      <x:c r="Q172" s="2" t="str">
        <x:v>condominium</x:v>
      </x:c>
      <x:c r="R172" s="2" t="str">
        <x:v>https://www.propertyguru.com.sg/listing/for-rent-the-bayshore-25544801</x:v>
      </x:c>
      <x:c r="S172" s="2" t="str">
        <x:v>ranked</x:v>
      </x:c>
    </x:row>
    <x:row r="173" ht="22" customHeight="1">
      <x:c r="A173" s="2" t="str">
        <x:v>S18-T01</x:v>
      </x:c>
      <x:c r="B173" s="2" t="str">
        <x:v>S18</x:v>
      </x:c>
      <x:c r="C173" s="2" t="str">
        <x:v>Retained</x:v>
      </x:c>
      <x:c r="D173" s="11" t="n">
        <x:v>1</x:v>
      </x:c>
      <x:c r="E173" s="11" t="n">
        <x:v>5</x:v>
      </x:c>
      <x:c r="F173" s="2" t="str">
        <x:v>500269618</x:v>
      </x:c>
      <x:c r="G173" s="2" t="str">
        <x:v>S18|500269618</x:v>
      </x:c>
      <x:c r="H173" s="2" t="n">
        <x:f>IFERROR(VLOOKUP(G173,'Ratings'!$A$6:$F$1387,6,FALSE),"Unknown")</x:f>
        <x:v>2</x:v>
      </x:c>
      <x:c r="I173" s="2" t="n">
        <x:f>IF(ISNUMBER(H173),1,0)</x:f>
        <x:v>1</x:v>
      </x:c>
      <x:c r="J173" s="2" t="n">
        <x:f>IF(ISNUMBER(H173),IF(H173&gt;=2,1,0),0)</x:f>
        <x:v>1</x:v>
      </x:c>
      <x:c r="K173" s="14" t="n">
        <x:f>IF(ISNUMBER(H173),2^H173-1,0)</x:f>
        <x:v>3</x:v>
      </x:c>
      <x:c r="L173" s="14" t="n">
        <x:f>K173/LOG(E173+1,2)</x:f>
        <x:v>1.1605584217036249</x:v>
      </x:c>
      <x:c r="M173" s="10" t="n">
        <x:v>1100</x:v>
      </x:c>
      <x:c r="N173" s="10" t="n">
        <x:v>3</x:v>
      </x:c>
      <x:c r="O173" s="10" t="n">
        <x:v>947</x:v>
      </x:c>
      <x:c r="P173" s="2" t="str">
        <x:v>D20</x:v>
      </x:c>
      <x:c r="Q173" s="2" t="str">
        <x:v>hdb flat</x:v>
      </x:c>
      <x:c r="R173" s="2" t="str">
        <x:v>https://www.propertyguru.com.sg/listing/hdb-for-rent-25-sin-ming-road-500269618</x:v>
      </x:c>
      <x:c r="S173" s="2" t="str">
        <x:v>ranked</x:v>
      </x:c>
    </x:row>
    <x:row r="174" ht="22" customHeight="1">
      <x:c r="A174" s="2" t="str">
        <x:v>S18-T01</x:v>
      </x:c>
      <x:c r="B174" s="2" t="str">
        <x:v>S18</x:v>
      </x:c>
      <x:c r="C174" s="2" t="str">
        <x:v>Retained</x:v>
      </x:c>
      <x:c r="D174" s="11" t="n">
        <x:v>1</x:v>
      </x:c>
      <x:c r="E174" s="11" t="n">
        <x:v>6</x:v>
      </x:c>
      <x:c r="F174" s="2" t="str">
        <x:v>25209933</x:v>
      </x:c>
      <x:c r="G174" s="2" t="str">
        <x:v>S18|25209933</x:v>
      </x:c>
      <x:c r="H174" s="2" t="n">
        <x:f>IFERROR(VLOOKUP(G174,'Ratings'!$A$6:$F$1387,6,FALSE),"Unknown")</x:f>
        <x:v>2</x:v>
      </x:c>
      <x:c r="I174" s="2" t="n">
        <x:f>IF(ISNUMBER(H174),1,0)</x:f>
        <x:v>1</x:v>
      </x:c>
      <x:c r="J174" s="2" t="n">
        <x:f>IF(ISNUMBER(H174),IF(H174&gt;=2,1,0),0)</x:f>
        <x:v>1</x:v>
      </x:c>
      <x:c r="K174" s="14" t="n">
        <x:f>IF(ISNUMBER(H174),2^H174-1,0)</x:f>
        <x:v>3</x:v>
      </x:c>
      <x:c r="L174" s="14" t="n">
        <x:f>K174/LOG(E174+1,2)</x:f>
        <x:v>1.0686215613240666</x:v>
      </x:c>
      <x:c r="M174" s="10" t="n">
        <x:v>1150</x:v>
      </x:c>
      <x:c r="N174" s="10" t="n">
        <x:v>3</x:v>
      </x:c>
      <x:c r="O174" s="10" t="n">
        <x:v>190</x:v>
      </x:c>
      <x:c r="P174" s="2" t="str">
        <x:v>D23</x:v>
      </x:c>
      <x:c r="Q174" s="2" t="str">
        <x:v>hdb flat</x:v>
      </x:c>
      <x:c r="R174" s="2" t="str">
        <x:v>https://www.propertyguru.com.sg/listing/hdb-for-rent-288g-bukit-batok-street-25-25209933</x:v>
      </x:c>
      <x:c r="S174" s="2" t="str">
        <x:v>ranked</x:v>
      </x:c>
    </x:row>
    <x:row r="175" ht="22" customHeight="1">
      <x:c r="A175" s="2" t="str">
        <x:v>S18-T01</x:v>
      </x:c>
      <x:c r="B175" s="2" t="str">
        <x:v>S18</x:v>
      </x:c>
      <x:c r="C175" s="2" t="str">
        <x:v>Retained</x:v>
      </x:c>
      <x:c r="D175" s="11" t="n">
        <x:v>1</x:v>
      </x:c>
      <x:c r="E175" s="11" t="n">
        <x:v>7</x:v>
      </x:c>
      <x:c r="F175" s="2" t="str">
        <x:v>25549139</x:v>
      </x:c>
      <x:c r="G175" s="2" t="str">
        <x:v>S18|25549139</x:v>
      </x:c>
      <x:c r="H175" s="2" t="n">
        <x:f>IFERROR(VLOOKUP(G175,'Ratings'!$A$6:$F$1387,6,FALSE),"Unknown")</x:f>
        <x:v>2</x:v>
      </x:c>
      <x:c r="I175" s="2" t="n">
        <x:f>IF(ISNUMBER(H175),1,0)</x:f>
        <x:v>1</x:v>
      </x:c>
      <x:c r="J175" s="2" t="n">
        <x:f>IF(ISNUMBER(H175),IF(H175&gt;=2,1,0),0)</x:f>
        <x:v>1</x:v>
      </x:c>
      <x:c r="K175" s="14" t="n">
        <x:f>IF(ISNUMBER(H175),2^H175-1,0)</x:f>
        <x:v>3</x:v>
      </x:c>
      <x:c r="L175" s="14" t="n">
        <x:f>K175/LOG(E175+1,2)</x:f>
        <x:v>1</x:v>
      </x:c>
      <x:c r="M175" s="10" t="n">
        <x:v>1150</x:v>
      </x:c>
      <x:c r="N175" s="10" t="n">
        <x:v>6</x:v>
      </x:c>
      <x:c r="O175" s="10" t="n">
        <x:v>120</x:v>
      </x:c>
      <x:c r="P175" s="2" t="str">
        <x:v>D22</x:v>
      </x:c>
      <x:c r="Q175" s="2" t="str">
        <x:v>condominium</x:v>
      </x:c>
      <x:c r="R175" s="2" t="str">
        <x:v>https://www.propertyguru.com.sg/listing/for-rent-parc-oasis-25549139</x:v>
      </x:c>
      <x:c r="S175" s="2" t="str">
        <x:v>ranked</x:v>
      </x:c>
    </x:row>
    <x:row r="176" ht="22" customHeight="1">
      <x:c r="A176" s="2" t="str">
        <x:v>S18-T01</x:v>
      </x:c>
      <x:c r="B176" s="2" t="str">
        <x:v>S18</x:v>
      </x:c>
      <x:c r="C176" s="2" t="str">
        <x:v>Retained</x:v>
      </x:c>
      <x:c r="D176" s="11" t="n">
        <x:v>1</x:v>
      </x:c>
      <x:c r="E176" s="11" t="n">
        <x:v>8</x:v>
      </x:c>
      <x:c r="F176" s="2" t="str">
        <x:v>25280571</x:v>
      </x:c>
      <x:c r="G176" s="2" t="str">
        <x:v>S18|25280571</x:v>
      </x:c>
      <x:c r="H176" s="2" t="n">
        <x:f>IFERROR(VLOOKUP(G176,'Ratings'!$A$6:$F$1387,6,FALSE),"Unknown")</x:f>
        <x:v>2</x:v>
      </x:c>
      <x:c r="I176" s="2" t="n">
        <x:f>IF(ISNUMBER(H176),1,0)</x:f>
        <x:v>1</x:v>
      </x:c>
      <x:c r="J176" s="2" t="n">
        <x:f>IF(ISNUMBER(H176),IF(H176&gt;=2,1,0),0)</x:f>
        <x:v>1</x:v>
      </x:c>
      <x:c r="K176" s="14" t="n">
        <x:f>IF(ISNUMBER(H176),2^H176-1,0)</x:f>
        <x:v>3</x:v>
      </x:c>
      <x:c r="L176" s="14" t="n">
        <x:f>K176/LOG(E176+1,2)</x:f>
        <x:v>0.9463946303571861</x:v>
      </x:c>
      <x:c r="M176" s="10" t="n">
        <x:v>1200</x:v>
      </x:c>
      <x:c r="N176" s="10" t="n">
        <x:v>2</x:v>
      </x:c>
      <x:c r="O176" s="10" t="n">
        <x:v>300</x:v>
      </x:c>
      <x:c r="P176" s="2" t="str">
        <x:v>D08</x:v>
      </x:c>
      <x:c r="Q176" s="2" t="str">
        <x:v>hdb flat</x:v>
      </x:c>
      <x:c r="R176" s="2" t="str">
        <x:v>https://www.propertyguru.com.sg/listing/hdb-for-rent-661-buffalo-road-25280571</x:v>
      </x:c>
      <x:c r="S176" s="2" t="str">
        <x:v>ranked</x:v>
      </x:c>
    </x:row>
    <x:row r="177" ht="22" customHeight="1">
      <x:c r="A177" s="2" t="str">
        <x:v>S18-T01</x:v>
      </x:c>
      <x:c r="B177" s="2" t="str">
        <x:v>S18</x:v>
      </x:c>
      <x:c r="C177" s="2" t="str">
        <x:v>Retained</x:v>
      </x:c>
      <x:c r="D177" s="11" t="n">
        <x:v>1</x:v>
      </x:c>
      <x:c r="E177" s="11" t="n">
        <x:v>9</x:v>
      </x:c>
      <x:c r="F177" s="2" t="str">
        <x:v>500259048</x:v>
      </x:c>
      <x:c r="G177" s="2" t="str">
        <x:v>S18|500259048</x:v>
      </x:c>
      <x:c r="H177" s="2" t="n">
        <x:f>IFERROR(VLOOKUP(G177,'Ratings'!$A$6:$F$1387,6,FALSE),"Unknown")</x:f>
        <x:v>2</x:v>
      </x:c>
      <x:c r="I177" s="2" t="n">
        <x:f>IF(ISNUMBER(H177),1,0)</x:f>
        <x:v>1</x:v>
      </x:c>
      <x:c r="J177" s="2" t="n">
        <x:f>IF(ISNUMBER(H177),IF(H177&gt;=2,1,0),0)</x:f>
        <x:v>1</x:v>
      </x:c>
      <x:c r="K177" s="14" t="n">
        <x:f>IF(ISNUMBER(H177),2^H177-1,0)</x:f>
        <x:v>3</x:v>
      </x:c>
      <x:c r="L177" s="14" t="n">
        <x:f>K177/LOG(E177+1,2)</x:f>
        <x:v>0.9030899869919435</x:v>
      </x:c>
      <x:c r="M177" s="10" t="n">
        <x:v>1300</x:v>
      </x:c>
      <x:c r="N177" s="10" t="n">
        <x:v>3</x:v>
      </x:c>
      <x:c r="O177" s="10" t="n">
        <x:v>732</x:v>
      </x:c>
      <x:c r="P177" s="2" t="str">
        <x:v>D12</x:v>
      </x:c>
      <x:c r="Q177" s="2" t="str">
        <x:v>hdb flat</x:v>
      </x:c>
      <x:c r="R177" s="2" t="str">
        <x:v>https://www.propertyguru.com.sg/listing/hdb-for-rent-63-kallang-bahru-500259048</x:v>
      </x:c>
      <x:c r="S177" s="2" t="str">
        <x:v>ranked</x:v>
      </x:c>
    </x:row>
    <x:row r="178" ht="22" customHeight="1">
      <x:c r="A178" s="2" t="str">
        <x:v>S18-T01</x:v>
      </x:c>
      <x:c r="B178" s="2" t="str">
        <x:v>S18</x:v>
      </x:c>
      <x:c r="C178" s="2" t="str">
        <x:v>Retained</x:v>
      </x:c>
      <x:c r="D178" s="11" t="n">
        <x:v>1</x:v>
      </x:c>
      <x:c r="E178" s="11" t="n">
        <x:v>10</x:v>
      </x:c>
      <x:c r="F178" s="2" t="str">
        <x:v>500127611</x:v>
      </x:c>
      <x:c r="G178" s="2" t="str">
        <x:v>S18|500127611</x:v>
      </x:c>
      <x:c r="H178" s="2" t="n">
        <x:f>IFERROR(VLOOKUP(G178,'Ratings'!$A$6:$F$1387,6,FALSE),"Unknown")</x:f>
        <x:v>2</x:v>
      </x:c>
      <x:c r="I178" s="2" t="n">
        <x:f>IF(ISNUMBER(H178),1,0)</x:f>
        <x:v>1</x:v>
      </x:c>
      <x:c r="J178" s="2" t="n">
        <x:f>IF(ISNUMBER(H178),IF(H178&gt;=2,1,0),0)</x:f>
        <x:v>1</x:v>
      </x:c>
      <x:c r="K178" s="14" t="n">
        <x:f>IF(ISNUMBER(H178),2^H178-1,0)</x:f>
        <x:v>3</x:v>
      </x:c>
      <x:c r="L178" s="14" t="n">
        <x:f>K178/LOG(E178+1,2)</x:f>
        <x:v>0.8671944789536634</x:v>
      </x:c>
      <x:c r="M178" s="10" t="n">
        <x:v>1450</x:v>
      </x:c>
      <x:c r="N178" s="10" t="n">
        <x:v>2</x:v>
      </x:c>
      <x:c r="O178" s="10" t="n">
        <x:v>100</x:v>
      </x:c>
      <x:c r="P178" s="2" t="str">
        <x:v>D10</x:v>
      </x:c>
      <x:c r="Q178" s="2" t="str">
        <x:v>walk-up apartment</x:v>
      </x:c>
      <x:c r="R178" s="2" t="str">
        <x:v>https://www.propertyguru.com.sg/listing/for-rent-sixth-avenue-walk-up-apartment-500127611</x:v>
      </x:c>
      <x:c r="S178" s="2" t="str">
        <x:v>ranked</x:v>
      </x:c>
    </x:row>
    <x:row r="179" ht="22" customHeight="1">
      <x:c r="A179" s="2" t="str">
        <x:v>S21-T01</x:v>
      </x:c>
      <x:c r="B179" s="2" t="str">
        <x:v>S21</x:v>
      </x:c>
      <x:c r="C179" s="2" t="str">
        <x:v>Extension</x:v>
      </x:c>
      <x:c r="D179" s="11" t="n">
        <x:v>1</x:v>
      </x:c>
      <x:c r="E179" s="11" t="n">
        <x:v>1</x:v>
      </x:c>
      <x:c r="F179" s="2" t="str">
        <x:v>500266385</x:v>
      </x:c>
      <x:c r="G179" s="2" t="str">
        <x:v>S21|500266385</x:v>
      </x:c>
      <x:c r="H179" s="2" t="n">
        <x:f>IFERROR(VLOOKUP(G179,'Ratings'!$A$6:$F$1387,6,FALSE),"Unknown")</x:f>
        <x:v>3</x:v>
      </x:c>
      <x:c r="I179" s="2" t="n">
        <x:f>IF(ISNUMBER(H179),1,0)</x:f>
        <x:v>1</x:v>
      </x:c>
      <x:c r="J179" s="2" t="n">
        <x:f>IF(ISNUMBER(H179),IF(H179&gt;=2,1,0),0)</x:f>
        <x:v>1</x:v>
      </x:c>
      <x:c r="K179" s="14" t="n">
        <x:f>IF(ISNUMBER(H179),2^H179-1,0)</x:f>
        <x:v>7</x:v>
      </x:c>
      <x:c r="L179" s="14" t="n">
        <x:f>K179/LOG(E179+1,2)</x:f>
        <x:v>7</x:v>
      </x:c>
      <x:c r="M179" s="10" t="n">
        <x:v>900</x:v>
      </x:c>
      <x:c r="N179" s="10" t="n">
        <x:v>1</x:v>
      </x:c>
      <x:c r="O179" s="10" t="n">
        <x:v>13896</x:v>
      </x:c>
      <x:c r="P179" s="2" t="str">
        <x:v>D25</x:v>
      </x:c>
      <x:c r="Q179" s="2" t="str">
        <x:v>hdb flat</x:v>
      </x:c>
      <x:c r="R179" s="2" t="str">
        <x:v>https://www.propertyguru.com.sg/listing/hdb-for-rent-557-woodlands-drive-53-500266385</x:v>
      </x:c>
      <x:c r="S179" s="2" t="str">
        <x:v>cold_start_exploration</x:v>
      </x:c>
    </x:row>
    <x:row r="180" ht="22" customHeight="1">
      <x:c r="A180" s="2" t="str">
        <x:v>S21-T01</x:v>
      </x:c>
      <x:c r="B180" s="2" t="str">
        <x:v>S21</x:v>
      </x:c>
      <x:c r="C180" s="2" t="str">
        <x:v>Extension</x:v>
      </x:c>
      <x:c r="D180" s="11" t="n">
        <x:v>1</x:v>
      </x:c>
      <x:c r="E180" s="11" t="n">
        <x:v>2</x:v>
      </x:c>
      <x:c r="F180" s="2" t="str">
        <x:v>500269618</x:v>
      </x:c>
      <x:c r="G180" s="2" t="str">
        <x:v>S21|500269618</x:v>
      </x:c>
      <x:c r="H180" s="2" t="n">
        <x:f>IFERROR(VLOOKUP(G180,'Ratings'!$A$6:$F$1387,6,FALSE),"Unknown")</x:f>
        <x:v>3</x:v>
      </x:c>
      <x:c r="I180" s="2" t="n">
        <x:f>IF(ISNUMBER(H180),1,0)</x:f>
        <x:v>1</x:v>
      </x:c>
      <x:c r="J180" s="2" t="n">
        <x:f>IF(ISNUMBER(H180),IF(H180&gt;=2,1,0),0)</x:f>
        <x:v>1</x:v>
      </x:c>
      <x:c r="K180" s="14" t="n">
        <x:f>IF(ISNUMBER(H180),2^H180-1,0)</x:f>
        <x:v>7</x:v>
      </x:c>
      <x:c r="L180" s="14" t="n">
        <x:f>K180/LOG(E180+1,2)</x:f>
        <x:v>4.4165082750002025</x:v>
      </x:c>
      <x:c r="M180" s="10" t="n">
        <x:v>1100</x:v>
      </x:c>
      <x:c r="N180" s="10" t="n">
        <x:v>3</x:v>
      </x:c>
      <x:c r="O180" s="10" t="n">
        <x:v>947</x:v>
      </x:c>
      <x:c r="P180" s="2" t="str">
        <x:v>D20</x:v>
      </x:c>
      <x:c r="Q180" s="2" t="str">
        <x:v>hdb flat</x:v>
      </x:c>
      <x:c r="R180" s="2" t="str">
        <x:v>https://www.propertyguru.com.sg/listing/hdb-for-rent-25-sin-ming-road-500269618</x:v>
      </x:c>
      <x:c r="S180" s="2" t="str">
        <x:v>cold_start_exploration</x:v>
      </x:c>
    </x:row>
    <x:row r="181" ht="22" customHeight="1">
      <x:c r="A181" s="2" t="str">
        <x:v>S21-T01</x:v>
      </x:c>
      <x:c r="B181" s="2" t="str">
        <x:v>S21</x:v>
      </x:c>
      <x:c r="C181" s="2" t="str">
        <x:v>Extension</x:v>
      </x:c>
      <x:c r="D181" s="11" t="n">
        <x:v>1</x:v>
      </x:c>
      <x:c r="E181" s="11" t="n">
        <x:v>3</x:v>
      </x:c>
      <x:c r="F181" s="2" t="str">
        <x:v>500270347</x:v>
      </x:c>
      <x:c r="G181" s="2" t="str">
        <x:v>S21|500270347</x:v>
      </x:c>
      <x:c r="H181" s="2" t="n">
        <x:f>IFERROR(VLOOKUP(G181,'Ratings'!$A$6:$F$1387,6,FALSE),"Unknown")</x:f>
        <x:v>3</x:v>
      </x:c>
      <x:c r="I181" s="2" t="n">
        <x:f>IF(ISNUMBER(H181),1,0)</x:f>
        <x:v>1</x:v>
      </x:c>
      <x:c r="J181" s="2" t="n">
        <x:f>IF(ISNUMBER(H181),IF(H181&gt;=2,1,0),0)</x:f>
        <x:v>1</x:v>
      </x:c>
      <x:c r="K181" s="14" t="n">
        <x:f>IF(ISNUMBER(H181),2^H181-1,0)</x:f>
        <x:v>7</x:v>
      </x:c>
      <x:c r="L181" s="14" t="n">
        <x:f>K181/LOG(E181+1,2)</x:f>
        <x:v>3.5</x:v>
      </x:c>
      <x:c r="M181" s="10" t="n">
        <x:v>850</x:v>
      </x:c>
      <x:c r="N181" s="10" t="n">
        <x:v>1</x:v>
      </x:c>
      <x:c r="O181" s="10" t="n">
        <x:v>904</x:v>
      </x:c>
      <x:c r="P181" s="2" t="str">
        <x:v>D27</x:v>
      </x:c>
      <x:c r="Q181" s="2" t="str">
        <x:v>hdb flat</x:v>
      </x:c>
      <x:c r="R181" s="2" t="str">
        <x:v>https://www.propertyguru.com.sg/listing/hdb-for-rent-655-yishun-avenue-4-500270347</x:v>
      </x:c>
      <x:c r="S181" s="2" t="str">
        <x:v>cold_start_exploration</x:v>
      </x:c>
    </x:row>
    <x:row r="182" ht="22" customHeight="1">
      <x:c r="A182" s="2" t="str">
        <x:v>S21-T01</x:v>
      </x:c>
      <x:c r="B182" s="2" t="str">
        <x:v>S21</x:v>
      </x:c>
      <x:c r="C182" s="2" t="str">
        <x:v>Extension</x:v>
      </x:c>
      <x:c r="D182" s="11" t="n">
        <x:v>1</x:v>
      </x:c>
      <x:c r="E182" s="11" t="n">
        <x:v>4</x:v>
      </x:c>
      <x:c r="F182" s="2" t="str">
        <x:v>500283878</x:v>
      </x:c>
      <x:c r="G182" s="2" t="str">
        <x:v>S21|500283878</x:v>
      </x:c>
      <x:c r="H182" s="2" t="n">
        <x:f>IFERROR(VLOOKUP(G182,'Ratings'!$A$6:$F$1387,6,FALSE),"Unknown")</x:f>
        <x:v>3</x:v>
      </x:c>
      <x:c r="I182" s="2" t="n">
        <x:f>IF(ISNUMBER(H182),1,0)</x:f>
        <x:v>1</x:v>
      </x:c>
      <x:c r="J182" s="2" t="n">
        <x:f>IF(ISNUMBER(H182),IF(H182&gt;=2,1,0),0)</x:f>
        <x:v>1</x:v>
      </x:c>
      <x:c r="K182" s="14" t="n">
        <x:f>IF(ISNUMBER(H182),2^H182-1,0)</x:f>
        <x:v>7</x:v>
      </x:c>
      <x:c r="L182" s="14" t="n">
        <x:f>K182/LOG(E182+1,2)</x:f>
        <x:v>3.0147359065137516</x:v>
      </x:c>
      <x:c r="M182" s="10" t="n">
        <x:v>1000</x:v>
      </x:c>
      <x:c r="N182" s="10" t="n">
        <x:v>1</x:v>
      </x:c>
      <x:c r="O182" s="10" t="n">
        <x:v>861</x:v>
      </x:c>
      <x:c r="P182" s="2" t="str">
        <x:v>D03</x:v>
      </x:c>
      <x:c r="Q182" s="2" t="str">
        <x:v>hdb flat</x:v>
      </x:c>
      <x:c r="R182" s="2" t="str">
        <x:v>https://www.propertyguru.com.sg/listing/hdb-for-rent-63a-lengkok-bahru-500283878</x:v>
      </x:c>
      <x:c r="S182" s="2" t="str">
        <x:v>cold_start_exploration</x:v>
      </x:c>
    </x:row>
    <x:row r="183" ht="22" customHeight="1">
      <x:c r="A183" s="2" t="str">
        <x:v>S21-T01</x:v>
      </x:c>
      <x:c r="B183" s="2" t="str">
        <x:v>S21</x:v>
      </x:c>
      <x:c r="C183" s="2" t="str">
        <x:v>Extension</x:v>
      </x:c>
      <x:c r="D183" s="11" t="n">
        <x:v>1</x:v>
      </x:c>
      <x:c r="E183" s="11" t="n">
        <x:v>5</x:v>
      </x:c>
      <x:c r="F183" s="2" t="str">
        <x:v>21644298</x:v>
      </x:c>
      <x:c r="G183" s="2" t="str">
        <x:v>S21|21644298</x:v>
      </x:c>
      <x:c r="H183" s="2" t="n">
        <x:f>IFERROR(VLOOKUP(G183,'Ratings'!$A$6:$F$1387,6,FALSE),"Unknown")</x:f>
        <x:v>2</x:v>
      </x:c>
      <x:c r="I183" s="2" t="n">
        <x:f>IF(ISNUMBER(H183),1,0)</x:f>
        <x:v>1</x:v>
      </x:c>
      <x:c r="J183" s="2" t="n">
        <x:f>IF(ISNUMBER(H183),IF(H183&gt;=2,1,0),0)</x:f>
        <x:v>1</x:v>
      </x:c>
      <x:c r="K183" s="14" t="n">
        <x:f>IF(ISNUMBER(H183),2^H183-1,0)</x:f>
        <x:v>3</x:v>
      </x:c>
      <x:c r="L183" s="14" t="n">
        <x:f>K183/LOG(E183+1,2)</x:f>
        <x:v>1.1605584217036249</x:v>
      </x:c>
      <x:c r="M183" s="10" t="n">
        <x:v>500</x:v>
      </x:c>
      <x:c r="N183" s="10" t="n">
        <x:v>1</x:v>
      </x:c>
      <x:c r="O183" s="10" t="n">
        <x:v>215</x:v>
      </x:c>
      <x:c r="P183" s="2" t="str">
        <x:v>D25</x:v>
      </x:c>
      <x:c r="Q183" s="2" t="str">
        <x:v>hdb flat</x:v>
      </x:c>
      <x:c r="R183" s="2" t="str">
        <x:v>https://www.propertyguru.com.sg/listing/hdb-for-rent-605-woodlands-drive-42-21644298</x:v>
      </x:c>
      <x:c r="S183" s="2" t="str">
        <x:v>cold_start_exploration</x:v>
      </x:c>
    </x:row>
    <x:row r="184" ht="22" customHeight="1">
      <x:c r="A184" s="2" t="str">
        <x:v>S21-T01</x:v>
      </x:c>
      <x:c r="B184" s="2" t="str">
        <x:v>S21</x:v>
      </x:c>
      <x:c r="C184" s="2" t="str">
        <x:v>Extension</x:v>
      </x:c>
      <x:c r="D184" s="11" t="n">
        <x:v>1</x:v>
      </x:c>
      <x:c r="E184" s="11" t="n">
        <x:v>6</x:v>
      </x:c>
      <x:c r="F184" s="2" t="str">
        <x:v>24877396</x:v>
      </x:c>
      <x:c r="G184" s="2" t="str">
        <x:v>S21|24877396</x:v>
      </x:c>
      <x:c r="H184" s="2" t="n">
        <x:f>IFERROR(VLOOKUP(G184,'Ratings'!$A$6:$F$1387,6,FALSE),"Unknown")</x:f>
        <x:v>2</x:v>
      </x:c>
      <x:c r="I184" s="2" t="n">
        <x:f>IF(ISNUMBER(H184),1,0)</x:f>
        <x:v>1</x:v>
      </x:c>
      <x:c r="J184" s="2" t="n">
        <x:f>IF(ISNUMBER(H184),IF(H184&gt;=2,1,0),0)</x:f>
        <x:v>1</x:v>
      </x:c>
      <x:c r="K184" s="14" t="n">
        <x:f>IF(ISNUMBER(H184),2^H184-1,0)</x:f>
        <x:v>3</x:v>
      </x:c>
      <x:c r="L184" s="14" t="n">
        <x:f>K184/LOG(E184+1,2)</x:f>
        <x:v>1.0686215613240666</x:v>
      </x:c>
      <x:c r="M184" s="10" t="n">
        <x:v>1050</x:v>
      </x:c>
      <x:c r="N184" s="10" t="n">
        <x:v>1</x:v>
      </x:c>
      <x:c r="O184" s="10" t="n">
        <x:v>200</x:v>
      </x:c>
      <x:c r="P184" s="2" t="str">
        <x:v>D12</x:v>
      </x:c>
      <x:c r="Q184" s="2" t="str">
        <x:v>hdb flat</x:v>
      </x:c>
      <x:c r="R184" s="2" t="str">
        <x:v>https://www.propertyguru.com.sg/listing/hdb-for-rent-8b-boon-keng-road-24877396</x:v>
      </x:c>
      <x:c r="S184" s="2" t="str">
        <x:v>cold_start_exploration</x:v>
      </x:c>
    </x:row>
    <x:row r="185" ht="22" customHeight="1">
      <x:c r="A185" s="2" t="str">
        <x:v>S21-T01</x:v>
      </x:c>
      <x:c r="B185" s="2" t="str">
        <x:v>S21</x:v>
      </x:c>
      <x:c r="C185" s="2" t="str">
        <x:v>Extension</x:v>
      </x:c>
      <x:c r="D185" s="11" t="n">
        <x:v>1</x:v>
      </x:c>
      <x:c r="E185" s="11" t="n">
        <x:v>7</x:v>
      </x:c>
      <x:c r="F185" s="2" t="str">
        <x:v>25283210</x:v>
      </x:c>
      <x:c r="G185" s="2" t="str">
        <x:v>S21|25283210</x:v>
      </x:c>
      <x:c r="H185" s="2" t="n">
        <x:f>IFERROR(VLOOKUP(G185,'Ratings'!$A$6:$F$1387,6,FALSE),"Unknown")</x:f>
        <x:v>2</x:v>
      </x:c>
      <x:c r="I185" s="2" t="n">
        <x:f>IF(ISNUMBER(H185),1,0)</x:f>
        <x:v>1</x:v>
      </x:c>
      <x:c r="J185" s="2" t="n">
        <x:f>IF(ISNUMBER(H185),IF(H185&gt;=2,1,0),0)</x:f>
        <x:v>1</x:v>
      </x:c>
      <x:c r="K185" s="14" t="n">
        <x:f>IF(ISNUMBER(H185),2^H185-1,0)</x:f>
        <x:v>3</x:v>
      </x:c>
      <x:c r="L185" s="14" t="n">
        <x:f>K185/LOG(E185+1,2)</x:f>
        <x:v>1</x:v>
      </x:c>
      <x:c r="M185" s="10" t="n">
        <x:v>1200</x:v>
      </x:c>
      <x:c r="N185" s="10" t="n">
        <x:v>1</x:v>
      </x:c>
      <x:c r="O185" s="10" t="n">
        <x:v>200</x:v>
      </x:c>
      <x:c r="P185" s="2" t="str">
        <x:v>D05</x:v>
      </x:c>
      <x:c r="Q185" s="2" t="str">
        <x:v>condominium</x:v>
      </x:c>
      <x:c r="R185" s="2" t="str">
        <x:v>https://www.propertyguru.com.sg/listing/for-rent-heritage-view-25283210</x:v>
      </x:c>
      <x:c r="S185" s="2" t="str">
        <x:v>cold_start_exploration</x:v>
      </x:c>
    </x:row>
    <x:row r="186" ht="22" customHeight="1">
      <x:c r="A186" s="2" t="str">
        <x:v>S21-T01</x:v>
      </x:c>
      <x:c r="B186" s="2" t="str">
        <x:v>S21</x:v>
      </x:c>
      <x:c r="C186" s="2" t="str">
        <x:v>Extension</x:v>
      </x:c>
      <x:c r="D186" s="11" t="n">
        <x:v>1</x:v>
      </x:c>
      <x:c r="E186" s="11" t="n">
        <x:v>8</x:v>
      </x:c>
      <x:c r="F186" s="2" t="str">
        <x:v>25315134</x:v>
      </x:c>
      <x:c r="G186" s="2" t="str">
        <x:v>S21|25315134</x:v>
      </x:c>
      <x:c r="H186" s="2" t="n">
        <x:f>IFERROR(VLOOKUP(G186,'Ratings'!$A$6:$F$1387,6,FALSE),"Unknown")</x:f>
        <x:v>2</x:v>
      </x:c>
      <x:c r="I186" s="2" t="n">
        <x:f>IF(ISNUMBER(H186),1,0)</x:f>
        <x:v>1</x:v>
      </x:c>
      <x:c r="J186" s="2" t="n">
        <x:f>IF(ISNUMBER(H186),IF(H186&gt;=2,1,0),0)</x:f>
        <x:v>1</x:v>
      </x:c>
      <x:c r="K186" s="14" t="n">
        <x:f>IF(ISNUMBER(H186),2^H186-1,0)</x:f>
        <x:v>3</x:v>
      </x:c>
      <x:c r="L186" s="14" t="n">
        <x:f>K186/LOG(E186+1,2)</x:f>
        <x:v>0.9463946303571861</x:v>
      </x:c>
      <x:c r="M186" s="10" t="n">
        <x:v>650</x:v>
      </x:c>
      <x:c r="N186" s="10" t="n">
        <x:v>1</x:v>
      </x:c>
      <x:c r="O186" s="10" t="n">
        <x:v>300</x:v>
      </x:c>
      <x:c r="P186" s="2" t="str">
        <x:v>D14</x:v>
      </x:c>
      <x:c r="Q186" s="2" t="str">
        <x:v>walk-up apartment</x:v>
      </x:c>
      <x:c r="R186" s="2" t="str">
        <x:v>https://www.propertyguru.com.sg/listing/for-rent-worker-permit-foreign-worker-l-mom-approved-25315134</x:v>
      </x:c>
      <x:c r="S186" s="2" t="str">
        <x:v>cold_start_exploration</x:v>
      </x:c>
    </x:row>
    <x:row r="187" ht="22" customHeight="1">
      <x:c r="A187" s="2" t="str">
        <x:v>S21-T01</x:v>
      </x:c>
      <x:c r="B187" s="2" t="str">
        <x:v>S21</x:v>
      </x:c>
      <x:c r="C187" s="2" t="str">
        <x:v>Extension</x:v>
      </x:c>
      <x:c r="D187" s="11" t="n">
        <x:v>1</x:v>
      </x:c>
      <x:c r="E187" s="11" t="n">
        <x:v>9</x:v>
      </x:c>
      <x:c r="F187" s="2" t="str">
        <x:v>500288331</x:v>
      </x:c>
      <x:c r="G187" s="2" t="str">
        <x:v>S21|500288331</x:v>
      </x:c>
      <x:c r="H187" s="2" t="n">
        <x:f>IFERROR(VLOOKUP(G187,'Ratings'!$A$6:$F$1387,6,FALSE),"Unknown")</x:f>
        <x:v>2</x:v>
      </x:c>
      <x:c r="I187" s="2" t="n">
        <x:f>IF(ISNUMBER(H187),1,0)</x:f>
        <x:v>1</x:v>
      </x:c>
      <x:c r="J187" s="2" t="n">
        <x:f>IF(ISNUMBER(H187),IF(H187&gt;=2,1,0),0)</x:f>
        <x:v>1</x:v>
      </x:c>
      <x:c r="K187" s="14" t="n">
        <x:f>IF(ISNUMBER(H187),2^H187-1,0)</x:f>
        <x:v>3</x:v>
      </x:c>
      <x:c r="L187" s="14" t="n">
        <x:f>K187/LOG(E187+1,2)</x:f>
        <x:v>0.9030899869919435</x:v>
      </x:c>
      <x:c r="M187" s="10" t="n">
        <x:v>1100</x:v>
      </x:c>
      <x:c r="N187" s="10" t="n">
        <x:v>1</x:v>
      </x:c>
      <x:c r="O187" s="10" t="n">
        <x:v>215</x:v>
      </x:c>
      <x:c r="P187" s="2" t="str">
        <x:v>D27</x:v>
      </x:c>
      <x:c r="Q187" s="2" t="str">
        <x:v>hdb flat</x:v>
      </x:c>
      <x:c r="R187" s="2" t="str">
        <x:v>https://www.propertyguru.com.sg/listing/hdb-for-rent-327-sembawang-crescent-500288331</x:v>
      </x:c>
      <x:c r="S187" s="2" t="str">
        <x:v>cold_start_exploration</x:v>
      </x:c>
    </x:row>
    <x:row r="188" ht="22" customHeight="1">
      <x:c r="A188" s="2" t="str">
        <x:v>S21-T01</x:v>
      </x:c>
      <x:c r="B188" s="2" t="str">
        <x:v>S21</x:v>
      </x:c>
      <x:c r="C188" s="2" t="str">
        <x:v>Extension</x:v>
      </x:c>
      <x:c r="D188" s="11" t="n">
        <x:v>1</x:v>
      </x:c>
      <x:c r="E188" s="11" t="n">
        <x:v>10</x:v>
      </x:c>
      <x:c r="F188" s="2" t="str">
        <x:v>500215736</x:v>
      </x:c>
      <x:c r="G188" s="2" t="str">
        <x:v>S21|500215736</x:v>
      </x:c>
      <x:c r="H188" s="2" t="n">
        <x:f>IFERROR(VLOOKUP(G188,'Ratings'!$A$6:$F$1387,6,FALSE),"Unknown")</x:f>
        <x:v>1</x:v>
      </x:c>
      <x:c r="I188" s="2" t="n">
        <x:f>IF(ISNUMBER(H188),1,0)</x:f>
        <x:v>1</x:v>
      </x:c>
      <x:c r="J188" s="2" t="n">
        <x:f>IF(ISNUMBER(H188),IF(H188&gt;=2,1,0),0)</x:f>
        <x:v>0</x:v>
      </x:c>
      <x:c r="K188" s="14" t="n">
        <x:f>IF(ISNUMBER(H188),2^H188-1,0)</x:f>
        <x:v>1</x:v>
      </x:c>
      <x:c r="L188" s="14" t="n">
        <x:f>K188/LOG(E188+1,2)</x:f>
        <x:v>0.2890648263178878</x:v>
      </x:c>
      <x:c r="M188" s="10" t="n">
        <x:v>1450</x:v>
      </x:c>
      <x:c r="N188" s="10" t="n">
        <x:v>1</x:v>
      </x:c>
      <x:c r="O188" s="10" t="n">
        <x:v>721</x:v>
      </x:c>
      <x:c r="P188" s="2" t="str">
        <x:v>D05</x:v>
      </x:c>
      <x:c r="Q188" s="2" t="str">
        <x:v>hdb flat</x:v>
      </x:c>
      <x:c r="R188" s="2" t="str">
        <x:v>https://www.propertyguru.com.sg/listing/hdb-for-rent-701-west-coast-road-500215736</x:v>
      </x:c>
      <x:c r="S188" s="2" t="str">
        <x:v>cold_start_exploration</x:v>
      </x:c>
    </x:row>
    <x:row r="189" ht="22" customHeight="1">
      <x:c r="A189" s="2" t="str">
        <x:v>S22-T01</x:v>
      </x:c>
      <x:c r="B189" s="2" t="str">
        <x:v>S22</x:v>
      </x:c>
      <x:c r="C189" s="2" t="str">
        <x:v>Extension</x:v>
      </x:c>
      <x:c r="D189" s="11" t="n">
        <x:v>1</x:v>
      </x:c>
      <x:c r="E189" s="11" t="n">
        <x:v>1</x:v>
      </x:c>
      <x:c r="F189" s="2" t="str">
        <x:v>21758066</x:v>
      </x:c>
      <x:c r="G189" s="2" t="str">
        <x:v>S22|21758066</x:v>
      </x:c>
      <x:c r="H189" s="2" t="n">
        <x:f>IFERROR(VLOOKUP(G189,'Ratings'!$A$6:$F$1387,6,FALSE),"Unknown")</x:f>
        <x:v>3</x:v>
      </x:c>
      <x:c r="I189" s="2" t="n">
        <x:f>IF(ISNUMBER(H189),1,0)</x:f>
        <x:v>1</x:v>
      </x:c>
      <x:c r="J189" s="2" t="n">
        <x:f>IF(ISNUMBER(H189),IF(H189&gt;=2,1,0),0)</x:f>
        <x:v>1</x:v>
      </x:c>
      <x:c r="K189" s="14" t="n">
        <x:f>IF(ISNUMBER(H189),2^H189-1,0)</x:f>
        <x:v>7</x:v>
      </x:c>
      <x:c r="L189" s="14" t="n">
        <x:f>K189/LOG(E189+1,2)</x:f>
        <x:v>7</x:v>
      </x:c>
      <x:c r="M189" s="10" t="n">
        <x:v>3200</x:v>
      </x:c>
      <x:c r="N189" s="10" t="n">
        <x:v>2</x:v>
      </x:c>
      <x:c r="O189" s="10" t="n">
        <x:v>1200</x:v>
      </x:c>
      <x:c r="P189" s="2" t="str">
        <x:v>D18</x:v>
      </x:c>
      <x:c r="Q189" s="2" t="str">
        <x:v>hdb flat</x:v>
      </x:c>
      <x:c r="R189" s="2" t="str">
        <x:v>https://www.propertyguru.com.sg/listing/hdb-for-rent-886-tampines-street-83-21758066</x:v>
      </x:c>
      <x:c r="S189" s="2" t="str">
        <x:v>cold_start_exploration</x:v>
      </x:c>
    </x:row>
    <x:row r="190" ht="22" customHeight="1">
      <x:c r="A190" s="2" t="str">
        <x:v>S22-T01</x:v>
      </x:c>
      <x:c r="B190" s="2" t="str">
        <x:v>S22</x:v>
      </x:c>
      <x:c r="C190" s="2" t="str">
        <x:v>Extension</x:v>
      </x:c>
      <x:c r="D190" s="11" t="n">
        <x:v>1</x:v>
      </x:c>
      <x:c r="E190" s="11" t="n">
        <x:v>2</x:v>
      </x:c>
      <x:c r="F190" s="2" t="str">
        <x:v>23482922</x:v>
      </x:c>
      <x:c r="G190" s="2" t="str">
        <x:v>S22|23482922</x:v>
      </x:c>
      <x:c r="H190" s="2" t="n">
        <x:f>IFERROR(VLOOKUP(G190,'Ratings'!$A$6:$F$1387,6,FALSE),"Unknown")</x:f>
        <x:v>3</x:v>
      </x:c>
      <x:c r="I190" s="2" t="n">
        <x:f>IF(ISNUMBER(H190),1,0)</x:f>
        <x:v>1</x:v>
      </x:c>
      <x:c r="J190" s="2" t="n">
        <x:f>IF(ISNUMBER(H190),IF(H190&gt;=2,1,0),0)</x:f>
        <x:v>1</x:v>
      </x:c>
      <x:c r="K190" s="14" t="n">
        <x:f>IF(ISNUMBER(H190),2^H190-1,0)</x:f>
        <x:v>7</x:v>
      </x:c>
      <x:c r="L190" s="14" t="n">
        <x:f>K190/LOG(E190+1,2)</x:f>
        <x:v>4.4165082750002025</x:v>
      </x:c>
      <x:c r="M190" s="10" t="n">
        <x:v>3500</x:v>
      </x:c>
      <x:c r="N190" s="10" t="n">
        <x:v>3</x:v>
      </x:c>
      <x:c r="O190" s="10" t="n">
        <x:v>1055</x:v>
      </x:c>
      <x:c r="P190" s="2" t="str">
        <x:v>D17</x:v>
      </x:c>
      <x:c r="Q190" s="2" t="str">
        <x:v>condominium</x:v>
      </x:c>
      <x:c r="R190" s="2" t="str">
        <x:v>https://www.propertyguru.com.sg/listing/for-rent-edelweiss-park-condo-23482922</x:v>
      </x:c>
      <x:c r="S190" s="2" t="str">
        <x:v>cold_start_exploration</x:v>
      </x:c>
    </x:row>
    <x:row r="191" ht="22" customHeight="1">
      <x:c r="A191" s="2" t="str">
        <x:v>S22-T01</x:v>
      </x:c>
      <x:c r="B191" s="2" t="str">
        <x:v>S22</x:v>
      </x:c>
      <x:c r="C191" s="2" t="str">
        <x:v>Extension</x:v>
      </x:c>
      <x:c r="D191" s="11" t="n">
        <x:v>1</x:v>
      </x:c>
      <x:c r="E191" s="11" t="n">
        <x:v>3</x:v>
      </x:c>
      <x:c r="F191" s="2" t="str">
        <x:v>24135647</x:v>
      </x:c>
      <x:c r="G191" s="2" t="str">
        <x:v>S22|24135647</x:v>
      </x:c>
      <x:c r="H191" s="2" t="n">
        <x:f>IFERROR(VLOOKUP(G191,'Ratings'!$A$6:$F$1387,6,FALSE),"Unknown")</x:f>
        <x:v>3</x:v>
      </x:c>
      <x:c r="I191" s="2" t="n">
        <x:f>IF(ISNUMBER(H191),1,0)</x:f>
        <x:v>1</x:v>
      </x:c>
      <x:c r="J191" s="2" t="n">
        <x:f>IF(ISNUMBER(H191),IF(H191&gt;=2,1,0),0)</x:f>
        <x:v>1</x:v>
      </x:c>
      <x:c r="K191" s="14" t="n">
        <x:f>IF(ISNUMBER(H191),2^H191-1,0)</x:f>
        <x:v>7</x:v>
      </x:c>
      <x:c r="L191" s="14" t="n">
        <x:f>K191/LOG(E191+1,2)</x:f>
        <x:v>3.5</x:v>
      </x:c>
      <x:c r="M191" s="10" t="n">
        <x:v>3500</x:v>
      </x:c>
      <x:c r="N191" s="10" t="n">
        <x:v>3</x:v>
      </x:c>
      <x:c r="O191" s="10" t="n">
        <x:v>1001</x:v>
      </x:c>
      <x:c r="P191" s="2" t="str">
        <x:v>D27</x:v>
      </x:c>
      <x:c r="Q191" s="2" t="str">
        <x:v>hdb flat</x:v>
      </x:c>
      <x:c r="R191" s="2" t="str">
        <x:v>https://www.propertyguru.com.sg/listing/hdb-for-rent-107a-canberra-street-24135647</x:v>
      </x:c>
      <x:c r="S191" s="2" t="str">
        <x:v>cold_start_exploration</x:v>
      </x:c>
    </x:row>
    <x:row r="192" ht="22" customHeight="1">
      <x:c r="A192" s="2" t="str">
        <x:v>S22-T01</x:v>
      </x:c>
      <x:c r="B192" s="2" t="str">
        <x:v>S22</x:v>
      </x:c>
      <x:c r="C192" s="2" t="str">
        <x:v>Extension</x:v>
      </x:c>
      <x:c r="D192" s="11" t="n">
        <x:v>1</x:v>
      </x:c>
      <x:c r="E192" s="11" t="n">
        <x:v>4</x:v>
      </x:c>
      <x:c r="F192" s="2" t="str">
        <x:v>24200214</x:v>
      </x:c>
      <x:c r="G192" s="2" t="str">
        <x:v>S22|24200214</x:v>
      </x:c>
      <x:c r="H192" s="2" t="n">
        <x:f>IFERROR(VLOOKUP(G192,'Ratings'!$A$6:$F$1387,6,FALSE),"Unknown")</x:f>
        <x:v>3</x:v>
      </x:c>
      <x:c r="I192" s="2" t="n">
        <x:f>IF(ISNUMBER(H192),1,0)</x:f>
        <x:v>1</x:v>
      </x:c>
      <x:c r="J192" s="2" t="n">
        <x:f>IF(ISNUMBER(H192),IF(H192&gt;=2,1,0),0)</x:f>
        <x:v>1</x:v>
      </x:c>
      <x:c r="K192" s="14" t="n">
        <x:f>IF(ISNUMBER(H192),2^H192-1,0)</x:f>
        <x:v>7</x:v>
      </x:c>
      <x:c r="L192" s="14" t="n">
        <x:f>K192/LOG(E192+1,2)</x:f>
        <x:v>3.0147359065137516</x:v>
      </x:c>
      <x:c r="M192" s="10" t="n">
        <x:v>3300</x:v>
      </x:c>
      <x:c r="N192" s="10" t="n">
        <x:v>3</x:v>
      </x:c>
      <x:c r="O192" s="10" t="n">
        <x:v>904</x:v>
      </x:c>
      <x:c r="P192" s="2" t="str">
        <x:v>D27</x:v>
      </x:c>
      <x:c r="Q192" s="2" t="str">
        <x:v>hdb flat</x:v>
      </x:c>
      <x:c r="R192" s="2" t="str">
        <x:v>https://www.propertyguru.com.sg/listing/hdb-for-rent-642-yishun-street-61-24200214</x:v>
      </x:c>
      <x:c r="S192" s="2" t="str">
        <x:v>cold_start_exploration</x:v>
      </x:c>
    </x:row>
    <x:row r="193" ht="22" customHeight="1">
      <x:c r="A193" s="2" t="str">
        <x:v>S22-T01</x:v>
      </x:c>
      <x:c r="B193" s="2" t="str">
        <x:v>S22</x:v>
      </x:c>
      <x:c r="C193" s="2" t="str">
        <x:v>Extension</x:v>
      </x:c>
      <x:c r="D193" s="11" t="n">
        <x:v>1</x:v>
      </x:c>
      <x:c r="E193" s="11" t="n">
        <x:v>5</x:v>
      </x:c>
      <x:c r="F193" s="2" t="str">
        <x:v>24593875</x:v>
      </x:c>
      <x:c r="G193" s="2" t="str">
        <x:v>S22|24593875</x:v>
      </x:c>
      <x:c r="H193" s="2" t="n">
        <x:f>IFERROR(VLOOKUP(G193,'Ratings'!$A$6:$F$1387,6,FALSE),"Unknown")</x:f>
        <x:v>3</x:v>
      </x:c>
      <x:c r="I193" s="2" t="n">
        <x:f>IF(ISNUMBER(H193),1,0)</x:f>
        <x:v>1</x:v>
      </x:c>
      <x:c r="J193" s="2" t="n">
        <x:f>IF(ISNUMBER(H193),IF(H193&gt;=2,1,0),0)</x:f>
        <x:v>1</x:v>
      </x:c>
      <x:c r="K193" s="14" t="n">
        <x:f>IF(ISNUMBER(H193),2^H193-1,0)</x:f>
        <x:v>7</x:v>
      </x:c>
      <x:c r="L193" s="14" t="n">
        <x:f>K193/LOG(E193+1,2)</x:f>
        <x:v>2.7079696506417914</x:v>
      </x:c>
      <x:c r="M193" s="10" t="n">
        <x:v>3500</x:v>
      </x:c>
      <x:c r="N193" s="10" t="n">
        <x:v>3</x:v>
      </x:c>
      <x:c r="O193" s="10" t="n">
        <x:v>1087</x:v>
      </x:c>
      <x:c r="P193" s="2" t="str">
        <x:v>D23</x:v>
      </x:c>
      <x:c r="Q193" s="2" t="str">
        <x:v>hdb flat</x:v>
      </x:c>
      <x:c r="R193" s="2" t="str">
        <x:v>https://www.propertyguru.com.sg/listing/hdb-for-rent-449-bukit-panjang-ring-road-24593875</x:v>
      </x:c>
      <x:c r="S193" s="2" t="str">
        <x:v>cold_start_exploration</x:v>
      </x:c>
    </x:row>
    <x:row r="194" ht="22" customHeight="1">
      <x:c r="A194" s="2" t="str">
        <x:v>S22-T01</x:v>
      </x:c>
      <x:c r="B194" s="2" t="str">
        <x:v>S22</x:v>
      </x:c>
      <x:c r="C194" s="2" t="str">
        <x:v>Extension</x:v>
      </x:c>
      <x:c r="D194" s="11" t="n">
        <x:v>1</x:v>
      </x:c>
      <x:c r="E194" s="11" t="n">
        <x:v>6</x:v>
      </x:c>
      <x:c r="F194" s="2" t="str">
        <x:v>500270090</x:v>
      </x:c>
      <x:c r="G194" s="2" t="str">
        <x:v>S22|500270090</x:v>
      </x:c>
      <x:c r="H194" s="2" t="n">
        <x:f>IFERROR(VLOOKUP(G194,'Ratings'!$A$6:$F$1387,6,FALSE),"Unknown")</x:f>
        <x:v>3</x:v>
      </x:c>
      <x:c r="I194" s="2" t="n">
        <x:f>IF(ISNUMBER(H194),1,0)</x:f>
        <x:v>1</x:v>
      </x:c>
      <x:c r="J194" s="2" t="n">
        <x:f>IF(ISNUMBER(H194),IF(H194&gt;=2,1,0),0)</x:f>
        <x:v>1</x:v>
      </x:c>
      <x:c r="K194" s="14" t="n">
        <x:f>IF(ISNUMBER(H194),2^H194-1,0)</x:f>
        <x:v>7</x:v>
      </x:c>
      <x:c r="L194" s="14" t="n">
        <x:f>K194/LOG(E194+1,2)</x:f>
        <x:v>2.493450309756155</x:v>
      </x:c>
      <x:c r="M194" s="10" t="n">
        <x:v>3500</x:v>
      </x:c>
      <x:c r="N194" s="10" t="n">
        <x:v>2</x:v>
      </x:c>
      <x:c r="O194" s="10" t="n">
        <x:v>1292</x:v>
      </x:c>
      <x:c r="P194" s="2" t="str">
        <x:v>D17</x:v>
      </x:c>
      <x:c r="Q194" s="2" t="str">
        <x:v>terraced house</x:v>
      </x:c>
      <x:c r="R194" s="2" t="str">
        <x:v>https://www.propertyguru.com.sg/listing/for-rent-60-upavon-road-03-500270090</x:v>
      </x:c>
      <x:c r="S194" s="2" t="str">
        <x:v>cold_start_exploration</x:v>
      </x:c>
    </x:row>
    <x:row r="195" ht="22" customHeight="1">
      <x:c r="A195" s="2" t="str">
        <x:v>S22-T01</x:v>
      </x:c>
      <x:c r="B195" s="2" t="str">
        <x:v>S22</x:v>
      </x:c>
      <x:c r="C195" s="2" t="str">
        <x:v>Extension</x:v>
      </x:c>
      <x:c r="D195" s="11" t="n">
        <x:v>1</x:v>
      </x:c>
      <x:c r="E195" s="11" t="n">
        <x:v>7</x:v>
      </x:c>
      <x:c r="F195" s="2" t="str">
        <x:v>500275647</x:v>
      </x:c>
      <x:c r="G195" s="2" t="str">
        <x:v>S22|500275647</x:v>
      </x:c>
      <x:c r="H195" s="2" t="n">
        <x:f>IFERROR(VLOOKUP(G195,'Ratings'!$A$6:$F$1387,6,FALSE),"Unknown")</x:f>
        <x:v>3</x:v>
      </x:c>
      <x:c r="I195" s="2" t="n">
        <x:f>IF(ISNUMBER(H195),1,0)</x:f>
        <x:v>1</x:v>
      </x:c>
      <x:c r="J195" s="2" t="n">
        <x:f>IF(ISNUMBER(H195),IF(H195&gt;=2,1,0),0)</x:f>
        <x:v>1</x:v>
      </x:c>
      <x:c r="K195" s="14" t="n">
        <x:f>IF(ISNUMBER(H195),2^H195-1,0)</x:f>
        <x:v>7</x:v>
      </x:c>
      <x:c r="L195" s="14" t="n">
        <x:f>K195/LOG(E195+1,2)</x:f>
        <x:v>2.3333333333333335</x:v>
      </x:c>
      <x:c r="M195" s="10" t="n">
        <x:v>3300</x:v>
      </x:c>
      <x:c r="N195" s="10" t="n">
        <x:v>3</x:v>
      </x:c>
      <x:c r="O195" s="10" t="n">
        <x:v>990</x:v>
      </x:c>
      <x:c r="P195" s="2" t="str">
        <x:v>D19</x:v>
      </x:c>
      <x:c r="Q195" s="2" t="str">
        <x:v>hdb flat</x:v>
      </x:c>
      <x:c r="R195" s="2" t="str">
        <x:v>https://www.propertyguru.com.sg/listing/hdb-for-rent-318d-anchorvale-link-500275647</x:v>
      </x:c>
      <x:c r="S195" s="2" t="str">
        <x:v>cold_start_exploration</x:v>
      </x:c>
    </x:row>
    <x:row r="196" ht="22" customHeight="1">
      <x:c r="A196" s="2" t="str">
        <x:v>S22-T01</x:v>
      </x:c>
      <x:c r="B196" s="2" t="str">
        <x:v>S22</x:v>
      </x:c>
      <x:c r="C196" s="2" t="str">
        <x:v>Extension</x:v>
      </x:c>
      <x:c r="D196" s="11" t="n">
        <x:v>1</x:v>
      </x:c>
      <x:c r="E196" s="11" t="n">
        <x:v>8</x:v>
      </x:c>
      <x:c r="F196" s="2" t="str">
        <x:v>500282537</x:v>
      </x:c>
      <x:c r="G196" s="2" t="str">
        <x:v>S22|500282537</x:v>
      </x:c>
      <x:c r="H196" s="2" t="n">
        <x:f>IFERROR(VLOOKUP(G196,'Ratings'!$A$6:$F$1387,6,FALSE),"Unknown")</x:f>
        <x:v>3</x:v>
      </x:c>
      <x:c r="I196" s="2" t="n">
        <x:f>IF(ISNUMBER(H196),1,0)</x:f>
        <x:v>1</x:v>
      </x:c>
      <x:c r="J196" s="2" t="n">
        <x:f>IF(ISNUMBER(H196),IF(H196&gt;=2,1,0),0)</x:f>
        <x:v>1</x:v>
      </x:c>
      <x:c r="K196" s="14" t="n">
        <x:f>IF(ISNUMBER(H196),2^H196-1,0)</x:f>
        <x:v>7</x:v>
      </x:c>
      <x:c r="L196" s="14" t="n">
        <x:f>K196/LOG(E196+1,2)</x:f>
        <x:v>2.208254137500101</x:v>
      </x:c>
      <x:c r="M196" s="10" t="n">
        <x:v>3300</x:v>
      </x:c>
      <x:c r="N196" s="10" t="n">
        <x:v>3</x:v>
      </x:c>
      <x:c r="O196" s="10" t="n">
        <x:v>904</x:v>
      </x:c>
      <x:c r="P196" s="2" t="str">
        <x:v>D27</x:v>
      </x:c>
      <x:c r="Q196" s="2" t="str">
        <x:v>hdb flat</x:v>
      </x:c>
      <x:c r="R196" s="2" t="str">
        <x:v>https://www.propertyguru.com.sg/listing/hdb-for-rent-256-yishun-ring-road-500282537</x:v>
      </x:c>
      <x:c r="S196" s="2" t="str">
        <x:v>cold_start_exploration</x:v>
      </x:c>
    </x:row>
    <x:row r="197" ht="22" customHeight="1">
      <x:c r="A197" s="2" t="str">
        <x:v>S22-T01</x:v>
      </x:c>
      <x:c r="B197" s="2" t="str">
        <x:v>S22</x:v>
      </x:c>
      <x:c r="C197" s="2" t="str">
        <x:v>Extension</x:v>
      </x:c>
      <x:c r="D197" s="11" t="n">
        <x:v>1</x:v>
      </x:c>
      <x:c r="E197" s="11" t="n">
        <x:v>9</x:v>
      </x:c>
      <x:c r="F197" s="2" t="str">
        <x:v>500283415</x:v>
      </x:c>
      <x:c r="G197" s="2" t="str">
        <x:v>S22|500283415</x:v>
      </x:c>
      <x:c r="H197" s="2" t="n">
        <x:f>IFERROR(VLOOKUP(G197,'Ratings'!$A$6:$F$1387,6,FALSE),"Unknown")</x:f>
        <x:v>3</x:v>
      </x:c>
      <x:c r="I197" s="2" t="n">
        <x:f>IF(ISNUMBER(H197),1,0)</x:f>
        <x:v>1</x:v>
      </x:c>
      <x:c r="J197" s="2" t="n">
        <x:f>IF(ISNUMBER(H197),IF(H197&gt;=2,1,0),0)</x:f>
        <x:v>1</x:v>
      </x:c>
      <x:c r="K197" s="14" t="n">
        <x:f>IF(ISNUMBER(H197),2^H197-1,0)</x:f>
        <x:v>7</x:v>
      </x:c>
      <x:c r="L197" s="14" t="n">
        <x:f>K197/LOG(E197+1,2)</x:f>
        <x:v>2.1072099696478683</x:v>
      </x:c>
      <x:c r="M197" s="10" t="n">
        <x:v>3288</x:v>
      </x:c>
      <x:c r="N197" s="10" t="n">
        <x:v>3</x:v>
      </x:c>
      <x:c r="O197" s="10" t="n">
        <x:v>1023</x:v>
      </x:c>
      <x:c r="P197" s="2" t="str">
        <x:v>D27</x:v>
      </x:c>
      <x:c r="Q197" s="2" t="str">
        <x:v>hdb flat</x:v>
      </x:c>
      <x:c r="R197" s="2" t="str">
        <x:v>https://www.propertyguru.com.sg/listing/hdb-for-rent-357b-admiralty-drive-500283415</x:v>
      </x:c>
      <x:c r="S197" s="2" t="str">
        <x:v>cold_start_exploration</x:v>
      </x:c>
    </x:row>
    <x:row r="198" ht="22" customHeight="1">
      <x:c r="A198" s="2" t="str">
        <x:v>S22-T01</x:v>
      </x:c>
      <x:c r="B198" s="2" t="str">
        <x:v>S22</x:v>
      </x:c>
      <x:c r="C198" s="2" t="str">
        <x:v>Extension</x:v>
      </x:c>
      <x:c r="D198" s="11" t="n">
        <x:v>1</x:v>
      </x:c>
      <x:c r="E198" s="11" t="n">
        <x:v>10</x:v>
      </x:c>
      <x:c r="F198" s="2" t="str">
        <x:v>60214422</x:v>
      </x:c>
      <x:c r="G198" s="2" t="str">
        <x:v>S22|60214422</x:v>
      </x:c>
      <x:c r="H198" s="2" t="n">
        <x:f>IFERROR(VLOOKUP(G198,'Ratings'!$A$6:$F$1387,6,FALSE),"Unknown")</x:f>
        <x:v>3</x:v>
      </x:c>
      <x:c r="I198" s="2" t="n">
        <x:f>IF(ISNUMBER(H198),1,0)</x:f>
        <x:v>1</x:v>
      </x:c>
      <x:c r="J198" s="2" t="n">
        <x:f>IF(ISNUMBER(H198),IF(H198&gt;=2,1,0),0)</x:f>
        <x:v>1</x:v>
      </x:c>
      <x:c r="K198" s="14" t="n">
        <x:f>IF(ISNUMBER(H198),2^H198-1,0)</x:f>
        <x:v>7</x:v>
      </x:c>
      <x:c r="L198" s="14" t="n">
        <x:f>K198/LOG(E198+1,2)</x:f>
        <x:v>2.023453784225215</x:v>
      </x:c>
      <x:c r="M198" s="10" t="n">
        <x:v>3500</x:v>
      </x:c>
      <x:c r="N198" s="10" t="n">
        <x:v>3</x:v>
      </x:c>
      <x:c r="O198" s="10" t="n">
        <x:v>1001</x:v>
      </x:c>
      <x:c r="P198" s="2" t="str">
        <x:v>D28</x:v>
      </x:c>
      <x:c r="Q198" s="2" t="str">
        <x:v>hdb flat</x:v>
      </x:c>
      <x:c r="R198" s="2" t="str">
        <x:v>https://www.propertyguru.com.sg/listing/hdb-for-rent-433b-sengkang-west-way-60214422</x:v>
      </x:c>
      <x:c r="S198" s="2" t="str">
        <x:v>cold_start_exploration</x:v>
      </x:c>
    </x:row>
    <x:row r="199" ht="22" customHeight="1">
      <x:c r="A199" s="2" t="str">
        <x:v>S23-T01</x:v>
      </x:c>
      <x:c r="B199" s="2" t="str">
        <x:v>S23</x:v>
      </x:c>
      <x:c r="C199" s="2" t="str">
        <x:v>Extension</x:v>
      </x:c>
      <x:c r="D199" s="11" t="n">
        <x:v>1</x:v>
      </x:c>
      <x:c r="E199" s="11" t="n">
        <x:v>1</x:v>
      </x:c>
      <x:c r="F199" s="2" t="str">
        <x:v>21449474</x:v>
      </x:c>
      <x:c r="G199" s="2" t="str">
        <x:v>S23|21449474</x:v>
      </x:c>
      <x:c r="H199" s="2" t="n">
        <x:f>IFERROR(VLOOKUP(G199,'Ratings'!$A$6:$F$1387,6,FALSE),"Unknown")</x:f>
        <x:v>3</x:v>
      </x:c>
      <x:c r="I199" s="2" t="n">
        <x:f>IF(ISNUMBER(H199),1,0)</x:f>
        <x:v>1</x:v>
      </x:c>
      <x:c r="J199" s="2" t="n">
        <x:f>IF(ISNUMBER(H199),IF(H199&gt;=2,1,0),0)</x:f>
        <x:v>1</x:v>
      </x:c>
      <x:c r="K199" s="14" t="n">
        <x:f>IF(ISNUMBER(H199),2^H199-1,0)</x:f>
        <x:v>7</x:v>
      </x:c>
      <x:c r="L199" s="14" t="n">
        <x:f>K199/LOG(E199+1,2)</x:f>
        <x:v>7</x:v>
      </x:c>
      <x:c r="M199" s="10" t="n">
        <x:v>3500</x:v>
      </x:c>
      <x:c r="N199" s="10" t="n">
        <x:v>2</x:v>
      </x:c>
      <x:c r="O199" s="10" t="n">
        <x:v>1205</x:v>
      </x:c>
      <x:c r="P199" s="2" t="str">
        <x:v>D19</x:v>
      </x:c>
      <x:c r="Q199" s="2" t="str">
        <x:v>hdb flat</x:v>
      </x:c>
      <x:c r="R199" s="2" t="str">
        <x:v>https://www.propertyguru.com.sg/listing/hdb-for-rent-170c-punggol-field-21449474</x:v>
      </x:c>
      <x:c r="S199" s="2" t="str">
        <x:v>cold_start_exploration</x:v>
      </x:c>
    </x:row>
    <x:row r="200" ht="22" customHeight="1">
      <x:c r="A200" s="2" t="str">
        <x:v>S23-T01</x:v>
      </x:c>
      <x:c r="B200" s="2" t="str">
        <x:v>S23</x:v>
      </x:c>
      <x:c r="C200" s="2" t="str">
        <x:v>Extension</x:v>
      </x:c>
      <x:c r="D200" s="11" t="n">
        <x:v>1</x:v>
      </x:c>
      <x:c r="E200" s="11" t="n">
        <x:v>2</x:v>
      </x:c>
      <x:c r="F200" s="2" t="str">
        <x:v>23420947</x:v>
      </x:c>
      <x:c r="G200" s="2" t="str">
        <x:v>S23|23420947</x:v>
      </x:c>
      <x:c r="H200" s="2" t="n">
        <x:f>IFERROR(VLOOKUP(G200,'Ratings'!$A$6:$F$1387,6,FALSE),"Unknown")</x:f>
        <x:v>3</x:v>
      </x:c>
      <x:c r="I200" s="2" t="n">
        <x:f>IF(ISNUMBER(H200),1,0)</x:f>
        <x:v>1</x:v>
      </x:c>
      <x:c r="J200" s="2" t="n">
        <x:f>IF(ISNUMBER(H200),IF(H200&gt;=2,1,0),0)</x:f>
        <x:v>1</x:v>
      </x:c>
      <x:c r="K200" s="14" t="n">
        <x:f>IF(ISNUMBER(H200),2^H200-1,0)</x:f>
        <x:v>7</x:v>
      </x:c>
      <x:c r="L200" s="14" t="n">
        <x:f>K200/LOG(E200+1,2)</x:f>
        <x:v>4.4165082750002025</x:v>
      </x:c>
      <x:c r="M200" s="10" t="n">
        <x:v>3500</x:v>
      </x:c>
      <x:c r="N200" s="10" t="n">
        <x:v>2</x:v>
      </x:c>
      <x:c r="O200" s="10" t="n">
        <x:v>840</x:v>
      </x:c>
      <x:c r="P200" s="2" t="str">
        <x:v>D19</x:v>
      </x:c>
      <x:c r="Q200" s="2" t="str">
        <x:v>condominium</x:v>
      </x:c>
      <x:c r="R200" s="2" t="str">
        <x:v>https://www.propertyguru.com.sg/listing/for-rent-boathouse-residences-23420947</x:v>
      </x:c>
      <x:c r="S200" s="2" t="str">
        <x:v>cold_start_exploration</x:v>
      </x:c>
    </x:row>
    <x:row r="201" ht="22" customHeight="1">
      <x:c r="A201" s="2" t="str">
        <x:v>S23-T01</x:v>
      </x:c>
      <x:c r="B201" s="2" t="str">
        <x:v>S23</x:v>
      </x:c>
      <x:c r="C201" s="2" t="str">
        <x:v>Extension</x:v>
      </x:c>
      <x:c r="D201" s="11" t="n">
        <x:v>1</x:v>
      </x:c>
      <x:c r="E201" s="11" t="n">
        <x:v>3</x:v>
      </x:c>
      <x:c r="F201" s="2" t="str">
        <x:v>24027721</x:v>
      </x:c>
      <x:c r="G201" s="2" t="str">
        <x:v>S23|24027721</x:v>
      </x:c>
      <x:c r="H201" s="2" t="n">
        <x:f>IFERROR(VLOOKUP(G201,'Ratings'!$A$6:$F$1387,6,FALSE),"Unknown")</x:f>
        <x:v>3</x:v>
      </x:c>
      <x:c r="I201" s="2" t="n">
        <x:f>IF(ISNUMBER(H201),1,0)</x:f>
        <x:v>1</x:v>
      </x:c>
      <x:c r="J201" s="2" t="n">
        <x:f>IF(ISNUMBER(H201),IF(H201&gt;=2,1,0),0)</x:f>
        <x:v>1</x:v>
      </x:c>
      <x:c r="K201" s="14" t="n">
        <x:f>IF(ISNUMBER(H201),2^H201-1,0)</x:f>
        <x:v>7</x:v>
      </x:c>
      <x:c r="L201" s="14" t="n">
        <x:f>K201/LOG(E201+1,2)</x:f>
        <x:v>3.5</x:v>
      </x:c>
      <x:c r="M201" s="10" t="n">
        <x:v>3500</x:v>
      </x:c>
      <x:c r="N201" s="10" t="n">
        <x:v>2</x:v>
      </x:c>
      <x:c r="O201" s="10" t="n">
        <x:v>990</x:v>
      </x:c>
      <x:c r="P201" s="2" t="str">
        <x:v>D19</x:v>
      </x:c>
      <x:c r="Q201" s="2" t="str">
        <x:v>condominium</x:v>
      </x:c>
      <x:c r="R201" s="2" t="str">
        <x:v>https://www.propertyguru.com.sg/listing/for-rent-eden-view-24027721</x:v>
      </x:c>
      <x:c r="S201" s="2" t="str">
        <x:v>cold_start_exploration</x:v>
      </x:c>
    </x:row>
    <x:row r="202" ht="22" customHeight="1">
      <x:c r="A202" s="2" t="str">
        <x:v>S23-T01</x:v>
      </x:c>
      <x:c r="B202" s="2" t="str">
        <x:v>S23</x:v>
      </x:c>
      <x:c r="C202" s="2" t="str">
        <x:v>Extension</x:v>
      </x:c>
      <x:c r="D202" s="11" t="n">
        <x:v>1</x:v>
      </x:c>
      <x:c r="E202" s="11" t="n">
        <x:v>4</x:v>
      </x:c>
      <x:c r="F202" s="2" t="str">
        <x:v>24883031</x:v>
      </x:c>
      <x:c r="G202" s="2" t="str">
        <x:v>S23|24883031</x:v>
      </x:c>
      <x:c r="H202" s="2" t="n">
        <x:f>IFERROR(VLOOKUP(G202,'Ratings'!$A$6:$F$1387,6,FALSE),"Unknown")</x:f>
        <x:v>3</x:v>
      </x:c>
      <x:c r="I202" s="2" t="n">
        <x:f>IF(ISNUMBER(H202),1,0)</x:f>
        <x:v>1</x:v>
      </x:c>
      <x:c r="J202" s="2" t="n">
        <x:f>IF(ISNUMBER(H202),IF(H202&gt;=2,1,0),0)</x:f>
        <x:v>1</x:v>
      </x:c>
      <x:c r="K202" s="14" t="n">
        <x:f>IF(ISNUMBER(H202),2^H202-1,0)</x:f>
        <x:v>7</x:v>
      </x:c>
      <x:c r="L202" s="14" t="n">
        <x:f>K202/LOG(E202+1,2)</x:f>
        <x:v>3.0147359065137516</x:v>
      </x:c>
      <x:c r="M202" s="10" t="n">
        <x:v>3400</x:v>
      </x:c>
      <x:c r="N202" s="10" t="n">
        <x:v>2</x:v>
      </x:c>
      <x:c r="O202" s="10" t="n">
        <x:v>800</x:v>
      </x:c>
      <x:c r="P202" s="2" t="str">
        <x:v>D19</x:v>
      </x:c>
      <x:c r="Q202" s="2" t="str">
        <x:v>executive condominium</x:v>
      </x:c>
      <x:c r="R202" s="2" t="str">
        <x:v>https://www.propertyguru.com.sg/listing/for-rent-riverparc-residence-24883031</x:v>
      </x:c>
      <x:c r="S202" s="2" t="str">
        <x:v>cold_start_exploration</x:v>
      </x:c>
    </x:row>
    <x:row r="203" ht="22" customHeight="1">
      <x:c r="A203" s="2" t="str">
        <x:v>S23-T01</x:v>
      </x:c>
      <x:c r="B203" s="2" t="str">
        <x:v>S23</x:v>
      </x:c>
      <x:c r="C203" s="2" t="str">
        <x:v>Extension</x:v>
      </x:c>
      <x:c r="D203" s="11" t="n">
        <x:v>1</x:v>
      </x:c>
      <x:c r="E203" s="11" t="n">
        <x:v>5</x:v>
      </x:c>
      <x:c r="F203" s="2" t="str">
        <x:v>500069617</x:v>
      </x:c>
      <x:c r="G203" s="2" t="str">
        <x:v>S23|500069617</x:v>
      </x:c>
      <x:c r="H203" s="2" t="n">
        <x:f>IFERROR(VLOOKUP(G203,'Ratings'!$A$6:$F$1387,6,FALSE),"Unknown")</x:f>
        <x:v>3</x:v>
      </x:c>
      <x:c r="I203" s="2" t="n">
        <x:f>IF(ISNUMBER(H203),1,0)</x:f>
        <x:v>1</x:v>
      </x:c>
      <x:c r="J203" s="2" t="n">
        <x:f>IF(ISNUMBER(H203),IF(H203&gt;=2,1,0),0)</x:f>
        <x:v>1</x:v>
      </x:c>
      <x:c r="K203" s="14" t="n">
        <x:f>IF(ISNUMBER(H203),2^H203-1,0)</x:f>
        <x:v>7</x:v>
      </x:c>
      <x:c r="L203" s="14" t="n">
        <x:f>K203/LOG(E203+1,2)</x:f>
        <x:v>2.7079696506417914</x:v>
      </x:c>
      <x:c r="M203" s="10" t="n">
        <x:v>3300</x:v>
      </x:c>
      <x:c r="N203" s="10" t="n">
        <x:v>2</x:v>
      </x:c>
      <x:c r="O203" s="10" t="n">
        <x:v>968</x:v>
      </x:c>
      <x:c r="P203" s="2" t="str">
        <x:v>D19</x:v>
      </x:c>
      <x:c r="Q203" s="2" t="str">
        <x:v>hdb flat</x:v>
      </x:c>
      <x:c r="R203" s="2" t="str">
        <x:v>https://www.propertyguru.com.sg/listing/hdb-for-rent-208b-compassvale-lane-500069617</x:v>
      </x:c>
      <x:c r="S203" s="2" t="str">
        <x:v>cold_start_exploration</x:v>
      </x:c>
    </x:row>
    <x:row r="204" ht="22" customHeight="1">
      <x:c r="A204" s="2" t="str">
        <x:v>S23-T01</x:v>
      </x:c>
      <x:c r="B204" s="2" t="str">
        <x:v>S23</x:v>
      </x:c>
      <x:c r="C204" s="2" t="str">
        <x:v>Extension</x:v>
      </x:c>
      <x:c r="D204" s="11" t="n">
        <x:v>1</x:v>
      </x:c>
      <x:c r="E204" s="11" t="n">
        <x:v>6</x:v>
      </x:c>
      <x:c r="F204" s="2" t="str">
        <x:v>500261379</x:v>
      </x:c>
      <x:c r="G204" s="2" t="str">
        <x:v>S23|500261379</x:v>
      </x:c>
      <x:c r="H204" s="2" t="n">
        <x:f>IFERROR(VLOOKUP(G204,'Ratings'!$A$6:$F$1387,6,FALSE),"Unknown")</x:f>
        <x:v>3</x:v>
      </x:c>
      <x:c r="I204" s="2" t="n">
        <x:f>IF(ISNUMBER(H204),1,0)</x:f>
        <x:v>1</x:v>
      </x:c>
      <x:c r="J204" s="2" t="n">
        <x:f>IF(ISNUMBER(H204),IF(H204&gt;=2,1,0),0)</x:f>
        <x:v>1</x:v>
      </x:c>
      <x:c r="K204" s="14" t="n">
        <x:f>IF(ISNUMBER(H204),2^H204-1,0)</x:f>
        <x:v>7</x:v>
      </x:c>
      <x:c r="L204" s="14" t="n">
        <x:f>K204/LOG(E204+1,2)</x:f>
        <x:v>2.493450309756155</x:v>
      </x:c>
      <x:c r="M204" s="10" t="n">
        <x:v>3200</x:v>
      </x:c>
      <x:c r="N204" s="10" t="n">
        <x:v>2</x:v>
      </x:c>
      <x:c r="O204" s="10" t="n">
        <x:v>1067</x:v>
      </x:c>
      <x:c r="P204" s="2" t="str">
        <x:v>D19</x:v>
      </x:c>
      <x:c r="Q204" s="2" t="str">
        <x:v>hdb flat</x:v>
      </x:c>
      <x:c r="R204" s="2" t="str">
        <x:v>https://www.propertyguru.com.sg/listing/hdb-for-rent-950-hougang-street-91-500261379</x:v>
      </x:c>
      <x:c r="S204" s="2" t="str">
        <x:v>cold_start_exploration</x:v>
      </x:c>
    </x:row>
    <x:row r="205" ht="22" customHeight="1">
      <x:c r="A205" s="2" t="str">
        <x:v>S23-T01</x:v>
      </x:c>
      <x:c r="B205" s="2" t="str">
        <x:v>S23</x:v>
      </x:c>
      <x:c r="C205" s="2" t="str">
        <x:v>Extension</x:v>
      </x:c>
      <x:c r="D205" s="11" t="n">
        <x:v>1</x:v>
      </x:c>
      <x:c r="E205" s="11" t="n">
        <x:v>7</x:v>
      </x:c>
      <x:c r="F205" s="2" t="str">
        <x:v>500262406</x:v>
      </x:c>
      <x:c r="G205" s="2" t="str">
        <x:v>S23|500262406</x:v>
      </x:c>
      <x:c r="H205" s="2" t="n">
        <x:f>IFERROR(VLOOKUP(G205,'Ratings'!$A$6:$F$1387,6,FALSE),"Unknown")</x:f>
        <x:v>3</x:v>
      </x:c>
      <x:c r="I205" s="2" t="n">
        <x:f>IF(ISNUMBER(H205),1,0)</x:f>
        <x:v>1</x:v>
      </x:c>
      <x:c r="J205" s="2" t="n">
        <x:f>IF(ISNUMBER(H205),IF(H205&gt;=2,1,0),0)</x:f>
        <x:v>1</x:v>
      </x:c>
      <x:c r="K205" s="14" t="n">
        <x:f>IF(ISNUMBER(H205),2^H205-1,0)</x:f>
        <x:v>7</x:v>
      </x:c>
      <x:c r="L205" s="14" t="n">
        <x:f>K205/LOG(E205+1,2)</x:f>
        <x:v>2.3333333333333335</x:v>
      </x:c>
      <x:c r="M205" s="10" t="n">
        <x:v>3200</x:v>
      </x:c>
      <x:c r="N205" s="10" t="n">
        <x:v>2</x:v>
      </x:c>
      <x:c r="O205" s="10" t="n">
        <x:v>1001</x:v>
      </x:c>
      <x:c r="P205" s="2" t="str">
        <x:v>D19</x:v>
      </x:c>
      <x:c r="Q205" s="2" t="str">
        <x:v>hdb flat</x:v>
      </x:c>
      <x:c r="R205" s="2" t="str">
        <x:v>https://www.propertyguru.com.sg/listing/hdb-for-rent-613a-punggol-drive-500262406</x:v>
      </x:c>
      <x:c r="S205" s="2" t="str">
        <x:v>cold_start_exploration</x:v>
      </x:c>
    </x:row>
    <x:row r="206" ht="22" customHeight="1">
      <x:c r="A206" s="2" t="str">
        <x:v>S23-T01</x:v>
      </x:c>
      <x:c r="B206" s="2" t="str">
        <x:v>S23</x:v>
      </x:c>
      <x:c r="C206" s="2" t="str">
        <x:v>Extension</x:v>
      </x:c>
      <x:c r="D206" s="11" t="n">
        <x:v>1</x:v>
      </x:c>
      <x:c r="E206" s="11" t="n">
        <x:v>8</x:v>
      </x:c>
      <x:c r="F206" s="2" t="str">
        <x:v>500273209</x:v>
      </x:c>
      <x:c r="G206" s="2" t="str">
        <x:v>S23|500273209</x:v>
      </x:c>
      <x:c r="H206" s="2" t="n">
        <x:f>IFERROR(VLOOKUP(G206,'Ratings'!$A$6:$F$1387,6,FALSE),"Unknown")</x:f>
        <x:v>3</x:v>
      </x:c>
      <x:c r="I206" s="2" t="n">
        <x:f>IF(ISNUMBER(H206),1,0)</x:f>
        <x:v>1</x:v>
      </x:c>
      <x:c r="J206" s="2" t="n">
        <x:f>IF(ISNUMBER(H206),IF(H206&gt;=2,1,0),0)</x:f>
        <x:v>1</x:v>
      </x:c>
      <x:c r="K206" s="14" t="n">
        <x:f>IF(ISNUMBER(H206),2^H206-1,0)</x:f>
        <x:v>7</x:v>
      </x:c>
      <x:c r="L206" s="14" t="n">
        <x:f>K206/LOG(E206+1,2)</x:f>
        <x:v>2.208254137500101</x:v>
      </x:c>
      <x:c r="M206" s="10" t="n">
        <x:v>3300</x:v>
      </x:c>
      <x:c r="N206" s="10" t="n">
        <x:v>2</x:v>
      </x:c>
      <x:c r="O206" s="10" t="n">
        <x:v>818</x:v>
      </x:c>
      <x:c r="P206" s="2" t="str">
        <x:v>D18</x:v>
      </x:c>
      <x:c r="Q206" s="2" t="str">
        <x:v>condominium</x:v>
      </x:c>
      <x:c r="R206" s="2" t="str">
        <x:v>https://www.propertyguru.com.sg/listing/for-rent-sea-esta-500273209</x:v>
      </x:c>
      <x:c r="S206" s="2" t="str">
        <x:v>cold_start_exploration</x:v>
      </x:c>
    </x:row>
    <x:row r="207" ht="22" customHeight="1">
      <x:c r="A207" s="2" t="str">
        <x:v>S23-T01</x:v>
      </x:c>
      <x:c r="B207" s="2" t="str">
        <x:v>S23</x:v>
      </x:c>
      <x:c r="C207" s="2" t="str">
        <x:v>Extension</x:v>
      </x:c>
      <x:c r="D207" s="11" t="n">
        <x:v>1</x:v>
      </x:c>
      <x:c r="E207" s="11" t="n">
        <x:v>9</x:v>
      </x:c>
      <x:c r="F207" s="2" t="str">
        <x:v>500287718</x:v>
      </x:c>
      <x:c r="G207" s="2" t="str">
        <x:v>S23|500287718</x:v>
      </x:c>
      <x:c r="H207" s="2" t="n">
        <x:f>IFERROR(VLOOKUP(G207,'Ratings'!$A$6:$F$1387,6,FALSE),"Unknown")</x:f>
        <x:v>3</x:v>
      </x:c>
      <x:c r="I207" s="2" t="n">
        <x:f>IF(ISNUMBER(H207),1,0)</x:f>
        <x:v>1</x:v>
      </x:c>
      <x:c r="J207" s="2" t="n">
        <x:f>IF(ISNUMBER(H207),IF(H207&gt;=2,1,0),0)</x:f>
        <x:v>1</x:v>
      </x:c>
      <x:c r="K207" s="14" t="n">
        <x:f>IF(ISNUMBER(H207),2^H207-1,0)</x:f>
        <x:v>7</x:v>
      </x:c>
      <x:c r="L207" s="14" t="n">
        <x:f>K207/LOG(E207+1,2)</x:f>
        <x:v>2.1072099696478683</x:v>
      </x:c>
      <x:c r="M207" s="10" t="n">
        <x:v>3000</x:v>
      </x:c>
      <x:c r="N207" s="10" t="n">
        <x:v>2</x:v>
      </x:c>
      <x:c r="O207" s="10" t="n">
        <x:v>800</x:v>
      </x:c>
      <x:c r="P207" s="2" t="str">
        <x:v>D18</x:v>
      </x:c>
      <x:c r="Q207" s="2" t="str">
        <x:v>hdb flat</x:v>
      </x:c>
      <x:c r="R207" s="2" t="str">
        <x:v>https://www.propertyguru.com.sg/listing/hdb-for-rent-420-tampines-street-41-500287718</x:v>
      </x:c>
      <x:c r="S207" s="2" t="str">
        <x:v>cold_start_exploration</x:v>
      </x:c>
    </x:row>
    <x:row r="208" ht="22" customHeight="1">
      <x:c r="A208" s="2" t="str">
        <x:v>S23-T01</x:v>
      </x:c>
      <x:c r="B208" s="2" t="str">
        <x:v>S23</x:v>
      </x:c>
      <x:c r="C208" s="2" t="str">
        <x:v>Extension</x:v>
      </x:c>
      <x:c r="D208" s="11" t="n">
        <x:v>1</x:v>
      </x:c>
      <x:c r="E208" s="11" t="n">
        <x:v>10</x:v>
      </x:c>
      <x:c r="F208" s="2" t="str">
        <x:v>60060332</x:v>
      </x:c>
      <x:c r="G208" s="2" t="str">
        <x:v>S23|60060332</x:v>
      </x:c>
      <x:c r="H208" s="2" t="n">
        <x:f>IFERROR(VLOOKUP(G208,'Ratings'!$A$6:$F$1387,6,FALSE),"Unknown")</x:f>
        <x:v>3</x:v>
      </x:c>
      <x:c r="I208" s="2" t="n">
        <x:f>IF(ISNUMBER(H208),1,0)</x:f>
        <x:v>1</x:v>
      </x:c>
      <x:c r="J208" s="2" t="n">
        <x:f>IF(ISNUMBER(H208),IF(H208&gt;=2,1,0),0)</x:f>
        <x:v>1</x:v>
      </x:c>
      <x:c r="K208" s="14" t="n">
        <x:f>IF(ISNUMBER(H208),2^H208-1,0)</x:f>
        <x:v>7</x:v>
      </x:c>
      <x:c r="L208" s="14" t="n">
        <x:f>K208/LOG(E208+1,2)</x:f>
        <x:v>2.023453784225215</x:v>
      </x:c>
      <x:c r="M208" s="10" t="n">
        <x:v>2400</x:v>
      </x:c>
      <x:c r="N208" s="10" t="n">
        <x:v>2</x:v>
      </x:c>
      <x:c r="O208" s="10" t="n">
        <x:v>800</x:v>
      </x:c>
      <x:c r="P208" s="2" t="str">
        <x:v>D19</x:v>
      </x:c>
      <x:c r="Q208" s="2" t="str">
        <x:v>hdb flat</x:v>
      </x:c>
      <x:c r="R208" s="2" t="str">
        <x:v>https://www.propertyguru.com.sg/listing/hdb-for-rent-239-hougang-street-22-60060332</x:v>
      </x:c>
      <x:c r="S208" s="2" t="str">
        <x:v>cold_start_exploration</x:v>
      </x:c>
    </x:row>
    <x:row r="209" ht="22" customHeight="1">
      <x:c r="A209" s="2" t="str">
        <x:v>S24-T01</x:v>
      </x:c>
      <x:c r="B209" s="2" t="str">
        <x:v>S24</x:v>
      </x:c>
      <x:c r="C209" s="2" t="str">
        <x:v>Extension</x:v>
      </x:c>
      <x:c r="D209" s="11" t="n">
        <x:v>1</x:v>
      </x:c>
      <x:c r="E209" s="11" t="n">
        <x:v>1</x:v>
      </x:c>
      <x:c r="F209" s="2" t="str">
        <x:v>24564406</x:v>
      </x:c>
      <x:c r="G209" s="2" t="str">
        <x:v>S24|24564406</x:v>
      </x:c>
      <x:c r="H209" s="2" t="n">
        <x:f>IFERROR(VLOOKUP(G209,'Ratings'!$A$6:$F$1387,6,FALSE),"Unknown")</x:f>
        <x:v>3</x:v>
      </x:c>
      <x:c r="I209" s="2" t="n">
        <x:f>IF(ISNUMBER(H209),1,0)</x:f>
        <x:v>1</x:v>
      </x:c>
      <x:c r="J209" s="2" t="n">
        <x:f>IF(ISNUMBER(H209),IF(H209&gt;=2,1,0),0)</x:f>
        <x:v>1</x:v>
      </x:c>
      <x:c r="K209" s="14" t="n">
        <x:f>IF(ISNUMBER(H209),2^H209-1,0)</x:f>
        <x:v>7</x:v>
      </x:c>
      <x:c r="L209" s="14" t="n">
        <x:f>K209/LOG(E209+1,2)</x:f>
        <x:v>7</x:v>
      </x:c>
      <x:c r="M209" s="10" t="n">
        <x:v>2700</x:v>
      </x:c>
      <x:c r="N209" s="10" t="n">
        <x:v>2</x:v>
      </x:c>
      <x:c r="O209" s="10" t="n">
        <x:v>1097</x:v>
      </x:c>
      <x:c r="P209" s="2" t="str">
        <x:v>D25</x:v>
      </x:c>
      <x:c r="Q209" s="2" t="str">
        <x:v>hdb flat</x:v>
      </x:c>
      <x:c r="R209" s="2" t="str">
        <x:v>https://www.propertyguru.com.sg/listing/hdb-for-rent-608-woodlands-ring-road-24564406</x:v>
      </x:c>
      <x:c r="S209" s="2" t="str">
        <x:v>cold_start_exploration</x:v>
      </x:c>
    </x:row>
    <x:row r="210" ht="22" customHeight="1">
      <x:c r="A210" s="2" t="str">
        <x:v>S24-T01</x:v>
      </x:c>
      <x:c r="B210" s="2" t="str">
        <x:v>S24</x:v>
      </x:c>
      <x:c r="C210" s="2" t="str">
        <x:v>Extension</x:v>
      </x:c>
      <x:c r="D210" s="11" t="n">
        <x:v>1</x:v>
      </x:c>
      <x:c r="E210" s="11" t="n">
        <x:v>2</x:v>
      </x:c>
      <x:c r="F210" s="2" t="str">
        <x:v>24853613</x:v>
      </x:c>
      <x:c r="G210" s="2" t="str">
        <x:v>S24|24853613</x:v>
      </x:c>
      <x:c r="H210" s="2" t="n">
        <x:f>IFERROR(VLOOKUP(G210,'Ratings'!$A$6:$F$1387,6,FALSE),"Unknown")</x:f>
        <x:v>3</x:v>
      </x:c>
      <x:c r="I210" s="2" t="n">
        <x:f>IF(ISNUMBER(H210),1,0)</x:f>
        <x:v>1</x:v>
      </x:c>
      <x:c r="J210" s="2" t="n">
        <x:f>IF(ISNUMBER(H210),IF(H210&gt;=2,1,0),0)</x:f>
        <x:v>1</x:v>
      </x:c>
      <x:c r="K210" s="14" t="n">
        <x:f>IF(ISNUMBER(H210),2^H210-1,0)</x:f>
        <x:v>7</x:v>
      </x:c>
      <x:c r="L210" s="14" t="n">
        <x:f>K210/LOG(E210+1,2)</x:f>
        <x:v>4.4165082750002025</x:v>
      </x:c>
      <x:c r="M210" s="10" t="n">
        <x:v>3000</x:v>
      </x:c>
      <x:c r="N210" s="10" t="n">
        <x:v>2</x:v>
      </x:c>
      <x:c r="O210" s="10" t="n">
        <x:v>968</x:v>
      </x:c>
      <x:c r="P210" s="2" t="str">
        <x:v>D25</x:v>
      </x:c>
      <x:c r="Q210" s="2" t="str">
        <x:v>hdb flat</x:v>
      </x:c>
      <x:c r="R210" s="2" t="str">
        <x:v>https://www.propertyguru.com.sg/listing/hdb-for-rent-119-marsiling-rise-24853613</x:v>
      </x:c>
      <x:c r="S210" s="2" t="str">
        <x:v>cold_start_exploration</x:v>
      </x:c>
    </x:row>
    <x:row r="211" ht="22" customHeight="1">
      <x:c r="A211" s="2" t="str">
        <x:v>S24-T01</x:v>
      </x:c>
      <x:c r="B211" s="2" t="str">
        <x:v>S24</x:v>
      </x:c>
      <x:c r="C211" s="2" t="str">
        <x:v>Extension</x:v>
      </x:c>
      <x:c r="D211" s="11" t="n">
        <x:v>1</x:v>
      </x:c>
      <x:c r="E211" s="11" t="n">
        <x:v>3</x:v>
      </x:c>
      <x:c r="F211" s="2" t="str">
        <x:v>500284702</x:v>
      </x:c>
      <x:c r="G211" s="2" t="str">
        <x:v>S24|500284702</x:v>
      </x:c>
      <x:c r="H211" s="2" t="n">
        <x:f>IFERROR(VLOOKUP(G211,'Ratings'!$A$6:$F$1387,6,FALSE),"Unknown")</x:f>
        <x:v>3</x:v>
      </x:c>
      <x:c r="I211" s="2" t="n">
        <x:f>IF(ISNUMBER(H211),1,0)</x:f>
        <x:v>1</x:v>
      </x:c>
      <x:c r="J211" s="2" t="n">
        <x:f>IF(ISNUMBER(H211),IF(H211&gt;=2,1,0),0)</x:f>
        <x:v>1</x:v>
      </x:c>
      <x:c r="K211" s="14" t="n">
        <x:f>IF(ISNUMBER(H211),2^H211-1,0)</x:f>
        <x:v>7</x:v>
      </x:c>
      <x:c r="L211" s="14" t="n">
        <x:f>K211/LOG(E211+1,2)</x:f>
        <x:v>3.5</x:v>
      </x:c>
      <x:c r="M211" s="10" t="n">
        <x:v>2800</x:v>
      </x:c>
      <x:c r="N211" s="10" t="n">
        <x:v>2</x:v>
      </x:c>
      <x:c r="O211" s="10" t="n">
        <x:v>1182</x:v>
      </x:c>
      <x:c r="P211" s="2" t="str">
        <x:v>D25</x:v>
      </x:c>
      <x:c r="Q211" s="2" t="str">
        <x:v>hdb flat</x:v>
      </x:c>
      <x:c r="R211" s="2" t="str">
        <x:v>https://www.propertyguru.com.sg/listing/hdb-for-rent-585-woodlands-drive-16-500284702</x:v>
      </x:c>
      <x:c r="S211" s="2" t="str">
        <x:v>cold_start_exploration</x:v>
      </x:c>
    </x:row>
    <x:row r="212" ht="22" customHeight="1">
      <x:c r="A212" s="2" t="str">
        <x:v>S24-T01</x:v>
      </x:c>
      <x:c r="B212" s="2" t="str">
        <x:v>S24</x:v>
      </x:c>
      <x:c r="C212" s="2" t="str">
        <x:v>Extension</x:v>
      </x:c>
      <x:c r="D212" s="11" t="n">
        <x:v>1</x:v>
      </x:c>
      <x:c r="E212" s="11" t="n">
        <x:v>4</x:v>
      </x:c>
      <x:c r="F212" s="2" t="str">
        <x:v>20343516</x:v>
      </x:c>
      <x:c r="G212" s="2" t="str">
        <x:v>S24|20343516</x:v>
      </x:c>
      <x:c r="H212" s="2" t="n">
        <x:f>IFERROR(VLOOKUP(G212,'Ratings'!$A$6:$F$1387,6,FALSE),"Unknown")</x:f>
        <x:v>2</x:v>
      </x:c>
      <x:c r="I212" s="2" t="n">
        <x:f>IF(ISNUMBER(H212),1,0)</x:f>
        <x:v>1</x:v>
      </x:c>
      <x:c r="J212" s="2" t="n">
        <x:f>IF(ISNUMBER(H212),IF(H212&gt;=2,1,0),0)</x:f>
        <x:v>1</x:v>
      </x:c>
      <x:c r="K212" s="14" t="n">
        <x:f>IF(ISNUMBER(H212),2^H212-1,0)</x:f>
        <x:v>3</x:v>
      </x:c>
      <x:c r="L212" s="14" t="n">
        <x:f>K212/LOG(E212+1,2)</x:f>
        <x:v>1.2920296742201793</x:v>
      </x:c>
      <x:c r="M212" s="10" t="n">
        <x:v>3400</x:v>
      </x:c>
      <x:c r="N212" s="10" t="n">
        <x:v>3</x:v>
      </x:c>
      <x:c r="O212" s="10" t="n">
        <x:v>1119</x:v>
      </x:c>
      <x:c r="P212" s="2" t="str">
        <x:v>D23</x:v>
      </x:c>
      <x:c r="Q212" s="2" t="str">
        <x:v>hdb flat</x:v>
      </x:c>
      <x:c r="R212" s="2" t="str">
        <x:v>https://www.propertyguru.com.sg/listing/hdb-for-rent-237-choa-chu-kang-central-20343516</x:v>
      </x:c>
      <x:c r="S212" s="2" t="str">
        <x:v>cold_start_exploration</x:v>
      </x:c>
    </x:row>
    <x:row r="213" ht="22" customHeight="1">
      <x:c r="A213" s="2" t="str">
        <x:v>S24-T01</x:v>
      </x:c>
      <x:c r="B213" s="2" t="str">
        <x:v>S24</x:v>
      </x:c>
      <x:c r="C213" s="2" t="str">
        <x:v>Extension</x:v>
      </x:c>
      <x:c r="D213" s="11" t="n">
        <x:v>1</x:v>
      </x:c>
      <x:c r="E213" s="11" t="n">
        <x:v>5</x:v>
      </x:c>
      <x:c r="F213" s="2" t="str">
        <x:v>22076860</x:v>
      </x:c>
      <x:c r="G213" s="2" t="str">
        <x:v>S24|22076860</x:v>
      </x:c>
      <x:c r="H213" s="2" t="n">
        <x:f>IFERROR(VLOOKUP(G213,'Ratings'!$A$6:$F$1387,6,FALSE),"Unknown")</x:f>
        <x:v>2</x:v>
      </x:c>
      <x:c r="I213" s="2" t="n">
        <x:f>IF(ISNUMBER(H213),1,0)</x:f>
        <x:v>1</x:v>
      </x:c>
      <x:c r="J213" s="2" t="n">
        <x:f>IF(ISNUMBER(H213),IF(H213&gt;=2,1,0),0)</x:f>
        <x:v>1</x:v>
      </x:c>
      <x:c r="K213" s="14" t="n">
        <x:f>IF(ISNUMBER(H213),2^H213-1,0)</x:f>
        <x:v>3</x:v>
      </x:c>
      <x:c r="L213" s="14" t="n">
        <x:f>K213/LOG(E213+1,2)</x:f>
        <x:v>1.1605584217036249</x:v>
      </x:c>
      <x:c r="M213" s="10" t="n">
        <x:v>3200</x:v>
      </x:c>
      <x:c r="N213" s="10" t="n">
        <x:v>3</x:v>
      </x:c>
      <x:c r="O213" s="10" t="n">
        <x:v>1291</x:v>
      </x:c>
      <x:c r="P213" s="2" t="str">
        <x:v>D25</x:v>
      </x:c>
      <x:c r="Q213" s="2" t="str">
        <x:v>hdb flat</x:v>
      </x:c>
      <x:c r="R213" s="2" t="str">
        <x:v>https://www.propertyguru.com.sg/listing/hdb-for-rent-537-woodlands-drive-16-22076860</x:v>
      </x:c>
      <x:c r="S213" s="2" t="str">
        <x:v>cold_start_exploration</x:v>
      </x:c>
    </x:row>
    <x:row r="214" ht="22" customHeight="1">
      <x:c r="A214" s="2" t="str">
        <x:v>S24-T01</x:v>
      </x:c>
      <x:c r="B214" s="2" t="str">
        <x:v>S24</x:v>
      </x:c>
      <x:c r="C214" s="2" t="str">
        <x:v>Extension</x:v>
      </x:c>
      <x:c r="D214" s="11" t="n">
        <x:v>1</x:v>
      </x:c>
      <x:c r="E214" s="11" t="n">
        <x:v>6</x:v>
      </x:c>
      <x:c r="F214" s="2" t="str">
        <x:v>23846409</x:v>
      </x:c>
      <x:c r="G214" s="2" t="str">
        <x:v>S24|23846409</x:v>
      </x:c>
      <x:c r="H214" s="2" t="n">
        <x:f>IFERROR(VLOOKUP(G214,'Ratings'!$A$6:$F$1387,6,FALSE),"Unknown")</x:f>
        <x:v>2</x:v>
      </x:c>
      <x:c r="I214" s="2" t="n">
        <x:f>IF(ISNUMBER(H214),1,0)</x:f>
        <x:v>1</x:v>
      </x:c>
      <x:c r="J214" s="2" t="n">
        <x:f>IF(ISNUMBER(H214),IF(H214&gt;=2,1,0),0)</x:f>
        <x:v>1</x:v>
      </x:c>
      <x:c r="K214" s="14" t="n">
        <x:f>IF(ISNUMBER(H214),2^H214-1,0)</x:f>
        <x:v>3</x:v>
      </x:c>
      <x:c r="L214" s="14" t="n">
        <x:f>K214/LOG(E214+1,2)</x:f>
        <x:v>1.0686215613240666</x:v>
      </x:c>
      <x:c r="M214" s="10" t="n">
        <x:v>3500</x:v>
      </x:c>
      <x:c r="N214" s="10" t="n">
        <x:v>3</x:v>
      </x:c>
      <x:c r="O214" s="10" t="n">
        <x:v>1237</x:v>
      </x:c>
      <x:c r="P214" s="2" t="str">
        <x:v>D25</x:v>
      </x:c>
      <x:c r="Q214" s="2" t="str">
        <x:v>hdb flat</x:v>
      </x:c>
      <x:c r="R214" s="2" t="str">
        <x:v>https://www.propertyguru.com.sg/listing/hdb-for-rent-687b-woodlands-drive-75-23846409</x:v>
      </x:c>
      <x:c r="S214" s="2" t="str">
        <x:v>cold_start_exploration</x:v>
      </x:c>
    </x:row>
    <x:row r="215" ht="22" customHeight="1">
      <x:c r="A215" s="2" t="str">
        <x:v>S24-T01</x:v>
      </x:c>
      <x:c r="B215" s="2" t="str">
        <x:v>S24</x:v>
      </x:c>
      <x:c r="C215" s="2" t="str">
        <x:v>Extension</x:v>
      </x:c>
      <x:c r="D215" s="11" t="n">
        <x:v>1</x:v>
      </x:c>
      <x:c r="E215" s="11" t="n">
        <x:v>7</x:v>
      </x:c>
      <x:c r="F215" s="2" t="str">
        <x:v>23860303</x:v>
      </x:c>
      <x:c r="G215" s="2" t="str">
        <x:v>S24|23860303</x:v>
      </x:c>
      <x:c r="H215" s="2" t="n">
        <x:f>IFERROR(VLOOKUP(G215,'Ratings'!$A$6:$F$1387,6,FALSE),"Unknown")</x:f>
        <x:v>2</x:v>
      </x:c>
      <x:c r="I215" s="2" t="n">
        <x:f>IF(ISNUMBER(H215),1,0)</x:f>
        <x:v>1</x:v>
      </x:c>
      <x:c r="J215" s="2" t="n">
        <x:f>IF(ISNUMBER(H215),IF(H215&gt;=2,1,0),0)</x:f>
        <x:v>1</x:v>
      </x:c>
      <x:c r="K215" s="14" t="n">
        <x:f>IF(ISNUMBER(H215),2^H215-1,0)</x:f>
        <x:v>3</x:v>
      </x:c>
      <x:c r="L215" s="14" t="n">
        <x:f>K215/LOG(E215+1,2)</x:f>
        <x:v>1</x:v>
      </x:c>
      <x:c r="M215" s="10" t="n">
        <x:v>3400</x:v>
      </x:c>
      <x:c r="N215" s="10" t="n">
        <x:v>3</x:v>
      </x:c>
      <x:c r="O215" s="10" t="n">
        <x:v>1227</x:v>
      </x:c>
      <x:c r="P215" s="2" t="str">
        <x:v>D25</x:v>
      </x:c>
      <x:c r="Q215" s="2" t="str">
        <x:v>hdb flat</x:v>
      </x:c>
      <x:c r="R215" s="2" t="str">
        <x:v>https://www.propertyguru.com.sg/listing/hdb-for-rent-685c-woodlands-drive-73-23860303</x:v>
      </x:c>
      <x:c r="S215" s="2" t="str">
        <x:v>cold_start_exploration</x:v>
      </x:c>
    </x:row>
    <x:row r="216" ht="22" customHeight="1">
      <x:c r="A216" s="2" t="str">
        <x:v>S24-T01</x:v>
      </x:c>
      <x:c r="B216" s="2" t="str">
        <x:v>S24</x:v>
      </x:c>
      <x:c r="C216" s="2" t="str">
        <x:v>Extension</x:v>
      </x:c>
      <x:c r="D216" s="11" t="n">
        <x:v>1</x:v>
      </x:c>
      <x:c r="E216" s="11" t="n">
        <x:v>8</x:v>
      </x:c>
      <x:c r="F216" s="2" t="str">
        <x:v>23989847</x:v>
      </x:c>
      <x:c r="G216" s="2" t="str">
        <x:v>S24|23989847</x:v>
      </x:c>
      <x:c r="H216" s="2" t="n">
        <x:f>IFERROR(VLOOKUP(G216,'Ratings'!$A$6:$F$1387,6,FALSE),"Unknown")</x:f>
        <x:v>2</x:v>
      </x:c>
      <x:c r="I216" s="2" t="n">
        <x:f>IF(ISNUMBER(H216),1,0)</x:f>
        <x:v>1</x:v>
      </x:c>
      <x:c r="J216" s="2" t="n">
        <x:f>IF(ISNUMBER(H216),IF(H216&gt;=2,1,0),0)</x:f>
        <x:v>1</x:v>
      </x:c>
      <x:c r="K216" s="14" t="n">
        <x:f>IF(ISNUMBER(H216),2^H216-1,0)</x:f>
        <x:v>3</x:v>
      </x:c>
      <x:c r="L216" s="14" t="n">
        <x:f>K216/LOG(E216+1,2)</x:f>
        <x:v>0.9463946303571861</x:v>
      </x:c>
      <x:c r="M216" s="10" t="n">
        <x:v>3200</x:v>
      </x:c>
      <x:c r="N216" s="10" t="n">
        <x:v>3</x:v>
      </x:c>
      <x:c r="O216" s="10" t="n">
        <x:v>1119</x:v>
      </x:c>
      <x:c r="P216" s="2" t="str">
        <x:v>D25</x:v>
      </x:c>
      <x:c r="Q216" s="2" t="str">
        <x:v>hdb flat</x:v>
      </x:c>
      <x:c r="R216" s="2" t="str">
        <x:v>https://www.propertyguru.com.sg/listing/hdb-for-rent-324-woodlands-street-32-23989847</x:v>
      </x:c>
      <x:c r="S216" s="2" t="str">
        <x:v>cold_start_exploration</x:v>
      </x:c>
    </x:row>
    <x:row r="217" ht="22" customHeight="1">
      <x:c r="A217" s="2" t="str">
        <x:v>S24-T01</x:v>
      </x:c>
      <x:c r="B217" s="2" t="str">
        <x:v>S24</x:v>
      </x:c>
      <x:c r="C217" s="2" t="str">
        <x:v>Extension</x:v>
      </x:c>
      <x:c r="D217" s="11" t="n">
        <x:v>1</x:v>
      </x:c>
      <x:c r="E217" s="11" t="n">
        <x:v>9</x:v>
      </x:c>
      <x:c r="F217" s="2" t="str">
        <x:v>24038395</x:v>
      </x:c>
      <x:c r="G217" s="2" t="str">
        <x:v>S24|24038395</x:v>
      </x:c>
      <x:c r="H217" s="2" t="n">
        <x:f>IFERROR(VLOOKUP(G217,'Ratings'!$A$6:$F$1387,6,FALSE),"Unknown")</x:f>
        <x:v>2</x:v>
      </x:c>
      <x:c r="I217" s="2" t="n">
        <x:f>IF(ISNUMBER(H217),1,0)</x:f>
        <x:v>1</x:v>
      </x:c>
      <x:c r="J217" s="2" t="n">
        <x:f>IF(ISNUMBER(H217),IF(H217&gt;=2,1,0),0)</x:f>
        <x:v>1</x:v>
      </x:c>
      <x:c r="K217" s="14" t="n">
        <x:f>IF(ISNUMBER(H217),2^H217-1,0)</x:f>
        <x:v>3</x:v>
      </x:c>
      <x:c r="L217" s="14" t="n">
        <x:f>K217/LOG(E217+1,2)</x:f>
        <x:v>0.9030899869919435</x:v>
      </x:c>
      <x:c r="M217" s="10" t="n">
        <x:v>3500</x:v>
      </x:c>
      <x:c r="N217" s="10" t="n">
        <x:v>3</x:v>
      </x:c>
      <x:c r="O217" s="10" t="n">
        <x:v>969</x:v>
      </x:c>
      <x:c r="P217" s="2" t="str">
        <x:v>D23</x:v>
      </x:c>
      <x:c r="Q217" s="2" t="str">
        <x:v>hdb flat</x:v>
      </x:c>
      <x:c r="R217" s="2" t="str">
        <x:v>https://www.propertyguru.com.sg/listing/hdb-for-rent-615-bukit-panjang-ring-road-24038395</x:v>
      </x:c>
      <x:c r="S217" s="2" t="str">
        <x:v>cold_start_exploration</x:v>
      </x:c>
    </x:row>
    <x:row r="218" ht="22" customHeight="1">
      <x:c r="A218" s="2" t="str">
        <x:v>S24-T01</x:v>
      </x:c>
      <x:c r="B218" s="2" t="str">
        <x:v>S24</x:v>
      </x:c>
      <x:c r="C218" s="2" t="str">
        <x:v>Extension</x:v>
      </x:c>
      <x:c r="D218" s="11" t="n">
        <x:v>1</x:v>
      </x:c>
      <x:c r="E218" s="11" t="n">
        <x:v>10</x:v>
      </x:c>
      <x:c r="F218" s="2" t="str">
        <x:v>24159156</x:v>
      </x:c>
      <x:c r="G218" s="2" t="str">
        <x:v>S24|24159156</x:v>
      </x:c>
      <x:c r="H218" s="2" t="n">
        <x:f>IFERROR(VLOOKUP(G218,'Ratings'!$A$6:$F$1387,6,FALSE),"Unknown")</x:f>
        <x:v>2</x:v>
      </x:c>
      <x:c r="I218" s="2" t="n">
        <x:f>IF(ISNUMBER(H218),1,0)</x:f>
        <x:v>1</x:v>
      </x:c>
      <x:c r="J218" s="2" t="n">
        <x:f>IF(ISNUMBER(H218),IF(H218&gt;=2,1,0),0)</x:f>
        <x:v>1</x:v>
      </x:c>
      <x:c r="K218" s="14" t="n">
        <x:f>IF(ISNUMBER(H218),2^H218-1,0)</x:f>
        <x:v>3</x:v>
      </x:c>
      <x:c r="L218" s="14" t="n">
        <x:f>K218/LOG(E218+1,2)</x:f>
        <x:v>0.8671944789536634</x:v>
      </x:c>
      <x:c r="M218" s="10" t="n">
        <x:v>3200</x:v>
      </x:c>
      <x:c r="N218" s="10" t="n">
        <x:v>2</x:v>
      </x:c>
      <x:c r="O218" s="10" t="n">
        <x:v>969</x:v>
      </x:c>
      <x:c r="P218" s="2" t="str">
        <x:v>D23</x:v>
      </x:c>
      <x:c r="Q218" s="2" t="str">
        <x:v>hdb flat</x:v>
      </x:c>
      <x:c r="R218" s="2" t="str">
        <x:v>https://www.propertyguru.com.sg/listing/hdb-for-rent-177-lompang-road-24159156</x:v>
      </x:c>
      <x:c r="S218" s="2" t="str">
        <x:v>cold_start_exploration</x:v>
      </x:c>
    </x:row>
    <x:row r="219" ht="22" customHeight="1">
      <x:c r="A219" s="2" t="str">
        <x:v>S25-T01</x:v>
      </x:c>
      <x:c r="B219" s="2" t="str">
        <x:v>S25</x:v>
      </x:c>
      <x:c r="C219" s="2" t="str">
        <x:v>Extension</x:v>
      </x:c>
      <x:c r="D219" s="11" t="n">
        <x:v>1</x:v>
      </x:c>
      <x:c r="E219" s="11" t="n">
        <x:v>1</x:v>
      </x:c>
      <x:c r="F219" s="2" t="str">
        <x:v>24411986</x:v>
      </x:c>
      <x:c r="G219" s="2" t="str">
        <x:v>S25|24411986</x:v>
      </x:c>
      <x:c r="H219" s="2" t="n">
        <x:f>IFERROR(VLOOKUP(G219,'Ratings'!$A$6:$F$1387,6,FALSE),"Unknown")</x:f>
        <x:v>3</x:v>
      </x:c>
      <x:c r="I219" s="2" t="n">
        <x:f>IF(ISNUMBER(H219),1,0)</x:f>
        <x:v>1</x:v>
      </x:c>
      <x:c r="J219" s="2" t="n">
        <x:f>IF(ISNUMBER(H219),IF(H219&gt;=2,1,0),0)</x:f>
        <x:v>1</x:v>
      </x:c>
      <x:c r="K219" s="14" t="n">
        <x:f>IF(ISNUMBER(H219),2^H219-1,0)</x:f>
        <x:v>7</x:v>
      </x:c>
      <x:c r="L219" s="14" t="n">
        <x:f>K219/LOG(E219+1,2)</x:f>
        <x:v>7</x:v>
      </x:c>
      <x:c r="M219" s="10" t="n">
        <x:v>3400</x:v>
      </x:c>
      <x:c r="N219" s="10" t="n">
        <x:v>3</x:v>
      </x:c>
      <x:c r="O219" s="10" t="n">
        <x:v>1184</x:v>
      </x:c>
      <x:c r="P219" s="2" t="str">
        <x:v>D19</x:v>
      </x:c>
      <x:c r="Q219" s="2" t="str">
        <x:v>hdb flat</x:v>
      </x:c>
      <x:c r="R219" s="2" t="str">
        <x:v>https://www.propertyguru.com.sg/listing/hdb-for-rent-176b-edgefield-plains-24411986</x:v>
      </x:c>
      <x:c r="S219" s="2" t="str">
        <x:v>cold_start_exploration</x:v>
      </x:c>
    </x:row>
    <x:row r="220" ht="22" customHeight="1">
      <x:c r="A220" s="2" t="str">
        <x:v>S25-T01</x:v>
      </x:c>
      <x:c r="B220" s="2" t="str">
        <x:v>S25</x:v>
      </x:c>
      <x:c r="C220" s="2" t="str">
        <x:v>Extension</x:v>
      </x:c>
      <x:c r="D220" s="11" t="n">
        <x:v>1</x:v>
      </x:c>
      <x:c r="E220" s="11" t="n">
        <x:v>2</x:v>
      </x:c>
      <x:c r="F220" s="2" t="str">
        <x:v>25328179</x:v>
      </x:c>
      <x:c r="G220" s="2" t="str">
        <x:v>S25|25328179</x:v>
      </x:c>
      <x:c r="H220" s="2" t="n">
        <x:f>IFERROR(VLOOKUP(G220,'Ratings'!$A$6:$F$1387,6,FALSE),"Unknown")</x:f>
        <x:v>3</x:v>
      </x:c>
      <x:c r="I220" s="2" t="n">
        <x:f>IF(ISNUMBER(H220),1,0)</x:f>
        <x:v>1</x:v>
      </x:c>
      <x:c r="J220" s="2" t="n">
        <x:f>IF(ISNUMBER(H220),IF(H220&gt;=2,1,0),0)</x:f>
        <x:v>1</x:v>
      </x:c>
      <x:c r="K220" s="14" t="n">
        <x:f>IF(ISNUMBER(H220),2^H220-1,0)</x:f>
        <x:v>7</x:v>
      </x:c>
      <x:c r="L220" s="14" t="n">
        <x:f>K220/LOG(E220+1,2)</x:f>
        <x:v>4.4165082750002025</x:v>
      </x:c>
      <x:c r="M220" s="10" t="n">
        <x:v>3400</x:v>
      </x:c>
      <x:c r="N220" s="10" t="n">
        <x:v>3</x:v>
      </x:c>
      <x:c r="O220" s="10" t="n">
        <x:v>1001</x:v>
      </x:c>
      <x:c r="P220" s="2" t="str">
        <x:v>D19</x:v>
      </x:c>
      <x:c r="Q220" s="2" t="str">
        <x:v>hdb flat</x:v>
      </x:c>
      <x:c r="R220" s="2" t="str">
        <x:v>https://www.propertyguru.com.sg/listing/hdb-for-rent-178b-rivervale-crescent-25328179</x:v>
      </x:c>
      <x:c r="S220" s="2" t="str">
        <x:v>cold_start_exploration</x:v>
      </x:c>
    </x:row>
    <x:row r="221" ht="22" customHeight="1">
      <x:c r="A221" s="2" t="str">
        <x:v>S25-T01</x:v>
      </x:c>
      <x:c r="B221" s="2" t="str">
        <x:v>S25</x:v>
      </x:c>
      <x:c r="C221" s="2" t="str">
        <x:v>Extension</x:v>
      </x:c>
      <x:c r="D221" s="11" t="n">
        <x:v>1</x:v>
      </x:c>
      <x:c r="E221" s="11" t="n">
        <x:v>3</x:v>
      </x:c>
      <x:c r="F221" s="2" t="str">
        <x:v>25530393</x:v>
      </x:c>
      <x:c r="G221" s="2" t="str">
        <x:v>S25|25530393</x:v>
      </x:c>
      <x:c r="H221" s="2" t="n">
        <x:f>IFERROR(VLOOKUP(G221,'Ratings'!$A$6:$F$1387,6,FALSE),"Unknown")</x:f>
        <x:v>3</x:v>
      </x:c>
      <x:c r="I221" s="2" t="n">
        <x:f>IF(ISNUMBER(H221),1,0)</x:f>
        <x:v>1</x:v>
      </x:c>
      <x:c r="J221" s="2" t="n">
        <x:f>IF(ISNUMBER(H221),IF(H221&gt;=2,1,0),0)</x:f>
        <x:v>1</x:v>
      </x:c>
      <x:c r="K221" s="14" t="n">
        <x:f>IF(ISNUMBER(H221),2^H221-1,0)</x:f>
        <x:v>7</x:v>
      </x:c>
      <x:c r="L221" s="14" t="n">
        <x:f>K221/LOG(E221+1,2)</x:f>
        <x:v>3.5</x:v>
      </x:c>
      <x:c r="M221" s="10" t="n">
        <x:v>4000</x:v>
      </x:c>
      <x:c r="N221" s="10" t="n">
        <x:v>3</x:v>
      </x:c>
      <x:c r="O221" s="10" t="n">
        <x:v>1604</x:v>
      </x:c>
      <x:c r="P221" s="2" t="str">
        <x:v>D18</x:v>
      </x:c>
      <x:c r="Q221" s="2" t="str">
        <x:v>hdb flat</x:v>
      </x:c>
      <x:c r="R221" s="2" t="str">
        <x:v>https://www.propertyguru.com.sg/listing/hdb-for-rent-650-pasir-ris-drive-10-25530393</x:v>
      </x:c>
      <x:c r="S221" s="2" t="str">
        <x:v>cold_start_exploration</x:v>
      </x:c>
    </x:row>
    <x:row r="222" ht="22" customHeight="1">
      <x:c r="A222" s="2" t="str">
        <x:v>S25-T01</x:v>
      </x:c>
      <x:c r="B222" s="2" t="str">
        <x:v>S25</x:v>
      </x:c>
      <x:c r="C222" s="2" t="str">
        <x:v>Extension</x:v>
      </x:c>
      <x:c r="D222" s="11" t="n">
        <x:v>1</x:v>
      </x:c>
      <x:c r="E222" s="11" t="n">
        <x:v>4</x:v>
      </x:c>
      <x:c r="F222" s="2" t="str">
        <x:v>25633608</x:v>
      </x:c>
      <x:c r="G222" s="2" t="str">
        <x:v>S25|25633608</x:v>
      </x:c>
      <x:c r="H222" s="2" t="n">
        <x:f>IFERROR(VLOOKUP(G222,'Ratings'!$A$6:$F$1387,6,FALSE),"Unknown")</x:f>
        <x:v>3</x:v>
      </x:c>
      <x:c r="I222" s="2" t="n">
        <x:f>IF(ISNUMBER(H222),1,0)</x:f>
        <x:v>1</x:v>
      </x:c>
      <x:c r="J222" s="2" t="n">
        <x:f>IF(ISNUMBER(H222),IF(H222&gt;=2,1,0),0)</x:f>
        <x:v>1</x:v>
      </x:c>
      <x:c r="K222" s="14" t="n">
        <x:f>IF(ISNUMBER(H222),2^H222-1,0)</x:f>
        <x:v>7</x:v>
      </x:c>
      <x:c r="L222" s="14" t="n">
        <x:f>K222/LOG(E222+1,2)</x:f>
        <x:v>3.0147359065137516</x:v>
      </x:c>
      <x:c r="M222" s="10" t="n">
        <x:v>4000</x:v>
      </x:c>
      <x:c r="N222" s="10" t="n">
        <x:v>3</x:v>
      </x:c>
      <x:c r="O222" s="10" t="n">
        <x:v>1604</x:v>
      </x:c>
      <x:c r="P222" s="2" t="str">
        <x:v>D18</x:v>
      </x:c>
      <x:c r="Q222" s="2" t="str">
        <x:v>hdb flat</x:v>
      </x:c>
      <x:c r="R222" s="2" t="str">
        <x:v>https://www.propertyguru.com.sg/listing/hdb-for-rent-650-pasir-ris-drive-10-25633608</x:v>
      </x:c>
      <x:c r="S222" s="2" t="str">
        <x:v>cold_start_exploration</x:v>
      </x:c>
    </x:row>
    <x:row r="223" ht="22" customHeight="1">
      <x:c r="A223" s="2" t="str">
        <x:v>S25-T01</x:v>
      </x:c>
      <x:c r="B223" s="2" t="str">
        <x:v>S25</x:v>
      </x:c>
      <x:c r="C223" s="2" t="str">
        <x:v>Extension</x:v>
      </x:c>
      <x:c r="D223" s="11" t="n">
        <x:v>1</x:v>
      </x:c>
      <x:c r="E223" s="11" t="n">
        <x:v>5</x:v>
      </x:c>
      <x:c r="F223" s="2" t="str">
        <x:v>500191517</x:v>
      </x:c>
      <x:c r="G223" s="2" t="str">
        <x:v>S25|500191517</x:v>
      </x:c>
      <x:c r="H223" s="2" t="n">
        <x:f>IFERROR(VLOOKUP(G223,'Ratings'!$A$6:$F$1387,6,FALSE),"Unknown")</x:f>
        <x:v>3</x:v>
      </x:c>
      <x:c r="I223" s="2" t="n">
        <x:f>IF(ISNUMBER(H223),1,0)</x:f>
        <x:v>1</x:v>
      </x:c>
      <x:c r="J223" s="2" t="n">
        <x:f>IF(ISNUMBER(H223),IF(H223&gt;=2,1,0),0)</x:f>
        <x:v>1</x:v>
      </x:c>
      <x:c r="K223" s="14" t="n">
        <x:f>IF(ISNUMBER(H223),2^H223-1,0)</x:f>
        <x:v>7</x:v>
      </x:c>
      <x:c r="L223" s="14" t="n">
        <x:f>K223/LOG(E223+1,2)</x:f>
        <x:v>2.7079696506417914</x:v>
      </x:c>
      <x:c r="M223" s="10" t="n">
        <x:v>3500</x:v>
      </x:c>
      <x:c r="N223" s="10" t="n">
        <x:v>3</x:v>
      </x:c>
      <x:c r="O223" s="10" t="n">
        <x:v>1400</x:v>
      </x:c>
      <x:c r="P223" s="2" t="str">
        <x:v>D18</x:v>
      </x:c>
      <x:c r="Q223" s="2" t="str">
        <x:v>hdb flat</x:v>
      </x:c>
      <x:c r="R223" s="2" t="str">
        <x:v>https://www.propertyguru.com.sg/listing/hdb-for-rent-256-pasir-ris-street-21-500191517</x:v>
      </x:c>
      <x:c r="S223" s="2" t="str">
        <x:v>cold_start_exploration</x:v>
      </x:c>
    </x:row>
    <x:row r="224" ht="22" customHeight="1">
      <x:c r="A224" s="2" t="str">
        <x:v>S25-T01</x:v>
      </x:c>
      <x:c r="B224" s="2" t="str">
        <x:v>S25</x:v>
      </x:c>
      <x:c r="C224" s="2" t="str">
        <x:v>Extension</x:v>
      </x:c>
      <x:c r="D224" s="11" t="n">
        <x:v>1</x:v>
      </x:c>
      <x:c r="E224" s="11" t="n">
        <x:v>6</x:v>
      </x:c>
      <x:c r="F224" s="2" t="str">
        <x:v>500204646</x:v>
      </x:c>
      <x:c r="G224" s="2" t="str">
        <x:v>S25|500204646</x:v>
      </x:c>
      <x:c r="H224" s="2" t="n">
        <x:f>IFERROR(VLOOKUP(G224,'Ratings'!$A$6:$F$1387,6,FALSE),"Unknown")</x:f>
        <x:v>3</x:v>
      </x:c>
      <x:c r="I224" s="2" t="n">
        <x:f>IF(ISNUMBER(H224),1,0)</x:f>
        <x:v>1</x:v>
      </x:c>
      <x:c r="J224" s="2" t="n">
        <x:f>IF(ISNUMBER(H224),IF(H224&gt;=2,1,0),0)</x:f>
        <x:v>1</x:v>
      </x:c>
      <x:c r="K224" s="14" t="n">
        <x:f>IF(ISNUMBER(H224),2^H224-1,0)</x:f>
        <x:v>7</x:v>
      </x:c>
      <x:c r="L224" s="14" t="n">
        <x:f>K224/LOG(E224+1,2)</x:f>
        <x:v>2.493450309756155</x:v>
      </x:c>
      <x:c r="M224" s="10" t="n">
        <x:v>3600</x:v>
      </x:c>
      <x:c r="N224" s="10" t="n">
        <x:v>3</x:v>
      </x:c>
      <x:c r="O224" s="10" t="n">
        <x:v>1119</x:v>
      </x:c>
      <x:c r="P224" s="2" t="str">
        <x:v>D19</x:v>
      </x:c>
      <x:c r="Q224" s="2" t="str">
        <x:v>hdb flat</x:v>
      </x:c>
      <x:c r="R224" s="2" t="str">
        <x:v>https://www.propertyguru.com.sg/listing/hdb-for-rent-831-hougang-central-500204646</x:v>
      </x:c>
      <x:c r="S224" s="2" t="str">
        <x:v>cold_start_exploration</x:v>
      </x:c>
    </x:row>
    <x:row r="225" ht="22" customHeight="1">
      <x:c r="A225" s="2" t="str">
        <x:v>S25-T01</x:v>
      </x:c>
      <x:c r="B225" s="2" t="str">
        <x:v>S25</x:v>
      </x:c>
      <x:c r="C225" s="2" t="str">
        <x:v>Extension</x:v>
      </x:c>
      <x:c r="D225" s="11" t="n">
        <x:v>1</x:v>
      </x:c>
      <x:c r="E225" s="11" t="n">
        <x:v>7</x:v>
      </x:c>
      <x:c r="F225" s="2" t="str">
        <x:v>500246867</x:v>
      </x:c>
      <x:c r="G225" s="2" t="str">
        <x:v>S25|500246867</x:v>
      </x:c>
      <x:c r="H225" s="2" t="n">
        <x:f>IFERROR(VLOOKUP(G225,'Ratings'!$A$6:$F$1387,6,FALSE),"Unknown")</x:f>
        <x:v>3</x:v>
      </x:c>
      <x:c r="I225" s="2" t="n">
        <x:f>IF(ISNUMBER(H225),1,0)</x:f>
        <x:v>1</x:v>
      </x:c>
      <x:c r="J225" s="2" t="n">
        <x:f>IF(ISNUMBER(H225),IF(H225&gt;=2,1,0),0)</x:f>
        <x:v>1</x:v>
      </x:c>
      <x:c r="K225" s="14" t="n">
        <x:f>IF(ISNUMBER(H225),2^H225-1,0)</x:f>
        <x:v>7</x:v>
      </x:c>
      <x:c r="L225" s="14" t="n">
        <x:f>K225/LOG(E225+1,2)</x:f>
        <x:v>2.3333333333333335</x:v>
      </x:c>
      <x:c r="M225" s="10" t="n">
        <x:v>3800</x:v>
      </x:c>
      <x:c r="N225" s="10" t="n">
        <x:v>3</x:v>
      </x:c>
      <x:c r="O225" s="10" t="n">
        <x:v>1130</x:v>
      </x:c>
      <x:c r="P225" s="2" t="str">
        <x:v>D18</x:v>
      </x:c>
      <x:c r="Q225" s="2" t="str">
        <x:v>hdb flat</x:v>
      </x:c>
      <x:c r="R225" s="2" t="str">
        <x:v>https://www.propertyguru.com.sg/listing/hdb-for-rent-275-tampines-street-22-500246867</x:v>
      </x:c>
      <x:c r="S225" s="2" t="str">
        <x:v>cold_start_exploration</x:v>
      </x:c>
    </x:row>
    <x:row r="226" ht="22" customHeight="1">
      <x:c r="A226" s="2" t="str">
        <x:v>S25-T01</x:v>
      </x:c>
      <x:c r="B226" s="2" t="str">
        <x:v>S25</x:v>
      </x:c>
      <x:c r="C226" s="2" t="str">
        <x:v>Extension</x:v>
      </x:c>
      <x:c r="D226" s="11" t="n">
        <x:v>1</x:v>
      </x:c>
      <x:c r="E226" s="11" t="n">
        <x:v>8</x:v>
      </x:c>
      <x:c r="F226" s="2" t="str">
        <x:v>500262374</x:v>
      </x:c>
      <x:c r="G226" s="2" t="str">
        <x:v>S25|500262374</x:v>
      </x:c>
      <x:c r="H226" s="2" t="n">
        <x:f>IFERROR(VLOOKUP(G226,'Ratings'!$A$6:$F$1387,6,FALSE),"Unknown")</x:f>
        <x:v>3</x:v>
      </x:c>
      <x:c r="I226" s="2" t="n">
        <x:f>IF(ISNUMBER(H226),1,0)</x:f>
        <x:v>1</x:v>
      </x:c>
      <x:c r="J226" s="2" t="n">
        <x:f>IF(ISNUMBER(H226),IF(H226&gt;=2,1,0),0)</x:f>
        <x:v>1</x:v>
      </x:c>
      <x:c r="K226" s="14" t="n">
        <x:f>IF(ISNUMBER(H226),2^H226-1,0)</x:f>
        <x:v>7</x:v>
      </x:c>
      <x:c r="L226" s="14" t="n">
        <x:f>K226/LOG(E226+1,2)</x:f>
        <x:v>2.208254137500101</x:v>
      </x:c>
      <x:c r="M226" s="10" t="n">
        <x:v>3600</x:v>
      </x:c>
      <x:c r="N226" s="10" t="n">
        <x:v>3</x:v>
      </x:c>
      <x:c r="O226" s="10" t="n">
        <x:v>1130</x:v>
      </x:c>
      <x:c r="P226" s="2" t="str">
        <x:v>D19</x:v>
      </x:c>
      <x:c r="Q226" s="2" t="str">
        <x:v>hdb flat</x:v>
      </x:c>
      <x:c r="R226" s="2" t="str">
        <x:v>https://www.propertyguru.com.sg/listing/hdb-for-rent-528-hougang-avenue-6-500262374</x:v>
      </x:c>
      <x:c r="S226" s="2" t="str">
        <x:v>cold_start_exploration</x:v>
      </x:c>
    </x:row>
    <x:row r="227" ht="22" customHeight="1">
      <x:c r="A227" s="2" t="str">
        <x:v>S25-T01</x:v>
      </x:c>
      <x:c r="B227" s="2" t="str">
        <x:v>S25</x:v>
      </x:c>
      <x:c r="C227" s="2" t="str">
        <x:v>Extension</x:v>
      </x:c>
      <x:c r="D227" s="11" t="n">
        <x:v>1</x:v>
      </x:c>
      <x:c r="E227" s="11" t="n">
        <x:v>9</x:v>
      </x:c>
      <x:c r="F227" s="2" t="str">
        <x:v>500263451</x:v>
      </x:c>
      <x:c r="G227" s="2" t="str">
        <x:v>S25|500263451</x:v>
      </x:c>
      <x:c r="H227" s="2" t="n">
        <x:f>IFERROR(VLOOKUP(G227,'Ratings'!$A$6:$F$1387,6,FALSE),"Unknown")</x:f>
        <x:v>3</x:v>
      </x:c>
      <x:c r="I227" s="2" t="n">
        <x:f>IF(ISNUMBER(H227),1,0)</x:f>
        <x:v>1</x:v>
      </x:c>
      <x:c r="J227" s="2" t="n">
        <x:f>IF(ISNUMBER(H227),IF(H227&gt;=2,1,0),0)</x:f>
        <x:v>1</x:v>
      </x:c>
      <x:c r="K227" s="14" t="n">
        <x:f>IF(ISNUMBER(H227),2^H227-1,0)</x:f>
        <x:v>7</x:v>
      </x:c>
      <x:c r="L227" s="14" t="n">
        <x:f>K227/LOG(E227+1,2)</x:f>
        <x:v>2.1072099696478683</x:v>
      </x:c>
      <x:c r="M227" s="10" t="n">
        <x:v>3600</x:v>
      </x:c>
      <x:c r="N227" s="10" t="n">
        <x:v>3</x:v>
      </x:c>
      <x:c r="O227" s="10" t="n">
        <x:v>1119</x:v>
      </x:c>
      <x:c r="P227" s="2" t="str">
        <x:v>D19</x:v>
      </x:c>
      <x:c r="Q227" s="2" t="str">
        <x:v>hdb flat</x:v>
      </x:c>
      <x:c r="R227" s="2" t="str">
        <x:v>https://www.propertyguru.com.sg/listing/hdb-for-rent-271c-punggol-walk-500263451</x:v>
      </x:c>
      <x:c r="S227" s="2" t="str">
        <x:v>cold_start_exploration</x:v>
      </x:c>
    </x:row>
    <x:row r="228" ht="22" customHeight="1">
      <x:c r="A228" s="2" t="str">
        <x:v>S25-T01</x:v>
      </x:c>
      <x:c r="B228" s="2" t="str">
        <x:v>S25</x:v>
      </x:c>
      <x:c r="C228" s="2" t="str">
        <x:v>Extension</x:v>
      </x:c>
      <x:c r="D228" s="11" t="n">
        <x:v>1</x:v>
      </x:c>
      <x:c r="E228" s="11" t="n">
        <x:v>10</x:v>
      </x:c>
      <x:c r="F228" s="2" t="str">
        <x:v>500268246</x:v>
      </x:c>
      <x:c r="G228" s="2" t="str">
        <x:v>S25|500268246</x:v>
      </x:c>
      <x:c r="H228" s="2" t="n">
        <x:f>IFERROR(VLOOKUP(G228,'Ratings'!$A$6:$F$1387,6,FALSE),"Unknown")</x:f>
        <x:v>3</x:v>
      </x:c>
      <x:c r="I228" s="2" t="n">
        <x:f>IF(ISNUMBER(H228),1,0)</x:f>
        <x:v>1</x:v>
      </x:c>
      <x:c r="J228" s="2" t="n">
        <x:f>IF(ISNUMBER(H228),IF(H228&gt;=2,1,0),0)</x:f>
        <x:v>1</x:v>
      </x:c>
      <x:c r="K228" s="14" t="n">
        <x:f>IF(ISNUMBER(H228),2^H228-1,0)</x:f>
        <x:v>7</x:v>
      </x:c>
      <x:c r="L228" s="14" t="n">
        <x:f>K228/LOG(E228+1,2)</x:f>
        <x:v>2.023453784225215</x:v>
      </x:c>
      <x:c r="M228" s="10" t="n">
        <x:v>3700</x:v>
      </x:c>
      <x:c r="N228" s="10" t="n">
        <x:v>3</x:v>
      </x:c>
      <x:c r="O228" s="10" t="n">
        <x:v>1302</x:v>
      </x:c>
      <x:c r="P228" s="2" t="str">
        <x:v>D18</x:v>
      </x:c>
      <x:c r="Q228" s="2" t="str">
        <x:v>hdb flat</x:v>
      </x:c>
      <x:c r="R228" s="2" t="str">
        <x:v>https://www.propertyguru.com.sg/listing/hdb-for-rent-804-tampines-avenue-4-500268246</x:v>
      </x:c>
      <x:c r="S228" s="2" t="str">
        <x:v>cold_start_exploration</x:v>
      </x:c>
    </x:row>
    <x:row r="229" ht="22" customHeight="1">
      <x:c r="A229" s="2" t="str">
        <x:v>S26-T01</x:v>
      </x:c>
      <x:c r="B229" s="2" t="str">
        <x:v>S26</x:v>
      </x:c>
      <x:c r="C229" s="2" t="str">
        <x:v>Extension</x:v>
      </x:c>
      <x:c r="D229" s="11" t="n">
        <x:v>1</x:v>
      </x:c>
      <x:c r="E229" s="11" t="n">
        <x:v>1</x:v>
      </x:c>
      <x:c r="F229" s="2" t="str">
        <x:v>20617351</x:v>
      </x:c>
      <x:c r="G229" s="2" t="str">
        <x:v>S26|20617351</x:v>
      </x:c>
      <x:c r="H229" s="2" t="n">
        <x:f>IFERROR(VLOOKUP(G229,'Ratings'!$A$6:$F$1387,6,FALSE),"Unknown")</x:f>
        <x:v>2</x:v>
      </x:c>
      <x:c r="I229" s="2" t="n">
        <x:f>IF(ISNUMBER(H229),1,0)</x:f>
        <x:v>1</x:v>
      </x:c>
      <x:c r="J229" s="2" t="n">
        <x:f>IF(ISNUMBER(H229),IF(H229&gt;=2,1,0),0)</x:f>
        <x:v>1</x:v>
      </x:c>
      <x:c r="K229" s="14" t="n">
        <x:f>IF(ISNUMBER(H229),2^H229-1,0)</x:f>
        <x:v>3</x:v>
      </x:c>
      <x:c r="L229" s="14" t="n">
        <x:f>K229/LOG(E229+1,2)</x:f>
        <x:v>3</x:v>
      </x:c>
      <x:c r="M229" s="10" t="n">
        <x:v>3000</x:v>
      </x:c>
      <x:c r="N229" s="10" t="n">
        <x:v>2</x:v>
      </x:c>
      <x:c r="O229" s="10" t="n">
        <x:v>700</x:v>
      </x:c>
      <x:c r="P229" s="2" t="str">
        <x:v>D05</x:v>
      </x:c>
      <x:c r="Q229" s="2" t="str">
        <x:v>hdb flat</x:v>
      </x:c>
      <x:c r="R229" s="2" t="str">
        <x:v>https://www.propertyguru.com.sg/listing/hdb-for-rent-354-clementi-avenue-2-20617351</x:v>
      </x:c>
      <x:c r="S229" s="2" t="str">
        <x:v>cold_start_exploration</x:v>
      </x:c>
    </x:row>
    <x:row r="230" ht="22" customHeight="1">
      <x:c r="A230" s="2" t="str">
        <x:v>S26-T01</x:v>
      </x:c>
      <x:c r="B230" s="2" t="str">
        <x:v>S26</x:v>
      </x:c>
      <x:c r="C230" s="2" t="str">
        <x:v>Extension</x:v>
      </x:c>
      <x:c r="D230" s="11" t="n">
        <x:v>1</x:v>
      </x:c>
      <x:c r="E230" s="11" t="n">
        <x:v>2</x:v>
      </x:c>
      <x:c r="F230" s="2" t="str">
        <x:v>500262756</x:v>
      </x:c>
      <x:c r="G230" s="2" t="str">
        <x:v>S26|500262756</x:v>
      </x:c>
      <x:c r="H230" s="2" t="n">
        <x:f>IFERROR(VLOOKUP(G230,'Ratings'!$A$6:$F$1387,6,FALSE),"Unknown")</x:f>
        <x:v>2</x:v>
      </x:c>
      <x:c r="I230" s="2" t="n">
        <x:f>IF(ISNUMBER(H230),1,0)</x:f>
        <x:v>1</x:v>
      </x:c>
      <x:c r="J230" s="2" t="n">
        <x:f>IF(ISNUMBER(H230),IF(H230&gt;=2,1,0),0)</x:f>
        <x:v>1</x:v>
      </x:c>
      <x:c r="K230" s="14" t="n">
        <x:f>IF(ISNUMBER(H230),2^H230-1,0)</x:f>
        <x:v>3</x:v>
      </x:c>
      <x:c r="L230" s="14" t="n">
        <x:f>K230/LOG(E230+1,2)</x:f>
        <x:v>1.8927892607143724</x:v>
      </x:c>
      <x:c r="M230" s="10" t="n">
        <x:v>3000</x:v>
      </x:c>
      <x:c r="N230" s="10" t="n">
        <x:v>2</x:v>
      </x:c>
      <x:c r="O230" s="10" t="n">
        <x:v>699</x:v>
      </x:c>
      <x:c r="P230" s="2" t="str">
        <x:v>D05</x:v>
      </x:c>
      <x:c r="Q230" s="2" t="str">
        <x:v>hdb flat</x:v>
      </x:c>
      <x:c r="R230" s="2" t="str">
        <x:v>https://www.propertyguru.com.sg/listing/hdb-for-rent-2-dover-road-500262756</x:v>
      </x:c>
      <x:c r="S230" s="2" t="str">
        <x:v>cold_start_exploration</x:v>
      </x:c>
    </x:row>
    <x:row r="231" ht="22" customHeight="1">
      <x:c r="A231" s="2" t="str">
        <x:v>S26-T01</x:v>
      </x:c>
      <x:c r="B231" s="2" t="str">
        <x:v>S26</x:v>
      </x:c>
      <x:c r="C231" s="2" t="str">
        <x:v>Extension</x:v>
      </x:c>
      <x:c r="D231" s="11" t="n">
        <x:v>1</x:v>
      </x:c>
      <x:c r="E231" s="11" t="n">
        <x:v>3</x:v>
      </x:c>
      <x:c r="F231" s="2" t="str">
        <x:v>500267173</x:v>
      </x:c>
      <x:c r="G231" s="2" t="str">
        <x:v>S26|500267173</x:v>
      </x:c>
      <x:c r="H231" s="2" t="n">
        <x:f>IFERROR(VLOOKUP(G231,'Ratings'!$A$6:$F$1387,6,FALSE),"Unknown")</x:f>
        <x:v>2</x:v>
      </x:c>
      <x:c r="I231" s="2" t="n">
        <x:f>IF(ISNUMBER(H231),1,0)</x:f>
        <x:v>1</x:v>
      </x:c>
      <x:c r="J231" s="2" t="n">
        <x:f>IF(ISNUMBER(H231),IF(H231&gt;=2,1,0),0)</x:f>
        <x:v>1</x:v>
      </x:c>
      <x:c r="K231" s="14" t="n">
        <x:f>IF(ISNUMBER(H231),2^H231-1,0)</x:f>
        <x:v>3</x:v>
      </x:c>
      <x:c r="L231" s="14" t="n">
        <x:f>K231/LOG(E231+1,2)</x:f>
        <x:v>1.5</x:v>
      </x:c>
      <x:c r="M231" s="10" t="n">
        <x:v>3000</x:v>
      </x:c>
      <x:c r="N231" s="10" t="n">
        <x:v>2</x:v>
      </x:c>
      <x:c r="O231" s="10" t="n">
        <x:v>721</x:v>
      </x:c>
      <x:c r="P231" s="2" t="str">
        <x:v>D05</x:v>
      </x:c>
      <x:c r="Q231" s="2" t="str">
        <x:v>hdb flat</x:v>
      </x:c>
      <x:c r="R231" s="2" t="str">
        <x:v>https://www.propertyguru.com.sg/listing/hdb-for-rent-306-clementi-avenue-4-500267173</x:v>
      </x:c>
      <x:c r="S231" s="2" t="str">
        <x:v>cold_start_exploration</x:v>
      </x:c>
    </x:row>
    <x:row r="232" ht="22" customHeight="1">
      <x:c r="A232" s="2" t="str">
        <x:v>S26-T01</x:v>
      </x:c>
      <x:c r="B232" s="2" t="str">
        <x:v>S26</x:v>
      </x:c>
      <x:c r="C232" s="2" t="str">
        <x:v>Extension</x:v>
      </x:c>
      <x:c r="D232" s="11" t="n">
        <x:v>1</x:v>
      </x:c>
      <x:c r="E232" s="11" t="n">
        <x:v>4</x:v>
      </x:c>
      <x:c r="F232" s="2" t="str">
        <x:v>18689152</x:v>
      </x:c>
      <x:c r="G232" s="2" t="str">
        <x:v>S26|18689152</x:v>
      </x:c>
      <x:c r="H232" s="2" t="n">
        <x:f>IFERROR(VLOOKUP(G232,'Ratings'!$A$6:$F$1387,6,FALSE),"Unknown")</x:f>
        <x:v>1</x:v>
      </x:c>
      <x:c r="I232" s="2" t="n">
        <x:f>IF(ISNUMBER(H232),1,0)</x:f>
        <x:v>1</x:v>
      </x:c>
      <x:c r="J232" s="2" t="n">
        <x:f>IF(ISNUMBER(H232),IF(H232&gt;=2,1,0),0)</x:f>
        <x:v>0</x:v>
      </x:c>
      <x:c r="K232" s="14" t="n">
        <x:f>IF(ISNUMBER(H232),2^H232-1,0)</x:f>
        <x:v>1</x:v>
      </x:c>
      <x:c r="L232" s="14" t="n">
        <x:f>K232/LOG(E232+1,2)</x:f>
        <x:v>0.43067655807339306</x:v>
      </x:c>
      <x:c r="M232" s="10" t="n">
        <x:v>3350</x:v>
      </x:c>
      <x:c r="N232" s="10" t="n">
        <x:v>2</x:v>
      </x:c>
      <x:c r="O232" s="10" t="n">
        <x:v>969</x:v>
      </x:c>
      <x:c r="P232" s="2" t="str">
        <x:v>D05</x:v>
      </x:c>
      <x:c r="Q232" s="2" t="str">
        <x:v>hdb flat</x:v>
      </x:c>
      <x:c r="R232" s="2" t="str">
        <x:v>https://www.propertyguru.com.sg/listing/hdb-for-rent-508-west-coast-drive-18689152</x:v>
      </x:c>
      <x:c r="S232" s="2" t="str">
        <x:v>cold_start_exploration</x:v>
      </x:c>
    </x:row>
    <x:row r="233" ht="22" customHeight="1">
      <x:c r="A233" s="2" t="str">
        <x:v>S26-T01</x:v>
      </x:c>
      <x:c r="B233" s="2" t="str">
        <x:v>S26</x:v>
      </x:c>
      <x:c r="C233" s="2" t="str">
        <x:v>Extension</x:v>
      </x:c>
      <x:c r="D233" s="11" t="n">
        <x:v>1</x:v>
      </x:c>
      <x:c r="E233" s="11" t="n">
        <x:v>5</x:v>
      </x:c>
      <x:c r="F233" s="2" t="str">
        <x:v>22257938</x:v>
      </x:c>
      <x:c r="G233" s="2" t="str">
        <x:v>S26|22257938</x:v>
      </x:c>
      <x:c r="H233" s="2" t="n">
        <x:f>IFERROR(VLOOKUP(G233,'Ratings'!$A$6:$F$1387,6,FALSE),"Unknown")</x:f>
        <x:v>1</x:v>
      </x:c>
      <x:c r="I233" s="2" t="n">
        <x:f>IF(ISNUMBER(H233),1,0)</x:f>
        <x:v>1</x:v>
      </x:c>
      <x:c r="J233" s="2" t="n">
        <x:f>IF(ISNUMBER(H233),IF(H233&gt;=2,1,0),0)</x:f>
        <x:v>0</x:v>
      </x:c>
      <x:c r="K233" s="14" t="n">
        <x:f>IF(ISNUMBER(H233),2^H233-1,0)</x:f>
        <x:v>1</x:v>
      </x:c>
      <x:c r="L233" s="14" t="n">
        <x:f>K233/LOG(E233+1,2)</x:f>
        <x:v>0.38685280723454163</x:v>
      </x:c>
      <x:c r="M233" s="10" t="n">
        <x:v>3400</x:v>
      </x:c>
      <x:c r="N233" s="10" t="n">
        <x:v>2</x:v>
      </x:c>
      <x:c r="O233" s="10" t="n">
        <x:v>800</x:v>
      </x:c>
      <x:c r="P233" s="2" t="str">
        <x:v>D05</x:v>
      </x:c>
      <x:c r="Q233" s="2" t="str">
        <x:v>hdb flat</x:v>
      </x:c>
      <x:c r="R233" s="2" t="str">
        <x:v>https://www.propertyguru.com.sg/listing/hdb-for-rent-346-clementi-avenue-5-22257938</x:v>
      </x:c>
      <x:c r="S233" s="2" t="str">
        <x:v>cold_start_exploration</x:v>
      </x:c>
    </x:row>
    <x:row r="234" ht="22" customHeight="1">
      <x:c r="A234" s="2" t="str">
        <x:v>S26-T01</x:v>
      </x:c>
      <x:c r="B234" s="2" t="str">
        <x:v>S26</x:v>
      </x:c>
      <x:c r="C234" s="2" t="str">
        <x:v>Extension</x:v>
      </x:c>
      <x:c r="D234" s="11" t="n">
        <x:v>1</x:v>
      </x:c>
      <x:c r="E234" s="11" t="n">
        <x:v>6</x:v>
      </x:c>
      <x:c r="F234" s="2" t="str">
        <x:v>23927224</x:v>
      </x:c>
      <x:c r="G234" s="2" t="str">
        <x:v>S26|23927224</x:v>
      </x:c>
      <x:c r="H234" s="2" t="n">
        <x:f>IFERROR(VLOOKUP(G234,'Ratings'!$A$6:$F$1387,6,FALSE),"Unknown")</x:f>
        <x:v>1</x:v>
      </x:c>
      <x:c r="I234" s="2" t="n">
        <x:f>IF(ISNUMBER(H234),1,0)</x:f>
        <x:v>1</x:v>
      </x:c>
      <x:c r="J234" s="2" t="n">
        <x:f>IF(ISNUMBER(H234),IF(H234&gt;=2,1,0),0)</x:f>
        <x:v>0</x:v>
      </x:c>
      <x:c r="K234" s="14" t="n">
        <x:f>IF(ISNUMBER(H234),2^H234-1,0)</x:f>
        <x:v>1</x:v>
      </x:c>
      <x:c r="L234" s="14" t="n">
        <x:f>K234/LOG(E234+1,2)</x:f>
        <x:v>0.3562071871080222</x:v>
      </x:c>
      <x:c r="M234" s="10" t="n">
        <x:v>3300</x:v>
      </x:c>
      <x:c r="N234" s="10" t="n">
        <x:v>2</x:v>
      </x:c>
      <x:c r="O234" s="10" t="n">
        <x:v>797</x:v>
      </x:c>
      <x:c r="P234" s="2" t="str">
        <x:v>D05</x:v>
      </x:c>
      <x:c r="Q234" s="2" t="str">
        <x:v>hdb flat</x:v>
      </x:c>
      <x:c r="R234" s="2" t="str">
        <x:v>https://www.propertyguru.com.sg/listing/hdb-for-rent-610-clementi-west-street-1-23927224</x:v>
      </x:c>
      <x:c r="S234" s="2" t="str">
        <x:v>cold_start_exploration</x:v>
      </x:c>
    </x:row>
    <x:row r="235" ht="22" customHeight="1">
      <x:c r="A235" s="2" t="str">
        <x:v>S26-T01</x:v>
      </x:c>
      <x:c r="B235" s="2" t="str">
        <x:v>S26</x:v>
      </x:c>
      <x:c r="C235" s="2" t="str">
        <x:v>Extension</x:v>
      </x:c>
      <x:c r="D235" s="11" t="n">
        <x:v>1</x:v>
      </x:c>
      <x:c r="E235" s="11" t="n">
        <x:v>7</x:v>
      </x:c>
      <x:c r="F235" s="2" t="str">
        <x:v>500266415</x:v>
      </x:c>
      <x:c r="G235" s="2" t="str">
        <x:v>S26|500266415</x:v>
      </x:c>
      <x:c r="H235" s="2" t="n">
        <x:f>IFERROR(VLOOKUP(G235,'Ratings'!$A$6:$F$1387,6,FALSE),"Unknown")</x:f>
        <x:v>1</x:v>
      </x:c>
      <x:c r="I235" s="2" t="n">
        <x:f>IF(ISNUMBER(H235),1,0)</x:f>
        <x:v>1</x:v>
      </x:c>
      <x:c r="J235" s="2" t="n">
        <x:f>IF(ISNUMBER(H235),IF(H235&gt;=2,1,0),0)</x:f>
        <x:v>0</x:v>
      </x:c>
      <x:c r="K235" s="14" t="n">
        <x:f>IF(ISNUMBER(H235),2^H235-1,0)</x:f>
        <x:v>1</x:v>
      </x:c>
      <x:c r="L235" s="14" t="n">
        <x:f>K235/LOG(E235+1,2)</x:f>
        <x:v>0.3333333333333333</x:v>
      </x:c>
      <x:c r="M235" s="10" t="n">
        <x:v>3300</x:v>
      </x:c>
      <x:c r="N235" s="10" t="n">
        <x:v>2</x:v>
      </x:c>
      <x:c r="O235" s="10" t="n">
        <x:v>980</x:v>
      </x:c>
      <x:c r="P235" s="2" t="str">
        <x:v>D05</x:v>
      </x:c>
      <x:c r="Q235" s="2" t="str">
        <x:v>hdb flat</x:v>
      </x:c>
      <x:c r="R235" s="2" t="str">
        <x:v>https://www.propertyguru.com.sg/listing/hdb-for-rent-511-west-coast-drive-500266415</x:v>
      </x:c>
      <x:c r="S235" s="2" t="str">
        <x:v>cold_start_exploration</x:v>
      </x:c>
    </x:row>
    <x:row r="236" ht="22" customHeight="1">
      <x:c r="A236" s="2" t="str">
        <x:v>S26-T01</x:v>
      </x:c>
      <x:c r="B236" s="2" t="str">
        <x:v>S26</x:v>
      </x:c>
      <x:c r="C236" s="2" t="str">
        <x:v>Extension</x:v>
      </x:c>
      <x:c r="D236" s="11" t="n">
        <x:v>1</x:v>
      </x:c>
      <x:c r="E236" s="11" t="n">
        <x:v>8</x:v>
      </x:c>
      <x:c r="F236" s="2" t="str">
        <x:v>24429202</x:v>
      </x:c>
      <x:c r="G236" s="2" t="str">
        <x:v>S26|24429202</x:v>
      </x:c>
      <x:c r="H236" s="2" t="n">
        <x:f>IFERROR(VLOOKUP(G236,'Ratings'!$A$6:$F$1387,6,FALSE),"Unknown")</x:f>
        <x:v>1</x:v>
      </x:c>
      <x:c r="I236" s="2" t="n">
        <x:f>IF(ISNUMBER(H236),1,0)</x:f>
        <x:v>1</x:v>
      </x:c>
      <x:c r="J236" s="2" t="n">
        <x:f>IF(ISNUMBER(H236),IF(H236&gt;=2,1,0),0)</x:f>
        <x:v>0</x:v>
      </x:c>
      <x:c r="K236" s="14" t="n">
        <x:f>IF(ISNUMBER(H236),2^H236-1,0)</x:f>
        <x:v>1</x:v>
      </x:c>
      <x:c r="L236" s="14" t="n">
        <x:f>K236/LOG(E236+1,2)</x:f>
        <x:v>0.3154648767857287</x:v>
      </x:c>
      <x:c r="M236" s="10" t="n">
        <x:v>3300</x:v>
      </x:c>
      <x:c r="N236" s="10" t="n">
        <x:v>2</x:v>
      </x:c>
      <x:c r="O236" s="10" t="n">
        <x:v>721</x:v>
      </x:c>
      <x:c r="P236" s="2" t="str">
        <x:v>D05</x:v>
      </x:c>
      <x:c r="Q236" s="2" t="str">
        <x:v>hdb flat</x:v>
      </x:c>
      <x:c r="R236" s="2" t="str">
        <x:v>https://www.propertyguru.com.sg/listing/hdb-for-rent-329-clementi-avenue-2-24429202</x:v>
      </x:c>
      <x:c r="S236" s="2" t="str">
        <x:v>cold_start_exploration</x:v>
      </x:c>
    </x:row>
    <x:row r="237" ht="22" customHeight="1">
      <x:c r="A237" s="2" t="str">
        <x:v>S26-T01</x:v>
      </x:c>
      <x:c r="B237" s="2" t="str">
        <x:v>S26</x:v>
      </x:c>
      <x:c r="C237" s="2" t="str">
        <x:v>Extension</x:v>
      </x:c>
      <x:c r="D237" s="11" t="n">
        <x:v>1</x:v>
      </x:c>
      <x:c r="E237" s="11" t="n">
        <x:v>9</x:v>
      </x:c>
      <x:c r="F237" s="2" t="str">
        <x:v>500188597</x:v>
      </x:c>
      <x:c r="G237" s="2" t="str">
        <x:v>S26|500188597</x:v>
      </x:c>
      <x:c r="H237" s="2" t="n">
        <x:f>IFERROR(VLOOKUP(G237,'Ratings'!$A$6:$F$1387,6,FALSE),"Unknown")</x:f>
        <x:v>1</x:v>
      </x:c>
      <x:c r="I237" s="2" t="n">
        <x:f>IF(ISNUMBER(H237),1,0)</x:f>
        <x:v>1</x:v>
      </x:c>
      <x:c r="J237" s="2" t="n">
        <x:f>IF(ISNUMBER(H237),IF(H237&gt;=2,1,0),0)</x:f>
        <x:v>0</x:v>
      </x:c>
      <x:c r="K237" s="14" t="n">
        <x:f>IF(ISNUMBER(H237),2^H237-1,0)</x:f>
        <x:v>1</x:v>
      </x:c>
      <x:c r="L237" s="14" t="n">
        <x:f>K237/LOG(E237+1,2)</x:f>
        <x:v>0.30102999566398114</x:v>
      </x:c>
      <x:c r="M237" s="10" t="n">
        <x:v>3500</x:v>
      </x:c>
      <x:c r="N237" s="10" t="n">
        <x:v>2</x:v>
      </x:c>
      <x:c r="O237" s="10" t="n">
        <x:v>721</x:v>
      </x:c>
      <x:c r="P237" s="2" t="str">
        <x:v>D05</x:v>
      </x:c>
      <x:c r="Q237" s="2" t="str">
        <x:v>hdb flat</x:v>
      </x:c>
      <x:c r="R237" s="2" t="str">
        <x:v>https://www.propertyguru.com.sg/listing/hdb-for-rent-320-clementi-avenue-4-500188597</x:v>
      </x:c>
      <x:c r="S237" s="2" t="str">
        <x:v>cold_start_exploration</x:v>
      </x:c>
    </x:row>
    <x:row r="238" ht="22" customHeight="1">
      <x:c r="A238" s="2" t="str">
        <x:v>S26-T01</x:v>
      </x:c>
      <x:c r="B238" s="2" t="str">
        <x:v>S26</x:v>
      </x:c>
      <x:c r="C238" s="2" t="str">
        <x:v>Extension</x:v>
      </x:c>
      <x:c r="D238" s="11" t="n">
        <x:v>1</x:v>
      </x:c>
      <x:c r="E238" s="11" t="n">
        <x:v>10</x:v>
      </x:c>
      <x:c r="F238" s="2" t="str">
        <x:v>500282878</x:v>
      </x:c>
      <x:c r="G238" s="2" t="str">
        <x:v>S26|500282878</x:v>
      </x:c>
      <x:c r="H238" s="2" t="n">
        <x:f>IFERROR(VLOOKUP(G238,'Ratings'!$A$6:$F$1387,6,FALSE),"Unknown")</x:f>
        <x:v>1</x:v>
      </x:c>
      <x:c r="I238" s="2" t="n">
        <x:f>IF(ISNUMBER(H238),1,0)</x:f>
        <x:v>1</x:v>
      </x:c>
      <x:c r="J238" s="2" t="n">
        <x:f>IF(ISNUMBER(H238),IF(H238&gt;=2,1,0),0)</x:f>
        <x:v>0</x:v>
      </x:c>
      <x:c r="K238" s="14" t="n">
        <x:f>IF(ISNUMBER(H238),2^H238-1,0)</x:f>
        <x:v>1</x:v>
      </x:c>
      <x:c r="L238" s="14" t="n">
        <x:f>K238/LOG(E238+1,2)</x:f>
        <x:v>0.2890648263178878</x:v>
      </x:c>
      <x:c r="M238" s="10" t="n">
        <x:v>3200</x:v>
      </x:c>
      <x:c r="N238" s="10" t="n">
        <x:v>2</x:v>
      </x:c>
      <x:c r="O238" s="10" t="n">
        <x:v>721</x:v>
      </x:c>
      <x:c r="P238" s="2" t="str">
        <x:v>D05</x:v>
      </x:c>
      <x:c r="Q238" s="2" t="str">
        <x:v>hdb flat</x:v>
      </x:c>
      <x:c r="R238" s="2" t="str">
        <x:v>https://www.propertyguru.com.sg/listing/hdb-for-rent-329-clementi-avenue-2-500282878</x:v>
      </x:c>
      <x:c r="S238" s="2" t="str">
        <x:v>cold_start_exploration</x:v>
      </x:c>
    </x:row>
    <x:row r="239" ht="22" customHeight="1">
      <x:c r="A239" s="2" t="str">
        <x:v>S27-T01</x:v>
      </x:c>
      <x:c r="B239" s="2" t="str">
        <x:v>S27</x:v>
      </x:c>
      <x:c r="C239" s="2" t="str">
        <x:v>Extension</x:v>
      </x:c>
      <x:c r="D239" s="11" t="n">
        <x:v>1</x:v>
      </x:c>
      <x:c r="E239" s="11" t="n">
        <x:v>1</x:v>
      </x:c>
      <x:c r="F239" s="2" t="str">
        <x:v>18689152</x:v>
      </x:c>
      <x:c r="G239" s="2" t="str">
        <x:v>S27|18689152</x:v>
      </x:c>
      <x:c r="H239" s="2" t="n">
        <x:f>IFERROR(VLOOKUP(G239,'Ratings'!$A$6:$F$1387,6,FALSE),"Unknown")</x:f>
        <x:v>3</x:v>
      </x:c>
      <x:c r="I239" s="2" t="n">
        <x:f>IF(ISNUMBER(H239),1,0)</x:f>
        <x:v>1</x:v>
      </x:c>
      <x:c r="J239" s="2" t="n">
        <x:f>IF(ISNUMBER(H239),IF(H239&gt;=2,1,0),0)</x:f>
        <x:v>1</x:v>
      </x:c>
      <x:c r="K239" s="14" t="n">
        <x:f>IF(ISNUMBER(H239),2^H239-1,0)</x:f>
        <x:v>7</x:v>
      </x:c>
      <x:c r="L239" s="14" t="n">
        <x:f>K239/LOG(E239+1,2)</x:f>
        <x:v>7</x:v>
      </x:c>
      <x:c r="M239" s="10" t="n">
        <x:v>3350</x:v>
      </x:c>
      <x:c r="N239" s="10" t="n">
        <x:v>2</x:v>
      </x:c>
      <x:c r="O239" s="10" t="n">
        <x:v>969</x:v>
      </x:c>
      <x:c r="P239" s="2" t="str">
        <x:v>D05</x:v>
      </x:c>
      <x:c r="Q239" s="2" t="str">
        <x:v>hdb flat</x:v>
      </x:c>
      <x:c r="R239" s="2" t="str">
        <x:v>https://www.propertyguru.com.sg/listing/hdb-for-rent-508-west-coast-drive-18689152</x:v>
      </x:c>
      <x:c r="S239" s="2" t="str">
        <x:v>cold_start_exploration</x:v>
      </x:c>
    </x:row>
    <x:row r="240" ht="22" customHeight="1">
      <x:c r="A240" s="2" t="str">
        <x:v>S27-T01</x:v>
      </x:c>
      <x:c r="B240" s="2" t="str">
        <x:v>S27</x:v>
      </x:c>
      <x:c r="C240" s="2" t="str">
        <x:v>Extension</x:v>
      </x:c>
      <x:c r="D240" s="11" t="n">
        <x:v>1</x:v>
      </x:c>
      <x:c r="E240" s="11" t="n">
        <x:v>2</x:v>
      </x:c>
      <x:c r="F240" s="2" t="str">
        <x:v>19266007</x:v>
      </x:c>
      <x:c r="G240" s="2" t="str">
        <x:v>S27|19266007</x:v>
      </x:c>
      <x:c r="H240" s="2" t="n">
        <x:f>IFERROR(VLOOKUP(G240,'Ratings'!$A$6:$F$1387,6,FALSE),"Unknown")</x:f>
        <x:v>3</x:v>
      </x:c>
      <x:c r="I240" s="2" t="n">
        <x:f>IF(ISNUMBER(H240),1,0)</x:f>
        <x:v>1</x:v>
      </x:c>
      <x:c r="J240" s="2" t="n">
        <x:f>IF(ISNUMBER(H240),IF(H240&gt;=2,1,0),0)</x:f>
        <x:v>1</x:v>
      </x:c>
      <x:c r="K240" s="14" t="n">
        <x:f>IF(ISNUMBER(H240),2^H240-1,0)</x:f>
        <x:v>7</x:v>
      </x:c>
      <x:c r="L240" s="14" t="n">
        <x:f>K240/LOG(E240+1,2)</x:f>
        <x:v>4.4165082750002025</x:v>
      </x:c>
      <x:c r="M240" s="10" t="n">
        <x:v>4500</x:v>
      </x:c>
      <x:c r="N240" s="10" t="n">
        <x:v>2</x:v>
      </x:c>
      <x:c r="O240" s="10" t="n">
        <x:v>957</x:v>
      </x:c>
      <x:c r="P240" s="2" t="str">
        <x:v>D05</x:v>
      </x:c>
      <x:c r="Q240" s="2" t="str">
        <x:v>condominium</x:v>
      </x:c>
      <x:c r="R240" s="2" t="str">
        <x:v>https://www.propertyguru.com.sg/listing/for-rent-regent-park-19266007</x:v>
      </x:c>
      <x:c r="S240" s="2" t="str">
        <x:v>cold_start_exploration</x:v>
      </x:c>
    </x:row>
    <x:row r="241" ht="22" customHeight="1">
      <x:c r="A241" s="2" t="str">
        <x:v>S27-T01</x:v>
      </x:c>
      <x:c r="B241" s="2" t="str">
        <x:v>S27</x:v>
      </x:c>
      <x:c r="C241" s="2" t="str">
        <x:v>Extension</x:v>
      </x:c>
      <x:c r="D241" s="11" t="n">
        <x:v>1</x:v>
      </x:c>
      <x:c r="E241" s="11" t="n">
        <x:v>3</x:v>
      </x:c>
      <x:c r="F241" s="2" t="str">
        <x:v>20832273</x:v>
      </x:c>
      <x:c r="G241" s="2" t="str">
        <x:v>S27|20832273</x:v>
      </x:c>
      <x:c r="H241" s="2" t="n">
        <x:f>IFERROR(VLOOKUP(G241,'Ratings'!$A$6:$F$1387,6,FALSE),"Unknown")</x:f>
        <x:v>3</x:v>
      </x:c>
      <x:c r="I241" s="2" t="n">
        <x:f>IF(ISNUMBER(H241),1,0)</x:f>
        <x:v>1</x:v>
      </x:c>
      <x:c r="J241" s="2" t="n">
        <x:f>IF(ISNUMBER(H241),IF(H241&gt;=2,1,0),0)</x:f>
        <x:v>1</x:v>
      </x:c>
      <x:c r="K241" s="14" t="n">
        <x:f>IF(ISNUMBER(H241),2^H241-1,0)</x:f>
        <x:v>7</x:v>
      </x:c>
      <x:c r="L241" s="14" t="n">
        <x:f>K241/LOG(E241+1,2)</x:f>
        <x:v>3.5</x:v>
      </x:c>
      <x:c r="M241" s="10" t="n">
        <x:v>4000</x:v>
      </x:c>
      <x:c r="N241" s="10" t="n">
        <x:v>3</x:v>
      </x:c>
      <x:c r="O241" s="10" t="n">
        <x:v>990</x:v>
      </x:c>
      <x:c r="P241" s="2" t="str">
        <x:v>D05</x:v>
      </x:c>
      <x:c r="Q241" s="2" t="str">
        <x:v>hdb flat</x:v>
      </x:c>
      <x:c r="R241" s="2" t="str">
        <x:v>https://www.propertyguru.com.sg/listing/hdb-for-rent-309-clementi-avenue-4-20832273</x:v>
      </x:c>
      <x:c r="S241" s="2" t="str">
        <x:v>cold_start_exploration</x:v>
      </x:c>
    </x:row>
    <x:row r="242" ht="22" customHeight="1">
      <x:c r="A242" s="2" t="str">
        <x:v>S27-T01</x:v>
      </x:c>
      <x:c r="B242" s="2" t="str">
        <x:v>S27</x:v>
      </x:c>
      <x:c r="C242" s="2" t="str">
        <x:v>Extension</x:v>
      </x:c>
      <x:c r="D242" s="11" t="n">
        <x:v>1</x:v>
      </x:c>
      <x:c r="E242" s="11" t="n">
        <x:v>4</x:v>
      </x:c>
      <x:c r="F242" s="2" t="str">
        <x:v>22030373</x:v>
      </x:c>
      <x:c r="G242" s="2" t="str">
        <x:v>S27|22030373</x:v>
      </x:c>
      <x:c r="H242" s="2" t="n">
        <x:f>IFERROR(VLOOKUP(G242,'Ratings'!$A$6:$F$1387,6,FALSE),"Unknown")</x:f>
        <x:v>3</x:v>
      </x:c>
      <x:c r="I242" s="2" t="n">
        <x:f>IF(ISNUMBER(H242),1,0)</x:f>
        <x:v>1</x:v>
      </x:c>
      <x:c r="J242" s="2" t="n">
        <x:f>IF(ISNUMBER(H242),IF(H242&gt;=2,1,0),0)</x:f>
        <x:v>1</x:v>
      </x:c>
      <x:c r="K242" s="14" t="n">
        <x:f>IF(ISNUMBER(H242),2^H242-1,0)</x:f>
        <x:v>7</x:v>
      </x:c>
      <x:c r="L242" s="14" t="n">
        <x:f>K242/LOG(E242+1,2)</x:f>
        <x:v>3.0147359065137516</x:v>
      </x:c>
      <x:c r="M242" s="10" t="n">
        <x:v>4400</x:v>
      </x:c>
      <x:c r="N242" s="10" t="n">
        <x:v>3</x:v>
      </x:c>
      <x:c r="O242" s="10" t="n">
        <x:v>957</x:v>
      </x:c>
      <x:c r="P242" s="2" t="str">
        <x:v>D03</x:v>
      </x:c>
      <x:c r="Q242" s="2" t="str">
        <x:v>hdb flat</x:v>
      </x:c>
      <x:c r="R242" s="2" t="str">
        <x:v>https://www.propertyguru.com.sg/listing/hdb-for-rent-58-havelock-road-22030373</x:v>
      </x:c>
      <x:c r="S242" s="2" t="str">
        <x:v>cold_start_exploration</x:v>
      </x:c>
    </x:row>
    <x:row r="243" ht="22" customHeight="1">
      <x:c r="A243" s="2" t="str">
        <x:v>S27-T01</x:v>
      </x:c>
      <x:c r="B243" s="2" t="str">
        <x:v>S27</x:v>
      </x:c>
      <x:c r="C243" s="2" t="str">
        <x:v>Extension</x:v>
      </x:c>
      <x:c r="D243" s="11" t="n">
        <x:v>1</x:v>
      </x:c>
      <x:c r="E243" s="11" t="n">
        <x:v>5</x:v>
      </x:c>
      <x:c r="F243" s="2" t="str">
        <x:v>22773305</x:v>
      </x:c>
      <x:c r="G243" s="2" t="str">
        <x:v>S27|22773305</x:v>
      </x:c>
      <x:c r="H243" s="2" t="n">
        <x:f>IFERROR(VLOOKUP(G243,'Ratings'!$A$6:$F$1387,6,FALSE),"Unknown")</x:f>
        <x:v>3</x:v>
      </x:c>
      <x:c r="I243" s="2" t="n">
        <x:f>IF(ISNUMBER(H243),1,0)</x:f>
        <x:v>1</x:v>
      </x:c>
      <x:c r="J243" s="2" t="n">
        <x:f>IF(ISNUMBER(H243),IF(H243&gt;=2,1,0),0)</x:f>
        <x:v>1</x:v>
      </x:c>
      <x:c r="K243" s="14" t="n">
        <x:f>IF(ISNUMBER(H243),2^H243-1,0)</x:f>
        <x:v>7</x:v>
      </x:c>
      <x:c r="L243" s="14" t="n">
        <x:f>K243/LOG(E243+1,2)</x:f>
        <x:v>2.7079696506417914</x:v>
      </x:c>
      <x:c r="M243" s="10" t="n">
        <x:v>4500</x:v>
      </x:c>
      <x:c r="N243" s="10" t="n">
        <x:v>3</x:v>
      </x:c>
      <x:c r="O243" s="10" t="n">
        <x:v>1259</x:v>
      </x:c>
      <x:c r="P243" s="2" t="str">
        <x:v>D05</x:v>
      </x:c>
      <x:c r="Q243" s="2" t="str">
        <x:v>hdb flat</x:v>
      </x:c>
      <x:c r="R243" s="2" t="str">
        <x:v>https://www.propertyguru.com.sg/listing/hdb-for-rent-355-clementi-avenue-2-22773305</x:v>
      </x:c>
      <x:c r="S243" s="2" t="str">
        <x:v>cold_start_exploration</x:v>
      </x:c>
    </x:row>
    <x:row r="244" ht="22" customHeight="1">
      <x:c r="A244" s="2" t="str">
        <x:v>S27-T01</x:v>
      </x:c>
      <x:c r="B244" s="2" t="str">
        <x:v>S27</x:v>
      </x:c>
      <x:c r="C244" s="2" t="str">
        <x:v>Extension</x:v>
      </x:c>
      <x:c r="D244" s="11" t="n">
        <x:v>1</x:v>
      </x:c>
      <x:c r="E244" s="11" t="n">
        <x:v>6</x:v>
      </x:c>
      <x:c r="F244" s="2" t="str">
        <x:v>23509141</x:v>
      </x:c>
      <x:c r="G244" s="2" t="str">
        <x:v>S27|23509141</x:v>
      </x:c>
      <x:c r="H244" s="2" t="n">
        <x:f>IFERROR(VLOOKUP(G244,'Ratings'!$A$6:$F$1387,6,FALSE),"Unknown")</x:f>
        <x:v>3</x:v>
      </x:c>
      <x:c r="I244" s="2" t="n">
        <x:f>IF(ISNUMBER(H244),1,0)</x:f>
        <x:v>1</x:v>
      </x:c>
      <x:c r="J244" s="2" t="n">
        <x:f>IF(ISNUMBER(H244),IF(H244&gt;=2,1,0),0)</x:f>
        <x:v>1</x:v>
      </x:c>
      <x:c r="K244" s="14" t="n">
        <x:f>IF(ISNUMBER(H244),2^H244-1,0)</x:f>
        <x:v>7</x:v>
      </x:c>
      <x:c r="L244" s="14" t="n">
        <x:f>K244/LOG(E244+1,2)</x:f>
        <x:v>2.493450309756155</x:v>
      </x:c>
      <x:c r="M244" s="10" t="n">
        <x:v>3988</x:v>
      </x:c>
      <x:c r="N244" s="10" t="n">
        <x:v>3</x:v>
      </x:c>
      <x:c r="O244" s="10" t="n">
        <x:v>1270</x:v>
      </x:c>
      <x:c r="P244" s="2" t="str">
        <x:v>D05</x:v>
      </x:c>
      <x:c r="Q244" s="2" t="str">
        <x:v>hdb flat</x:v>
      </x:c>
      <x:c r="R244" s="2" t="str">
        <x:v>https://www.propertyguru.com.sg/listing/hdb-for-rent-717-clementi-west-street-2-23509141</x:v>
      </x:c>
      <x:c r="S244" s="2" t="str">
        <x:v>cold_start_exploration</x:v>
      </x:c>
    </x:row>
    <x:row r="245" ht="22" customHeight="1">
      <x:c r="A245" s="2" t="str">
        <x:v>S27-T01</x:v>
      </x:c>
      <x:c r="B245" s="2" t="str">
        <x:v>S27</x:v>
      </x:c>
      <x:c r="C245" s="2" t="str">
        <x:v>Extension</x:v>
      </x:c>
      <x:c r="D245" s="11" t="n">
        <x:v>1</x:v>
      </x:c>
      <x:c r="E245" s="11" t="n">
        <x:v>7</x:v>
      </x:c>
      <x:c r="F245" s="2" t="str">
        <x:v>500234598</x:v>
      </x:c>
      <x:c r="G245" s="2" t="str">
        <x:v>S27|500234598</x:v>
      </x:c>
      <x:c r="H245" s="2" t="n">
        <x:f>IFERROR(VLOOKUP(G245,'Ratings'!$A$6:$F$1387,6,FALSE),"Unknown")</x:f>
        <x:v>3</x:v>
      </x:c>
      <x:c r="I245" s="2" t="n">
        <x:f>IF(ISNUMBER(H245),1,0)</x:f>
        <x:v>1</x:v>
      </x:c>
      <x:c r="J245" s="2" t="n">
        <x:f>IF(ISNUMBER(H245),IF(H245&gt;=2,1,0),0)</x:f>
        <x:v>1</x:v>
      </x:c>
      <x:c r="K245" s="14" t="n">
        <x:f>IF(ISNUMBER(H245),2^H245-1,0)</x:f>
        <x:v>7</x:v>
      </x:c>
      <x:c r="L245" s="14" t="n">
        <x:f>K245/LOG(E245+1,2)</x:f>
        <x:v>2.3333333333333335</x:v>
      </x:c>
      <x:c r="M245" s="10" t="n">
        <x:v>4500</x:v>
      </x:c>
      <x:c r="N245" s="10" t="n">
        <x:v>2</x:v>
      </x:c>
      <x:c r="O245" s="10" t="n">
        <x:v>936</x:v>
      </x:c>
      <x:c r="P245" s="2" t="str">
        <x:v>D05</x:v>
      </x:c>
      <x:c r="Q245" s="2" t="str">
        <x:v>condominium</x:v>
      </x:c>
      <x:c r="R245" s="2" t="str">
        <x:v>https://www.propertyguru.com.sg/listing/for-rent-dover-parkview-500234598</x:v>
      </x:c>
      <x:c r="S245" s="2" t="str">
        <x:v>cold_start_exploration</x:v>
      </x:c>
    </x:row>
    <x:row r="246" ht="22" customHeight="1">
      <x:c r="A246" s="2" t="str">
        <x:v>S27-T01</x:v>
      </x:c>
      <x:c r="B246" s="2" t="str">
        <x:v>S27</x:v>
      </x:c>
      <x:c r="C246" s="2" t="str">
        <x:v>Extension</x:v>
      </x:c>
      <x:c r="D246" s="11" t="n">
        <x:v>1</x:v>
      </x:c>
      <x:c r="E246" s="11" t="n">
        <x:v>8</x:v>
      </x:c>
      <x:c r="F246" s="2" t="str">
        <x:v>500265384</x:v>
      </x:c>
      <x:c r="G246" s="2" t="str">
        <x:v>S27|500265384</x:v>
      </x:c>
      <x:c r="H246" s="2" t="n">
        <x:f>IFERROR(VLOOKUP(G246,'Ratings'!$A$6:$F$1387,6,FALSE),"Unknown")</x:f>
        <x:v>3</x:v>
      </x:c>
      <x:c r="I246" s="2" t="n">
        <x:f>IF(ISNUMBER(H246),1,0)</x:f>
        <x:v>1</x:v>
      </x:c>
      <x:c r="J246" s="2" t="n">
        <x:f>IF(ISNUMBER(H246),IF(H246&gt;=2,1,0),0)</x:f>
        <x:v>1</x:v>
      </x:c>
      <x:c r="K246" s="14" t="n">
        <x:f>IF(ISNUMBER(H246),2^H246-1,0)</x:f>
        <x:v>7</x:v>
      </x:c>
      <x:c r="L246" s="14" t="n">
        <x:f>K246/LOG(E246+1,2)</x:f>
        <x:v>2.208254137500101</x:v>
      </x:c>
      <x:c r="M246" s="10" t="n">
        <x:v>4000</x:v>
      </x:c>
      <x:c r="N246" s="10" t="n">
        <x:v>3</x:v>
      </x:c>
      <x:c r="O246" s="10" t="n">
        <x:v>990</x:v>
      </x:c>
      <x:c r="P246" s="2" t="str">
        <x:v>D03</x:v>
      </x:c>
      <x:c r="Q246" s="2" t="str">
        <x:v>hdb flat</x:v>
      </x:c>
      <x:c r="R246" s="2" t="str">
        <x:v>https://www.propertyguru.com.sg/listing/hdb-for-rent-119c-kim-tian-road-500265384</x:v>
      </x:c>
      <x:c r="S246" s="2" t="str">
        <x:v>cold_start_exploration</x:v>
      </x:c>
    </x:row>
    <x:row r="247" ht="22" customHeight="1">
      <x:c r="A247" s="2" t="str">
        <x:v>S27-T01</x:v>
      </x:c>
      <x:c r="B247" s="2" t="str">
        <x:v>S27</x:v>
      </x:c>
      <x:c r="C247" s="2" t="str">
        <x:v>Extension</x:v>
      </x:c>
      <x:c r="D247" s="11" t="n">
        <x:v>1</x:v>
      </x:c>
      <x:c r="E247" s="11" t="n">
        <x:v>9</x:v>
      </x:c>
      <x:c r="F247" s="2" t="str">
        <x:v>500273514</x:v>
      </x:c>
      <x:c r="G247" s="2" t="str">
        <x:v>S27|500273514</x:v>
      </x:c>
      <x:c r="H247" s="2" t="n">
        <x:f>IFERROR(VLOOKUP(G247,'Ratings'!$A$6:$F$1387,6,FALSE),"Unknown")</x:f>
        <x:v>3</x:v>
      </x:c>
      <x:c r="I247" s="2" t="n">
        <x:f>IF(ISNUMBER(H247),1,0)</x:f>
        <x:v>1</x:v>
      </x:c>
      <x:c r="J247" s="2" t="n">
        <x:f>IF(ISNUMBER(H247),IF(H247&gt;=2,1,0),0)</x:f>
        <x:v>1</x:v>
      </x:c>
      <x:c r="K247" s="14" t="n">
        <x:f>IF(ISNUMBER(H247),2^H247-1,0)</x:f>
        <x:v>7</x:v>
      </x:c>
      <x:c r="L247" s="14" t="n">
        <x:f>K247/LOG(E247+1,2)</x:f>
        <x:v>2.1072099696478683</x:v>
      </x:c>
      <x:c r="M247" s="10" t="n">
        <x:v>4499</x:v>
      </x:c>
      <x:c r="N247" s="10" t="n">
        <x:v>3</x:v>
      </x:c>
      <x:c r="O247" s="10" t="n">
        <x:v>969</x:v>
      </x:c>
      <x:c r="P247" s="2" t="str">
        <x:v>D03</x:v>
      </x:c>
      <x:c r="Q247" s="2" t="str">
        <x:v>hdb flat</x:v>
      </x:c>
      <x:c r="R247" s="2" t="str">
        <x:v>https://www.propertyguru.com.sg/listing/hdb-for-rent-27a-jalan-membina-500273514</x:v>
      </x:c>
      <x:c r="S247" s="2" t="str">
        <x:v>cold_start_exploration</x:v>
      </x:c>
    </x:row>
    <x:row r="248" ht="22" customHeight="1">
      <x:c r="A248" s="2" t="str">
        <x:v>S27-T01</x:v>
      </x:c>
      <x:c r="B248" s="2" t="str">
        <x:v>S27</x:v>
      </x:c>
      <x:c r="C248" s="2" t="str">
        <x:v>Extension</x:v>
      </x:c>
      <x:c r="D248" s="11" t="n">
        <x:v>1</x:v>
      </x:c>
      <x:c r="E248" s="11" t="n">
        <x:v>10</x:v>
      </x:c>
      <x:c r="F248" s="2" t="str">
        <x:v>60120018</x:v>
      </x:c>
      <x:c r="G248" s="2" t="str">
        <x:v>S27|60120018</x:v>
      </x:c>
      <x:c r="H248" s="2" t="n">
        <x:f>IFERROR(VLOOKUP(G248,'Ratings'!$A$6:$F$1387,6,FALSE),"Unknown")</x:f>
        <x:v>3</x:v>
      </x:c>
      <x:c r="I248" s="2" t="n">
        <x:f>IF(ISNUMBER(H248),1,0)</x:f>
        <x:v>1</x:v>
      </x:c>
      <x:c r="J248" s="2" t="n">
        <x:f>IF(ISNUMBER(H248),IF(H248&gt;=2,1,0),0)</x:f>
        <x:v>1</x:v>
      </x:c>
      <x:c r="K248" s="14" t="n">
        <x:f>IF(ISNUMBER(H248),2^H248-1,0)</x:f>
        <x:v>7</x:v>
      </x:c>
      <x:c r="L248" s="14" t="n">
        <x:f>K248/LOG(E248+1,2)</x:f>
        <x:v>2.023453784225215</x:v>
      </x:c>
      <x:c r="M248" s="10" t="n">
        <x:v>4500</x:v>
      </x:c>
      <x:c r="N248" s="10" t="n">
        <x:v>3</x:v>
      </x:c>
      <x:c r="O248" s="10" t="n">
        <x:v>1345</x:v>
      </x:c>
      <x:c r="P248" s="2" t="str">
        <x:v>D05</x:v>
      </x:c>
      <x:c r="Q248" s="2" t="str">
        <x:v>hdb flat</x:v>
      </x:c>
      <x:c r="R248" s="2" t="str">
        <x:v>https://www.propertyguru.com.sg/listing/hdb-for-rent-414-commonwealth-avenue-west-60120018</x:v>
      </x:c>
      <x:c r="S248" s="2" t="str">
        <x:v>cold_start_exploration</x:v>
      </x:c>
    </x:row>
    <x:row r="249" ht="22" customHeight="1">
      <x:c r="A249" s="2" t="str">
        <x:v>S28-T01</x:v>
      </x:c>
      <x:c r="B249" s="2" t="str">
        <x:v>S28</x:v>
      </x:c>
      <x:c r="C249" s="2" t="str">
        <x:v>Extension</x:v>
      </x:c>
      <x:c r="D249" s="11" t="n">
        <x:v>1</x:v>
      </x:c>
      <x:c r="E249" s="11" t="n">
        <x:v>1</x:v>
      </x:c>
      <x:c r="F249" s="2" t="str">
        <x:v>18074957</x:v>
      </x:c>
      <x:c r="G249" s="2" t="str">
        <x:v>S28|18074957</x:v>
      </x:c>
      <x:c r="H249" s="2" t="n">
        <x:f>IFERROR(VLOOKUP(G249,'Ratings'!$A$6:$F$1387,6,FALSE),"Unknown")</x:f>
        <x:v>3</x:v>
      </x:c>
      <x:c r="I249" s="2" t="n">
        <x:f>IF(ISNUMBER(H249),1,0)</x:f>
        <x:v>1</x:v>
      </x:c>
      <x:c r="J249" s="2" t="n">
        <x:f>IF(ISNUMBER(H249),IF(H249&gt;=2,1,0),0)</x:f>
        <x:v>1</x:v>
      </x:c>
      <x:c r="K249" s="14" t="n">
        <x:f>IF(ISNUMBER(H249),2^H249-1,0)</x:f>
        <x:v>7</x:v>
      </x:c>
      <x:c r="L249" s="14" t="n">
        <x:f>K249/LOG(E249+1,2)</x:f>
        <x:v>7</x:v>
      </x:c>
      <x:c r="M249" s="10" t="n">
        <x:v>4500</x:v>
      </x:c>
      <x:c r="N249" s="10" t="n">
        <x:v>3</x:v>
      </x:c>
      <x:c r="O249" s="10" t="n">
        <x:v>1000</x:v>
      </x:c>
      <x:c r="P249" s="2" t="str">
        <x:v>D05</x:v>
      </x:c>
      <x:c r="Q249" s="2" t="str">
        <x:v>hdb flat</x:v>
      </x:c>
      <x:c r="R249" s="2" t="str">
        <x:v>https://www.propertyguru.com.sg/listing/hdb-for-rent-456-clementi-avenue-3-18074957</x:v>
      </x:c>
      <x:c r="S249" s="2" t="str">
        <x:v>cold_start_exploration</x:v>
      </x:c>
    </x:row>
    <x:row r="250" ht="22" customHeight="1">
      <x:c r="A250" s="2" t="str">
        <x:v>S28-T01</x:v>
      </x:c>
      <x:c r="B250" s="2" t="str">
        <x:v>S28</x:v>
      </x:c>
      <x:c r="C250" s="2" t="str">
        <x:v>Extension</x:v>
      </x:c>
      <x:c r="D250" s="11" t="n">
        <x:v>1</x:v>
      </x:c>
      <x:c r="E250" s="11" t="n">
        <x:v>2</x:v>
      </x:c>
      <x:c r="F250" s="2" t="str">
        <x:v>20554943</x:v>
      </x:c>
      <x:c r="G250" s="2" t="str">
        <x:v>S28|20554943</x:v>
      </x:c>
      <x:c r="H250" s="2" t="n">
        <x:f>IFERROR(VLOOKUP(G250,'Ratings'!$A$6:$F$1387,6,FALSE),"Unknown")</x:f>
        <x:v>3</x:v>
      </x:c>
      <x:c r="I250" s="2" t="n">
        <x:f>IF(ISNUMBER(H250),1,0)</x:f>
        <x:v>1</x:v>
      </x:c>
      <x:c r="J250" s="2" t="n">
        <x:f>IF(ISNUMBER(H250),IF(H250&gt;=2,1,0),0)</x:f>
        <x:v>1</x:v>
      </x:c>
      <x:c r="K250" s="14" t="n">
        <x:f>IF(ISNUMBER(H250),2^H250-1,0)</x:f>
        <x:v>7</x:v>
      </x:c>
      <x:c r="L250" s="14" t="n">
        <x:f>K250/LOG(E250+1,2)</x:f>
        <x:v>4.4165082750002025</x:v>
      </x:c>
      <x:c r="M250" s="10" t="n">
        <x:v>4500</x:v>
      </x:c>
      <x:c r="N250" s="10" t="n">
        <x:v>3</x:v>
      </x:c>
      <x:c r="O250" s="10" t="n">
        <x:v>1259</x:v>
      </x:c>
      <x:c r="P250" s="2" t="str">
        <x:v>D03</x:v>
      </x:c>
      <x:c r="Q250" s="2" t="str">
        <x:v>hdb flat</x:v>
      </x:c>
      <x:c r="R250" s="2" t="str">
        <x:v>https://www.propertyguru.com.sg/listing/hdb-for-rent-117-bukit-merah-central-20554943</x:v>
      </x:c>
      <x:c r="S250" s="2" t="str">
        <x:v>cold_start_exploration</x:v>
      </x:c>
    </x:row>
    <x:row r="251" ht="22" customHeight="1">
      <x:c r="A251" s="2" t="str">
        <x:v>S28-T01</x:v>
      </x:c>
      <x:c r="B251" s="2" t="str">
        <x:v>S28</x:v>
      </x:c>
      <x:c r="C251" s="2" t="str">
        <x:v>Extension</x:v>
      </x:c>
      <x:c r="D251" s="11" t="n">
        <x:v>1</x:v>
      </x:c>
      <x:c r="E251" s="11" t="n">
        <x:v>3</x:v>
      </x:c>
      <x:c r="F251" s="2" t="str">
        <x:v>21759366</x:v>
      </x:c>
      <x:c r="G251" s="2" t="str">
        <x:v>S28|21759366</x:v>
      </x:c>
      <x:c r="H251" s="2" t="n">
        <x:f>IFERROR(VLOOKUP(G251,'Ratings'!$A$6:$F$1387,6,FALSE),"Unknown")</x:f>
        <x:v>3</x:v>
      </x:c>
      <x:c r="I251" s="2" t="n">
        <x:f>IF(ISNUMBER(H251),1,0)</x:f>
        <x:v>1</x:v>
      </x:c>
      <x:c r="J251" s="2" t="n">
        <x:f>IF(ISNUMBER(H251),IF(H251&gt;=2,1,0),0)</x:f>
        <x:v>1</x:v>
      </x:c>
      <x:c r="K251" s="14" t="n">
        <x:f>IF(ISNUMBER(H251),2^H251-1,0)</x:f>
        <x:v>7</x:v>
      </x:c>
      <x:c r="L251" s="14" t="n">
        <x:f>K251/LOG(E251+1,2)</x:f>
        <x:v>3.5</x:v>
      </x:c>
      <x:c r="M251" s="10" t="n">
        <x:v>4500</x:v>
      </x:c>
      <x:c r="N251" s="10" t="n">
        <x:v>3</x:v>
      </x:c>
      <x:c r="O251" s="10" t="n">
        <x:v>1260</x:v>
      </x:c>
      <x:c r="P251" s="2" t="str">
        <x:v>D03</x:v>
      </x:c>
      <x:c r="Q251" s="2" t="str">
        <x:v>hdb flat</x:v>
      </x:c>
      <x:c r="R251" s="2" t="str">
        <x:v>https://www.propertyguru.com.sg/listing/hdb-for-rent-117-bukit-merah-central-21759366</x:v>
      </x:c>
      <x:c r="S251" s="2" t="str">
        <x:v>cold_start_exploration</x:v>
      </x:c>
    </x:row>
    <x:row r="252" ht="22" customHeight="1">
      <x:c r="A252" s="2" t="str">
        <x:v>S28-T01</x:v>
      </x:c>
      <x:c r="B252" s="2" t="str">
        <x:v>S28</x:v>
      </x:c>
      <x:c r="C252" s="2" t="str">
        <x:v>Extension</x:v>
      </x:c>
      <x:c r="D252" s="11" t="n">
        <x:v>1</x:v>
      </x:c>
      <x:c r="E252" s="11" t="n">
        <x:v>4</x:v>
      </x:c>
      <x:c r="F252" s="2" t="str">
        <x:v>25447883</x:v>
      </x:c>
      <x:c r="G252" s="2" t="str">
        <x:v>S28|25447883</x:v>
      </x:c>
      <x:c r="H252" s="2" t="n">
        <x:f>IFERROR(VLOOKUP(G252,'Ratings'!$A$6:$F$1387,6,FALSE),"Unknown")</x:f>
        <x:v>3</x:v>
      </x:c>
      <x:c r="I252" s="2" t="n">
        <x:f>IF(ISNUMBER(H252),1,0)</x:f>
        <x:v>1</x:v>
      </x:c>
      <x:c r="J252" s="2" t="n">
        <x:f>IF(ISNUMBER(H252),IF(H252&gt;=2,1,0),0)</x:f>
        <x:v>1</x:v>
      </x:c>
      <x:c r="K252" s="14" t="n">
        <x:f>IF(ISNUMBER(H252),2^H252-1,0)</x:f>
        <x:v>7</x:v>
      </x:c>
      <x:c r="L252" s="14" t="n">
        <x:f>K252/LOG(E252+1,2)</x:f>
        <x:v>3.0147359065137516</x:v>
      </x:c>
      <x:c r="M252" s="10" t="n">
        <x:v>4200</x:v>
      </x:c>
      <x:c r="N252" s="10" t="n">
        <x:v>2</x:v>
      </x:c>
      <x:c r="O252" s="10" t="n">
        <x:v>1033</x:v>
      </x:c>
      <x:c r="P252" s="2" t="str">
        <x:v>D05</x:v>
      </x:c>
      <x:c r="Q252" s="2" t="str">
        <x:v>hdb flat</x:v>
      </x:c>
      <x:c r="R252" s="2" t="str">
        <x:v>https://www.propertyguru.com.sg/listing/hdb-for-rent-28b-dover-crescent-25447883</x:v>
      </x:c>
      <x:c r="S252" s="2" t="str">
        <x:v>cold_start_exploration</x:v>
      </x:c>
    </x:row>
    <x:row r="253" ht="22" customHeight="1">
      <x:c r="A253" s="2" t="str">
        <x:v>S28-T01</x:v>
      </x:c>
      <x:c r="B253" s="2" t="str">
        <x:v>S28</x:v>
      </x:c>
      <x:c r="C253" s="2" t="str">
        <x:v>Extension</x:v>
      </x:c>
      <x:c r="D253" s="11" t="n">
        <x:v>1</x:v>
      </x:c>
      <x:c r="E253" s="11" t="n">
        <x:v>5</x:v>
      </x:c>
      <x:c r="F253" s="2" t="str">
        <x:v>500229761</x:v>
      </x:c>
      <x:c r="G253" s="2" t="str">
        <x:v>S28|500229761</x:v>
      </x:c>
      <x:c r="H253" s="2" t="n">
        <x:f>IFERROR(VLOOKUP(G253,'Ratings'!$A$6:$F$1387,6,FALSE),"Unknown")</x:f>
        <x:v>3</x:v>
      </x:c>
      <x:c r="I253" s="2" t="n">
        <x:f>IF(ISNUMBER(H253),1,0)</x:f>
        <x:v>1</x:v>
      </x:c>
      <x:c r="J253" s="2" t="n">
        <x:f>IF(ISNUMBER(H253),IF(H253&gt;=2,1,0),0)</x:f>
        <x:v>1</x:v>
      </x:c>
      <x:c r="K253" s="14" t="n">
        <x:f>IF(ISNUMBER(H253),2^H253-1,0)</x:f>
        <x:v>7</x:v>
      </x:c>
      <x:c r="L253" s="14" t="n">
        <x:f>K253/LOG(E253+1,2)</x:f>
        <x:v>2.7079696506417914</x:v>
      </x:c>
      <x:c r="M253" s="10" t="n">
        <x:v>4200</x:v>
      </x:c>
      <x:c r="N253" s="10" t="n">
        <x:v>2</x:v>
      </x:c>
      <x:c r="O253" s="10" t="n">
        <x:v>1033</x:v>
      </x:c>
      <x:c r="P253" s="2" t="str">
        <x:v>D05</x:v>
      </x:c>
      <x:c r="Q253" s="2" t="str">
        <x:v>condominium</x:v>
      </x:c>
      <x:c r="R253" s="2" t="str">
        <x:v>https://www.propertyguru.com.sg/listing/for-rent-faber-crest-500229761</x:v>
      </x:c>
      <x:c r="S253" s="2" t="str">
        <x:v>cold_start_exploration</x:v>
      </x:c>
    </x:row>
    <x:row r="254" ht="22" customHeight="1">
      <x:c r="A254" s="2" t="str">
        <x:v>S28-T01</x:v>
      </x:c>
      <x:c r="B254" s="2" t="str">
        <x:v>S28</x:v>
      </x:c>
      <x:c r="C254" s="2" t="str">
        <x:v>Extension</x:v>
      </x:c>
      <x:c r="D254" s="11" t="n">
        <x:v>1</x:v>
      </x:c>
      <x:c r="E254" s="11" t="n">
        <x:v>6</x:v>
      </x:c>
      <x:c r="F254" s="2" t="str">
        <x:v>500246189</x:v>
      </x:c>
      <x:c r="G254" s="2" t="str">
        <x:v>S28|500246189</x:v>
      </x:c>
      <x:c r="H254" s="2" t="n">
        <x:f>IFERROR(VLOOKUP(G254,'Ratings'!$A$6:$F$1387,6,FALSE),"Unknown")</x:f>
        <x:v>3</x:v>
      </x:c>
      <x:c r="I254" s="2" t="n">
        <x:f>IF(ISNUMBER(H254),1,0)</x:f>
        <x:v>1</x:v>
      </x:c>
      <x:c r="J254" s="2" t="n">
        <x:f>IF(ISNUMBER(H254),IF(H254&gt;=2,1,0),0)</x:f>
        <x:v>1</x:v>
      </x:c>
      <x:c r="K254" s="14" t="n">
        <x:f>IF(ISNUMBER(H254),2^H254-1,0)</x:f>
        <x:v>7</x:v>
      </x:c>
      <x:c r="L254" s="14" t="n">
        <x:f>K254/LOG(E254+1,2)</x:f>
        <x:v>2.493450309756155</x:v>
      </x:c>
      <x:c r="M254" s="10" t="n">
        <x:v>4500</x:v>
      </x:c>
      <x:c r="N254" s="10" t="n">
        <x:v>3</x:v>
      </x:c>
      <x:c r="O254" s="10" t="n">
        <x:v>1011</x:v>
      </x:c>
      <x:c r="P254" s="2" t="str">
        <x:v>D03</x:v>
      </x:c>
      <x:c r="Q254" s="2" t="str">
        <x:v>hdb flat</x:v>
      </x:c>
      <x:c r="R254" s="2" t="str">
        <x:v>https://www.propertyguru.com.sg/listing/hdb-for-rent-126c-kim-tian-road-500246189</x:v>
      </x:c>
      <x:c r="S254" s="2" t="str">
        <x:v>cold_start_exploration</x:v>
      </x:c>
    </x:row>
    <x:row r="255" ht="22" customHeight="1">
      <x:c r="A255" s="2" t="str">
        <x:v>S28-T01</x:v>
      </x:c>
      <x:c r="B255" s="2" t="str">
        <x:v>S28</x:v>
      </x:c>
      <x:c r="C255" s="2" t="str">
        <x:v>Extension</x:v>
      </x:c>
      <x:c r="D255" s="11" t="n">
        <x:v>1</x:v>
      </x:c>
      <x:c r="E255" s="11" t="n">
        <x:v>7</x:v>
      </x:c>
      <x:c r="F255" s="2" t="str">
        <x:v>500251234</x:v>
      </x:c>
      <x:c r="G255" s="2" t="str">
        <x:v>S28|500251234</x:v>
      </x:c>
      <x:c r="H255" s="2" t="n">
        <x:f>IFERROR(VLOOKUP(G255,'Ratings'!$A$6:$F$1387,6,FALSE),"Unknown")</x:f>
        <x:v>3</x:v>
      </x:c>
      <x:c r="I255" s="2" t="n">
        <x:f>IF(ISNUMBER(H255),1,0)</x:f>
        <x:v>1</x:v>
      </x:c>
      <x:c r="J255" s="2" t="n">
        <x:f>IF(ISNUMBER(H255),IF(H255&gt;=2,1,0),0)</x:f>
        <x:v>1</x:v>
      </x:c>
      <x:c r="K255" s="14" t="n">
        <x:f>IF(ISNUMBER(H255),2^H255-1,0)</x:f>
        <x:v>7</x:v>
      </x:c>
      <x:c r="L255" s="14" t="n">
        <x:f>K255/LOG(E255+1,2)</x:f>
        <x:v>2.3333333333333335</x:v>
      </x:c>
      <x:c r="M255" s="10" t="n">
        <x:v>3900</x:v>
      </x:c>
      <x:c r="N255" s="10" t="n">
        <x:v>3</x:v>
      </x:c>
      <x:c r="O255" s="10" t="n">
        <x:v>1000</x:v>
      </x:c>
      <x:c r="P255" s="2" t="str">
        <x:v>D05</x:v>
      </x:c>
      <x:c r="Q255" s="2" t="str">
        <x:v>hdb flat</x:v>
      </x:c>
      <x:c r="R255" s="2" t="str">
        <x:v>https://www.propertyguru.com.sg/listing/hdb-for-rent-506-west-coast-drive-500251234</x:v>
      </x:c>
      <x:c r="S255" s="2" t="str">
        <x:v>cold_start_exploration</x:v>
      </x:c>
    </x:row>
    <x:row r="256" ht="22" customHeight="1">
      <x:c r="A256" s="2" t="str">
        <x:v>S28-T01</x:v>
      </x:c>
      <x:c r="B256" s="2" t="str">
        <x:v>S28</x:v>
      </x:c>
      <x:c r="C256" s="2" t="str">
        <x:v>Extension</x:v>
      </x:c>
      <x:c r="D256" s="11" t="n">
        <x:v>1</x:v>
      </x:c>
      <x:c r="E256" s="11" t="n">
        <x:v>8</x:v>
      </x:c>
      <x:c r="F256" s="2" t="str">
        <x:v>500265058</x:v>
      </x:c>
      <x:c r="G256" s="2" t="str">
        <x:v>S28|500265058</x:v>
      </x:c>
      <x:c r="H256" s="2" t="n">
        <x:f>IFERROR(VLOOKUP(G256,'Ratings'!$A$6:$F$1387,6,FALSE),"Unknown")</x:f>
        <x:v>3</x:v>
      </x:c>
      <x:c r="I256" s="2" t="n">
        <x:f>IF(ISNUMBER(H256),1,0)</x:f>
        <x:v>1</x:v>
      </x:c>
      <x:c r="J256" s="2" t="n">
        <x:f>IF(ISNUMBER(H256),IF(H256&gt;=2,1,0),0)</x:f>
        <x:v>1</x:v>
      </x:c>
      <x:c r="K256" s="14" t="n">
        <x:f>IF(ISNUMBER(H256),2^H256-1,0)</x:f>
        <x:v>7</x:v>
      </x:c>
      <x:c r="L256" s="14" t="n">
        <x:f>K256/LOG(E256+1,2)</x:f>
        <x:v>2.208254137500101</x:v>
      </x:c>
      <x:c r="M256" s="10" t="n">
        <x:v>4300</x:v>
      </x:c>
      <x:c r="N256" s="10" t="n">
        <x:v>3</x:v>
      </x:c>
      <x:c r="O256" s="10" t="n">
        <x:v>1000</x:v>
      </x:c>
      <x:c r="P256" s="2" t="str">
        <x:v>D05</x:v>
      </x:c>
      <x:c r="Q256" s="2" t="str">
        <x:v>hdb flat</x:v>
      </x:c>
      <x:c r="R256" s="2" t="str">
        <x:v>https://www.propertyguru.com.sg/listing/hdb-for-rent-359-clementi-avenue-2-500265058</x:v>
      </x:c>
      <x:c r="S256" s="2" t="str">
        <x:v>cold_start_exploration</x:v>
      </x:c>
    </x:row>
    <x:row r="257" ht="22" customHeight="1">
      <x:c r="A257" s="2" t="str">
        <x:v>S28-T01</x:v>
      </x:c>
      <x:c r="B257" s="2" t="str">
        <x:v>S28</x:v>
      </x:c>
      <x:c r="C257" s="2" t="str">
        <x:v>Extension</x:v>
      </x:c>
      <x:c r="D257" s="11" t="n">
        <x:v>1</x:v>
      </x:c>
      <x:c r="E257" s="11" t="n">
        <x:v>9</x:v>
      </x:c>
      <x:c r="F257" s="2" t="str">
        <x:v>500265127</x:v>
      </x:c>
      <x:c r="G257" s="2" t="str">
        <x:v>S28|500265127</x:v>
      </x:c>
      <x:c r="H257" s="2" t="n">
        <x:f>IFERROR(VLOOKUP(G257,'Ratings'!$A$6:$F$1387,6,FALSE),"Unknown")</x:f>
        <x:v>3</x:v>
      </x:c>
      <x:c r="I257" s="2" t="n">
        <x:f>IF(ISNUMBER(H257),1,0)</x:f>
        <x:v>1</x:v>
      </x:c>
      <x:c r="J257" s="2" t="n">
        <x:f>IF(ISNUMBER(H257),IF(H257&gt;=2,1,0),0)</x:f>
        <x:v>1</x:v>
      </x:c>
      <x:c r="K257" s="14" t="n">
        <x:f>IF(ISNUMBER(H257),2^H257-1,0)</x:f>
        <x:v>7</x:v>
      </x:c>
      <x:c r="L257" s="14" t="n">
        <x:f>K257/LOG(E257+1,2)</x:f>
        <x:v>2.1072099696478683</x:v>
      </x:c>
      <x:c r="M257" s="10" t="n">
        <x:v>4200</x:v>
      </x:c>
      <x:c r="N257" s="10" t="n">
        <x:v>2</x:v>
      </x:c>
      <x:c r="O257" s="10" t="n">
        <x:v>1032</x:v>
      </x:c>
      <x:c r="P257" s="2" t="str">
        <x:v>D05</x:v>
      </x:c>
      <x:c r="Q257" s="2" t="str">
        <x:v>hdb flat</x:v>
      </x:c>
      <x:c r="R257" s="2" t="str">
        <x:v>https://www.propertyguru.com.sg/listing/hdb-for-rent-28b-dover-crescent-500265127</x:v>
      </x:c>
      <x:c r="S257" s="2" t="str">
        <x:v>cold_start_exploration</x:v>
      </x:c>
    </x:row>
    <x:row r="258" ht="22" customHeight="1">
      <x:c r="A258" s="2" t="str">
        <x:v>S28-T01</x:v>
      </x:c>
      <x:c r="B258" s="2" t="str">
        <x:v>S28</x:v>
      </x:c>
      <x:c r="C258" s="2" t="str">
        <x:v>Extension</x:v>
      </x:c>
      <x:c r="D258" s="11" t="n">
        <x:v>1</x:v>
      </x:c>
      <x:c r="E258" s="11" t="n">
        <x:v>10</x:v>
      </x:c>
      <x:c r="F258" s="2" t="str">
        <x:v>60120018</x:v>
      </x:c>
      <x:c r="G258" s="2" t="str">
        <x:v>S28|60120018</x:v>
      </x:c>
      <x:c r="H258" s="2" t="n">
        <x:f>IFERROR(VLOOKUP(G258,'Ratings'!$A$6:$F$1387,6,FALSE),"Unknown")</x:f>
        <x:v>3</x:v>
      </x:c>
      <x:c r="I258" s="2" t="n">
        <x:f>IF(ISNUMBER(H258),1,0)</x:f>
        <x:v>1</x:v>
      </x:c>
      <x:c r="J258" s="2" t="n">
        <x:f>IF(ISNUMBER(H258),IF(H258&gt;=2,1,0),0)</x:f>
        <x:v>1</x:v>
      </x:c>
      <x:c r="K258" s="14" t="n">
        <x:f>IF(ISNUMBER(H258),2^H258-1,0)</x:f>
        <x:v>7</x:v>
      </x:c>
      <x:c r="L258" s="14" t="n">
        <x:f>K258/LOG(E258+1,2)</x:f>
        <x:v>2.023453784225215</x:v>
      </x:c>
      <x:c r="M258" s="10" t="n">
        <x:v>4500</x:v>
      </x:c>
      <x:c r="N258" s="10" t="n">
        <x:v>3</x:v>
      </x:c>
      <x:c r="O258" s="10" t="n">
        <x:v>1345</x:v>
      </x:c>
      <x:c r="P258" s="2" t="str">
        <x:v>D05</x:v>
      </x:c>
      <x:c r="Q258" s="2" t="str">
        <x:v>hdb flat</x:v>
      </x:c>
      <x:c r="R258" s="2" t="str">
        <x:v>https://www.propertyguru.com.sg/listing/hdb-for-rent-414-commonwealth-avenue-west-60120018</x:v>
      </x:c>
      <x:c r="S258" s="2" t="str">
        <x:v>cold_start_exploration</x:v>
      </x:c>
    </x:row>
    <x:row r="259" ht="22" customHeight="1">
      <x:c r="A259" s="2" t="str">
        <x:v>S29-T01</x:v>
      </x:c>
      <x:c r="B259" s="2" t="str">
        <x:v>S29</x:v>
      </x:c>
      <x:c r="C259" s="2" t="str">
        <x:v>Extension</x:v>
      </x:c>
      <x:c r="D259" s="11" t="n">
        <x:v>1</x:v>
      </x:c>
      <x:c r="E259" s="11" t="n">
        <x:v>1</x:v>
      </x:c>
      <x:c r="F259" s="2" t="str">
        <x:v>25342943</x:v>
      </x:c>
      <x:c r="G259" s="2" t="str">
        <x:v>S29|25342943</x:v>
      </x:c>
      <x:c r="H259" s="2" t="n">
        <x:f>IFERROR(VLOOKUP(G259,'Ratings'!$A$6:$F$1387,6,FALSE),"Unknown")</x:f>
        <x:v>3</x:v>
      </x:c>
      <x:c r="I259" s="2" t="n">
        <x:f>IF(ISNUMBER(H259),1,0)</x:f>
        <x:v>1</x:v>
      </x:c>
      <x:c r="J259" s="2" t="n">
        <x:f>IF(ISNUMBER(H259),IF(H259&gt;=2,1,0),0)</x:f>
        <x:v>1</x:v>
      </x:c>
      <x:c r="K259" s="14" t="n">
        <x:f>IF(ISNUMBER(H259),2^H259-1,0)</x:f>
        <x:v>7</x:v>
      </x:c>
      <x:c r="L259" s="14" t="n">
        <x:f>K259/LOG(E259+1,2)</x:f>
        <x:v>7</x:v>
      </x:c>
      <x:c r="M259" s="10" t="n">
        <x:v>2600</x:v>
      </x:c>
      <x:c r="N259" s="10" t="n">
        <x:v>2</x:v>
      </x:c>
      <x:c r="O259" s="10" t="n">
        <x:v>1100</x:v>
      </x:c>
      <x:c r="P259" s="2" t="str">
        <x:v>D23</x:v>
      </x:c>
      <x:c r="Q259" s="2" t="str">
        <x:v>hdb flat</x:v>
      </x:c>
      <x:c r="R259" s="2" t="str">
        <x:v>https://www.propertyguru.com.sg/listing/hdb-for-rent-220-choa-chu-kang-central-25342943</x:v>
      </x:c>
      <x:c r="S259" s="2" t="str">
        <x:v>cold_start_exploration</x:v>
      </x:c>
    </x:row>
    <x:row r="260" ht="22" customHeight="1">
      <x:c r="A260" s="2" t="str">
        <x:v>S29-T01</x:v>
      </x:c>
      <x:c r="B260" s="2" t="str">
        <x:v>S29</x:v>
      </x:c>
      <x:c r="C260" s="2" t="str">
        <x:v>Extension</x:v>
      </x:c>
      <x:c r="D260" s="11" t="n">
        <x:v>1</x:v>
      </x:c>
      <x:c r="E260" s="11" t="n">
        <x:v>2</x:v>
      </x:c>
      <x:c r="F260" s="2" t="str">
        <x:v>500269618</x:v>
      </x:c>
      <x:c r="G260" s="2" t="str">
        <x:v>S29|500269618</x:v>
      </x:c>
      <x:c r="H260" s="2" t="n">
        <x:f>IFERROR(VLOOKUP(G260,'Ratings'!$A$6:$F$1387,6,FALSE),"Unknown")</x:f>
        <x:v>3</x:v>
      </x:c>
      <x:c r="I260" s="2" t="n">
        <x:f>IF(ISNUMBER(H260),1,0)</x:f>
        <x:v>1</x:v>
      </x:c>
      <x:c r="J260" s="2" t="n">
        <x:f>IF(ISNUMBER(H260),IF(H260&gt;=2,1,0),0)</x:f>
        <x:v>1</x:v>
      </x:c>
      <x:c r="K260" s="14" t="n">
        <x:f>IF(ISNUMBER(H260),2^H260-1,0)</x:f>
        <x:v>7</x:v>
      </x:c>
      <x:c r="L260" s="14" t="n">
        <x:f>K260/LOG(E260+1,2)</x:f>
        <x:v>4.4165082750002025</x:v>
      </x:c>
      <x:c r="M260" s="10" t="n">
        <x:v>1100</x:v>
      </x:c>
      <x:c r="N260" s="10" t="n">
        <x:v>3</x:v>
      </x:c>
      <x:c r="O260" s="10" t="n">
        <x:v>947</x:v>
      </x:c>
      <x:c r="P260" s="2" t="str">
        <x:v>D20</x:v>
      </x:c>
      <x:c r="Q260" s="2" t="str">
        <x:v>hdb flat</x:v>
      </x:c>
      <x:c r="R260" s="2" t="str">
        <x:v>https://www.propertyguru.com.sg/listing/hdb-for-rent-25-sin-ming-road-500269618</x:v>
      </x:c>
      <x:c r="S260" s="2" t="str">
        <x:v>cold_start_exploration</x:v>
      </x:c>
    </x:row>
    <x:row r="261" ht="22" customHeight="1">
      <x:c r="A261" s="2" t="str">
        <x:v>S29-T01</x:v>
      </x:c>
      <x:c r="B261" s="2" t="str">
        <x:v>S29</x:v>
      </x:c>
      <x:c r="C261" s="2" t="str">
        <x:v>Extension</x:v>
      </x:c>
      <x:c r="D261" s="11" t="n">
        <x:v>1</x:v>
      </x:c>
      <x:c r="E261" s="11" t="n">
        <x:v>3</x:v>
      </x:c>
      <x:c r="F261" s="2" t="str">
        <x:v>500281545</x:v>
      </x:c>
      <x:c r="G261" s="2" t="str">
        <x:v>S29|500281545</x:v>
      </x:c>
      <x:c r="H261" s="2" t="n">
        <x:f>IFERROR(VLOOKUP(G261,'Ratings'!$A$6:$F$1387,6,FALSE),"Unknown")</x:f>
        <x:v>3</x:v>
      </x:c>
      <x:c r="I261" s="2" t="n">
        <x:f>IF(ISNUMBER(H261),1,0)</x:f>
        <x:v>1</x:v>
      </x:c>
      <x:c r="J261" s="2" t="n">
        <x:f>IF(ISNUMBER(H261),IF(H261&gt;=2,1,0),0)</x:f>
        <x:v>1</x:v>
      </x:c>
      <x:c r="K261" s="14" t="n">
        <x:f>IF(ISNUMBER(H261),2^H261-1,0)</x:f>
        <x:v>7</x:v>
      </x:c>
      <x:c r="L261" s="14" t="n">
        <x:f>K261/LOG(E261+1,2)</x:f>
        <x:v>3.5</x:v>
      </x:c>
      <x:c r="M261" s="10" t="n">
        <x:v>700</x:v>
      </x:c>
      <x:c r="N261" s="10" t="n">
        <x:v>3</x:v>
      </x:c>
      <x:c r="O261" s="10" t="n">
        <x:v>904</x:v>
      </x:c>
      <x:c r="P261" s="2" t="str">
        <x:v>D18</x:v>
      </x:c>
      <x:c r="Q261" s="2" t="str">
        <x:v>hdb flat</x:v>
      </x:c>
      <x:c r="R261" s="2" t="str">
        <x:v>https://www.propertyguru.com.sg/listing/hdb-for-rent-832-tampines-street-82-500281545</x:v>
      </x:c>
      <x:c r="S261" s="2" t="str">
        <x:v>cold_start_exploration</x:v>
      </x:c>
    </x:row>
    <x:row r="262" ht="22" customHeight="1">
      <x:c r="A262" s="2" t="str">
        <x:v>S29-T01</x:v>
      </x:c>
      <x:c r="B262" s="2" t="str">
        <x:v>S29</x:v>
      </x:c>
      <x:c r="C262" s="2" t="str">
        <x:v>Extension</x:v>
      </x:c>
      <x:c r="D262" s="11" t="n">
        <x:v>1</x:v>
      </x:c>
      <x:c r="E262" s="11" t="n">
        <x:v>4</x:v>
      </x:c>
      <x:c r="F262" s="2" t="str">
        <x:v>20160391</x:v>
      </x:c>
      <x:c r="G262" s="2" t="str">
        <x:v>S29|20160391</x:v>
      </x:c>
      <x:c r="H262" s="2" t="n">
        <x:f>IFERROR(VLOOKUP(G262,'Ratings'!$A$6:$F$1387,6,FALSE),"Unknown")</x:f>
        <x:v>2</x:v>
      </x:c>
      <x:c r="I262" s="2" t="n">
        <x:f>IF(ISNUMBER(H262),1,0)</x:f>
        <x:v>1</x:v>
      </x:c>
      <x:c r="J262" s="2" t="n">
        <x:f>IF(ISNUMBER(H262),IF(H262&gt;=2,1,0),0)</x:f>
        <x:v>1</x:v>
      </x:c>
      <x:c r="K262" s="14" t="n">
        <x:f>IF(ISNUMBER(H262),2^H262-1,0)</x:f>
        <x:v>3</x:v>
      </x:c>
      <x:c r="L262" s="14" t="n">
        <x:f>K262/LOG(E262+1,2)</x:f>
        <x:v>1.2920296742201793</x:v>
      </x:c>
      <x:c r="M262" s="10" t="n">
        <x:v>2800</x:v>
      </x:c>
      <x:c r="N262" s="10" t="n">
        <x:v>2</x:v>
      </x:c>
      <x:c r="O262" s="10" t="n">
        <x:v>731</x:v>
      </x:c>
      <x:c r="P262" s="2" t="str">
        <x:v>D20</x:v>
      </x:c>
      <x:c r="Q262" s="2" t="str">
        <x:v>hdb flat</x:v>
      </x:c>
      <x:c r="R262" s="2" t="str">
        <x:v>https://www.propertyguru.com.sg/listing/hdb-for-rent-22-sin-ming-road-20160391</x:v>
      </x:c>
      <x:c r="S262" s="2" t="str">
        <x:v>cold_start_exploration</x:v>
      </x:c>
    </x:row>
    <x:row r="263" ht="22" customHeight="1">
      <x:c r="A263" s="2" t="str">
        <x:v>S29-T01</x:v>
      </x:c>
      <x:c r="B263" s="2" t="str">
        <x:v>S29</x:v>
      </x:c>
      <x:c r="C263" s="2" t="str">
        <x:v>Extension</x:v>
      </x:c>
      <x:c r="D263" s="11" t="n">
        <x:v>1</x:v>
      </x:c>
      <x:c r="E263" s="11" t="n">
        <x:v>5</x:v>
      </x:c>
      <x:c r="F263" s="2" t="str">
        <x:v>21789856</x:v>
      </x:c>
      <x:c r="G263" s="2" t="str">
        <x:v>S29|21789856</x:v>
      </x:c>
      <x:c r="H263" s="2" t="n">
        <x:f>IFERROR(VLOOKUP(G263,'Ratings'!$A$6:$F$1387,6,FALSE),"Unknown")</x:f>
        <x:v>2</x:v>
      </x:c>
      <x:c r="I263" s="2" t="n">
        <x:f>IF(ISNUMBER(H263),1,0)</x:f>
        <x:v>1</x:v>
      </x:c>
      <x:c r="J263" s="2" t="n">
        <x:f>IF(ISNUMBER(H263),IF(H263&gt;=2,1,0),0)</x:f>
        <x:v>1</x:v>
      </x:c>
      <x:c r="K263" s="14" t="n">
        <x:f>IF(ISNUMBER(H263),2^H263-1,0)</x:f>
        <x:v>3</x:v>
      </x:c>
      <x:c r="L263" s="14" t="n">
        <x:f>K263/LOG(E263+1,2)</x:f>
        <x:v>1.1605584217036249</x:v>
      </x:c>
      <x:c r="M263" s="10" t="n">
        <x:v>2250</x:v>
      </x:c>
      <x:c r="N263" s="10" t="n">
        <x:v>2</x:v>
      </x:c>
      <x:c r="O263" s="10" t="n">
        <x:v>645</x:v>
      </x:c>
      <x:c r="P263" s="2" t="str">
        <x:v>D20</x:v>
      </x:c>
      <x:c r="Q263" s="2" t="str">
        <x:v>hdb flat</x:v>
      </x:c>
      <x:c r="R263" s="2" t="str">
        <x:v>https://www.propertyguru.com.sg/listing/hdb-for-rent-137-bishan-street-12-21789856</x:v>
      </x:c>
      <x:c r="S263" s="2" t="str">
        <x:v>cold_start_exploration</x:v>
      </x:c>
    </x:row>
    <x:row r="264" ht="22" customHeight="1">
      <x:c r="A264" s="2" t="str">
        <x:v>S29-T01</x:v>
      </x:c>
      <x:c r="B264" s="2" t="str">
        <x:v>S29</x:v>
      </x:c>
      <x:c r="C264" s="2" t="str">
        <x:v>Extension</x:v>
      </x:c>
      <x:c r="D264" s="11" t="n">
        <x:v>1</x:v>
      </x:c>
      <x:c r="E264" s="11" t="n">
        <x:v>6</x:v>
      </x:c>
      <x:c r="F264" s="2" t="str">
        <x:v>500262772</x:v>
      </x:c>
      <x:c r="G264" s="2" t="str">
        <x:v>S29|500262772</x:v>
      </x:c>
      <x:c r="H264" s="2" t="n">
        <x:f>IFERROR(VLOOKUP(G264,'Ratings'!$A$6:$F$1387,6,FALSE),"Unknown")</x:f>
        <x:v>2</x:v>
      </x:c>
      <x:c r="I264" s="2" t="n">
        <x:f>IF(ISNUMBER(H264),1,0)</x:f>
        <x:v>1</x:v>
      </x:c>
      <x:c r="J264" s="2" t="n">
        <x:f>IF(ISNUMBER(H264),IF(H264&gt;=2,1,0),0)</x:f>
        <x:v>1</x:v>
      </x:c>
      <x:c r="K264" s="14" t="n">
        <x:f>IF(ISNUMBER(H264),2^H264-1,0)</x:f>
        <x:v>3</x:v>
      </x:c>
      <x:c r="L264" s="14" t="n">
        <x:f>K264/LOG(E264+1,2)</x:f>
        <x:v>1.0686215613240666</x:v>
      </x:c>
      <x:c r="M264" s="10" t="n">
        <x:v>2800</x:v>
      </x:c>
      <x:c r="N264" s="10" t="n">
        <x:v>2</x:v>
      </x:c>
      <x:c r="O264" s="10" t="n">
        <x:v>721</x:v>
      </x:c>
      <x:c r="P264" s="2" t="str">
        <x:v>D19</x:v>
      </x:c>
      <x:c r="Q264" s="2" t="str">
        <x:v>hdb flat</x:v>
      </x:c>
      <x:c r="R264" s="2" t="str">
        <x:v>https://www.propertyguru.com.sg/listing/hdb-for-rent-327-hougang-avenue-5-500262772</x:v>
      </x:c>
      <x:c r="S264" s="2" t="str">
        <x:v>cold_start_exploration</x:v>
      </x:c>
    </x:row>
    <x:row r="265" ht="22" customHeight="1">
      <x:c r="A265" s="2" t="str">
        <x:v>S29-T01</x:v>
      </x:c>
      <x:c r="B265" s="2" t="str">
        <x:v>S29</x:v>
      </x:c>
      <x:c r="C265" s="2" t="str">
        <x:v>Extension</x:v>
      </x:c>
      <x:c r="D265" s="11" t="n">
        <x:v>1</x:v>
      </x:c>
      <x:c r="E265" s="11" t="n">
        <x:v>7</x:v>
      </x:c>
      <x:c r="F265" s="2" t="str">
        <x:v>500269987</x:v>
      </x:c>
      <x:c r="G265" s="2" t="str">
        <x:v>S29|500269987</x:v>
      </x:c>
      <x:c r="H265" s="2" t="n">
        <x:f>IFERROR(VLOOKUP(G265,'Ratings'!$A$6:$F$1387,6,FALSE),"Unknown")</x:f>
        <x:v>2</x:v>
      </x:c>
      <x:c r="I265" s="2" t="n">
        <x:f>IF(ISNUMBER(H265),1,0)</x:f>
        <x:v>1</x:v>
      </x:c>
      <x:c r="J265" s="2" t="n">
        <x:f>IF(ISNUMBER(H265),IF(H265&gt;=2,1,0),0)</x:f>
        <x:v>1</x:v>
      </x:c>
      <x:c r="K265" s="14" t="n">
        <x:f>IF(ISNUMBER(H265),2^H265-1,0)</x:f>
        <x:v>3</x:v>
      </x:c>
      <x:c r="L265" s="14" t="n">
        <x:f>K265/LOG(E265+1,2)</x:f>
        <x:v>1</x:v>
      </x:c>
      <x:c r="M265" s="10" t="n">
        <x:v>2700</x:v>
      </x:c>
      <x:c r="N265" s="10" t="n">
        <x:v>2</x:v>
      </x:c>
      <x:c r="O265" s="10" t="n">
        <x:v>735</x:v>
      </x:c>
      <x:c r="P265" s="2" t="str">
        <x:v>D18</x:v>
      </x:c>
      <x:c r="Q265" s="2" t="str">
        <x:v>hdb flat</x:v>
      </x:c>
      <x:c r="R265" s="2" t="str">
        <x:v>https://www.propertyguru.com.sg/listing/hdb-for-rent-292-tampines-street-22-500269987</x:v>
      </x:c>
      <x:c r="S265" s="2" t="str">
        <x:v>cold_start_exploration</x:v>
      </x:c>
    </x:row>
    <x:row r="266" ht="22" customHeight="1">
      <x:c r="A266" s="2" t="str">
        <x:v>S29-T01</x:v>
      </x:c>
      <x:c r="B266" s="2" t="str">
        <x:v>S29</x:v>
      </x:c>
      <x:c r="C266" s="2" t="str">
        <x:v>Extension</x:v>
      </x:c>
      <x:c r="D266" s="11" t="n">
        <x:v>1</x:v>
      </x:c>
      <x:c r="E266" s="11" t="n">
        <x:v>8</x:v>
      </x:c>
      <x:c r="F266" s="2" t="str">
        <x:v>500272688</x:v>
      </x:c>
      <x:c r="G266" s="2" t="str">
        <x:v>S29|500272688</x:v>
      </x:c>
      <x:c r="H266" s="2" t="n">
        <x:f>IFERROR(VLOOKUP(G266,'Ratings'!$A$6:$F$1387,6,FALSE),"Unknown")</x:f>
        <x:v>2</x:v>
      </x:c>
      <x:c r="I266" s="2" t="n">
        <x:f>IF(ISNUMBER(H266),1,0)</x:f>
        <x:v>1</x:v>
      </x:c>
      <x:c r="J266" s="2" t="n">
        <x:f>IF(ISNUMBER(H266),IF(H266&gt;=2,1,0),0)</x:f>
        <x:v>1</x:v>
      </x:c>
      <x:c r="K266" s="14" t="n">
        <x:f>IF(ISNUMBER(H266),2^H266-1,0)</x:f>
        <x:v>3</x:v>
      </x:c>
      <x:c r="L266" s="14" t="n">
        <x:f>K266/LOG(E266+1,2)</x:f>
        <x:v>0.9463946303571861</x:v>
      </x:c>
      <x:c r="M266" s="10" t="n">
        <x:v>2700</x:v>
      </x:c>
      <x:c r="N266" s="10" t="n">
        <x:v>2</x:v>
      </x:c>
      <x:c r="O266" s="10" t="n">
        <x:v>735</x:v>
      </x:c>
      <x:c r="P266" s="2" t="str">
        <x:v>D18</x:v>
      </x:c>
      <x:c r="Q266" s="2" t="str">
        <x:v>hdb flat</x:v>
      </x:c>
      <x:c r="R266" s="2" t="str">
        <x:v>https://www.propertyguru.com.sg/listing/hdb-for-rent-219-tampines-street-24-500272688</x:v>
      </x:c>
      <x:c r="S266" s="2" t="str">
        <x:v>cold_start_exploration</x:v>
      </x:c>
    </x:row>
    <x:row r="267" ht="22" customHeight="1">
      <x:c r="A267" s="2" t="str">
        <x:v>S29-T01</x:v>
      </x:c>
      <x:c r="B267" s="2" t="str">
        <x:v>S29</x:v>
      </x:c>
      <x:c r="C267" s="2" t="str">
        <x:v>Extension</x:v>
      </x:c>
      <x:c r="D267" s="11" t="n">
        <x:v>1</x:v>
      </x:c>
      <x:c r="E267" s="11" t="n">
        <x:v>9</x:v>
      </x:c>
      <x:c r="F267" s="2" t="str">
        <x:v>500287819</x:v>
      </x:c>
      <x:c r="G267" s="2" t="str">
        <x:v>S29|500287819</x:v>
      </x:c>
      <x:c r="H267" s="2" t="n">
        <x:f>IFERROR(VLOOKUP(G267,'Ratings'!$A$6:$F$1387,6,FALSE),"Unknown")</x:f>
        <x:v>2</x:v>
      </x:c>
      <x:c r="I267" s="2" t="n">
        <x:f>IF(ISNUMBER(H267),1,0)</x:f>
        <x:v>1</x:v>
      </x:c>
      <x:c r="J267" s="2" t="n">
        <x:f>IF(ISNUMBER(H267),IF(H267&gt;=2,1,0),0)</x:f>
        <x:v>1</x:v>
      </x:c>
      <x:c r="K267" s="14" t="n">
        <x:f>IF(ISNUMBER(H267),2^H267-1,0)</x:f>
        <x:v>3</x:v>
      </x:c>
      <x:c r="L267" s="14" t="n">
        <x:f>K267/LOG(E267+1,2)</x:f>
        <x:v>0.9030899869919435</x:v>
      </x:c>
      <x:c r="M267" s="10" t="n">
        <x:v>2800</x:v>
      </x:c>
      <x:c r="N267" s="10" t="n">
        <x:v>2</x:v>
      </x:c>
      <x:c r="O267" s="10" t="n">
        <x:v>750</x:v>
      </x:c>
      <x:c r="P267" s="2" t="str">
        <x:v>D23</x:v>
      </x:c>
      <x:c r="Q267" s="2" t="str">
        <x:v>hdb flat</x:v>
      </x:c>
      <x:c r="R267" s="2" t="str">
        <x:v>https://www.propertyguru.com.sg/listing/hdb-for-rent-442b-fajar-road-500287819</x:v>
      </x:c>
      <x:c r="S267" s="2" t="str">
        <x:v>cold_start_exploration</x:v>
      </x:c>
    </x:row>
    <x:row r="268" ht="22" customHeight="1">
      <x:c r="A268" s="2" t="str">
        <x:v>S29-T01</x:v>
      </x:c>
      <x:c r="B268" s="2" t="str">
        <x:v>S29</x:v>
      </x:c>
      <x:c r="C268" s="2" t="str">
        <x:v>Extension</x:v>
      </x:c>
      <x:c r="D268" s="11" t="n">
        <x:v>1</x:v>
      </x:c>
      <x:c r="E268" s="11" t="n">
        <x:v>10</x:v>
      </x:c>
      <x:c r="F268" s="2" t="str">
        <x:v>500288134</x:v>
      </x:c>
      <x:c r="G268" s="2" t="str">
        <x:v>S29|500288134</x:v>
      </x:c>
      <x:c r="H268" s="2" t="n">
        <x:f>IFERROR(VLOOKUP(G268,'Ratings'!$A$6:$F$1387,6,FALSE),"Unknown")</x:f>
        <x:v>2</x:v>
      </x:c>
      <x:c r="I268" s="2" t="n">
        <x:f>IF(ISNUMBER(H268),1,0)</x:f>
        <x:v>1</x:v>
      </x:c>
      <x:c r="J268" s="2" t="n">
        <x:f>IF(ISNUMBER(H268),IF(H268&gt;=2,1,0),0)</x:f>
        <x:v>1</x:v>
      </x:c>
      <x:c r="K268" s="14" t="n">
        <x:f>IF(ISNUMBER(H268),2^H268-1,0)</x:f>
        <x:v>3</x:v>
      </x:c>
      <x:c r="L268" s="14" t="n">
        <x:f>K268/LOG(E268+1,2)</x:f>
        <x:v>0.8671944789536634</x:v>
      </x:c>
      <x:c r="M268" s="10" t="n">
        <x:v>2800</x:v>
      </x:c>
      <x:c r="N268" s="10" t="n">
        <x:v>2</x:v>
      </x:c>
      <x:c r="O268" s="10" t="n">
        <x:v>731</x:v>
      </x:c>
      <x:c r="P268" s="2" t="str">
        <x:v>D19</x:v>
      </x:c>
      <x:c r="Q268" s="2" t="str">
        <x:v>hdb flat</x:v>
      </x:c>
      <x:c r="R268" s="2" t="str">
        <x:v>https://www.propertyguru.com.sg/listing/hdb-for-rent-401-hougang-avenue-10-500288134</x:v>
      </x:c>
      <x:c r="S268" s="2" t="str">
        <x:v>cold_start_exploration</x:v>
      </x:c>
    </x:row>
    <x:row r="269" ht="22" customHeight="1">
      <x:c r="A269" s="2" t="str">
        <x:v>S30-T01</x:v>
      </x:c>
      <x:c r="B269" s="2" t="str">
        <x:v>S30</x:v>
      </x:c>
      <x:c r="C269" s="2" t="str">
        <x:v>Extension</x:v>
      </x:c>
      <x:c r="D269" s="11" t="n">
        <x:v>1</x:v>
      </x:c>
      <x:c r="E269" s="11" t="n">
        <x:v>1</x:v>
      </x:c>
      <x:c r="F269" s="2" t="str">
        <x:v>21621461</x:v>
      </x:c>
      <x:c r="G269" s="2" t="str">
        <x:v>S30|21621461</x:v>
      </x:c>
      <x:c r="H269" s="2" t="n">
        <x:f>IFERROR(VLOOKUP(G269,'Ratings'!$A$6:$F$1387,6,FALSE),"Unknown")</x:f>
        <x:v>3</x:v>
      </x:c>
      <x:c r="I269" s="2" t="n">
        <x:f>IF(ISNUMBER(H269),1,0)</x:f>
        <x:v>1</x:v>
      </x:c>
      <x:c r="J269" s="2" t="n">
        <x:f>IF(ISNUMBER(H269),IF(H269&gt;=2,1,0),0)</x:f>
        <x:v>1</x:v>
      </x:c>
      <x:c r="K269" s="14" t="n">
        <x:f>IF(ISNUMBER(H269),2^H269-1,0)</x:f>
        <x:v>7</x:v>
      </x:c>
      <x:c r="L269" s="14" t="n">
        <x:f>K269/LOG(E269+1,2)</x:f>
        <x:v>7</x:v>
      </x:c>
      <x:c r="M269" s="10" t="n">
        <x:v>3300</x:v>
      </x:c>
      <x:c r="N269" s="10" t="n">
        <x:v>3</x:v>
      </x:c>
      <x:c r="O269" s="10" t="n">
        <x:v>1194</x:v>
      </x:c>
      <x:c r="P269" s="2" t="str">
        <x:v>D19</x:v>
      </x:c>
      <x:c r="Q269" s="2" t="str">
        <x:v>hdb flat</x:v>
      </x:c>
      <x:c r="R269" s="2" t="str">
        <x:v>https://www.propertyguru.com.sg/listing/hdb-for-rent-130-edgedale-plains-21621461</x:v>
      </x:c>
      <x:c r="S269" s="2" t="str">
        <x:v>cold_start_exploration</x:v>
      </x:c>
    </x:row>
    <x:row r="270" ht="22" customHeight="1">
      <x:c r="A270" s="2" t="str">
        <x:v>S30-T01</x:v>
      </x:c>
      <x:c r="B270" s="2" t="str">
        <x:v>S30</x:v>
      </x:c>
      <x:c r="C270" s="2" t="str">
        <x:v>Extension</x:v>
      </x:c>
      <x:c r="D270" s="11" t="n">
        <x:v>1</x:v>
      </x:c>
      <x:c r="E270" s="11" t="n">
        <x:v>2</x:v>
      </x:c>
      <x:c r="F270" s="2" t="str">
        <x:v>21838468</x:v>
      </x:c>
      <x:c r="G270" s="2" t="str">
        <x:v>S30|21838468</x:v>
      </x:c>
      <x:c r="H270" s="2" t="n">
        <x:f>IFERROR(VLOOKUP(G270,'Ratings'!$A$6:$F$1387,6,FALSE),"Unknown")</x:f>
        <x:v>3</x:v>
      </x:c>
      <x:c r="I270" s="2" t="n">
        <x:f>IF(ISNUMBER(H270),1,0)</x:f>
        <x:v>1</x:v>
      </x:c>
      <x:c r="J270" s="2" t="n">
        <x:f>IF(ISNUMBER(H270),IF(H270&gt;=2,1,0),0)</x:f>
        <x:v>1</x:v>
      </x:c>
      <x:c r="K270" s="14" t="n">
        <x:f>IF(ISNUMBER(H270),2^H270-1,0)</x:f>
        <x:v>7</x:v>
      </x:c>
      <x:c r="L270" s="14" t="n">
        <x:f>K270/LOG(E270+1,2)</x:f>
        <x:v>4.4165082750002025</x:v>
      </x:c>
      <x:c r="M270" s="10" t="n">
        <x:v>3500</x:v>
      </x:c>
      <x:c r="N270" s="10" t="n">
        <x:v>3</x:v>
      </x:c>
      <x:c r="O270" s="10" t="n">
        <x:v>1302</x:v>
      </x:c>
      <x:c r="P270" s="2" t="str">
        <x:v>D25</x:v>
      </x:c>
      <x:c r="Q270" s="2" t="str">
        <x:v>hdb flat</x:v>
      </x:c>
      <x:c r="R270" s="2" t="str">
        <x:v>https://www.propertyguru.com.sg/listing/hdb-for-rent-638-woodlands-ring-road-21838468</x:v>
      </x:c>
      <x:c r="S270" s="2" t="str">
        <x:v>cold_start_exploration</x:v>
      </x:c>
    </x:row>
    <x:row r="271" ht="22" customHeight="1">
      <x:c r="A271" s="2" t="str">
        <x:v>S30-T01</x:v>
      </x:c>
      <x:c r="B271" s="2" t="str">
        <x:v>S30</x:v>
      </x:c>
      <x:c r="C271" s="2" t="str">
        <x:v>Extension</x:v>
      </x:c>
      <x:c r="D271" s="11" t="n">
        <x:v>1</x:v>
      </x:c>
      <x:c r="E271" s="11" t="n">
        <x:v>3</x:v>
      </x:c>
      <x:c r="F271" s="2" t="str">
        <x:v>24124535</x:v>
      </x:c>
      <x:c r="G271" s="2" t="str">
        <x:v>S30|24124535</x:v>
      </x:c>
      <x:c r="H271" s="2" t="n">
        <x:f>IFERROR(VLOOKUP(G271,'Ratings'!$A$6:$F$1387,6,FALSE),"Unknown")</x:f>
        <x:v>3</x:v>
      </x:c>
      <x:c r="I271" s="2" t="n">
        <x:f>IF(ISNUMBER(H271),1,0)</x:f>
        <x:v>1</x:v>
      </x:c>
      <x:c r="J271" s="2" t="n">
        <x:f>IF(ISNUMBER(H271),IF(H271&gt;=2,1,0),0)</x:f>
        <x:v>1</x:v>
      </x:c>
      <x:c r="K271" s="14" t="n">
        <x:f>IF(ISNUMBER(H271),2^H271-1,0)</x:f>
        <x:v>7</x:v>
      </x:c>
      <x:c r="L271" s="14" t="n">
        <x:f>K271/LOG(E271+1,2)</x:f>
        <x:v>3.5</x:v>
      </x:c>
      <x:c r="M271" s="10" t="n">
        <x:v>3200</x:v>
      </x:c>
      <x:c r="N271" s="10" t="n">
        <x:v>3</x:v>
      </x:c>
      <x:c r="O271" s="10" t="n">
        <x:v>1184</x:v>
      </x:c>
      <x:c r="P271" s="2" t="str">
        <x:v>D27</x:v>
      </x:c>
      <x:c r="Q271" s="2" t="str">
        <x:v>hdb flat</x:v>
      </x:c>
      <x:c r="R271" s="2" t="str">
        <x:v>https://www.propertyguru.com.sg/listing/hdb-for-rent-407-sembawang-drive-24124535</x:v>
      </x:c>
      <x:c r="S271" s="2" t="str">
        <x:v>cold_start_exploration</x:v>
      </x:c>
    </x:row>
    <x:row r="272" ht="22" customHeight="1">
      <x:c r="A272" s="2" t="str">
        <x:v>S30-T01</x:v>
      </x:c>
      <x:c r="B272" s="2" t="str">
        <x:v>S30</x:v>
      </x:c>
      <x:c r="C272" s="2" t="str">
        <x:v>Extension</x:v>
      </x:c>
      <x:c r="D272" s="11" t="n">
        <x:v>1</x:v>
      </x:c>
      <x:c r="E272" s="11" t="n">
        <x:v>4</x:v>
      </x:c>
      <x:c r="F272" s="2" t="str">
        <x:v>24149414</x:v>
      </x:c>
      <x:c r="G272" s="2" t="str">
        <x:v>S30|24149414</x:v>
      </x:c>
      <x:c r="H272" s="2" t="n">
        <x:f>IFERROR(VLOOKUP(G272,'Ratings'!$A$6:$F$1387,6,FALSE),"Unknown")</x:f>
        <x:v>3</x:v>
      </x:c>
      <x:c r="I272" s="2" t="n">
        <x:f>IF(ISNUMBER(H272),1,0)</x:f>
        <x:v>1</x:v>
      </x:c>
      <x:c r="J272" s="2" t="n">
        <x:f>IF(ISNUMBER(H272),IF(H272&gt;=2,1,0),0)</x:f>
        <x:v>1</x:v>
      </x:c>
      <x:c r="K272" s="14" t="n">
        <x:f>IF(ISNUMBER(H272),2^H272-1,0)</x:f>
        <x:v>7</x:v>
      </x:c>
      <x:c r="L272" s="14" t="n">
        <x:f>K272/LOG(E272+1,2)</x:f>
        <x:v>3.0147359065137516</x:v>
      </x:c>
      <x:c r="M272" s="10" t="n">
        <x:v>3580</x:v>
      </x:c>
      <x:c r="N272" s="10" t="n">
        <x:v>3</x:v>
      </x:c>
      <x:c r="O272" s="10" t="n">
        <x:v>1100</x:v>
      </x:c>
      <x:c r="P272" s="2" t="str">
        <x:v>D22</x:v>
      </x:c>
      <x:c r="Q272" s="2" t="str">
        <x:v>hdb flat</x:v>
      </x:c>
      <x:c r="R272" s="2" t="str">
        <x:v>https://www.propertyguru.com.sg/listing/hdb-for-rent-265-boon-lay-drive-24149414</x:v>
      </x:c>
      <x:c r="S272" s="2" t="str">
        <x:v>cold_start_exploration</x:v>
      </x:c>
    </x:row>
    <x:row r="273" ht="22" customHeight="1">
      <x:c r="A273" s="2" t="str">
        <x:v>S30-T01</x:v>
      </x:c>
      <x:c r="B273" s="2" t="str">
        <x:v>S30</x:v>
      </x:c>
      <x:c r="C273" s="2" t="str">
        <x:v>Extension</x:v>
      </x:c>
      <x:c r="D273" s="11" t="n">
        <x:v>1</x:v>
      </x:c>
      <x:c r="E273" s="11" t="n">
        <x:v>5</x:v>
      </x:c>
      <x:c r="F273" s="2" t="str">
        <x:v>24952568</x:v>
      </x:c>
      <x:c r="G273" s="2" t="str">
        <x:v>S30|24952568</x:v>
      </x:c>
      <x:c r="H273" s="2" t="n">
        <x:f>IFERROR(VLOOKUP(G273,'Ratings'!$A$6:$F$1387,6,FALSE),"Unknown")</x:f>
        <x:v>3</x:v>
      </x:c>
      <x:c r="I273" s="2" t="n">
        <x:f>IF(ISNUMBER(H273),1,0)</x:f>
        <x:v>1</x:v>
      </x:c>
      <x:c r="J273" s="2" t="n">
        <x:f>IF(ISNUMBER(H273),IF(H273&gt;=2,1,0),0)</x:f>
        <x:v>1</x:v>
      </x:c>
      <x:c r="K273" s="14" t="n">
        <x:f>IF(ISNUMBER(H273),2^H273-1,0)</x:f>
        <x:v>7</x:v>
      </x:c>
      <x:c r="L273" s="14" t="n">
        <x:f>K273/LOG(E273+1,2)</x:f>
        <x:v>2.7079696506417914</x:v>
      </x:c>
      <x:c r="M273" s="10" t="n">
        <x:v>3200</x:v>
      </x:c>
      <x:c r="N273" s="10" t="n">
        <x:v>3</x:v>
      </x:c>
      <x:c r="O273" s="10" t="n">
        <x:v>1335</x:v>
      </x:c>
      <x:c r="P273" s="2" t="str">
        <x:v>D25</x:v>
      </x:c>
      <x:c r="Q273" s="2" t="str">
        <x:v>hdb flat</x:v>
      </x:c>
      <x:c r="R273" s="2" t="str">
        <x:v>https://www.propertyguru.com.sg/listing/hdb-for-rent-876-woodlands-avenue-9-24952568</x:v>
      </x:c>
      <x:c r="S273" s="2" t="str">
        <x:v>cold_start_exploration</x:v>
      </x:c>
    </x:row>
    <x:row r="274" ht="22" customHeight="1">
      <x:c r="A274" s="2" t="str">
        <x:v>S30-T01</x:v>
      </x:c>
      <x:c r="B274" s="2" t="str">
        <x:v>S30</x:v>
      </x:c>
      <x:c r="C274" s="2" t="str">
        <x:v>Extension</x:v>
      </x:c>
      <x:c r="D274" s="11" t="n">
        <x:v>1</x:v>
      </x:c>
      <x:c r="E274" s="11" t="n">
        <x:v>6</x:v>
      </x:c>
      <x:c r="F274" s="2" t="str">
        <x:v>500249357</x:v>
      </x:c>
      <x:c r="G274" s="2" t="str">
        <x:v>S30|500249357</x:v>
      </x:c>
      <x:c r="H274" s="2" t="n">
        <x:f>IFERROR(VLOOKUP(G274,'Ratings'!$A$6:$F$1387,6,FALSE),"Unknown")</x:f>
        <x:v>3</x:v>
      </x:c>
      <x:c r="I274" s="2" t="n">
        <x:f>IF(ISNUMBER(H274),1,0)</x:f>
        <x:v>1</x:v>
      </x:c>
      <x:c r="J274" s="2" t="n">
        <x:f>IF(ISNUMBER(H274),IF(H274&gt;=2,1,0),0)</x:f>
        <x:v>1</x:v>
      </x:c>
      <x:c r="K274" s="14" t="n">
        <x:f>IF(ISNUMBER(H274),2^H274-1,0)</x:f>
        <x:v>7</x:v>
      </x:c>
      <x:c r="L274" s="14" t="n">
        <x:f>K274/LOG(E274+1,2)</x:f>
        <x:v>2.493450309756155</x:v>
      </x:c>
      <x:c r="M274" s="10" t="n">
        <x:v>3600</x:v>
      </x:c>
      <x:c r="N274" s="10" t="n">
        <x:v>3</x:v>
      </x:c>
      <x:c r="O274" s="10" t="n">
        <x:v>1184</x:v>
      </x:c>
      <x:c r="P274" s="2" t="str">
        <x:v>D19</x:v>
      </x:c>
      <x:c r="Q274" s="2" t="str">
        <x:v>hdb flat</x:v>
      </x:c>
      <x:c r="R274" s="2" t="str">
        <x:v>https://www.propertyguru.com.sg/listing/hdb-for-rent-296b-compassvale-crescent-500249357</x:v>
      </x:c>
      <x:c r="S274" s="2" t="str">
        <x:v>cold_start_exploration</x:v>
      </x:c>
    </x:row>
    <x:row r="275" ht="22" customHeight="1">
      <x:c r="A275" s="2" t="str">
        <x:v>S30-T01</x:v>
      </x:c>
      <x:c r="B275" s="2" t="str">
        <x:v>S30</x:v>
      </x:c>
      <x:c r="C275" s="2" t="str">
        <x:v>Extension</x:v>
      </x:c>
      <x:c r="D275" s="11" t="n">
        <x:v>1</x:v>
      </x:c>
      <x:c r="E275" s="11" t="n">
        <x:v>7</x:v>
      </x:c>
      <x:c r="F275" s="2" t="str">
        <x:v>500263451</x:v>
      </x:c>
      <x:c r="G275" s="2" t="str">
        <x:v>S30|500263451</x:v>
      </x:c>
      <x:c r="H275" s="2" t="n">
        <x:f>IFERROR(VLOOKUP(G275,'Ratings'!$A$6:$F$1387,6,FALSE),"Unknown")</x:f>
        <x:v>3</x:v>
      </x:c>
      <x:c r="I275" s="2" t="n">
        <x:f>IF(ISNUMBER(H275),1,0)</x:f>
        <x:v>1</x:v>
      </x:c>
      <x:c r="J275" s="2" t="n">
        <x:f>IF(ISNUMBER(H275),IF(H275&gt;=2,1,0),0)</x:f>
        <x:v>1</x:v>
      </x:c>
      <x:c r="K275" s="14" t="n">
        <x:f>IF(ISNUMBER(H275),2^H275-1,0)</x:f>
        <x:v>7</x:v>
      </x:c>
      <x:c r="L275" s="14" t="n">
        <x:f>K275/LOG(E275+1,2)</x:f>
        <x:v>2.3333333333333335</x:v>
      </x:c>
      <x:c r="M275" s="10" t="n">
        <x:v>3600</x:v>
      </x:c>
      <x:c r="N275" s="10" t="n">
        <x:v>3</x:v>
      </x:c>
      <x:c r="O275" s="10" t="n">
        <x:v>1119</x:v>
      </x:c>
      <x:c r="P275" s="2" t="str">
        <x:v>D19</x:v>
      </x:c>
      <x:c r="Q275" s="2" t="str">
        <x:v>hdb flat</x:v>
      </x:c>
      <x:c r="R275" s="2" t="str">
        <x:v>https://www.propertyguru.com.sg/listing/hdb-for-rent-271c-punggol-walk-500263451</x:v>
      </x:c>
      <x:c r="S275" s="2" t="str">
        <x:v>cold_start_exploration</x:v>
      </x:c>
    </x:row>
    <x:row r="276" ht="22" customHeight="1">
      <x:c r="A276" s="2" t="str">
        <x:v>S30-T01</x:v>
      </x:c>
      <x:c r="B276" s="2" t="str">
        <x:v>S30</x:v>
      </x:c>
      <x:c r="C276" s="2" t="str">
        <x:v>Extension</x:v>
      </x:c>
      <x:c r="D276" s="11" t="n">
        <x:v>1</x:v>
      </x:c>
      <x:c r="E276" s="11" t="n">
        <x:v>8</x:v>
      </x:c>
      <x:c r="F276" s="2" t="str">
        <x:v>500274881</x:v>
      </x:c>
      <x:c r="G276" s="2" t="str">
        <x:v>S30|500274881</x:v>
      </x:c>
      <x:c r="H276" s="2" t="n">
        <x:f>IFERROR(VLOOKUP(G276,'Ratings'!$A$6:$F$1387,6,FALSE),"Unknown")</x:f>
        <x:v>3</x:v>
      </x:c>
      <x:c r="I276" s="2" t="n">
        <x:f>IF(ISNUMBER(H276),1,0)</x:f>
        <x:v>1</x:v>
      </x:c>
      <x:c r="J276" s="2" t="n">
        <x:f>IF(ISNUMBER(H276),IF(H276&gt;=2,1,0),0)</x:f>
        <x:v>1</x:v>
      </x:c>
      <x:c r="K276" s="14" t="n">
        <x:f>IF(ISNUMBER(H276),2^H276-1,0)</x:f>
        <x:v>7</x:v>
      </x:c>
      <x:c r="L276" s="14" t="n">
        <x:f>K276/LOG(E276+1,2)</x:f>
        <x:v>2.208254137500101</x:v>
      </x:c>
      <x:c r="M276" s="10" t="n">
        <x:v>3500</x:v>
      </x:c>
      <x:c r="N276" s="10" t="n">
        <x:v>3</x:v>
      </x:c>
      <x:c r="O276" s="10" t="n">
        <x:v>1227</x:v>
      </x:c>
      <x:c r="P276" s="2" t="str">
        <x:v>D19</x:v>
      </x:c>
      <x:c r="Q276" s="2" t="str">
        <x:v>hdb flat</x:v>
      </x:c>
      <x:c r="R276" s="2" t="str">
        <x:v>https://www.propertyguru.com.sg/listing/hdb-for-rent-188c-rivervale-drive-500274881</x:v>
      </x:c>
      <x:c r="S276" s="2" t="str">
        <x:v>cold_start_exploration</x:v>
      </x:c>
    </x:row>
    <x:row r="277" ht="22" customHeight="1">
      <x:c r="A277" s="2" t="str">
        <x:v>S30-T01</x:v>
      </x:c>
      <x:c r="B277" s="2" t="str">
        <x:v>S30</x:v>
      </x:c>
      <x:c r="C277" s="2" t="str">
        <x:v>Extension</x:v>
      </x:c>
      <x:c r="D277" s="11" t="n">
        <x:v>1</x:v>
      </x:c>
      <x:c r="E277" s="11" t="n">
        <x:v>9</x:v>
      </x:c>
      <x:c r="F277" s="2" t="str">
        <x:v>500283112</x:v>
      </x:c>
      <x:c r="G277" s="2" t="str">
        <x:v>S30|500283112</x:v>
      </x:c>
      <x:c r="H277" s="2" t="n">
        <x:f>IFERROR(VLOOKUP(G277,'Ratings'!$A$6:$F$1387,6,FALSE),"Unknown")</x:f>
        <x:v>3</x:v>
      </x:c>
      <x:c r="I277" s="2" t="n">
        <x:f>IF(ISNUMBER(H277),1,0)</x:f>
        <x:v>1</x:v>
      </x:c>
      <x:c r="J277" s="2" t="n">
        <x:f>IF(ISNUMBER(H277),IF(H277&gt;=2,1,0),0)</x:f>
        <x:v>1</x:v>
      </x:c>
      <x:c r="K277" s="14" t="n">
        <x:f>IF(ISNUMBER(H277),2^H277-1,0)</x:f>
        <x:v>7</x:v>
      </x:c>
      <x:c r="L277" s="14" t="n">
        <x:f>K277/LOG(E277+1,2)</x:f>
        <x:v>2.1072099696478683</x:v>
      </x:c>
      <x:c r="M277" s="10" t="n">
        <x:v>3500</x:v>
      </x:c>
      <x:c r="N277" s="10" t="n">
        <x:v>3</x:v>
      </x:c>
      <x:c r="O277" s="10" t="n">
        <x:v>1119</x:v>
      </x:c>
      <x:c r="P277" s="2" t="str">
        <x:v>D27</x:v>
      </x:c>
      <x:c r="Q277" s="2" t="str">
        <x:v>hdb flat</x:v>
      </x:c>
      <x:c r="R277" s="2" t="str">
        <x:v>https://www.propertyguru.com.sg/listing/hdb-for-rent-642-yishun-street-61-500283112</x:v>
      </x:c>
      <x:c r="S277" s="2" t="str">
        <x:v>cold_start_exploration</x:v>
      </x:c>
    </x:row>
    <x:row r="278" ht="22" customHeight="1">
      <x:c r="A278" s="2" t="str">
        <x:v>S30-T01</x:v>
      </x:c>
      <x:c r="B278" s="2" t="str">
        <x:v>S30</x:v>
      </x:c>
      <x:c r="C278" s="2" t="str">
        <x:v>Extension</x:v>
      </x:c>
      <x:c r="D278" s="11" t="n">
        <x:v>1</x:v>
      </x:c>
      <x:c r="E278" s="11" t="n">
        <x:v>10</x:v>
      </x:c>
      <x:c r="F278" s="2" t="str">
        <x:v>60139626</x:v>
      </x:c>
      <x:c r="G278" s="2" t="str">
        <x:v>S30|60139626</x:v>
      </x:c>
      <x:c r="H278" s="2" t="n">
        <x:f>IFERROR(VLOOKUP(G278,'Ratings'!$A$6:$F$1387,6,FALSE),"Unknown")</x:f>
        <x:v>3</x:v>
      </x:c>
      <x:c r="I278" s="2" t="n">
        <x:f>IF(ISNUMBER(H278),1,0)</x:f>
        <x:v>1</x:v>
      </x:c>
      <x:c r="J278" s="2" t="n">
        <x:f>IF(ISNUMBER(H278),IF(H278&gt;=2,1,0),0)</x:f>
        <x:v>1</x:v>
      </x:c>
      <x:c r="K278" s="14" t="n">
        <x:f>IF(ISNUMBER(H278),2^H278-1,0)</x:f>
        <x:v>7</x:v>
      </x:c>
      <x:c r="L278" s="14" t="n">
        <x:f>K278/LOG(E278+1,2)</x:f>
        <x:v>2.023453784225215</x:v>
      </x:c>
      <x:c r="M278" s="10" t="n">
        <x:v>3500</x:v>
      </x:c>
      <x:c r="N278" s="10" t="n">
        <x:v>3</x:v>
      </x:c>
      <x:c r="O278" s="10" t="n">
        <x:v>1150</x:v>
      </x:c>
      <x:c r="P278" s="2" t="str">
        <x:v>D25</x:v>
      </x:c>
      <x:c r="Q278" s="2" t="str">
        <x:v>hdb flat</x:v>
      </x:c>
      <x:c r="R278" s="2" t="str">
        <x:v>https://www.propertyguru.com.sg/listing/hdb-for-rent-840-woodlands-street-82-60139626</x:v>
      </x:c>
      <x:c r="S278" s="2" t="str">
        <x:v>cold_start_exploration</x:v>
      </x:c>
    </x:row>
    <x:row r="279" ht="22" customHeight="1">
      <x:c r="A279" s="2" t="str">
        <x:v>S31-T01</x:v>
      </x:c>
      <x:c r="B279" s="2" t="str">
        <x:v>S31</x:v>
      </x:c>
      <x:c r="C279" s="2" t="str">
        <x:v>Extension</x:v>
      </x:c>
      <x:c r="D279" s="11" t="n">
        <x:v>1</x:v>
      </x:c>
      <x:c r="E279" s="11" t="n">
        <x:v>1</x:v>
      </x:c>
      <x:c r="F279" s="2" t="str">
        <x:v>21632561</x:v>
      </x:c>
      <x:c r="G279" s="2" t="str">
        <x:v>S31|21632561</x:v>
      </x:c>
      <x:c r="H279" s="2" t="n">
        <x:f>IFERROR(VLOOKUP(G279,'Ratings'!$A$6:$F$1387,6,FALSE),"Unknown")</x:f>
        <x:v>3</x:v>
      </x:c>
      <x:c r="I279" s="2" t="n">
        <x:f>IF(ISNUMBER(H279),1,0)</x:f>
        <x:v>1</x:v>
      </x:c>
      <x:c r="J279" s="2" t="n">
        <x:f>IF(ISNUMBER(H279),IF(H279&gt;=2,1,0),0)</x:f>
        <x:v>1</x:v>
      </x:c>
      <x:c r="K279" s="14" t="n">
        <x:f>IF(ISNUMBER(H279),2^H279-1,0)</x:f>
        <x:v>7</x:v>
      </x:c>
      <x:c r="L279" s="14" t="n">
        <x:f>K279/LOG(E279+1,2)</x:f>
        <x:v>7</x:v>
      </x:c>
      <x:c r="M279" s="10" t="n">
        <x:v>3900</x:v>
      </x:c>
      <x:c r="N279" s="10" t="n">
        <x:v>3</x:v>
      </x:c>
      <x:c r="O279" s="10" t="n">
        <x:v>1550</x:v>
      </x:c>
      <x:c r="P279" s="2" t="str">
        <x:v>D23</x:v>
      </x:c>
      <x:c r="Q279" s="2" t="str">
        <x:v>hdb flat</x:v>
      </x:c>
      <x:c r="R279" s="2" t="str">
        <x:v>https://www.propertyguru.com.sg/listing/hdb-for-rent-214-choa-chu-kang-central-21632561</x:v>
      </x:c>
      <x:c r="S279" s="2" t="str">
        <x:v>cold_start_exploration</x:v>
      </x:c>
    </x:row>
    <x:row r="280" ht="22" customHeight="1">
      <x:c r="A280" s="2" t="str">
        <x:v>S31-T01</x:v>
      </x:c>
      <x:c r="B280" s="2" t="str">
        <x:v>S31</x:v>
      </x:c>
      <x:c r="C280" s="2" t="str">
        <x:v>Extension</x:v>
      </x:c>
      <x:c r="D280" s="11" t="n">
        <x:v>1</x:v>
      </x:c>
      <x:c r="E280" s="11" t="n">
        <x:v>2</x:v>
      </x:c>
      <x:c r="F280" s="2" t="str">
        <x:v>24961331</x:v>
      </x:c>
      <x:c r="G280" s="2" t="str">
        <x:v>S31|24961331</x:v>
      </x:c>
      <x:c r="H280" s="2" t="n">
        <x:f>IFERROR(VLOOKUP(G280,'Ratings'!$A$6:$F$1387,6,FALSE),"Unknown")</x:f>
        <x:v>3</x:v>
      </x:c>
      <x:c r="I280" s="2" t="n">
        <x:f>IF(ISNUMBER(H280),1,0)</x:f>
        <x:v>1</x:v>
      </x:c>
      <x:c r="J280" s="2" t="n">
        <x:f>IF(ISNUMBER(H280),IF(H280&gt;=2,1,0),0)</x:f>
        <x:v>1</x:v>
      </x:c>
      <x:c r="K280" s="14" t="n">
        <x:f>IF(ISNUMBER(H280),2^H280-1,0)</x:f>
        <x:v>7</x:v>
      </x:c>
      <x:c r="L280" s="14" t="n">
        <x:f>K280/LOG(E280+1,2)</x:f>
        <x:v>4.4165082750002025</x:v>
      </x:c>
      <x:c r="M280" s="10" t="n">
        <x:v>3600</x:v>
      </x:c>
      <x:c r="N280" s="10" t="n">
        <x:v>3</x:v>
      </x:c>
      <x:c r="O280" s="10" t="n">
        <x:v>1119</x:v>
      </x:c>
      <x:c r="P280" s="2" t="str">
        <x:v>D19</x:v>
      </x:c>
      <x:c r="Q280" s="2" t="str">
        <x:v>hdb flat</x:v>
      </x:c>
      <x:c r="R280" s="2" t="str">
        <x:v>https://www.propertyguru.com.sg/listing/hdb-for-rent-535a-serangoon-north-avenue-4-24961331</x:v>
      </x:c>
      <x:c r="S280" s="2" t="str">
        <x:v>cold_start_exploration</x:v>
      </x:c>
    </x:row>
    <x:row r="281" ht="22" customHeight="1">
      <x:c r="A281" s="2" t="str">
        <x:v>S31-T01</x:v>
      </x:c>
      <x:c r="B281" s="2" t="str">
        <x:v>S31</x:v>
      </x:c>
      <x:c r="C281" s="2" t="str">
        <x:v>Extension</x:v>
      </x:c>
      <x:c r="D281" s="11" t="n">
        <x:v>1</x:v>
      </x:c>
      <x:c r="E281" s="11" t="n">
        <x:v>3</x:v>
      </x:c>
      <x:c r="F281" s="2" t="str">
        <x:v>25241531</x:v>
      </x:c>
      <x:c r="G281" s="2" t="str">
        <x:v>S31|25241531</x:v>
      </x:c>
      <x:c r="H281" s="2" t="n">
        <x:f>IFERROR(VLOOKUP(G281,'Ratings'!$A$6:$F$1387,6,FALSE),"Unknown")</x:f>
        <x:v>3</x:v>
      </x:c>
      <x:c r="I281" s="2" t="n">
        <x:f>IF(ISNUMBER(H281),1,0)</x:f>
        <x:v>1</x:v>
      </x:c>
      <x:c r="J281" s="2" t="n">
        <x:f>IF(ISNUMBER(H281),IF(H281&gt;=2,1,0),0)</x:f>
        <x:v>1</x:v>
      </x:c>
      <x:c r="K281" s="14" t="n">
        <x:f>IF(ISNUMBER(H281),2^H281-1,0)</x:f>
        <x:v>7</x:v>
      </x:c>
      <x:c r="L281" s="14" t="n">
        <x:f>K281/LOG(E281+1,2)</x:f>
        <x:v>3.5</x:v>
      </x:c>
      <x:c r="M281" s="10" t="n">
        <x:v>3300</x:v>
      </x:c>
      <x:c r="N281" s="10" t="n">
        <x:v>3</x:v>
      </x:c>
      <x:c r="O281" s="10" t="n">
        <x:v>1184</x:v>
      </x:c>
      <x:c r="P281" s="2" t="str">
        <x:v>D19</x:v>
      </x:c>
      <x:c r="Q281" s="2" t="str">
        <x:v>hdb flat</x:v>
      </x:c>
      <x:c r="R281" s="2" t="str">
        <x:v>https://www.propertyguru.com.sg/listing/hdb-for-rent-648-punggol-central-25241531</x:v>
      </x:c>
      <x:c r="S281" s="2" t="str">
        <x:v>cold_start_exploration</x:v>
      </x:c>
    </x:row>
    <x:row r="282" ht="22" customHeight="1">
      <x:c r="A282" s="2" t="str">
        <x:v>S31-T01</x:v>
      </x:c>
      <x:c r="B282" s="2" t="str">
        <x:v>S31</x:v>
      </x:c>
      <x:c r="C282" s="2" t="str">
        <x:v>Extension</x:v>
      </x:c>
      <x:c r="D282" s="11" t="n">
        <x:v>1</x:v>
      </x:c>
      <x:c r="E282" s="11" t="n">
        <x:v>4</x:v>
      </x:c>
      <x:c r="F282" s="2" t="str">
        <x:v>25357253</x:v>
      </x:c>
      <x:c r="G282" s="2" t="str">
        <x:v>S31|25357253</x:v>
      </x:c>
      <x:c r="H282" s="2" t="n">
        <x:f>IFERROR(VLOOKUP(G282,'Ratings'!$A$6:$F$1387,6,FALSE),"Unknown")</x:f>
        <x:v>3</x:v>
      </x:c>
      <x:c r="I282" s="2" t="n">
        <x:f>IF(ISNUMBER(H282),1,0)</x:f>
        <x:v>1</x:v>
      </x:c>
      <x:c r="J282" s="2" t="n">
        <x:f>IF(ISNUMBER(H282),IF(H282&gt;=2,1,0),0)</x:f>
        <x:v>1</x:v>
      </x:c>
      <x:c r="K282" s="14" t="n">
        <x:f>IF(ISNUMBER(H282),2^H282-1,0)</x:f>
        <x:v>7</x:v>
      </x:c>
      <x:c r="L282" s="14" t="n">
        <x:f>K282/LOG(E282+1,2)</x:f>
        <x:v>3.0147359065137516</x:v>
      </x:c>
      <x:c r="M282" s="10" t="n">
        <x:v>3600</x:v>
      </x:c>
      <x:c r="N282" s="10" t="n">
        <x:v>3</x:v>
      </x:c>
      <x:c r="O282" s="10" t="n">
        <x:v>980</x:v>
      </x:c>
      <x:c r="P282" s="2" t="str">
        <x:v>D19</x:v>
      </x:c>
      <x:c r="Q282" s="2" t="str">
        <x:v>hdb flat</x:v>
      </x:c>
      <x:c r="R282" s="2" t="str">
        <x:v>https://www.propertyguru.com.sg/listing/hdb-for-rent-134-edgedale-plains-25357253</x:v>
      </x:c>
      <x:c r="S282" s="2" t="str">
        <x:v>cold_start_exploration</x:v>
      </x:c>
    </x:row>
    <x:row r="283" ht="22" customHeight="1">
      <x:c r="A283" s="2" t="str">
        <x:v>S31-T01</x:v>
      </x:c>
      <x:c r="B283" s="2" t="str">
        <x:v>S31</x:v>
      </x:c>
      <x:c r="C283" s="2" t="str">
        <x:v>Extension</x:v>
      </x:c>
      <x:c r="D283" s="11" t="n">
        <x:v>1</x:v>
      </x:c>
      <x:c r="E283" s="11" t="n">
        <x:v>5</x:v>
      </x:c>
      <x:c r="F283" s="2" t="str">
        <x:v>500236697</x:v>
      </x:c>
      <x:c r="G283" s="2" t="str">
        <x:v>S31|500236697</x:v>
      </x:c>
      <x:c r="H283" s="2" t="n">
        <x:f>IFERROR(VLOOKUP(G283,'Ratings'!$A$6:$F$1387,6,FALSE),"Unknown")</x:f>
        <x:v>3</x:v>
      </x:c>
      <x:c r="I283" s="2" t="n">
        <x:f>IF(ISNUMBER(H283),1,0)</x:f>
        <x:v>1</x:v>
      </x:c>
      <x:c r="J283" s="2" t="n">
        <x:f>IF(ISNUMBER(H283),IF(H283&gt;=2,1,0),0)</x:f>
        <x:v>1</x:v>
      </x:c>
      <x:c r="K283" s="14" t="n">
        <x:f>IF(ISNUMBER(H283),2^H283-1,0)</x:f>
        <x:v>7</x:v>
      </x:c>
      <x:c r="L283" s="14" t="n">
        <x:f>K283/LOG(E283+1,2)</x:f>
        <x:v>2.7079696506417914</x:v>
      </x:c>
      <x:c r="M283" s="10" t="n">
        <x:v>3600</x:v>
      </x:c>
      <x:c r="N283" s="10" t="n">
        <x:v>3</x:v>
      </x:c>
      <x:c r="O283" s="10" t="n">
        <x:v>1421</x:v>
      </x:c>
      <x:c r="P283" s="2" t="str">
        <x:v>D25</x:v>
      </x:c>
      <x:c r="Q283" s="2" t="str">
        <x:v>hdb flat</x:v>
      </x:c>
      <x:c r="R283" s="2" t="str">
        <x:v>https://www.propertyguru.com.sg/listing/hdb-for-rent-844-woodlands-avenue-4-500236697</x:v>
      </x:c>
      <x:c r="S283" s="2" t="str">
        <x:v>cold_start_exploration</x:v>
      </x:c>
    </x:row>
    <x:row r="284" ht="22" customHeight="1">
      <x:c r="A284" s="2" t="str">
        <x:v>S31-T01</x:v>
      </x:c>
      <x:c r="B284" s="2" t="str">
        <x:v>S31</x:v>
      </x:c>
      <x:c r="C284" s="2" t="str">
        <x:v>Extension</x:v>
      </x:c>
      <x:c r="D284" s="11" t="n">
        <x:v>1</x:v>
      </x:c>
      <x:c r="E284" s="11" t="n">
        <x:v>6</x:v>
      </x:c>
      <x:c r="F284" s="2" t="str">
        <x:v>500245969</x:v>
      </x:c>
      <x:c r="G284" s="2" t="str">
        <x:v>S31|500245969</x:v>
      </x:c>
      <x:c r="H284" s="2" t="n">
        <x:f>IFERROR(VLOOKUP(G284,'Ratings'!$A$6:$F$1387,6,FALSE),"Unknown")</x:f>
        <x:v>3</x:v>
      </x:c>
      <x:c r="I284" s="2" t="n">
        <x:f>IF(ISNUMBER(H284),1,0)</x:f>
        <x:v>1</x:v>
      </x:c>
      <x:c r="J284" s="2" t="n">
        <x:f>IF(ISNUMBER(H284),IF(H284&gt;=2,1,0),0)</x:f>
        <x:v>1</x:v>
      </x:c>
      <x:c r="K284" s="14" t="n">
        <x:f>IF(ISNUMBER(H284),2^H284-1,0)</x:f>
        <x:v>7</x:v>
      </x:c>
      <x:c r="L284" s="14" t="n">
        <x:f>K284/LOG(E284+1,2)</x:f>
        <x:v>2.493450309756155</x:v>
      </x:c>
      <x:c r="M284" s="10" t="n">
        <x:v>4000</x:v>
      </x:c>
      <x:c r="N284" s="10" t="n">
        <x:v>3</x:v>
      </x:c>
      <x:c r="O284" s="10" t="n">
        <x:v>1216</x:v>
      </x:c>
      <x:c r="P284" s="2" t="str">
        <x:v>D18</x:v>
      </x:c>
      <x:c r="Q284" s="2" t="str">
        <x:v>hdb flat</x:v>
      </x:c>
      <x:c r="R284" s="2" t="str">
        <x:v>https://www.propertyguru.com.sg/listing/hdb-for-rent-619a-tampines-street-61-500245969</x:v>
      </x:c>
      <x:c r="S284" s="2" t="str">
        <x:v>cold_start_exploration</x:v>
      </x:c>
    </x:row>
    <x:row r="285" ht="22" customHeight="1">
      <x:c r="A285" s="2" t="str">
        <x:v>S31-T01</x:v>
      </x:c>
      <x:c r="B285" s="2" t="str">
        <x:v>S31</x:v>
      </x:c>
      <x:c r="C285" s="2" t="str">
        <x:v>Extension</x:v>
      </x:c>
      <x:c r="D285" s="11" t="n">
        <x:v>1</x:v>
      </x:c>
      <x:c r="E285" s="11" t="n">
        <x:v>7</x:v>
      </x:c>
      <x:c r="F285" s="2" t="str">
        <x:v>500260300</x:v>
      </x:c>
      <x:c r="G285" s="2" t="str">
        <x:v>S31|500260300</x:v>
      </x:c>
      <x:c r="H285" s="2" t="n">
        <x:f>IFERROR(VLOOKUP(G285,'Ratings'!$A$6:$F$1387,6,FALSE),"Unknown")</x:f>
        <x:v>3</x:v>
      </x:c>
      <x:c r="I285" s="2" t="n">
        <x:f>IF(ISNUMBER(H285),1,0)</x:f>
        <x:v>1</x:v>
      </x:c>
      <x:c r="J285" s="2" t="n">
        <x:f>IF(ISNUMBER(H285),IF(H285&gt;=2,1,0),0)</x:f>
        <x:v>1</x:v>
      </x:c>
      <x:c r="K285" s="14" t="n">
        <x:f>IF(ISNUMBER(H285),2^H285-1,0)</x:f>
        <x:v>7</x:v>
      </x:c>
      <x:c r="L285" s="14" t="n">
        <x:f>K285/LOG(E285+1,2)</x:f>
        <x:v>2.3333333333333335</x:v>
      </x:c>
      <x:c r="M285" s="10" t="n">
        <x:v>4500</x:v>
      </x:c>
      <x:c r="N285" s="10" t="n">
        <x:v>2</x:v>
      </x:c>
      <x:c r="O285" s="10" t="n">
        <x:v>1119</x:v>
      </x:c>
      <x:c r="P285" s="2" t="str">
        <x:v>D18</x:v>
      </x:c>
      <x:c r="Q285" s="2" t="str">
        <x:v>hdb flat</x:v>
      </x:c>
      <x:c r="R285" s="2" t="str">
        <x:v>https://www.propertyguru.com.sg/listing/hdb-for-rent-558-pasir-ris-street-51-500260300</x:v>
      </x:c>
      <x:c r="S285" s="2" t="str">
        <x:v>cold_start_exploration</x:v>
      </x:c>
    </x:row>
    <x:row r="286" ht="22" customHeight="1">
      <x:c r="A286" s="2" t="str">
        <x:v>S31-T01</x:v>
      </x:c>
      <x:c r="B286" s="2" t="str">
        <x:v>S31</x:v>
      </x:c>
      <x:c r="C286" s="2" t="str">
        <x:v>Extension</x:v>
      </x:c>
      <x:c r="D286" s="11" t="n">
        <x:v>1</x:v>
      </x:c>
      <x:c r="E286" s="11" t="n">
        <x:v>8</x:v>
      </x:c>
      <x:c r="F286" s="2" t="str">
        <x:v>500269285</x:v>
      </x:c>
      <x:c r="G286" s="2" t="str">
        <x:v>S31|500269285</x:v>
      </x:c>
      <x:c r="H286" s="2" t="n">
        <x:f>IFERROR(VLOOKUP(G286,'Ratings'!$A$6:$F$1387,6,FALSE),"Unknown")</x:f>
        <x:v>3</x:v>
      </x:c>
      <x:c r="I286" s="2" t="n">
        <x:f>IF(ISNUMBER(H286),1,0)</x:f>
        <x:v>1</x:v>
      </x:c>
      <x:c r="J286" s="2" t="n">
        <x:f>IF(ISNUMBER(H286),IF(H286&gt;=2,1,0),0)</x:f>
        <x:v>1</x:v>
      </x:c>
      <x:c r="K286" s="14" t="n">
        <x:f>IF(ISNUMBER(H286),2^H286-1,0)</x:f>
        <x:v>7</x:v>
      </x:c>
      <x:c r="L286" s="14" t="n">
        <x:f>K286/LOG(E286+1,2)</x:f>
        <x:v>2.208254137500101</x:v>
      </x:c>
      <x:c r="M286" s="10" t="n">
        <x:v>3500</x:v>
      </x:c>
      <x:c r="N286" s="10" t="n">
        <x:v>2</x:v>
      </x:c>
      <x:c r="O286" s="10" t="n">
        <x:v>1087</x:v>
      </x:c>
      <x:c r="P286" s="2" t="str">
        <x:v>D23</x:v>
      </x:c>
      <x:c r="Q286" s="2" t="str">
        <x:v>hdb flat</x:v>
      </x:c>
      <x:c r="R286" s="2" t="str">
        <x:v>https://www.propertyguru.com.sg/listing/hdb-for-rent-485a-choa-chu-kang-avenue-5-500269285</x:v>
      </x:c>
      <x:c r="S286" s="2" t="str">
        <x:v>cold_start_exploration</x:v>
      </x:c>
    </x:row>
    <x:row r="287" ht="22" customHeight="1">
      <x:c r="A287" s="2" t="str">
        <x:v>S31-T01</x:v>
      </x:c>
      <x:c r="B287" s="2" t="str">
        <x:v>S31</x:v>
      </x:c>
      <x:c r="C287" s="2" t="str">
        <x:v>Extension</x:v>
      </x:c>
      <x:c r="D287" s="11" t="n">
        <x:v>1</x:v>
      </x:c>
      <x:c r="E287" s="11" t="n">
        <x:v>9</x:v>
      </x:c>
      <x:c r="F287" s="2" t="str">
        <x:v>500271006</x:v>
      </x:c>
      <x:c r="G287" s="2" t="str">
        <x:v>S31|500271006</x:v>
      </x:c>
      <x:c r="H287" s="2" t="n">
        <x:f>IFERROR(VLOOKUP(G287,'Ratings'!$A$6:$F$1387,6,FALSE),"Unknown")</x:f>
        <x:v>3</x:v>
      </x:c>
      <x:c r="I287" s="2" t="n">
        <x:f>IF(ISNUMBER(H287),1,0)</x:f>
        <x:v>1</x:v>
      </x:c>
      <x:c r="J287" s="2" t="n">
        <x:f>IF(ISNUMBER(H287),IF(H287&gt;=2,1,0),0)</x:f>
        <x:v>1</x:v>
      </x:c>
      <x:c r="K287" s="14" t="n">
        <x:f>IF(ISNUMBER(H287),2^H287-1,0)</x:f>
        <x:v>7</x:v>
      </x:c>
      <x:c r="L287" s="14" t="n">
        <x:f>K287/LOG(E287+1,2)</x:f>
        <x:v>2.1072099696478683</x:v>
      </x:c>
      <x:c r="M287" s="10" t="n">
        <x:v>3500</x:v>
      </x:c>
      <x:c r="N287" s="10" t="n">
        <x:v>3</x:v>
      </x:c>
      <x:c r="O287" s="10" t="n">
        <x:v>1356</x:v>
      </x:c>
      <x:c r="P287" s="2" t="str">
        <x:v>D18</x:v>
      </x:c>
      <x:c r="Q287" s="2" t="str">
        <x:v>hdb flat</x:v>
      </x:c>
      <x:c r="R287" s="2" t="str">
        <x:v>https://www.propertyguru.com.sg/listing/hdb-for-rent-189-pasir-ris-street-12-500271006</x:v>
      </x:c>
      <x:c r="S287" s="2" t="str">
        <x:v>cold_start_exploration</x:v>
      </x:c>
    </x:row>
    <x:row r="288" ht="22" customHeight="1">
      <x:c r="A288" s="2" t="str">
        <x:v>S31-T01</x:v>
      </x:c>
      <x:c r="B288" s="2" t="str">
        <x:v>S31</x:v>
      </x:c>
      <x:c r="C288" s="2" t="str">
        <x:v>Extension</x:v>
      </x:c>
      <x:c r="D288" s="11" t="n">
        <x:v>1</x:v>
      </x:c>
      <x:c r="E288" s="11" t="n">
        <x:v>10</x:v>
      </x:c>
      <x:c r="F288" s="2" t="str">
        <x:v>500287515</x:v>
      </x:c>
      <x:c r="G288" s="2" t="str">
        <x:v>S31|500287515</x:v>
      </x:c>
      <x:c r="H288" s="2" t="n">
        <x:f>IFERROR(VLOOKUP(G288,'Ratings'!$A$6:$F$1387,6,FALSE),"Unknown")</x:f>
        <x:v>3</x:v>
      </x:c>
      <x:c r="I288" s="2" t="n">
        <x:f>IF(ISNUMBER(H288),1,0)</x:f>
        <x:v>1</x:v>
      </x:c>
      <x:c r="J288" s="2" t="n">
        <x:f>IF(ISNUMBER(H288),IF(H288&gt;=2,1,0),0)</x:f>
        <x:v>1</x:v>
      </x:c>
      <x:c r="K288" s="14" t="n">
        <x:f>IF(ISNUMBER(H288),2^H288-1,0)</x:f>
        <x:v>7</x:v>
      </x:c>
      <x:c r="L288" s="14" t="n">
        <x:f>K288/LOG(E288+1,2)</x:f>
        <x:v>2.023453784225215</x:v>
      </x:c>
      <x:c r="M288" s="10" t="n">
        <x:v>3500</x:v>
      </x:c>
      <x:c r="N288" s="10" t="n">
        <x:v>3</x:v>
      </x:c>
      <x:c r="O288" s="10" t="n">
        <x:v>1450</x:v>
      </x:c>
      <x:c r="P288" s="2" t="str">
        <x:v>D23</x:v>
      </x:c>
      <x:c r="Q288" s="2" t="str">
        <x:v>hdb flat</x:v>
      </x:c>
      <x:c r="R288" s="2" t="str">
        <x:v>https://www.propertyguru.com.sg/listing/hdb-for-rent-509-choa-chu-kang-street-51-500287515</x:v>
      </x:c>
      <x:c r="S288" s="2" t="str">
        <x:v>cold_start_exploration</x:v>
      </x:c>
    </x:row>
    <x:row r="289" ht="22" customHeight="1">
      <x:c r="A289" s="2" t="str">
        <x:v>S32-T01</x:v>
      </x:c>
      <x:c r="B289" s="2" t="str">
        <x:v>S32</x:v>
      </x:c>
      <x:c r="C289" s="2" t="str">
        <x:v>Extension</x:v>
      </x:c>
      <x:c r="D289" s="11" t="n">
        <x:v>1</x:v>
      </x:c>
      <x:c r="E289" s="11" t="n">
        <x:v>1</x:v>
      </x:c>
      <x:c r="F289" s="2" t="str">
        <x:v>18996750</x:v>
      </x:c>
      <x:c r="G289" s="2" t="str">
        <x:v>S32|18996750</x:v>
      </x:c>
      <x:c r="H289" s="2" t="n">
        <x:f>IFERROR(VLOOKUP(G289,'Ratings'!$A$6:$F$1387,6,FALSE),"Unknown")</x:f>
        <x:v>3</x:v>
      </x:c>
      <x:c r="I289" s="2" t="n">
        <x:f>IF(ISNUMBER(H289),1,0)</x:f>
        <x:v>1</x:v>
      </x:c>
      <x:c r="J289" s="2" t="n">
        <x:f>IF(ISNUMBER(H289),IF(H289&gt;=2,1,0),0)</x:f>
        <x:v>1</x:v>
      </x:c>
      <x:c r="K289" s="14" t="n">
        <x:f>IF(ISNUMBER(H289),2^H289-1,0)</x:f>
        <x:v>7</x:v>
      </x:c>
      <x:c r="L289" s="14" t="n">
        <x:f>K289/LOG(E289+1,2)</x:f>
        <x:v>7</x:v>
      </x:c>
      <x:c r="M289" s="10" t="n">
        <x:v>4600</x:v>
      </x:c>
      <x:c r="N289" s="10" t="n">
        <x:v>2</x:v>
      </x:c>
      <x:c r="O289" s="10" t="n">
        <x:v>752</x:v>
      </x:c>
      <x:c r="P289" s="2" t="str">
        <x:v>D10</x:v>
      </x:c>
      <x:c r="Q289" s="2" t="str">
        <x:v>apartment</x:v>
      </x:c>
      <x:c r="R289" s="2" t="str">
        <x:v>https://www.propertyguru.com.sg/listing/for-rent-zenith-zion-18996750</x:v>
      </x:c>
      <x:c r="S289" s="2" t="str">
        <x:v>cold_start_exploration</x:v>
      </x:c>
    </x:row>
    <x:row r="290" ht="22" customHeight="1">
      <x:c r="A290" s="2" t="str">
        <x:v>S32-T01</x:v>
      </x:c>
      <x:c r="B290" s="2" t="str">
        <x:v>S32</x:v>
      </x:c>
      <x:c r="C290" s="2" t="str">
        <x:v>Extension</x:v>
      </x:c>
      <x:c r="D290" s="11" t="n">
        <x:v>1</x:v>
      </x:c>
      <x:c r="E290" s="11" t="n">
        <x:v>2</x:v>
      </x:c>
      <x:c r="F290" s="2" t="str">
        <x:v>19359145</x:v>
      </x:c>
      <x:c r="G290" s="2" t="str">
        <x:v>S32|19359145</x:v>
      </x:c>
      <x:c r="H290" s="2" t="n">
        <x:f>IFERROR(VLOOKUP(G290,'Ratings'!$A$6:$F$1387,6,FALSE),"Unknown")</x:f>
        <x:v>3</x:v>
      </x:c>
      <x:c r="I290" s="2" t="n">
        <x:f>IF(ISNUMBER(H290),1,0)</x:f>
        <x:v>1</x:v>
      </x:c>
      <x:c r="J290" s="2" t="n">
        <x:f>IF(ISNUMBER(H290),IF(H290&gt;=2,1,0),0)</x:f>
        <x:v>1</x:v>
      </x:c>
      <x:c r="K290" s="14" t="n">
        <x:f>IF(ISNUMBER(H290),2^H290-1,0)</x:f>
        <x:v>7</x:v>
      </x:c>
      <x:c r="L290" s="14" t="n">
        <x:f>K290/LOG(E290+1,2)</x:f>
        <x:v>4.4165082750002025</x:v>
      </x:c>
      <x:c r="M290" s="10" t="n">
        <x:v>4500</x:v>
      </x:c>
      <x:c r="N290" s="10" t="n">
        <x:v>2</x:v>
      </x:c>
      <x:c r="O290" s="10" t="n">
        <x:v>797</x:v>
      </x:c>
      <x:c r="P290" s="2" t="str">
        <x:v>D10</x:v>
      </x:c>
      <x:c r="Q290" s="2" t="str">
        <x:v>apartment</x:v>
      </x:c>
      <x:c r="R290" s="2" t="str">
        <x:v>https://www.propertyguru.com.sg/listing/for-rent-j-c-draycott-19359145</x:v>
      </x:c>
      <x:c r="S290" s="2" t="str">
        <x:v>cold_start_exploration</x:v>
      </x:c>
    </x:row>
    <x:row r="291" ht="22" customHeight="1">
      <x:c r="A291" s="2" t="str">
        <x:v>S32-T01</x:v>
      </x:c>
      <x:c r="B291" s="2" t="str">
        <x:v>S32</x:v>
      </x:c>
      <x:c r="C291" s="2" t="str">
        <x:v>Extension</x:v>
      </x:c>
      <x:c r="D291" s="11" t="n">
        <x:v>1</x:v>
      </x:c>
      <x:c r="E291" s="11" t="n">
        <x:v>3</x:v>
      </x:c>
      <x:c r="F291" s="2" t="str">
        <x:v>21343728</x:v>
      </x:c>
      <x:c r="G291" s="2" t="str">
        <x:v>S32|21343728</x:v>
      </x:c>
      <x:c r="H291" s="2" t="n">
        <x:f>IFERROR(VLOOKUP(G291,'Ratings'!$A$6:$F$1387,6,FALSE),"Unknown")</x:f>
        <x:v>3</x:v>
      </x:c>
      <x:c r="I291" s="2" t="n">
        <x:f>IF(ISNUMBER(H291),1,0)</x:f>
        <x:v>1</x:v>
      </x:c>
      <x:c r="J291" s="2" t="n">
        <x:f>IF(ISNUMBER(H291),IF(H291&gt;=2,1,0),0)</x:f>
        <x:v>1</x:v>
      </x:c>
      <x:c r="K291" s="14" t="n">
        <x:f>IF(ISNUMBER(H291),2^H291-1,0)</x:f>
        <x:v>7</x:v>
      </x:c>
      <x:c r="L291" s="14" t="n">
        <x:f>K291/LOG(E291+1,2)</x:f>
        <x:v>3.5</x:v>
      </x:c>
      <x:c r="M291" s="10" t="n">
        <x:v>3199</x:v>
      </x:c>
      <x:c r="N291" s="10" t="n">
        <x:v>2</x:v>
      </x:c>
      <x:c r="O291" s="10" t="n">
        <x:v>635</x:v>
      </x:c>
      <x:c r="P291" s="2" t="str">
        <x:v>D10</x:v>
      </x:c>
      <x:c r="Q291" s="2" t="str">
        <x:v>hdb flat</x:v>
      </x:c>
      <x:c r="R291" s="2" t="str">
        <x:v>https://www.propertyguru.com.sg/listing/hdb-for-rent-31-holland-close-21343728</x:v>
      </x:c>
      <x:c r="S291" s="2" t="str">
        <x:v>cold_start_exploration</x:v>
      </x:c>
    </x:row>
    <x:row r="292" ht="22" customHeight="1">
      <x:c r="A292" s="2" t="str">
        <x:v>S32-T01</x:v>
      </x:c>
      <x:c r="B292" s="2" t="str">
        <x:v>S32</x:v>
      </x:c>
      <x:c r="C292" s="2" t="str">
        <x:v>Extension</x:v>
      </x:c>
      <x:c r="D292" s="11" t="n">
        <x:v>1</x:v>
      </x:c>
      <x:c r="E292" s="11" t="n">
        <x:v>4</x:v>
      </x:c>
      <x:c r="F292" s="2" t="str">
        <x:v>23751713</x:v>
      </x:c>
      <x:c r="G292" s="2" t="str">
        <x:v>S32|23751713</x:v>
      </x:c>
      <x:c r="H292" s="2" t="n">
        <x:f>IFERROR(VLOOKUP(G292,'Ratings'!$A$6:$F$1387,6,FALSE),"Unknown")</x:f>
        <x:v>3</x:v>
      </x:c>
      <x:c r="I292" s="2" t="n">
        <x:f>IF(ISNUMBER(H292),1,0)</x:f>
        <x:v>1</x:v>
      </x:c>
      <x:c r="J292" s="2" t="n">
        <x:f>IF(ISNUMBER(H292),IF(H292&gt;=2,1,0),0)</x:f>
        <x:v>1</x:v>
      </x:c>
      <x:c r="K292" s="14" t="n">
        <x:f>IF(ISNUMBER(H292),2^H292-1,0)</x:f>
        <x:v>7</x:v>
      </x:c>
      <x:c r="L292" s="14" t="n">
        <x:f>K292/LOG(E292+1,2)</x:f>
        <x:v>3.0147359065137516</x:v>
      </x:c>
      <x:c r="M292" s="10" t="n">
        <x:v>3600</x:v>
      </x:c>
      <x:c r="N292" s="10" t="n">
        <x:v>2</x:v>
      </x:c>
      <x:c r="O292" s="10" t="n">
        <x:v>700</x:v>
      </x:c>
      <x:c r="P292" s="2" t="str">
        <x:v>D10</x:v>
      </x:c>
      <x:c r="Q292" s="2" t="str">
        <x:v>hdb flat</x:v>
      </x:c>
      <x:c r="R292" s="2" t="str">
        <x:v>https://www.propertyguru.com.sg/listing/hdb-for-rent-11-holland-drive-23751713</x:v>
      </x:c>
      <x:c r="S292" s="2" t="str">
        <x:v>cold_start_exploration</x:v>
      </x:c>
    </x:row>
    <x:row r="293" ht="22" customHeight="1">
      <x:c r="A293" s="2" t="str">
        <x:v>S32-T01</x:v>
      </x:c>
      <x:c r="B293" s="2" t="str">
        <x:v>S32</x:v>
      </x:c>
      <x:c r="C293" s="2" t="str">
        <x:v>Extension</x:v>
      </x:c>
      <x:c r="D293" s="11" t="n">
        <x:v>1</x:v>
      </x:c>
      <x:c r="E293" s="11" t="n">
        <x:v>5</x:v>
      </x:c>
      <x:c r="F293" s="2" t="str">
        <x:v>24218190</x:v>
      </x:c>
      <x:c r="G293" s="2" t="str">
        <x:v>S32|24218190</x:v>
      </x:c>
      <x:c r="H293" s="2" t="n">
        <x:f>IFERROR(VLOOKUP(G293,'Ratings'!$A$6:$F$1387,6,FALSE),"Unknown")</x:f>
        <x:v>3</x:v>
      </x:c>
      <x:c r="I293" s="2" t="n">
        <x:f>IF(ISNUMBER(H293),1,0)</x:f>
        <x:v>1</x:v>
      </x:c>
      <x:c r="J293" s="2" t="n">
        <x:f>IF(ISNUMBER(H293),IF(H293&gt;=2,1,0),0)</x:f>
        <x:v>1</x:v>
      </x:c>
      <x:c r="K293" s="14" t="n">
        <x:f>IF(ISNUMBER(H293),2^H293-1,0)</x:f>
        <x:v>7</x:v>
      </x:c>
      <x:c r="L293" s="14" t="n">
        <x:f>K293/LOG(E293+1,2)</x:f>
        <x:v>2.7079696506417914</x:v>
      </x:c>
      <x:c r="M293" s="10" t="n">
        <x:v>5400</x:v>
      </x:c>
      <x:c r="N293" s="10" t="n">
        <x:v>2</x:v>
      </x:c>
      <x:c r="O293" s="10" t="n">
        <x:v>818</x:v>
      </x:c>
      <x:c r="P293" s="2" t="str">
        <x:v>D10</x:v>
      </x:c>
      <x:c r="Q293" s="2" t="str">
        <x:v>condominium</x:v>
      </x:c>
      <x:c r="R293" s="2" t="str">
        <x:v>https://www.propertyguru.com.sg/listing/for-rent-royalgreen-24218190</x:v>
      </x:c>
      <x:c r="S293" s="2" t="str">
        <x:v>cold_start_exploration</x:v>
      </x:c>
    </x:row>
    <x:row r="294" ht="22" customHeight="1">
      <x:c r="A294" s="2" t="str">
        <x:v>S32-T01</x:v>
      </x:c>
      <x:c r="B294" s="2" t="str">
        <x:v>S32</x:v>
      </x:c>
      <x:c r="C294" s="2" t="str">
        <x:v>Extension</x:v>
      </x:c>
      <x:c r="D294" s="11" t="n">
        <x:v>1</x:v>
      </x:c>
      <x:c r="E294" s="11" t="n">
        <x:v>6</x:v>
      </x:c>
      <x:c r="F294" s="2" t="str">
        <x:v>25239654</x:v>
      </x:c>
      <x:c r="G294" s="2" t="str">
        <x:v>S32|25239654</x:v>
      </x:c>
      <x:c r="H294" s="2" t="n">
        <x:f>IFERROR(VLOOKUP(G294,'Ratings'!$A$6:$F$1387,6,FALSE),"Unknown")</x:f>
        <x:v>3</x:v>
      </x:c>
      <x:c r="I294" s="2" t="n">
        <x:f>IF(ISNUMBER(H294),1,0)</x:f>
        <x:v>1</x:v>
      </x:c>
      <x:c r="J294" s="2" t="n">
        <x:f>IF(ISNUMBER(H294),IF(H294&gt;=2,1,0),0)</x:f>
        <x:v>1</x:v>
      </x:c>
      <x:c r="K294" s="14" t="n">
        <x:f>IF(ISNUMBER(H294),2^H294-1,0)</x:f>
        <x:v>7</x:v>
      </x:c>
      <x:c r="L294" s="14" t="n">
        <x:f>K294/LOG(E294+1,2)</x:f>
        <x:v>2.493450309756155</x:v>
      </x:c>
      <x:c r="M294" s="10" t="n">
        <x:v>4800</x:v>
      </x:c>
      <x:c r="N294" s="10" t="n">
        <x:v>2</x:v>
      </x:c>
      <x:c r="O294" s="10" t="n">
        <x:v>700</x:v>
      </x:c>
      <x:c r="P294" s="2" t="str">
        <x:v>D10</x:v>
      </x:c>
      <x:c r="Q294" s="2" t="str">
        <x:v>condominium</x:v>
      </x:c>
      <x:c r="R294" s="2" t="str">
        <x:v>https://www.propertyguru.com.sg/listing/for-rent-hyll-on-holland-25239654</x:v>
      </x:c>
      <x:c r="S294" s="2" t="str">
        <x:v>cold_start_exploration</x:v>
      </x:c>
    </x:row>
    <x:row r="295" ht="22" customHeight="1">
      <x:c r="A295" s="2" t="str">
        <x:v>S32-T01</x:v>
      </x:c>
      <x:c r="B295" s="2" t="str">
        <x:v>S32</x:v>
      </x:c>
      <x:c r="C295" s="2" t="str">
        <x:v>Extension</x:v>
      </x:c>
      <x:c r="D295" s="11" t="n">
        <x:v>1</x:v>
      </x:c>
      <x:c r="E295" s="11" t="n">
        <x:v>7</x:v>
      </x:c>
      <x:c r="F295" s="2" t="str">
        <x:v>4083967</x:v>
      </x:c>
      <x:c r="G295" s="2" t="str">
        <x:v>S32|4083967</x:v>
      </x:c>
      <x:c r="H295" s="2" t="n">
        <x:f>IFERROR(VLOOKUP(G295,'Ratings'!$A$6:$F$1387,6,FALSE),"Unknown")</x:f>
        <x:v>3</x:v>
      </x:c>
      <x:c r="I295" s="2" t="n">
        <x:f>IF(ISNUMBER(H295),1,0)</x:f>
        <x:v>1</x:v>
      </x:c>
      <x:c r="J295" s="2" t="n">
        <x:f>IF(ISNUMBER(H295),IF(H295&gt;=2,1,0),0)</x:f>
        <x:v>1</x:v>
      </x:c>
      <x:c r="K295" s="14" t="n">
        <x:f>IF(ISNUMBER(H295),2^H295-1,0)</x:f>
        <x:v>7</x:v>
      </x:c>
      <x:c r="L295" s="14" t="n">
        <x:f>K295/LOG(E295+1,2)</x:f>
        <x:v>2.3333333333333335</x:v>
      </x:c>
      <x:c r="M295" s="10" t="n">
        <x:v>5500</x:v>
      </x:c>
      <x:c r="N295" s="10" t="n">
        <x:v>3</x:v>
      </x:c>
      <x:c r="O295" s="10" t="n">
        <x:v>1152</x:v>
      </x:c>
      <x:c r="P295" s="2" t="str">
        <x:v>D10</x:v>
      </x:c>
      <x:c r="Q295" s="2" t="str">
        <x:v>condominium</x:v>
      </x:c>
      <x:c r="R295" s="2" t="str">
        <x:v>https://www.propertyguru.com.sg/listing/for-rent-the-serenade-holland-4083967</x:v>
      </x:c>
      <x:c r="S295" s="2" t="str">
        <x:v>cold_start_exploration</x:v>
      </x:c>
    </x:row>
    <x:row r="296" ht="22" customHeight="1">
      <x:c r="A296" s="2" t="str">
        <x:v>S32-T01</x:v>
      </x:c>
      <x:c r="B296" s="2" t="str">
        <x:v>S32</x:v>
      </x:c>
      <x:c r="C296" s="2" t="str">
        <x:v>Extension</x:v>
      </x:c>
      <x:c r="D296" s="11" t="n">
        <x:v>1</x:v>
      </x:c>
      <x:c r="E296" s="11" t="n">
        <x:v>8</x:v>
      </x:c>
      <x:c r="F296" s="2" t="str">
        <x:v>500228023</x:v>
      </x:c>
      <x:c r="G296" s="2" t="str">
        <x:v>S32|500228023</x:v>
      </x:c>
      <x:c r="H296" s="2" t="n">
        <x:f>IFERROR(VLOOKUP(G296,'Ratings'!$A$6:$F$1387,6,FALSE),"Unknown")</x:f>
        <x:v>3</x:v>
      </x:c>
      <x:c r="I296" s="2" t="n">
        <x:f>IF(ISNUMBER(H296),1,0)</x:f>
        <x:v>1</x:v>
      </x:c>
      <x:c r="J296" s="2" t="n">
        <x:f>IF(ISNUMBER(H296),IF(H296&gt;=2,1,0),0)</x:f>
        <x:v>1</x:v>
      </x:c>
      <x:c r="K296" s="14" t="n">
        <x:f>IF(ISNUMBER(H296),2^H296-1,0)</x:f>
        <x:v>7</x:v>
      </x:c>
      <x:c r="L296" s="14" t="n">
        <x:f>K296/LOG(E296+1,2)</x:f>
        <x:v>2.208254137500101</x:v>
      </x:c>
      <x:c r="M296" s="10" t="n">
        <x:v>5500</x:v>
      </x:c>
      <x:c r="N296" s="10" t="n">
        <x:v>3</x:v>
      </x:c>
      <x:c r="O296" s="10" t="n">
        <x:v>1300</x:v>
      </x:c>
      <x:c r="P296" s="2" t="str">
        <x:v>D10</x:v>
      </x:c>
      <x:c r="Q296" s="2" t="str">
        <x:v>apartment</x:v>
      </x:c>
      <x:c r="R296" s="2" t="str">
        <x:v>https://www.propertyguru.com.sg/listing/for-rent-rainbow-mansions-500228023</x:v>
      </x:c>
      <x:c r="S296" s="2" t="str">
        <x:v>cold_start_exploration</x:v>
      </x:c>
    </x:row>
    <x:row r="297" ht="22" customHeight="1">
      <x:c r="A297" s="2" t="str">
        <x:v>S32-T01</x:v>
      </x:c>
      <x:c r="B297" s="2" t="str">
        <x:v>S32</x:v>
      </x:c>
      <x:c r="C297" s="2" t="str">
        <x:v>Extension</x:v>
      </x:c>
      <x:c r="D297" s="11" t="n">
        <x:v>1</x:v>
      </x:c>
      <x:c r="E297" s="11" t="n">
        <x:v>9</x:v>
      </x:c>
      <x:c r="F297" s="2" t="str">
        <x:v>500235375</x:v>
      </x:c>
      <x:c r="G297" s="2" t="str">
        <x:v>S32|500235375</x:v>
      </x:c>
      <x:c r="H297" s="2" t="n">
        <x:f>IFERROR(VLOOKUP(G297,'Ratings'!$A$6:$F$1387,6,FALSE),"Unknown")</x:f>
        <x:v>3</x:v>
      </x:c>
      <x:c r="I297" s="2" t="n">
        <x:f>IF(ISNUMBER(H297),1,0)</x:f>
        <x:v>1</x:v>
      </x:c>
      <x:c r="J297" s="2" t="n">
        <x:f>IF(ISNUMBER(H297),IF(H297&gt;=2,1,0),0)</x:f>
        <x:v>1</x:v>
      </x:c>
      <x:c r="K297" s="14" t="n">
        <x:f>IF(ISNUMBER(H297),2^H297-1,0)</x:f>
        <x:v>7</x:v>
      </x:c>
      <x:c r="L297" s="14" t="n">
        <x:f>K297/LOG(E297+1,2)</x:f>
        <x:v>2.1072099696478683</x:v>
      </x:c>
      <x:c r="M297" s="10" t="n">
        <x:v>5000</x:v>
      </x:c>
      <x:c r="N297" s="10" t="n">
        <x:v>2</x:v>
      </x:c>
      <x:c r="O297" s="10" t="n">
        <x:v>786</x:v>
      </x:c>
      <x:c r="P297" s="2" t="str">
        <x:v>D10</x:v>
      </x:c>
      <x:c r="Q297" s="2" t="str">
        <x:v>condominium</x:v>
      </x:c>
      <x:c r="R297" s="2" t="str">
        <x:v>https://www.propertyguru.com.sg/listing/for-rent-parksuites-500235375</x:v>
      </x:c>
      <x:c r="S297" s="2" t="str">
        <x:v>cold_start_exploration</x:v>
      </x:c>
    </x:row>
    <x:row r="298" ht="22" customHeight="1">
      <x:c r="A298" s="2" t="str">
        <x:v>S32-T01</x:v>
      </x:c>
      <x:c r="B298" s="2" t="str">
        <x:v>S32</x:v>
      </x:c>
      <x:c r="C298" s="2" t="str">
        <x:v>Extension</x:v>
      </x:c>
      <x:c r="D298" s="11" t="n">
        <x:v>1</x:v>
      </x:c>
      <x:c r="E298" s="11" t="n">
        <x:v>10</x:v>
      </x:c>
      <x:c r="F298" s="2" t="str">
        <x:v>500245773</x:v>
      </x:c>
      <x:c r="G298" s="2" t="str">
        <x:v>S32|500245773</x:v>
      </x:c>
      <x:c r="H298" s="2" t="n">
        <x:f>IFERROR(VLOOKUP(G298,'Ratings'!$A$6:$F$1387,6,FALSE),"Unknown")</x:f>
        <x:v>3</x:v>
      </x:c>
      <x:c r="I298" s="2" t="n">
        <x:f>IF(ISNUMBER(H298),1,0)</x:f>
        <x:v>1</x:v>
      </x:c>
      <x:c r="J298" s="2" t="n">
        <x:f>IF(ISNUMBER(H298),IF(H298&gt;=2,1,0),0)</x:f>
        <x:v>1</x:v>
      </x:c>
      <x:c r="K298" s="14" t="n">
        <x:f>IF(ISNUMBER(H298),2^H298-1,0)</x:f>
        <x:v>7</x:v>
      </x:c>
      <x:c r="L298" s="14" t="n">
        <x:f>K298/LOG(E298+1,2)</x:f>
        <x:v>2.023453784225215</x:v>
      </x:c>
      <x:c r="M298" s="10" t="n">
        <x:v>3100</x:v>
      </x:c>
      <x:c r="N298" s="10" t="n">
        <x:v>2</x:v>
      </x:c>
      <x:c r="O298" s="10" t="n">
        <x:v>634</x:v>
      </x:c>
      <x:c r="P298" s="2" t="str">
        <x:v>D10</x:v>
      </x:c>
      <x:c r="Q298" s="2" t="str">
        <x:v>hdb flat</x:v>
      </x:c>
      <x:c r="R298" s="2" t="str">
        <x:v>https://www.propertyguru.com.sg/listing/hdb-for-rent-8-holland-avenue-500245773</x:v>
      </x:c>
      <x:c r="S298" s="2" t="str">
        <x:v>cold_start_exploration</x:v>
      </x:c>
    </x:row>
    <x:row r="299" ht="22" customHeight="1">
      <x:c r="A299" s="2" t="str">
        <x:v>S33-T01</x:v>
      </x:c>
      <x:c r="B299" s="2" t="str">
        <x:v>S33</x:v>
      </x:c>
      <x:c r="C299" s="2" t="str">
        <x:v>Extension</x:v>
      </x:c>
      <x:c r="D299" s="11" t="n">
        <x:v>1</x:v>
      </x:c>
      <x:c r="E299" s="11" t="n">
        <x:v>1</x:v>
      </x:c>
      <x:c r="F299" s="2" t="str">
        <x:v>21406855</x:v>
      </x:c>
      <x:c r="G299" s="2" t="str">
        <x:v>S33|21406855</x:v>
      </x:c>
      <x:c r="H299" s="2" t="n">
        <x:f>IFERROR(VLOOKUP(G299,'Ratings'!$A$6:$F$1387,6,FALSE),"Unknown")</x:f>
        <x:v>2</x:v>
      </x:c>
      <x:c r="I299" s="2" t="n">
        <x:f>IF(ISNUMBER(H299),1,0)</x:f>
        <x:v>1</x:v>
      </x:c>
      <x:c r="J299" s="2" t="n">
        <x:f>IF(ISNUMBER(H299),IF(H299&gt;=2,1,0),0)</x:f>
        <x:v>1</x:v>
      </x:c>
      <x:c r="K299" s="14" t="n">
        <x:f>IF(ISNUMBER(H299),2^H299-1,0)</x:f>
        <x:v>3</x:v>
      </x:c>
      <x:c r="L299" s="14" t="n">
        <x:f>K299/LOG(E299+1,2)</x:f>
        <x:v>3</x:v>
      </x:c>
      <x:c r="M299" s="10" t="n">
        <x:v>3300</x:v>
      </x:c>
      <x:c r="N299" s="10" t="n">
        <x:v>3</x:v>
      </x:c>
      <x:c r="O299" s="10" t="n">
        <x:v>700</x:v>
      </x:c>
      <x:c r="P299" s="2" t="str">
        <x:v>D05</x:v>
      </x:c>
      <x:c r="Q299" s="2" t="str">
        <x:v>hdb flat</x:v>
      </x:c>
      <x:c r="R299" s="2" t="str">
        <x:v>https://www.propertyguru.com.sg/listing/hdb-for-rent-21-dover-crescent-21406855</x:v>
      </x:c>
      <x:c r="S299" s="2" t="str">
        <x:v>small_pool</x:v>
      </x:c>
    </x:row>
    <x:row r="300" ht="22" customHeight="1">
      <x:c r="A300" s="2" t="str">
        <x:v>S33-T01</x:v>
      </x:c>
      <x:c r="B300" s="2" t="str">
        <x:v>S33</x:v>
      </x:c>
      <x:c r="C300" s="2" t="str">
        <x:v>Extension</x:v>
      </x:c>
      <x:c r="D300" s="11" t="n">
        <x:v>1</x:v>
      </x:c>
      <x:c r="E300" s="11" t="n">
        <x:v>2</x:v>
      </x:c>
      <x:c r="F300" s="2" t="str">
        <x:v>24981163</x:v>
      </x:c>
      <x:c r="G300" s="2" t="str">
        <x:v>S33|24981163</x:v>
      </x:c>
      <x:c r="H300" s="2" t="n">
        <x:f>IFERROR(VLOOKUP(G300,'Ratings'!$A$6:$F$1387,6,FALSE),"Unknown")</x:f>
        <x:v>1</x:v>
      </x:c>
      <x:c r="I300" s="2" t="n">
        <x:f>IF(ISNUMBER(H300),1,0)</x:f>
        <x:v>1</x:v>
      </x:c>
      <x:c r="J300" s="2" t="n">
        <x:f>IF(ISNUMBER(H300),IF(H300&gt;=2,1,0),0)</x:f>
        <x:v>0</x:v>
      </x:c>
      <x:c r="K300" s="14" t="n">
        <x:f>IF(ISNUMBER(H300),2^H300-1,0)</x:f>
        <x:v>1</x:v>
      </x:c>
      <x:c r="L300" s="14" t="n">
        <x:f>K300/LOG(E300+1,2)</x:f>
        <x:v>0.6309297535714575</x:v>
      </x:c>
      <x:c r="M300" s="10" t="n">
        <x:v>3800</x:v>
      </x:c>
      <x:c r="N300" s="10" t="n">
        <x:v>3</x:v>
      </x:c>
      <x:c r="O300" s="10" t="n">
        <x:v>1012</x:v>
      </x:c>
      <x:c r="P300" s="2" t="str">
        <x:v>D05</x:v>
      </x:c>
      <x:c r="Q300" s="2" t="str">
        <x:v>hdb flat</x:v>
      </x:c>
      <x:c r="R300" s="2" t="str">
        <x:v>https://www.propertyguru.com.sg/listing/hdb-for-rent-381-clementi-avenue-5-24981163</x:v>
      </x:c>
      <x:c r="S300" s="2" t="str">
        <x:v>small_pool</x:v>
      </x:c>
    </x:row>
    <x:row r="301" ht="22" customHeight="1">
      <x:c r="A301" s="2" t="str">
        <x:v>S33-T01</x:v>
      </x:c>
      <x:c r="B301" s="2" t="str">
        <x:v>S33</x:v>
      </x:c>
      <x:c r="C301" s="2" t="str">
        <x:v>Extension</x:v>
      </x:c>
      <x:c r="D301" s="11" t="n">
        <x:v>1</x:v>
      </x:c>
      <x:c r="E301" s="11" t="n">
        <x:v>3</x:v>
      </x:c>
      <x:c r="F301" s="2" t="str">
        <x:v>500275187</x:v>
      </x:c>
      <x:c r="G301" s="2" t="str">
        <x:v>S33|500275187</x:v>
      </x:c>
      <x:c r="H301" s="2" t="n">
        <x:f>IFERROR(VLOOKUP(G301,'Ratings'!$A$6:$F$1387,6,FALSE),"Unknown")</x:f>
        <x:v>1</x:v>
      </x:c>
      <x:c r="I301" s="2" t="n">
        <x:f>IF(ISNUMBER(H301),1,0)</x:f>
        <x:v>1</x:v>
      </x:c>
      <x:c r="J301" s="2" t="n">
        <x:f>IF(ISNUMBER(H301),IF(H301&gt;=2,1,0),0)</x:f>
        <x:v>0</x:v>
      </x:c>
      <x:c r="K301" s="14" t="n">
        <x:f>IF(ISNUMBER(H301),2^H301-1,0)</x:f>
        <x:v>1</x:v>
      </x:c>
      <x:c r="L301" s="14" t="n">
        <x:f>K301/LOG(E301+1,2)</x:f>
        <x:v>0.5</x:v>
      </x:c>
      <x:c r="M301" s="10" t="n">
        <x:v>3800</x:v>
      </x:c>
      <x:c r="N301" s="10" t="n">
        <x:v>3</x:v>
      </x:c>
      <x:c r="O301" s="10" t="n">
        <x:v>980</x:v>
      </x:c>
      <x:c r="P301" s="2" t="str">
        <x:v>D05</x:v>
      </x:c>
      <x:c r="Q301" s="2" t="str">
        <x:v>hdb flat</x:v>
      </x:c>
      <x:c r="R301" s="2" t="str">
        <x:v>https://www.propertyguru.com.sg/listing/hdb-for-rent-315-clementi-avenue-4-500275187</x:v>
      </x:c>
      <x:c r="S301" s="2" t="str">
        <x:v>small_pool</x:v>
      </x:c>
    </x:row>
    <x:row r="302" ht="22" customHeight="1">
      <x:c r="A302" s="2" t="str">
        <x:v>S35-T01</x:v>
      </x:c>
      <x:c r="B302" s="2" t="str">
        <x:v>S35</x:v>
      </x:c>
      <x:c r="C302" s="2" t="str">
        <x:v>Extension</x:v>
      </x:c>
      <x:c r="D302" s="11" t="n">
        <x:v>1</x:v>
      </x:c>
      <x:c r="E302" s="11" t="n">
        <x:v>1</x:v>
      </x:c>
      <x:c r="F302" s="2" t="str">
        <x:v>24957418</x:v>
      </x:c>
      <x:c r="G302" s="2" t="str">
        <x:v>S35|24957418</x:v>
      </x:c>
      <x:c r="H302" s="2" t="n">
        <x:f>IFERROR(VLOOKUP(G302,'Ratings'!$A$6:$F$1387,6,FALSE),"Unknown")</x:f>
        <x:v>3</x:v>
      </x:c>
      <x:c r="I302" s="2" t="n">
        <x:f>IF(ISNUMBER(H302),1,0)</x:f>
        <x:v>1</x:v>
      </x:c>
      <x:c r="J302" s="2" t="n">
        <x:f>IF(ISNUMBER(H302),IF(H302&gt;=2,1,0),0)</x:f>
        <x:v>1</x:v>
      </x:c>
      <x:c r="K302" s="14" t="n">
        <x:f>IF(ISNUMBER(H302),2^H302-1,0)</x:f>
        <x:v>7</x:v>
      </x:c>
      <x:c r="L302" s="14" t="n">
        <x:f>K302/LOG(E302+1,2)</x:f>
        <x:v>7</x:v>
      </x:c>
      <x:c r="M302" s="10" t="n">
        <x:v>4300</x:v>
      </x:c>
      <x:c r="N302" s="10" t="n">
        <x:v>4</x:v>
      </x:c>
      <x:c r="O302" s="10" t="n">
        <x:v>1313</x:v>
      </x:c>
      <x:c r="P302" s="2" t="str">
        <x:v>D20</x:v>
      </x:c>
      <x:c r="Q302" s="2" t="str">
        <x:v>hdb flat</x:v>
      </x:c>
      <x:c r="R302" s="2" t="str">
        <x:v>https://www.propertyguru.com.sg/listing/hdb-for-rent-142-bishan-street-12-24957418</x:v>
      </x:c>
      <x:c r="S302" s="2" t="str">
        <x:v>small_pool</x:v>
      </x:c>
    </x:row>
    <x:row r="303" ht="22" customHeight="1">
      <x:c r="A303" s="2" t="str">
        <x:v>S35-T01</x:v>
      </x:c>
      <x:c r="B303" s="2" t="str">
        <x:v>S35</x:v>
      </x:c>
      <x:c r="C303" s="2" t="str">
        <x:v>Extension</x:v>
      </x:c>
      <x:c r="D303" s="11" t="n">
        <x:v>1</x:v>
      </x:c>
      <x:c r="E303" s="11" t="n">
        <x:v>2</x:v>
      </x:c>
      <x:c r="F303" s="2" t="str">
        <x:v>22232996</x:v>
      </x:c>
      <x:c r="G303" s="2" t="str">
        <x:v>S35|22232996</x:v>
      </x:c>
      <x:c r="H303" s="2" t="n">
        <x:f>IFERROR(VLOOKUP(G303,'Ratings'!$A$6:$F$1387,6,FALSE),"Unknown")</x:f>
        <x:v>1</x:v>
      </x:c>
      <x:c r="I303" s="2" t="n">
        <x:f>IF(ISNUMBER(H303),1,0)</x:f>
        <x:v>1</x:v>
      </x:c>
      <x:c r="J303" s="2" t="n">
        <x:f>IF(ISNUMBER(H303),IF(H303&gt;=2,1,0),0)</x:f>
        <x:v>0</x:v>
      </x:c>
      <x:c r="K303" s="14" t="n">
        <x:f>IF(ISNUMBER(H303),2^H303-1,0)</x:f>
        <x:v>1</x:v>
      </x:c>
      <x:c r="L303" s="14" t="n">
        <x:f>K303/LOG(E303+1,2)</x:f>
        <x:v>0.6309297535714575</x:v>
      </x:c>
      <x:c r="M303" s="10" t="n">
        <x:v>4500</x:v>
      </x:c>
      <x:c r="N303" s="10" t="n">
        <x:v>4</x:v>
      </x:c>
      <x:c r="O303" s="10" t="n">
        <x:v>1302</x:v>
      </x:c>
      <x:c r="P303" s="2" t="str">
        <x:v>D20</x:v>
      </x:c>
      <x:c r="Q303" s="2" t="str">
        <x:v>hdb flat</x:v>
      </x:c>
      <x:c r="R303" s="2" t="str">
        <x:v>https://www.propertyguru.com.sg/listing/hdb-for-rent-142-bishan-street-12-22232996</x:v>
      </x:c>
      <x:c r="S303" s="2" t="str">
        <x:v>small_pool</x:v>
      </x:c>
    </x:row>
    <x:row r="304" ht="22" customHeight="1">
      <x:c r="A304" s="2" t="str">
        <x:v>S37-T01</x:v>
      </x:c>
      <x:c r="B304" s="2" t="str">
        <x:v>S37</x:v>
      </x:c>
      <x:c r="C304" s="2" t="str">
        <x:v>Extension</x:v>
      </x:c>
      <x:c r="D304" s="11" t="n">
        <x:v>1</x:v>
      </x:c>
      <x:c r="E304" s="11" t="n">
        <x:v>1</x:v>
      </x:c>
      <x:c r="F304" s="2" t="str">
        <x:v>500272797</x:v>
      </x:c>
      <x:c r="G304" s="2" t="str">
        <x:v>S37|500272797</x:v>
      </x:c>
      <x:c r="H304" s="2" t="n">
        <x:f>IFERROR(VLOOKUP(G304,'Ratings'!$A$6:$F$1387,6,FALSE),"Unknown")</x:f>
        <x:v>3</x:v>
      </x:c>
      <x:c r="I304" s="2" t="n">
        <x:f>IF(ISNUMBER(H304),1,0)</x:f>
        <x:v>1</x:v>
      </x:c>
      <x:c r="J304" s="2" t="n">
        <x:f>IF(ISNUMBER(H304),IF(H304&gt;=2,1,0),0)</x:f>
        <x:v>1</x:v>
      </x:c>
      <x:c r="K304" s="14" t="n">
        <x:f>IF(ISNUMBER(H304),2^H304-1,0)</x:f>
        <x:v>7</x:v>
      </x:c>
      <x:c r="L304" s="14" t="n">
        <x:f>K304/LOG(E304+1,2)</x:f>
        <x:v>7</x:v>
      </x:c>
      <x:c r="M304" s="10" t="n">
        <x:v>2999</x:v>
      </x:c>
      <x:c r="N304" s="10" t="n">
        <x:v>3</x:v>
      </x:c>
      <x:c r="O304" s="10" t="n">
        <x:v>1119</x:v>
      </x:c>
      <x:c r="P304" s="2" t="str">
        <x:v>D18</x:v>
      </x:c>
      <x:c r="Q304" s="2" t="str">
        <x:v>hdb flat</x:v>
      </x:c>
      <x:c r="R304" s="2" t="str">
        <x:v>https://www.propertyguru.com.sg/listing/hdb-for-rent-637-pasir-ris-drive-1-500272797</x:v>
      </x:c>
      <x:c r="S304" s="2" t="str">
        <x:v>cold_start_exploration</x:v>
      </x:c>
    </x:row>
    <x:row r="305" ht="22" customHeight="1">
      <x:c r="A305" s="2" t="str">
        <x:v>S37-T01</x:v>
      </x:c>
      <x:c r="B305" s="2" t="str">
        <x:v>S37</x:v>
      </x:c>
      <x:c r="C305" s="2" t="str">
        <x:v>Extension</x:v>
      </x:c>
      <x:c r="D305" s="11" t="n">
        <x:v>1</x:v>
      </x:c>
      <x:c r="E305" s="11" t="n">
        <x:v>2</x:v>
      </x:c>
      <x:c r="F305" s="2" t="str">
        <x:v>9594504</x:v>
      </x:c>
      <x:c r="G305" s="2" t="str">
        <x:v>S37|9594504</x:v>
      </x:c>
      <x:c r="H305" s="2" t="n">
        <x:f>IFERROR(VLOOKUP(G305,'Ratings'!$A$6:$F$1387,6,FALSE),"Unknown")</x:f>
        <x:v>3</x:v>
      </x:c>
      <x:c r="I305" s="2" t="n">
        <x:f>IF(ISNUMBER(H305),1,0)</x:f>
        <x:v>1</x:v>
      </x:c>
      <x:c r="J305" s="2" t="n">
        <x:f>IF(ISNUMBER(H305),IF(H305&gt;=2,1,0),0)</x:f>
        <x:v>1</x:v>
      </x:c>
      <x:c r="K305" s="14" t="n">
        <x:f>IF(ISNUMBER(H305),2^H305-1,0)</x:f>
        <x:v>7</x:v>
      </x:c>
      <x:c r="L305" s="14" t="n">
        <x:f>K305/LOG(E305+1,2)</x:f>
        <x:v>4.4165082750002025</x:v>
      </x:c>
      <x:c r="M305" s="10" t="n">
        <x:v>2950</x:v>
      </x:c>
      <x:c r="N305" s="10" t="n">
        <x:v>2</x:v>
      </x:c>
      <x:c r="O305" s="10" t="n">
        <x:v>1500</x:v>
      </x:c>
      <x:c r="P305" s="2" t="str">
        <x:v>D18</x:v>
      </x:c>
      <x:c r="Q305" s="2" t="str">
        <x:v>hdb flat</x:v>
      </x:c>
      <x:c r="R305" s="2" t="str">
        <x:v>https://www.propertyguru.com.sg/listing/hdb-for-rent-601-elias-road-9594504</x:v>
      </x:c>
      <x:c r="S305" s="2" t="str">
        <x:v>cold_start_exploration</x:v>
      </x:c>
    </x:row>
    <x:row r="306" ht="22" customHeight="1">
      <x:c r="A306" s="2" t="str">
        <x:v>S37-T01</x:v>
      </x:c>
      <x:c r="B306" s="2" t="str">
        <x:v>S37</x:v>
      </x:c>
      <x:c r="C306" s="2" t="str">
        <x:v>Extension</x:v>
      </x:c>
      <x:c r="D306" s="11" t="n">
        <x:v>1</x:v>
      </x:c>
      <x:c r="E306" s="11" t="n">
        <x:v>3</x:v>
      </x:c>
      <x:c r="F306" s="2" t="str">
        <x:v>20972400</x:v>
      </x:c>
      <x:c r="G306" s="2" t="str">
        <x:v>S37|20972400</x:v>
      </x:c>
      <x:c r="H306" s="2" t="n">
        <x:f>IFERROR(VLOOKUP(G306,'Ratings'!$A$6:$F$1387,6,FALSE),"Unknown")</x:f>
        <x:v>2</x:v>
      </x:c>
      <x:c r="I306" s="2" t="n">
        <x:f>IF(ISNUMBER(H306),1,0)</x:f>
        <x:v>1</x:v>
      </x:c>
      <x:c r="J306" s="2" t="n">
        <x:f>IF(ISNUMBER(H306),IF(H306&gt;=2,1,0),0)</x:f>
        <x:v>1</x:v>
      </x:c>
      <x:c r="K306" s="14" t="n">
        <x:f>IF(ISNUMBER(H306),2^H306-1,0)</x:f>
        <x:v>3</x:v>
      </x:c>
      <x:c r="L306" s="14" t="n">
        <x:f>K306/LOG(E306+1,2)</x:f>
        <x:v>1.5</x:v>
      </x:c>
      <x:c r="M306" s="10" t="n">
        <x:v>3500</x:v>
      </x:c>
      <x:c r="N306" s="10" t="n">
        <x:v>2</x:v>
      </x:c>
      <x:c r="O306" s="10" t="n">
        <x:v>1184</x:v>
      </x:c>
      <x:c r="P306" s="2" t="str">
        <x:v>D19</x:v>
      </x:c>
      <x:c r="Q306" s="2" t="str">
        <x:v>hdb flat</x:v>
      </x:c>
      <x:c r="R306" s="2" t="str">
        <x:v>https://www.propertyguru.com.sg/listing/hdb-for-rent-979c-buangkok-crescent-20972400</x:v>
      </x:c>
      <x:c r="S306" s="2" t="str">
        <x:v>cold_start_exploration</x:v>
      </x:c>
    </x:row>
    <x:row r="307" ht="22" customHeight="1">
      <x:c r="A307" s="2" t="str">
        <x:v>S37-T01</x:v>
      </x:c>
      <x:c r="B307" s="2" t="str">
        <x:v>S37</x:v>
      </x:c>
      <x:c r="C307" s="2" t="str">
        <x:v>Extension</x:v>
      </x:c>
      <x:c r="D307" s="11" t="n">
        <x:v>1</x:v>
      </x:c>
      <x:c r="E307" s="11" t="n">
        <x:v>4</x:v>
      </x:c>
      <x:c r="F307" s="2" t="str">
        <x:v>23936240</x:v>
      </x:c>
      <x:c r="G307" s="2" t="str">
        <x:v>S37|23936240</x:v>
      </x:c>
      <x:c r="H307" s="2" t="n">
        <x:f>IFERROR(VLOOKUP(G307,'Ratings'!$A$6:$F$1387,6,FALSE),"Unknown")</x:f>
        <x:v>2</x:v>
      </x:c>
      <x:c r="I307" s="2" t="n">
        <x:f>IF(ISNUMBER(H307),1,0)</x:f>
        <x:v>1</x:v>
      </x:c>
      <x:c r="J307" s="2" t="n">
        <x:f>IF(ISNUMBER(H307),IF(H307&gt;=2,1,0),0)</x:f>
        <x:v>1</x:v>
      </x:c>
      <x:c r="K307" s="14" t="n">
        <x:f>IF(ISNUMBER(H307),2^H307-1,0)</x:f>
        <x:v>3</x:v>
      </x:c>
      <x:c r="L307" s="14" t="n">
        <x:f>K307/LOG(E307+1,2)</x:f>
        <x:v>1.2920296742201793</x:v>
      </x:c>
      <x:c r="M307" s="10" t="n">
        <x:v>3200</x:v>
      </x:c>
      <x:c r="N307" s="10" t="n">
        <x:v>3</x:v>
      </x:c>
      <x:c r="O307" s="10" t="n">
        <x:v>1184</x:v>
      </x:c>
      <x:c r="P307" s="2" t="str">
        <x:v>D19</x:v>
      </x:c>
      <x:c r="Q307" s="2" t="str">
        <x:v>hdb flat</x:v>
      </x:c>
      <x:c r="R307" s="2" t="str">
        <x:v>https://www.propertyguru.com.sg/listing/hdb-for-rent-223d-compassvale-walk-23936240</x:v>
      </x:c>
      <x:c r="S307" s="2" t="str">
        <x:v>cold_start_exploration</x:v>
      </x:c>
    </x:row>
    <x:row r="308" ht="22" customHeight="1">
      <x:c r="A308" s="2" t="str">
        <x:v>S37-T01</x:v>
      </x:c>
      <x:c r="B308" s="2" t="str">
        <x:v>S37</x:v>
      </x:c>
      <x:c r="C308" s="2" t="str">
        <x:v>Extension</x:v>
      </x:c>
      <x:c r="D308" s="11" t="n">
        <x:v>1</x:v>
      </x:c>
      <x:c r="E308" s="11" t="n">
        <x:v>5</x:v>
      </x:c>
      <x:c r="F308" s="2" t="str">
        <x:v>24113117</x:v>
      </x:c>
      <x:c r="G308" s="2" t="str">
        <x:v>S37|24113117</x:v>
      </x:c>
      <x:c r="H308" s="2" t="n">
        <x:f>IFERROR(VLOOKUP(G308,'Ratings'!$A$6:$F$1387,6,FALSE),"Unknown")</x:f>
        <x:v>2</x:v>
      </x:c>
      <x:c r="I308" s="2" t="n">
        <x:f>IF(ISNUMBER(H308),1,0)</x:f>
        <x:v>1</x:v>
      </x:c>
      <x:c r="J308" s="2" t="n">
        <x:f>IF(ISNUMBER(H308),IF(H308&gt;=2,1,0),0)</x:f>
        <x:v>1</x:v>
      </x:c>
      <x:c r="K308" s="14" t="n">
        <x:f>IF(ISNUMBER(H308),2^H308-1,0)</x:f>
        <x:v>3</x:v>
      </x:c>
      <x:c r="L308" s="14" t="n">
        <x:f>K308/LOG(E308+1,2)</x:f>
        <x:v>1.1605584217036249</x:v>
      </x:c>
      <x:c r="M308" s="10" t="n">
        <x:v>3300</x:v>
      </x:c>
      <x:c r="N308" s="10" t="n">
        <x:v>3</x:v>
      </x:c>
      <x:c r="O308" s="10" t="n">
        <x:v>1184</x:v>
      </x:c>
      <x:c r="P308" s="2" t="str">
        <x:v>D19</x:v>
      </x:c>
      <x:c r="Q308" s="2" t="str">
        <x:v>hdb flat</x:v>
      </x:c>
      <x:c r="R308" s="2" t="str">
        <x:v>https://www.propertyguru.com.sg/listing/hdb-for-rent-116b-rivervale-drive-24113117</x:v>
      </x:c>
      <x:c r="S308" s="2" t="str">
        <x:v>cold_start_exploration</x:v>
      </x:c>
    </x:row>
    <x:row r="309" ht="22" customHeight="1">
      <x:c r="A309" s="2" t="str">
        <x:v>S37-T01</x:v>
      </x:c>
      <x:c r="B309" s="2" t="str">
        <x:v>S37</x:v>
      </x:c>
      <x:c r="C309" s="2" t="str">
        <x:v>Extension</x:v>
      </x:c>
      <x:c r="D309" s="11" t="n">
        <x:v>1</x:v>
      </x:c>
      <x:c r="E309" s="11" t="n">
        <x:v>6</x:v>
      </x:c>
      <x:c r="F309" s="2" t="str">
        <x:v>24754848</x:v>
      </x:c>
      <x:c r="G309" s="2" t="str">
        <x:v>S37|24754848</x:v>
      </x:c>
      <x:c r="H309" s="2" t="n">
        <x:f>IFERROR(VLOOKUP(G309,'Ratings'!$A$6:$F$1387,6,FALSE),"Unknown")</x:f>
        <x:v>2</x:v>
      </x:c>
      <x:c r="I309" s="2" t="n">
        <x:f>IF(ISNUMBER(H309),1,0)</x:f>
        <x:v>1</x:v>
      </x:c>
      <x:c r="J309" s="2" t="n">
        <x:f>IF(ISNUMBER(H309),IF(H309&gt;=2,1,0),0)</x:f>
        <x:v>1</x:v>
      </x:c>
      <x:c r="K309" s="14" t="n">
        <x:f>IF(ISNUMBER(H309),2^H309-1,0)</x:f>
        <x:v>3</x:v>
      </x:c>
      <x:c r="L309" s="14" t="n">
        <x:f>K309/LOG(E309+1,2)</x:f>
        <x:v>1.0686215613240666</x:v>
      </x:c>
      <x:c r="M309" s="10" t="n">
        <x:v>3500</x:v>
      </x:c>
      <x:c r="N309" s="10" t="n">
        <x:v>3</x:v>
      </x:c>
      <x:c r="O309" s="10" t="n">
        <x:v>1184</x:v>
      </x:c>
      <x:c r="P309" s="2" t="str">
        <x:v>D19</x:v>
      </x:c>
      <x:c r="Q309" s="2" t="str">
        <x:v>hdb flat</x:v>
      </x:c>
      <x:c r="R309" s="2" t="str">
        <x:v>https://www.propertyguru.com.sg/listing/hdb-for-rent-313b-anchorvale-road-24754848</x:v>
      </x:c>
      <x:c r="S309" s="2" t="str">
        <x:v>cold_start_exploration</x:v>
      </x:c>
    </x:row>
    <x:row r="310" ht="22" customHeight="1">
      <x:c r="A310" s="2" t="str">
        <x:v>S37-T01</x:v>
      </x:c>
      <x:c r="B310" s="2" t="str">
        <x:v>S37</x:v>
      </x:c>
      <x:c r="C310" s="2" t="str">
        <x:v>Extension</x:v>
      </x:c>
      <x:c r="D310" s="11" t="n">
        <x:v>1</x:v>
      </x:c>
      <x:c r="E310" s="11" t="n">
        <x:v>7</x:v>
      </x:c>
      <x:c r="F310" s="2" t="str">
        <x:v>25310668</x:v>
      </x:c>
      <x:c r="G310" s="2" t="str">
        <x:v>S37|25310668</x:v>
      </x:c>
      <x:c r="H310" s="2" t="n">
        <x:f>IFERROR(VLOOKUP(G310,'Ratings'!$A$6:$F$1387,6,FALSE),"Unknown")</x:f>
        <x:v>2</x:v>
      </x:c>
      <x:c r="I310" s="2" t="n">
        <x:f>IF(ISNUMBER(H310),1,0)</x:f>
        <x:v>1</x:v>
      </x:c>
      <x:c r="J310" s="2" t="n">
        <x:f>IF(ISNUMBER(H310),IF(H310&gt;=2,1,0),0)</x:f>
        <x:v>1</x:v>
      </x:c>
      <x:c r="K310" s="14" t="n">
        <x:f>IF(ISNUMBER(H310),2^H310-1,0)</x:f>
        <x:v>3</x:v>
      </x:c>
      <x:c r="L310" s="14" t="n">
        <x:f>K310/LOG(E310+1,2)</x:f>
        <x:v>1</x:v>
      </x:c>
      <x:c r="M310" s="10" t="n">
        <x:v>3500</x:v>
      </x:c>
      <x:c r="N310" s="10" t="n">
        <x:v>3</x:v>
      </x:c>
      <x:c r="O310" s="10" t="n">
        <x:v>1078</x:v>
      </x:c>
      <x:c r="P310" s="2" t="str">
        <x:v>D19</x:v>
      </x:c>
      <x:c r="Q310" s="2" t="str">
        <x:v>hdb flat</x:v>
      </x:c>
      <x:c r="R310" s="2" t="str">
        <x:v>https://www.propertyguru.com.sg/listing/hdb-for-rent-545-serangoon-north-avenue-3-25310668</x:v>
      </x:c>
      <x:c r="S310" s="2" t="str">
        <x:v>cold_start_exploration</x:v>
      </x:c>
    </x:row>
    <x:row r="311" ht="22" customHeight="1">
      <x:c r="A311" s="2" t="str">
        <x:v>S37-T01</x:v>
      </x:c>
      <x:c r="B311" s="2" t="str">
        <x:v>S37</x:v>
      </x:c>
      <x:c r="C311" s="2" t="str">
        <x:v>Extension</x:v>
      </x:c>
      <x:c r="D311" s="11" t="n">
        <x:v>1</x:v>
      </x:c>
      <x:c r="E311" s="11" t="n">
        <x:v>8</x:v>
      </x:c>
      <x:c r="F311" s="2" t="str">
        <x:v>500112769</x:v>
      </x:c>
      <x:c r="G311" s="2" t="str">
        <x:v>S37|500112769</x:v>
      </x:c>
      <x:c r="H311" s="2" t="n">
        <x:f>IFERROR(VLOOKUP(G311,'Ratings'!$A$6:$F$1387,6,FALSE),"Unknown")</x:f>
        <x:v>2</x:v>
      </x:c>
      <x:c r="I311" s="2" t="n">
        <x:f>IF(ISNUMBER(H311),1,0)</x:f>
        <x:v>1</x:v>
      </x:c>
      <x:c r="J311" s="2" t="n">
        <x:f>IF(ISNUMBER(H311),IF(H311&gt;=2,1,0),0)</x:f>
        <x:v>1</x:v>
      </x:c>
      <x:c r="K311" s="14" t="n">
        <x:f>IF(ISNUMBER(H311),2^H311-1,0)</x:f>
        <x:v>3</x:v>
      </x:c>
      <x:c r="L311" s="14" t="n">
        <x:f>K311/LOG(E311+1,2)</x:f>
        <x:v>0.9463946303571861</x:v>
      </x:c>
      <x:c r="M311" s="10" t="n">
        <x:v>3500</x:v>
      </x:c>
      <x:c r="N311" s="10" t="n">
        <x:v>3</x:v>
      </x:c>
      <x:c r="O311" s="10" t="n">
        <x:v>1184</x:v>
      </x:c>
      <x:c r="P311" s="2" t="str">
        <x:v>D19</x:v>
      </x:c>
      <x:c r="Q311" s="2" t="str">
        <x:v>hdb flat</x:v>
      </x:c>
      <x:c r="R311" s="2" t="str">
        <x:v>https://www.propertyguru.com.sg/listing/hdb-for-rent-199c-punggol-field-500112769</x:v>
      </x:c>
      <x:c r="S311" s="2" t="str">
        <x:v>cold_start_exploration</x:v>
      </x:c>
    </x:row>
    <x:row r="312" ht="22" customHeight="1">
      <x:c r="A312" s="2" t="str">
        <x:v>S37-T01</x:v>
      </x:c>
      <x:c r="B312" s="2" t="str">
        <x:v>S37</x:v>
      </x:c>
      <x:c r="C312" s="2" t="str">
        <x:v>Extension</x:v>
      </x:c>
      <x:c r="D312" s="11" t="n">
        <x:v>1</x:v>
      </x:c>
      <x:c r="E312" s="11" t="n">
        <x:v>9</x:v>
      </x:c>
      <x:c r="F312" s="2" t="str">
        <x:v>500228777</x:v>
      </x:c>
      <x:c r="G312" s="2" t="str">
        <x:v>S37|500228777</x:v>
      </x:c>
      <x:c r="H312" s="2" t="n">
        <x:f>IFERROR(VLOOKUP(G312,'Ratings'!$A$6:$F$1387,6,FALSE),"Unknown")</x:f>
        <x:v>2</x:v>
      </x:c>
      <x:c r="I312" s="2" t="n">
        <x:f>IF(ISNUMBER(H312),1,0)</x:f>
        <x:v>1</x:v>
      </x:c>
      <x:c r="J312" s="2" t="n">
        <x:f>IF(ISNUMBER(H312),IF(H312&gt;=2,1,0),0)</x:f>
        <x:v>1</x:v>
      </x:c>
      <x:c r="K312" s="14" t="n">
        <x:f>IF(ISNUMBER(H312),2^H312-1,0)</x:f>
        <x:v>3</x:v>
      </x:c>
      <x:c r="L312" s="14" t="n">
        <x:f>K312/LOG(E312+1,2)</x:f>
        <x:v>0.9030899869919435</x:v>
      </x:c>
      <x:c r="M312" s="10" t="n">
        <x:v>3500</x:v>
      </x:c>
      <x:c r="N312" s="10" t="n">
        <x:v>3</x:v>
      </x:c>
      <x:c r="O312" s="10" t="n">
        <x:v>1087</x:v>
      </x:c>
      <x:c r="P312" s="2" t="str">
        <x:v>D19</x:v>
      </x:c>
      <x:c r="Q312" s="2" t="str">
        <x:v>hdb flat</x:v>
      </x:c>
      <x:c r="R312" s="2" t="str">
        <x:v>https://www.propertyguru.com.sg/listing/hdb-for-rent-943-hougang-street-92-500228777</x:v>
      </x:c>
      <x:c r="S312" s="2" t="str">
        <x:v>cold_start_exploration</x:v>
      </x:c>
    </x:row>
    <x:row r="313" ht="22" customHeight="1">
      <x:c r="A313" s="2" t="str">
        <x:v>S37-T01</x:v>
      </x:c>
      <x:c r="B313" s="2" t="str">
        <x:v>S37</x:v>
      </x:c>
      <x:c r="C313" s="2" t="str">
        <x:v>Extension</x:v>
      </x:c>
      <x:c r="D313" s="11" t="n">
        <x:v>1</x:v>
      </x:c>
      <x:c r="E313" s="11" t="n">
        <x:v>10</x:v>
      </x:c>
      <x:c r="F313" s="2" t="str">
        <x:v>500272998</x:v>
      </x:c>
      <x:c r="G313" s="2" t="str">
        <x:v>S37|500272998</x:v>
      </x:c>
      <x:c r="H313" s="2" t="n">
        <x:f>IFERROR(VLOOKUP(G313,'Ratings'!$A$6:$F$1387,6,FALSE),"Unknown")</x:f>
        <x:v>2</x:v>
      </x:c>
      <x:c r="I313" s="2" t="n">
        <x:f>IF(ISNUMBER(H313),1,0)</x:f>
        <x:v>1</x:v>
      </x:c>
      <x:c r="J313" s="2" t="n">
        <x:f>IF(ISNUMBER(H313),IF(H313&gt;=2,1,0),0)</x:f>
        <x:v>1</x:v>
      </x:c>
      <x:c r="K313" s="14" t="n">
        <x:f>IF(ISNUMBER(H313),2^H313-1,0)</x:f>
        <x:v>3</x:v>
      </x:c>
      <x:c r="L313" s="14" t="n">
        <x:f>K313/LOG(E313+1,2)</x:f>
        <x:v>0.8671944789536634</x:v>
      </x:c>
      <x:c r="M313" s="10" t="n">
        <x:v>3458</x:v>
      </x:c>
      <x:c r="N313" s="10" t="n">
        <x:v>3</x:v>
      </x:c>
      <x:c r="O313" s="10" t="n">
        <x:v>1119</x:v>
      </x:c>
      <x:c r="P313" s="2" t="str">
        <x:v>D18</x:v>
      </x:c>
      <x:c r="Q313" s="2" t="str">
        <x:v>hdb flat</x:v>
      </x:c>
      <x:c r="R313" s="2" t="str">
        <x:v>https://www.propertyguru.com.sg/listing/hdb-for-rent-634-pasir-ris-drive-1-500272998</x:v>
      </x:c>
      <x:c r="S313" s="2" t="str">
        <x:v>cold_start_exploration</x:v>
      </x:c>
    </x:row>
    <x:row r="314" ht="22" customHeight="1">
      <x:c r="A314" s="2" t="str">
        <x:v>S38-T01</x:v>
      </x:c>
      <x:c r="B314" s="2" t="str">
        <x:v>S38</x:v>
      </x:c>
      <x:c r="C314" s="2" t="str">
        <x:v>Extension</x:v>
      </x:c>
      <x:c r="D314" s="11" t="n">
        <x:v>1</x:v>
      </x:c>
      <x:c r="E314" s="11" t="n">
        <x:v>1</x:v>
      </x:c>
      <x:c r="F314" s="2" t="str">
        <x:v>18689152</x:v>
      </x:c>
      <x:c r="G314" s="2" t="str">
        <x:v>S38|18689152</x:v>
      </x:c>
      <x:c r="H314" s="2" t="n">
        <x:f>IFERROR(VLOOKUP(G314,'Ratings'!$A$6:$F$1387,6,FALSE),"Unknown")</x:f>
        <x:v>3</x:v>
      </x:c>
      <x:c r="I314" s="2" t="n">
        <x:f>IF(ISNUMBER(H314),1,0)</x:f>
        <x:v>1</x:v>
      </x:c>
      <x:c r="J314" s="2" t="n">
        <x:f>IF(ISNUMBER(H314),IF(H314&gt;=2,1,0),0)</x:f>
        <x:v>1</x:v>
      </x:c>
      <x:c r="K314" s="14" t="n">
        <x:f>IF(ISNUMBER(H314),2^H314-1,0)</x:f>
        <x:v>7</x:v>
      </x:c>
      <x:c r="L314" s="14" t="n">
        <x:f>K314/LOG(E314+1,2)</x:f>
        <x:v>7</x:v>
      </x:c>
      <x:c r="M314" s="10" t="n">
        <x:v>3350</x:v>
      </x:c>
      <x:c r="N314" s="10" t="n">
        <x:v>2</x:v>
      </x:c>
      <x:c r="O314" s="10" t="n">
        <x:v>969</x:v>
      </x:c>
      <x:c r="P314" s="2" t="str">
        <x:v>D05</x:v>
      </x:c>
      <x:c r="Q314" s="2" t="str">
        <x:v>hdb flat</x:v>
      </x:c>
      <x:c r="R314" s="2" t="str">
        <x:v>https://www.propertyguru.com.sg/listing/hdb-for-rent-508-west-coast-drive-18689152</x:v>
      </x:c>
      <x:c r="S314" s="2" t="str">
        <x:v>cold_start_exploration</x:v>
      </x:c>
    </x:row>
    <x:row r="315" ht="22" customHeight="1">
      <x:c r="A315" s="2" t="str">
        <x:v>S38-T01</x:v>
      </x:c>
      <x:c r="B315" s="2" t="str">
        <x:v>S38</x:v>
      </x:c>
      <x:c r="C315" s="2" t="str">
        <x:v>Extension</x:v>
      </x:c>
      <x:c r="D315" s="11" t="n">
        <x:v>1</x:v>
      </x:c>
      <x:c r="E315" s="11" t="n">
        <x:v>2</x:v>
      </x:c>
      <x:c r="F315" s="2" t="str">
        <x:v>500266415</x:v>
      </x:c>
      <x:c r="G315" s="2" t="str">
        <x:v>S38|500266415</x:v>
      </x:c>
      <x:c r="H315" s="2" t="n">
        <x:f>IFERROR(VLOOKUP(G315,'Ratings'!$A$6:$F$1387,6,FALSE),"Unknown")</x:f>
        <x:v>3</x:v>
      </x:c>
      <x:c r="I315" s="2" t="n">
        <x:f>IF(ISNUMBER(H315),1,0)</x:f>
        <x:v>1</x:v>
      </x:c>
      <x:c r="J315" s="2" t="n">
        <x:f>IF(ISNUMBER(H315),IF(H315&gt;=2,1,0),0)</x:f>
        <x:v>1</x:v>
      </x:c>
      <x:c r="K315" s="14" t="n">
        <x:f>IF(ISNUMBER(H315),2^H315-1,0)</x:f>
        <x:v>7</x:v>
      </x:c>
      <x:c r="L315" s="14" t="n">
        <x:f>K315/LOG(E315+1,2)</x:f>
        <x:v>4.4165082750002025</x:v>
      </x:c>
      <x:c r="M315" s="10" t="n">
        <x:v>3300</x:v>
      </x:c>
      <x:c r="N315" s="10" t="n">
        <x:v>2</x:v>
      </x:c>
      <x:c r="O315" s="10" t="n">
        <x:v>980</x:v>
      </x:c>
      <x:c r="P315" s="2" t="str">
        <x:v>D05</x:v>
      </x:c>
      <x:c r="Q315" s="2" t="str">
        <x:v>hdb flat</x:v>
      </x:c>
      <x:c r="R315" s="2" t="str">
        <x:v>https://www.propertyguru.com.sg/listing/hdb-for-rent-511-west-coast-drive-500266415</x:v>
      </x:c>
      <x:c r="S315" s="2" t="str">
        <x:v>cold_start_exploration</x:v>
      </x:c>
    </x:row>
    <x:row r="316" ht="22" customHeight="1">
      <x:c r="A316" s="2" t="str">
        <x:v>S38-T01</x:v>
      </x:c>
      <x:c r="B316" s="2" t="str">
        <x:v>S38</x:v>
      </x:c>
      <x:c r="C316" s="2" t="str">
        <x:v>Extension</x:v>
      </x:c>
      <x:c r="D316" s="11" t="n">
        <x:v>1</x:v>
      </x:c>
      <x:c r="E316" s="11" t="n">
        <x:v>3</x:v>
      </x:c>
      <x:c r="F316" s="2" t="str">
        <x:v>21406855</x:v>
      </x:c>
      <x:c r="G316" s="2" t="str">
        <x:v>S38|21406855</x:v>
      </x:c>
      <x:c r="H316" s="2" t="n">
        <x:f>IFERROR(VLOOKUP(G316,'Ratings'!$A$6:$F$1387,6,FALSE),"Unknown")</x:f>
        <x:v>2</x:v>
      </x:c>
      <x:c r="I316" s="2" t="n">
        <x:f>IF(ISNUMBER(H316),1,0)</x:f>
        <x:v>1</x:v>
      </x:c>
      <x:c r="J316" s="2" t="n">
        <x:f>IF(ISNUMBER(H316),IF(H316&gt;=2,1,0),0)</x:f>
        <x:v>1</x:v>
      </x:c>
      <x:c r="K316" s="14" t="n">
        <x:f>IF(ISNUMBER(H316),2^H316-1,0)</x:f>
        <x:v>3</x:v>
      </x:c>
      <x:c r="L316" s="14" t="n">
        <x:f>K316/LOG(E316+1,2)</x:f>
        <x:v>1.5</x:v>
      </x:c>
      <x:c r="M316" s="10" t="n">
        <x:v>3300</x:v>
      </x:c>
      <x:c r="N316" s="10" t="n">
        <x:v>3</x:v>
      </x:c>
      <x:c r="O316" s="10" t="n">
        <x:v>700</x:v>
      </x:c>
      <x:c r="P316" s="2" t="str">
        <x:v>D05</x:v>
      </x:c>
      <x:c r="Q316" s="2" t="str">
        <x:v>hdb flat</x:v>
      </x:c>
      <x:c r="R316" s="2" t="str">
        <x:v>https://www.propertyguru.com.sg/listing/hdb-for-rent-21-dover-crescent-21406855</x:v>
      </x:c>
      <x:c r="S316" s="2" t="str">
        <x:v>cold_start_exploration</x:v>
      </x:c>
    </x:row>
    <x:row r="317" ht="22" customHeight="1">
      <x:c r="A317" s="2" t="str">
        <x:v>S38-T01</x:v>
      </x:c>
      <x:c r="B317" s="2" t="str">
        <x:v>S38</x:v>
      </x:c>
      <x:c r="C317" s="2" t="str">
        <x:v>Extension</x:v>
      </x:c>
      <x:c r="D317" s="11" t="n">
        <x:v>1</x:v>
      </x:c>
      <x:c r="E317" s="11" t="n">
        <x:v>4</x:v>
      </x:c>
      <x:c r="F317" s="2" t="str">
        <x:v>21603433</x:v>
      </x:c>
      <x:c r="G317" s="2" t="str">
        <x:v>S38|21603433</x:v>
      </x:c>
      <x:c r="H317" s="2" t="n">
        <x:f>IFERROR(VLOOKUP(G317,'Ratings'!$A$6:$F$1387,6,FALSE),"Unknown")</x:f>
        <x:v>2</x:v>
      </x:c>
      <x:c r="I317" s="2" t="n">
        <x:f>IF(ISNUMBER(H317),1,0)</x:f>
        <x:v>1</x:v>
      </x:c>
      <x:c r="J317" s="2" t="n">
        <x:f>IF(ISNUMBER(H317),IF(H317&gt;=2,1,0),0)</x:f>
        <x:v>1</x:v>
      </x:c>
      <x:c r="K317" s="14" t="n">
        <x:f>IF(ISNUMBER(H317),2^H317-1,0)</x:f>
        <x:v>3</x:v>
      </x:c>
      <x:c r="L317" s="14" t="n">
        <x:f>K317/LOG(E317+1,2)</x:f>
        <x:v>1.2920296742201793</x:v>
      </x:c>
      <x:c r="M317" s="10" t="n">
        <x:v>3200</x:v>
      </x:c>
      <x:c r="N317" s="10" t="n">
        <x:v>2</x:v>
      </x:c>
      <x:c r="O317" s="10" t="n">
        <x:v>721</x:v>
      </x:c>
      <x:c r="P317" s="2" t="str">
        <x:v>D05</x:v>
      </x:c>
      <x:c r="Q317" s="2" t="str">
        <x:v>hdb flat</x:v>
      </x:c>
      <x:c r="R317" s="2" t="str">
        <x:v>https://www.propertyguru.com.sg/listing/hdb-for-rent-319-clementi-avenue-4-21603433</x:v>
      </x:c>
      <x:c r="S317" s="2" t="str">
        <x:v>cold_start_exploration</x:v>
      </x:c>
    </x:row>
    <x:row r="318" ht="22" customHeight="1">
      <x:c r="A318" s="2" t="str">
        <x:v>S38-T01</x:v>
      </x:c>
      <x:c r="B318" s="2" t="str">
        <x:v>S38</x:v>
      </x:c>
      <x:c r="C318" s="2" t="str">
        <x:v>Extension</x:v>
      </x:c>
      <x:c r="D318" s="11" t="n">
        <x:v>1</x:v>
      </x:c>
      <x:c r="E318" s="11" t="n">
        <x:v>5</x:v>
      </x:c>
      <x:c r="F318" s="2" t="str">
        <x:v>25181847</x:v>
      </x:c>
      <x:c r="G318" s="2" t="str">
        <x:v>S38|25181847</x:v>
      </x:c>
      <x:c r="H318" s="2" t="n">
        <x:f>IFERROR(VLOOKUP(G318,'Ratings'!$A$6:$F$1387,6,FALSE),"Unknown")</x:f>
        <x:v>2</x:v>
      </x:c>
      <x:c r="I318" s="2" t="n">
        <x:f>IF(ISNUMBER(H318),1,0)</x:f>
        <x:v>1</x:v>
      </x:c>
      <x:c r="J318" s="2" t="n">
        <x:f>IF(ISNUMBER(H318),IF(H318&gt;=2,1,0),0)</x:f>
        <x:v>1</x:v>
      </x:c>
      <x:c r="K318" s="14" t="n">
        <x:f>IF(ISNUMBER(H318),2^H318-1,0)</x:f>
        <x:v>3</x:v>
      </x:c>
      <x:c r="L318" s="14" t="n">
        <x:f>K318/LOG(E318+1,2)</x:f>
        <x:v>1.1605584217036249</x:v>
      </x:c>
      <x:c r="M318" s="10" t="n">
        <x:v>3200</x:v>
      </x:c>
      <x:c r="N318" s="10" t="n">
        <x:v>2</x:v>
      </x:c>
      <x:c r="O318" s="10" t="n">
        <x:v>570</x:v>
      </x:c>
      <x:c r="P318" s="2" t="str">
        <x:v>D03</x:v>
      </x:c>
      <x:c r="Q318" s="2" t="str">
        <x:v>hdb flat</x:v>
      </x:c>
      <x:c r="R318" s="2" t="str">
        <x:v>https://www.propertyguru.com.sg/listing/hdb-for-rent-37-jalan-rumah-tinggi-25181847</x:v>
      </x:c>
      <x:c r="S318" s="2" t="str">
        <x:v>cold_start_exploration</x:v>
      </x:c>
    </x:row>
    <x:row r="319" ht="22" customHeight="1">
      <x:c r="A319" s="2" t="str">
        <x:v>S38-T01</x:v>
      </x:c>
      <x:c r="B319" s="2" t="str">
        <x:v>S38</x:v>
      </x:c>
      <x:c r="C319" s="2" t="str">
        <x:v>Extension</x:v>
      </x:c>
      <x:c r="D319" s="11" t="n">
        <x:v>1</x:v>
      </x:c>
      <x:c r="E319" s="11" t="n">
        <x:v>6</x:v>
      </x:c>
      <x:c r="F319" s="2" t="str">
        <x:v>25599137</x:v>
      </x:c>
      <x:c r="G319" s="2" t="str">
        <x:v>S38|25599137</x:v>
      </x:c>
      <x:c r="H319" s="2" t="n">
        <x:f>IFERROR(VLOOKUP(G319,'Ratings'!$A$6:$F$1387,6,FALSE),"Unknown")</x:f>
        <x:v>2</x:v>
      </x:c>
      <x:c r="I319" s="2" t="n">
        <x:f>IF(ISNUMBER(H319),1,0)</x:f>
        <x:v>1</x:v>
      </x:c>
      <x:c r="J319" s="2" t="n">
        <x:f>IF(ISNUMBER(H319),IF(H319&gt;=2,1,0),0)</x:f>
        <x:v>1</x:v>
      </x:c>
      <x:c r="K319" s="14" t="n">
        <x:f>IF(ISNUMBER(H319),2^H319-1,0)</x:f>
        <x:v>3</x:v>
      </x:c>
      <x:c r="L319" s="14" t="n">
        <x:f>K319/LOG(E319+1,2)</x:f>
        <x:v>1.0686215613240666</x:v>
      </x:c>
      <x:c r="M319" s="10" t="n">
        <x:v>3500</x:v>
      </x:c>
      <x:c r="N319" s="10" t="n">
        <x:v>2</x:v>
      </x:c>
      <x:c r="O319" s="10" t="n">
        <x:v>635</x:v>
      </x:c>
      <x:c r="P319" s="2" t="str">
        <x:v>D03</x:v>
      </x:c>
      <x:c r="Q319" s="2" t="str">
        <x:v>hdb flat</x:v>
      </x:c>
      <x:c r="R319" s="2" t="str">
        <x:v>https://www.propertyguru.com.sg/listing/hdb-for-rent-100-commonwealth-crescent-25599137</x:v>
      </x:c>
      <x:c r="S319" s="2" t="str">
        <x:v>cold_start_exploration</x:v>
      </x:c>
    </x:row>
    <x:row r="320" ht="22" customHeight="1">
      <x:c r="A320" s="2" t="str">
        <x:v>S38-T01</x:v>
      </x:c>
      <x:c r="B320" s="2" t="str">
        <x:v>S38</x:v>
      </x:c>
      <x:c r="C320" s="2" t="str">
        <x:v>Extension</x:v>
      </x:c>
      <x:c r="D320" s="11" t="n">
        <x:v>1</x:v>
      </x:c>
      <x:c r="E320" s="11" t="n">
        <x:v>7</x:v>
      </x:c>
      <x:c r="F320" s="2" t="str">
        <x:v>500183381</x:v>
      </x:c>
      <x:c r="G320" s="2" t="str">
        <x:v>S38|500183381</x:v>
      </x:c>
      <x:c r="H320" s="2" t="n">
        <x:f>IFERROR(VLOOKUP(G320,'Ratings'!$A$6:$F$1387,6,FALSE),"Unknown")</x:f>
        <x:v>2</x:v>
      </x:c>
      <x:c r="I320" s="2" t="n">
        <x:f>IF(ISNUMBER(H320),1,0)</x:f>
        <x:v>1</x:v>
      </x:c>
      <x:c r="J320" s="2" t="n">
        <x:f>IF(ISNUMBER(H320),IF(H320&gt;=2,1,0),0)</x:f>
        <x:v>1</x:v>
      </x:c>
      <x:c r="K320" s="14" t="n">
        <x:f>IF(ISNUMBER(H320),2^H320-1,0)</x:f>
        <x:v>3</x:v>
      </x:c>
      <x:c r="L320" s="14" t="n">
        <x:f>K320/LOG(E320+1,2)</x:f>
        <x:v>1</x:v>
      </x:c>
      <x:c r="M320" s="10" t="n">
        <x:v>3500</x:v>
      </x:c>
      <x:c r="N320" s="10" t="n">
        <x:v>2</x:v>
      </x:c>
      <x:c r="O320" s="10" t="n">
        <x:v>721</x:v>
      </x:c>
      <x:c r="P320" s="2" t="str">
        <x:v>D05</x:v>
      </x:c>
      <x:c r="Q320" s="2" t="str">
        <x:v>hdb flat</x:v>
      </x:c>
      <x:c r="R320" s="2" t="str">
        <x:v>https://www.propertyguru.com.sg/listing/hdb-for-rent-330-clementi-avenue-2-500183381</x:v>
      </x:c>
      <x:c r="S320" s="2" t="str">
        <x:v>cold_start_exploration</x:v>
      </x:c>
    </x:row>
    <x:row r="321" ht="22" customHeight="1">
      <x:c r="A321" s="2" t="str">
        <x:v>S38-T01</x:v>
      </x:c>
      <x:c r="B321" s="2" t="str">
        <x:v>S38</x:v>
      </x:c>
      <x:c r="C321" s="2" t="str">
        <x:v>Extension</x:v>
      </x:c>
      <x:c r="D321" s="11" t="n">
        <x:v>1</x:v>
      </x:c>
      <x:c r="E321" s="11" t="n">
        <x:v>8</x:v>
      </x:c>
      <x:c r="F321" s="2" t="str">
        <x:v>500228798</x:v>
      </x:c>
      <x:c r="G321" s="2" t="str">
        <x:v>S38|500228798</x:v>
      </x:c>
      <x:c r="H321" s="2" t="n">
        <x:f>IFERROR(VLOOKUP(G321,'Ratings'!$A$6:$F$1387,6,FALSE),"Unknown")</x:f>
        <x:v>2</x:v>
      </x:c>
      <x:c r="I321" s="2" t="n">
        <x:f>IF(ISNUMBER(H321),1,0)</x:f>
        <x:v>1</x:v>
      </x:c>
      <x:c r="J321" s="2" t="n">
        <x:f>IF(ISNUMBER(H321),IF(H321&gt;=2,1,0),0)</x:f>
        <x:v>1</x:v>
      </x:c>
      <x:c r="K321" s="14" t="n">
        <x:f>IF(ISNUMBER(H321),2^H321-1,0)</x:f>
        <x:v>3</x:v>
      </x:c>
      <x:c r="L321" s="14" t="n">
        <x:f>K321/LOG(E321+1,2)</x:f>
        <x:v>0.9463946303571861</x:v>
      </x:c>
      <x:c r="M321" s="10" t="n">
        <x:v>3299</x:v>
      </x:c>
      <x:c r="N321" s="10" t="n">
        <x:v>2</x:v>
      </x:c>
      <x:c r="O321" s="10" t="n">
        <x:v>721</x:v>
      </x:c>
      <x:c r="P321" s="2" t="str">
        <x:v>D05</x:v>
      </x:c>
      <x:c r="Q321" s="2" t="str">
        <x:v>hdb flat</x:v>
      </x:c>
      <x:c r="R321" s="2" t="str">
        <x:v>https://www.propertyguru.com.sg/listing/hdb-for-rent-701-west-coast-road-500228798</x:v>
      </x:c>
      <x:c r="S321" s="2" t="str">
        <x:v>cold_start_exploration</x:v>
      </x:c>
    </x:row>
    <x:row r="322" ht="22" customHeight="1">
      <x:c r="A322" s="2" t="str">
        <x:v>S38-T01</x:v>
      </x:c>
      <x:c r="B322" s="2" t="str">
        <x:v>S38</x:v>
      </x:c>
      <x:c r="C322" s="2" t="str">
        <x:v>Extension</x:v>
      </x:c>
      <x:c r="D322" s="11" t="n">
        <x:v>1</x:v>
      </x:c>
      <x:c r="E322" s="11" t="n">
        <x:v>9</x:v>
      </x:c>
      <x:c r="F322" s="2" t="str">
        <x:v>500278335</x:v>
      </x:c>
      <x:c r="G322" s="2" t="str">
        <x:v>S38|500278335</x:v>
      </x:c>
      <x:c r="H322" s="2" t="n">
        <x:f>IFERROR(VLOOKUP(G322,'Ratings'!$A$6:$F$1387,6,FALSE),"Unknown")</x:f>
        <x:v>2</x:v>
      </x:c>
      <x:c r="I322" s="2" t="n">
        <x:f>IF(ISNUMBER(H322),1,0)</x:f>
        <x:v>1</x:v>
      </x:c>
      <x:c r="J322" s="2" t="n">
        <x:f>IF(ISNUMBER(H322),IF(H322&gt;=2,1,0),0)</x:f>
        <x:v>1</x:v>
      </x:c>
      <x:c r="K322" s="14" t="n">
        <x:f>IF(ISNUMBER(H322),2^H322-1,0)</x:f>
        <x:v>3</x:v>
      </x:c>
      <x:c r="L322" s="14" t="n">
        <x:f>K322/LOG(E322+1,2)</x:f>
        <x:v>0.9030899869919435</x:v>
      </x:c>
      <x:c r="M322" s="10" t="n">
        <x:v>3400</x:v>
      </x:c>
      <x:c r="N322" s="10" t="n">
        <x:v>2</x:v>
      </x:c>
      <x:c r="O322" s="10" t="n">
        <x:v>721</x:v>
      </x:c>
      <x:c r="P322" s="2" t="str">
        <x:v>D05</x:v>
      </x:c>
      <x:c r="Q322" s="2" t="str">
        <x:v>hdb flat</x:v>
      </x:c>
      <x:c r="R322" s="2" t="str">
        <x:v>https://www.propertyguru.com.sg/listing/hdb-for-rent-304-clementi-avenue-4-500278335</x:v>
      </x:c>
      <x:c r="S322" s="2" t="str">
        <x:v>cold_start_exploration</x:v>
      </x:c>
    </x:row>
    <x:row r="323" ht="22" customHeight="1">
      <x:c r="A323" s="2" t="str">
        <x:v>S38-T01</x:v>
      </x:c>
      <x:c r="B323" s="2" t="str">
        <x:v>S38</x:v>
      </x:c>
      <x:c r="C323" s="2" t="str">
        <x:v>Extension</x:v>
      </x:c>
      <x:c r="D323" s="11" t="n">
        <x:v>1</x:v>
      </x:c>
      <x:c r="E323" s="11" t="n">
        <x:v>10</x:v>
      </x:c>
      <x:c r="F323" s="2" t="str">
        <x:v>60107518</x:v>
      </x:c>
      <x:c r="G323" s="2" t="str">
        <x:v>S38|60107518</x:v>
      </x:c>
      <x:c r="H323" s="2" t="n">
        <x:f>IFERROR(VLOOKUP(G323,'Ratings'!$A$6:$F$1387,6,FALSE),"Unknown")</x:f>
        <x:v>2</x:v>
      </x:c>
      <x:c r="I323" s="2" t="n">
        <x:f>IF(ISNUMBER(H323),1,0)</x:f>
        <x:v>1</x:v>
      </x:c>
      <x:c r="J323" s="2" t="n">
        <x:f>IF(ISNUMBER(H323),IF(H323&gt;=2,1,0),0)</x:f>
        <x:v>1</x:v>
      </x:c>
      <x:c r="K323" s="14" t="n">
        <x:f>IF(ISNUMBER(H323),2^H323-1,0)</x:f>
        <x:v>3</x:v>
      </x:c>
      <x:c r="L323" s="14" t="n">
        <x:f>K323/LOG(E323+1,2)</x:f>
        <x:v>0.8671944789536634</x:v>
      </x:c>
      <x:c r="M323" s="10" t="n">
        <x:v>3400</x:v>
      </x:c>
      <x:c r="N323" s="10" t="n">
        <x:v>2</x:v>
      </x:c>
      <x:c r="O323" s="10" t="n">
        <x:v>646</x:v>
      </x:c>
      <x:c r="P323" s="2" t="str">
        <x:v>D03</x:v>
      </x:c>
      <x:c r="Q323" s="2" t="str">
        <x:v>hdb flat</x:v>
      </x:c>
      <x:c r="R323" s="2" t="str">
        <x:v>https://www.propertyguru.com.sg/listing/hdb-for-rent-169-stirling-road-60107518</x:v>
      </x:c>
      <x:c r="S323" s="2" t="str">
        <x:v>cold_start_exploration</x:v>
      </x:c>
    </x:row>
    <x:row r="324" ht="22" customHeight="1">
      <x:c r="A324" s="2" t="str">
        <x:v>S39-T01</x:v>
      </x:c>
      <x:c r="B324" s="2" t="str">
        <x:v>S39</x:v>
      </x:c>
      <x:c r="C324" s="2" t="str">
        <x:v>Extension</x:v>
      </x:c>
      <x:c r="D324" s="11" t="n">
        <x:v>1</x:v>
      </x:c>
      <x:c r="E324" s="11" t="n">
        <x:v>1</x:v>
      </x:c>
      <x:c r="F324" s="2" t="str">
        <x:v>21838468</x:v>
      </x:c>
      <x:c r="G324" s="2" t="str">
        <x:v>S39|21838468</x:v>
      </x:c>
      <x:c r="H324" s="2" t="n">
        <x:f>IFERROR(VLOOKUP(G324,'Ratings'!$A$6:$F$1387,6,FALSE),"Unknown")</x:f>
        <x:v>3</x:v>
      </x:c>
      <x:c r="I324" s="2" t="n">
        <x:f>IF(ISNUMBER(H324),1,0)</x:f>
        <x:v>1</x:v>
      </x:c>
      <x:c r="J324" s="2" t="n">
        <x:f>IF(ISNUMBER(H324),IF(H324&gt;=2,1,0),0)</x:f>
        <x:v>1</x:v>
      </x:c>
      <x:c r="K324" s="14" t="n">
        <x:f>IF(ISNUMBER(H324),2^H324-1,0)</x:f>
        <x:v>7</x:v>
      </x:c>
      <x:c r="L324" s="14" t="n">
        <x:f>K324/LOG(E324+1,2)</x:f>
        <x:v>7</x:v>
      </x:c>
      <x:c r="M324" s="10" t="n">
        <x:v>3500</x:v>
      </x:c>
      <x:c r="N324" s="10" t="n">
        <x:v>3</x:v>
      </x:c>
      <x:c r="O324" s="10" t="n">
        <x:v>1302</x:v>
      </x:c>
      <x:c r="P324" s="2" t="str">
        <x:v>D25</x:v>
      </x:c>
      <x:c r="Q324" s="2" t="str">
        <x:v>hdb flat</x:v>
      </x:c>
      <x:c r="R324" s="2" t="str">
        <x:v>https://www.propertyguru.com.sg/listing/hdb-for-rent-638-woodlands-ring-road-21838468</x:v>
      </x:c>
      <x:c r="S324" s="2" t="str">
        <x:v>cold_start_exploration</x:v>
      </x:c>
    </x:row>
    <x:row r="325" ht="22" customHeight="1">
      <x:c r="A325" s="2" t="str">
        <x:v>S39-T01</x:v>
      </x:c>
      <x:c r="B325" s="2" t="str">
        <x:v>S39</x:v>
      </x:c>
      <x:c r="C325" s="2" t="str">
        <x:v>Extension</x:v>
      </x:c>
      <x:c r="D325" s="11" t="n">
        <x:v>1</x:v>
      </x:c>
      <x:c r="E325" s="11" t="n">
        <x:v>2</x:v>
      </x:c>
      <x:c r="F325" s="2" t="str">
        <x:v>22076860</x:v>
      </x:c>
      <x:c r="G325" s="2" t="str">
        <x:v>S39|22076860</x:v>
      </x:c>
      <x:c r="H325" s="2" t="n">
        <x:f>IFERROR(VLOOKUP(G325,'Ratings'!$A$6:$F$1387,6,FALSE),"Unknown")</x:f>
        <x:v>3</x:v>
      </x:c>
      <x:c r="I325" s="2" t="n">
        <x:f>IF(ISNUMBER(H325),1,0)</x:f>
        <x:v>1</x:v>
      </x:c>
      <x:c r="J325" s="2" t="n">
        <x:f>IF(ISNUMBER(H325),IF(H325&gt;=2,1,0),0)</x:f>
        <x:v>1</x:v>
      </x:c>
      <x:c r="K325" s="14" t="n">
        <x:f>IF(ISNUMBER(H325),2^H325-1,0)</x:f>
        <x:v>7</x:v>
      </x:c>
      <x:c r="L325" s="14" t="n">
        <x:f>K325/LOG(E325+1,2)</x:f>
        <x:v>4.4165082750002025</x:v>
      </x:c>
      <x:c r="M325" s="10" t="n">
        <x:v>3200</x:v>
      </x:c>
      <x:c r="N325" s="10" t="n">
        <x:v>3</x:v>
      </x:c>
      <x:c r="O325" s="10" t="n">
        <x:v>1291</x:v>
      </x:c>
      <x:c r="P325" s="2" t="str">
        <x:v>D25</x:v>
      </x:c>
      <x:c r="Q325" s="2" t="str">
        <x:v>hdb flat</x:v>
      </x:c>
      <x:c r="R325" s="2" t="str">
        <x:v>https://www.propertyguru.com.sg/listing/hdb-for-rent-537-woodlands-drive-16-22076860</x:v>
      </x:c>
      <x:c r="S325" s="2" t="str">
        <x:v>cold_start_exploration</x:v>
      </x:c>
    </x:row>
    <x:row r="326" ht="22" customHeight="1">
      <x:c r="A326" s="2" t="str">
        <x:v>S39-T01</x:v>
      </x:c>
      <x:c r="B326" s="2" t="str">
        <x:v>S39</x:v>
      </x:c>
      <x:c r="C326" s="2" t="str">
        <x:v>Extension</x:v>
      </x:c>
      <x:c r="D326" s="11" t="n">
        <x:v>1</x:v>
      </x:c>
      <x:c r="E326" s="11" t="n">
        <x:v>3</x:v>
      </x:c>
      <x:c r="F326" s="2" t="str">
        <x:v>22342661</x:v>
      </x:c>
      <x:c r="G326" s="2" t="str">
        <x:v>S39|22342661</x:v>
      </x:c>
      <x:c r="H326" s="2" t="n">
        <x:f>IFERROR(VLOOKUP(G326,'Ratings'!$A$6:$F$1387,6,FALSE),"Unknown")</x:f>
        <x:v>3</x:v>
      </x:c>
      <x:c r="I326" s="2" t="n">
        <x:f>IF(ISNUMBER(H326),1,0)</x:f>
        <x:v>1</x:v>
      </x:c>
      <x:c r="J326" s="2" t="n">
        <x:f>IF(ISNUMBER(H326),IF(H326&gt;=2,1,0),0)</x:f>
        <x:v>1</x:v>
      </x:c>
      <x:c r="K326" s="14" t="n">
        <x:f>IF(ISNUMBER(H326),2^H326-1,0)</x:f>
        <x:v>7</x:v>
      </x:c>
      <x:c r="L326" s="14" t="n">
        <x:f>K326/LOG(E326+1,2)</x:f>
        <x:v>3.5</x:v>
      </x:c>
      <x:c r="M326" s="10" t="n">
        <x:v>3500</x:v>
      </x:c>
      <x:c r="N326" s="10" t="n">
        <x:v>3</x:v>
      </x:c>
      <x:c r="O326" s="10" t="n">
        <x:v>1100</x:v>
      </x:c>
      <x:c r="P326" s="2" t="str">
        <x:v>D23</x:v>
      </x:c>
      <x:c r="Q326" s="2" t="str">
        <x:v>hdb flat</x:v>
      </x:c>
      <x:c r="R326" s="2" t="str">
        <x:v>https://www.propertyguru.com.sg/listing/hdb-for-rent-688b-choa-chu-kang-drive-22342661</x:v>
      </x:c>
      <x:c r="S326" s="2" t="str">
        <x:v>cold_start_exploration</x:v>
      </x:c>
    </x:row>
    <x:row r="327" ht="22" customHeight="1">
      <x:c r="A327" s="2" t="str">
        <x:v>S39-T01</x:v>
      </x:c>
      <x:c r="B327" s="2" t="str">
        <x:v>S39</x:v>
      </x:c>
      <x:c r="C327" s="2" t="str">
        <x:v>Extension</x:v>
      </x:c>
      <x:c r="D327" s="11" t="n">
        <x:v>1</x:v>
      </x:c>
      <x:c r="E327" s="11" t="n">
        <x:v>4</x:v>
      </x:c>
      <x:c r="F327" s="2" t="str">
        <x:v>24530010</x:v>
      </x:c>
      <x:c r="G327" s="2" t="str">
        <x:v>S39|24530010</x:v>
      </x:c>
      <x:c r="H327" s="2" t="n">
        <x:f>IFERROR(VLOOKUP(G327,'Ratings'!$A$6:$F$1387,6,FALSE),"Unknown")</x:f>
        <x:v>3</x:v>
      </x:c>
      <x:c r="I327" s="2" t="n">
        <x:f>IF(ISNUMBER(H327),1,0)</x:f>
        <x:v>1</x:v>
      </x:c>
      <x:c r="J327" s="2" t="n">
        <x:f>IF(ISNUMBER(H327),IF(H327&gt;=2,1,0),0)</x:f>
        <x:v>1</x:v>
      </x:c>
      <x:c r="K327" s="14" t="n">
        <x:f>IF(ISNUMBER(H327),2^H327-1,0)</x:f>
        <x:v>7</x:v>
      </x:c>
      <x:c r="L327" s="14" t="n">
        <x:f>K327/LOG(E327+1,2)</x:f>
        <x:v>3.0147359065137516</x:v>
      </x:c>
      <x:c r="M327" s="10" t="n">
        <x:v>3500</x:v>
      </x:c>
      <x:c r="N327" s="10" t="n">
        <x:v>3</x:v>
      </x:c>
      <x:c r="O327" s="10" t="n">
        <x:v>1270</x:v>
      </x:c>
      <x:c r="P327" s="2" t="str">
        <x:v>D23</x:v>
      </x:c>
      <x:c r="Q327" s="2" t="str">
        <x:v>hdb flat</x:v>
      </x:c>
      <x:c r="R327" s="2" t="str">
        <x:v>https://www.propertyguru.com.sg/listing/hdb-for-rent-389-bukit-batok-west-avenue-5-24530010</x:v>
      </x:c>
      <x:c r="S327" s="2" t="str">
        <x:v>cold_start_exploration</x:v>
      </x:c>
    </x:row>
    <x:row r="328" ht="22" customHeight="1">
      <x:c r="A328" s="2" t="str">
        <x:v>S39-T01</x:v>
      </x:c>
      <x:c r="B328" s="2" t="str">
        <x:v>S39</x:v>
      </x:c>
      <x:c r="C328" s="2" t="str">
        <x:v>Extension</x:v>
      </x:c>
      <x:c r="D328" s="11" t="n">
        <x:v>1</x:v>
      </x:c>
      <x:c r="E328" s="11" t="n">
        <x:v>5</x:v>
      </x:c>
      <x:c r="F328" s="2" t="str">
        <x:v>25342943</x:v>
      </x:c>
      <x:c r="G328" s="2" t="str">
        <x:v>S39|25342943</x:v>
      </x:c>
      <x:c r="H328" s="2" t="n">
        <x:f>IFERROR(VLOOKUP(G328,'Ratings'!$A$6:$F$1387,6,FALSE),"Unknown")</x:f>
        <x:v>3</x:v>
      </x:c>
      <x:c r="I328" s="2" t="n">
        <x:f>IF(ISNUMBER(H328),1,0)</x:f>
        <x:v>1</x:v>
      </x:c>
      <x:c r="J328" s="2" t="n">
        <x:f>IF(ISNUMBER(H328),IF(H328&gt;=2,1,0),0)</x:f>
        <x:v>1</x:v>
      </x:c>
      <x:c r="K328" s="14" t="n">
        <x:f>IF(ISNUMBER(H328),2^H328-1,0)</x:f>
        <x:v>7</x:v>
      </x:c>
      <x:c r="L328" s="14" t="n">
        <x:f>K328/LOG(E328+1,2)</x:f>
        <x:v>2.7079696506417914</x:v>
      </x:c>
      <x:c r="M328" s="10" t="n">
        <x:v>2600</x:v>
      </x:c>
      <x:c r="N328" s="10" t="n">
        <x:v>2</x:v>
      </x:c>
      <x:c r="O328" s="10" t="n">
        <x:v>1100</x:v>
      </x:c>
      <x:c r="P328" s="2" t="str">
        <x:v>D23</x:v>
      </x:c>
      <x:c r="Q328" s="2" t="str">
        <x:v>hdb flat</x:v>
      </x:c>
      <x:c r="R328" s="2" t="str">
        <x:v>https://www.propertyguru.com.sg/listing/hdb-for-rent-220-choa-chu-kang-central-25342943</x:v>
      </x:c>
      <x:c r="S328" s="2" t="str">
        <x:v>cold_start_exploration</x:v>
      </x:c>
    </x:row>
    <x:row r="329" ht="22" customHeight="1">
      <x:c r="A329" s="2" t="str">
        <x:v>S39-T01</x:v>
      </x:c>
      <x:c r="B329" s="2" t="str">
        <x:v>S39</x:v>
      </x:c>
      <x:c r="C329" s="2" t="str">
        <x:v>Extension</x:v>
      </x:c>
      <x:c r="D329" s="11" t="n">
        <x:v>1</x:v>
      </x:c>
      <x:c r="E329" s="11" t="n">
        <x:v>6</x:v>
      </x:c>
      <x:c r="F329" s="2" t="str">
        <x:v>500253781</x:v>
      </x:c>
      <x:c r="G329" s="2" t="str">
        <x:v>S39|500253781</x:v>
      </x:c>
      <x:c r="H329" s="2" t="n">
        <x:f>IFERROR(VLOOKUP(G329,'Ratings'!$A$6:$F$1387,6,FALSE),"Unknown")</x:f>
        <x:v>3</x:v>
      </x:c>
      <x:c r="I329" s="2" t="n">
        <x:f>IF(ISNUMBER(H329),1,0)</x:f>
        <x:v>1</x:v>
      </x:c>
      <x:c r="J329" s="2" t="n">
        <x:f>IF(ISNUMBER(H329),IF(H329&gt;=2,1,0),0)</x:f>
        <x:v>1</x:v>
      </x:c>
      <x:c r="K329" s="14" t="n">
        <x:f>IF(ISNUMBER(H329),2^H329-1,0)</x:f>
        <x:v>7</x:v>
      </x:c>
      <x:c r="L329" s="14" t="n">
        <x:f>K329/LOG(E329+1,2)</x:f>
        <x:v>2.493450309756155</x:v>
      </x:c>
      <x:c r="M329" s="10" t="n">
        <x:v>3400</x:v>
      </x:c>
      <x:c r="N329" s="10" t="n">
        <x:v>3</x:v>
      </x:c>
      <x:c r="O329" s="10" t="n">
        <x:v>1324</x:v>
      </x:c>
      <x:c r="P329" s="2" t="str">
        <x:v>D23</x:v>
      </x:c>
      <x:c r="Q329" s="2" t="str">
        <x:v>hdb flat</x:v>
      </x:c>
      <x:c r="R329" s="2" t="str">
        <x:v>https://www.propertyguru.com.sg/listing/hdb-for-rent-410-saujana-road-500253781</x:v>
      </x:c>
      <x:c r="S329" s="2" t="str">
        <x:v>cold_start_exploration</x:v>
      </x:c>
    </x:row>
    <x:row r="330" ht="22" customHeight="1">
      <x:c r="A330" s="2" t="str">
        <x:v>S39-T01</x:v>
      </x:c>
      <x:c r="B330" s="2" t="str">
        <x:v>S39</x:v>
      </x:c>
      <x:c r="C330" s="2" t="str">
        <x:v>Extension</x:v>
      </x:c>
      <x:c r="D330" s="11" t="n">
        <x:v>1</x:v>
      </x:c>
      <x:c r="E330" s="11" t="n">
        <x:v>7</x:v>
      </x:c>
      <x:c r="F330" s="2" t="str">
        <x:v>500272481</x:v>
      </x:c>
      <x:c r="G330" s="2" t="str">
        <x:v>S39|500272481</x:v>
      </x:c>
      <x:c r="H330" s="2" t="n">
        <x:f>IFERROR(VLOOKUP(G330,'Ratings'!$A$6:$F$1387,6,FALSE),"Unknown")</x:f>
        <x:v>3</x:v>
      </x:c>
      <x:c r="I330" s="2" t="n">
        <x:f>IF(ISNUMBER(H330),1,0)</x:f>
        <x:v>1</x:v>
      </x:c>
      <x:c r="J330" s="2" t="n">
        <x:f>IF(ISNUMBER(H330),IF(H330&gt;=2,1,0),0)</x:f>
        <x:v>1</x:v>
      </x:c>
      <x:c r="K330" s="14" t="n">
        <x:f>IF(ISNUMBER(H330),2^H330-1,0)</x:f>
        <x:v>7</x:v>
      </x:c>
      <x:c r="L330" s="14" t="n">
        <x:f>K330/LOG(E330+1,2)</x:f>
        <x:v>2.3333333333333335</x:v>
      </x:c>
      <x:c r="M330" s="10" t="n">
        <x:v>3400</x:v>
      </x:c>
      <x:c r="N330" s="10" t="n">
        <x:v>3</x:v>
      </x:c>
      <x:c r="O330" s="10" t="n">
        <x:v>1280</x:v>
      </x:c>
      <x:c r="P330" s="2" t="str">
        <x:v>D25</x:v>
      </x:c>
      <x:c r="Q330" s="2" t="str">
        <x:v>hdb flat</x:v>
      </x:c>
      <x:c r="R330" s="2" t="str">
        <x:v>https://www.propertyguru.com.sg/listing/hdb-for-rent-683a-woodlands-drive-62-500272481</x:v>
      </x:c>
      <x:c r="S330" s="2" t="str">
        <x:v>cold_start_exploration</x:v>
      </x:c>
    </x:row>
    <x:row r="331" ht="22" customHeight="1">
      <x:c r="A331" s="2" t="str">
        <x:v>S39-T01</x:v>
      </x:c>
      <x:c r="B331" s="2" t="str">
        <x:v>S39</x:v>
      </x:c>
      <x:c r="C331" s="2" t="str">
        <x:v>Extension</x:v>
      </x:c>
      <x:c r="D331" s="11" t="n">
        <x:v>1</x:v>
      </x:c>
      <x:c r="E331" s="11" t="n">
        <x:v>8</x:v>
      </x:c>
      <x:c r="F331" s="2" t="str">
        <x:v>500287515</x:v>
      </x:c>
      <x:c r="G331" s="2" t="str">
        <x:v>S39|500287515</x:v>
      </x:c>
      <x:c r="H331" s="2" t="n">
        <x:f>IFERROR(VLOOKUP(G331,'Ratings'!$A$6:$F$1387,6,FALSE),"Unknown")</x:f>
        <x:v>3</x:v>
      </x:c>
      <x:c r="I331" s="2" t="n">
        <x:f>IF(ISNUMBER(H331),1,0)</x:f>
        <x:v>1</x:v>
      </x:c>
      <x:c r="J331" s="2" t="n">
        <x:f>IF(ISNUMBER(H331),IF(H331&gt;=2,1,0),0)</x:f>
        <x:v>1</x:v>
      </x:c>
      <x:c r="K331" s="14" t="n">
        <x:f>IF(ISNUMBER(H331),2^H331-1,0)</x:f>
        <x:v>7</x:v>
      </x:c>
      <x:c r="L331" s="14" t="n">
        <x:f>K331/LOG(E331+1,2)</x:f>
        <x:v>2.208254137500101</x:v>
      </x:c>
      <x:c r="M331" s="10" t="n">
        <x:v>3500</x:v>
      </x:c>
      <x:c r="N331" s="10" t="n">
        <x:v>3</x:v>
      </x:c>
      <x:c r="O331" s="10" t="n">
        <x:v>1450</x:v>
      </x:c>
      <x:c r="P331" s="2" t="str">
        <x:v>D23</x:v>
      </x:c>
      <x:c r="Q331" s="2" t="str">
        <x:v>hdb flat</x:v>
      </x:c>
      <x:c r="R331" s="2" t="str">
        <x:v>https://www.propertyguru.com.sg/listing/hdb-for-rent-509-choa-chu-kang-street-51-500287515</x:v>
      </x:c>
      <x:c r="S331" s="2" t="str">
        <x:v>cold_start_exploration</x:v>
      </x:c>
    </x:row>
    <x:row r="332" ht="22" customHeight="1">
      <x:c r="A332" s="2" t="str">
        <x:v>S39-T01</x:v>
      </x:c>
      <x:c r="B332" s="2" t="str">
        <x:v>S39</x:v>
      </x:c>
      <x:c r="C332" s="2" t="str">
        <x:v>Extension</x:v>
      </x:c>
      <x:c r="D332" s="11" t="n">
        <x:v>1</x:v>
      </x:c>
      <x:c r="E332" s="11" t="n">
        <x:v>9</x:v>
      </x:c>
      <x:c r="F332" s="2" t="str">
        <x:v>60139626</x:v>
      </x:c>
      <x:c r="G332" s="2" t="str">
        <x:v>S39|60139626</x:v>
      </x:c>
      <x:c r="H332" s="2" t="n">
        <x:f>IFERROR(VLOOKUP(G332,'Ratings'!$A$6:$F$1387,6,FALSE),"Unknown")</x:f>
        <x:v>3</x:v>
      </x:c>
      <x:c r="I332" s="2" t="n">
        <x:f>IF(ISNUMBER(H332),1,0)</x:f>
        <x:v>1</x:v>
      </x:c>
      <x:c r="J332" s="2" t="n">
        <x:f>IF(ISNUMBER(H332),IF(H332&gt;=2,1,0),0)</x:f>
        <x:v>1</x:v>
      </x:c>
      <x:c r="K332" s="14" t="n">
        <x:f>IF(ISNUMBER(H332),2^H332-1,0)</x:f>
        <x:v>7</x:v>
      </x:c>
      <x:c r="L332" s="14" t="n">
        <x:f>K332/LOG(E332+1,2)</x:f>
        <x:v>2.1072099696478683</x:v>
      </x:c>
      <x:c r="M332" s="10" t="n">
        <x:v>3500</x:v>
      </x:c>
      <x:c r="N332" s="10" t="n">
        <x:v>3</x:v>
      </x:c>
      <x:c r="O332" s="10" t="n">
        <x:v>1150</x:v>
      </x:c>
      <x:c r="P332" s="2" t="str">
        <x:v>D25</x:v>
      </x:c>
      <x:c r="Q332" s="2" t="str">
        <x:v>hdb flat</x:v>
      </x:c>
      <x:c r="R332" s="2" t="str">
        <x:v>https://www.propertyguru.com.sg/listing/hdb-for-rent-840-woodlands-street-82-60139626</x:v>
      </x:c>
      <x:c r="S332" s="2" t="str">
        <x:v>cold_start_exploration</x:v>
      </x:c>
    </x:row>
    <x:row r="333" ht="22" customHeight="1">
      <x:c r="A333" s="2" t="str">
        <x:v>S39-T01</x:v>
      </x:c>
      <x:c r="B333" s="2" t="str">
        <x:v>S39</x:v>
      </x:c>
      <x:c r="C333" s="2" t="str">
        <x:v>Extension</x:v>
      </x:c>
      <x:c r="D333" s="11" t="n">
        <x:v>1</x:v>
      </x:c>
      <x:c r="E333" s="11" t="n">
        <x:v>10</x:v>
      </x:c>
      <x:c r="F333" s="2" t="str">
        <x:v>60145176</x:v>
      </x:c>
      <x:c r="G333" s="2" t="str">
        <x:v>S39|60145176</x:v>
      </x:c>
      <x:c r="H333" s="2" t="n">
        <x:f>IFERROR(VLOOKUP(G333,'Ratings'!$A$6:$F$1387,6,FALSE),"Unknown")</x:f>
        <x:v>3</x:v>
      </x:c>
      <x:c r="I333" s="2" t="n">
        <x:f>IF(ISNUMBER(H333),1,0)</x:f>
        <x:v>1</x:v>
      </x:c>
      <x:c r="J333" s="2" t="n">
        <x:f>IF(ISNUMBER(H333),IF(H333&gt;=2,1,0),0)</x:f>
        <x:v>1</x:v>
      </x:c>
      <x:c r="K333" s="14" t="n">
        <x:f>IF(ISNUMBER(H333),2^H333-1,0)</x:f>
        <x:v>7</x:v>
      </x:c>
      <x:c r="L333" s="14" t="n">
        <x:f>K333/LOG(E333+1,2)</x:f>
        <x:v>2.023453784225215</x:v>
      </x:c>
      <x:c r="M333" s="10" t="n">
        <x:v>3400</x:v>
      </x:c>
      <x:c r="N333" s="10" t="n">
        <x:v>3</x:v>
      </x:c>
      <x:c r="O333" s="10" t="n">
        <x:v>1119</x:v>
      </x:c>
      <x:c r="P333" s="2" t="str">
        <x:v>D23</x:v>
      </x:c>
      <x:c r="Q333" s="2" t="str">
        <x:v>hdb flat</x:v>
      </x:c>
      <x:c r="R333" s="2" t="str">
        <x:v>https://www.propertyguru.com.sg/listing/hdb-for-rent-430-bukit-panjang-ring-road-60145176</x:v>
      </x:c>
      <x:c r="S333" s="2" t="str">
        <x:v>cold_start_exploration</x:v>
      </x:c>
    </x:row>
    <x:row r="334" ht="22" customHeight="1">
      <x:c r="A334" s="2" t="str">
        <x:v>S40-T01</x:v>
      </x:c>
      <x:c r="B334" s="2" t="str">
        <x:v>S40</x:v>
      </x:c>
      <x:c r="C334" s="2" t="str">
        <x:v>Extension</x:v>
      </x:c>
      <x:c r="D334" s="11" t="n">
        <x:v>1</x:v>
      </x:c>
      <x:c r="E334" s="11" t="n">
        <x:v>1</x:v>
      </x:c>
      <x:c r="F334" s="2" t="str">
        <x:v>21136981</x:v>
      </x:c>
      <x:c r="G334" s="2" t="str">
        <x:v>S40|21136981</x:v>
      </x:c>
      <x:c r="H334" s="2" t="n">
        <x:f>IFERROR(VLOOKUP(G334,'Ratings'!$A$6:$F$1387,6,FALSE),"Unknown")</x:f>
        <x:v>3</x:v>
      </x:c>
      <x:c r="I334" s="2" t="n">
        <x:f>IF(ISNUMBER(H334),1,0)</x:f>
        <x:v>1</x:v>
      </x:c>
      <x:c r="J334" s="2" t="n">
        <x:f>IF(ISNUMBER(H334),IF(H334&gt;=2,1,0),0)</x:f>
        <x:v>1</x:v>
      </x:c>
      <x:c r="K334" s="14" t="n">
        <x:f>IF(ISNUMBER(H334),2^H334-1,0)</x:f>
        <x:v>7</x:v>
      </x:c>
      <x:c r="L334" s="14" t="n">
        <x:f>K334/LOG(E334+1,2)</x:f>
        <x:v>7</x:v>
      </x:c>
      <x:c r="M334" s="10" t="n">
        <x:v>4400</x:v>
      </x:c>
      <x:c r="N334" s="10" t="n">
        <x:v>3</x:v>
      </x:c>
      <x:c r="O334" s="10" t="n">
        <x:v>947</x:v>
      </x:c>
      <x:c r="P334" s="2" t="str">
        <x:v>D15</x:v>
      </x:c>
      <x:c r="Q334" s="2" t="str">
        <x:v>condominium</x:v>
      </x:c>
      <x:c r="R334" s="2" t="str">
        <x:v>https://www.propertyguru.com.sg/listing/for-rent-parc-elegance-21136981</x:v>
      </x:c>
      <x:c r="S334" s="2" t="str">
        <x:v>cold_start_exploration</x:v>
      </x:c>
    </x:row>
    <x:row r="335" ht="22" customHeight="1">
      <x:c r="A335" s="2" t="str">
        <x:v>S40-T01</x:v>
      </x:c>
      <x:c r="B335" s="2" t="str">
        <x:v>S40</x:v>
      </x:c>
      <x:c r="C335" s="2" t="str">
        <x:v>Extension</x:v>
      </x:c>
      <x:c r="D335" s="11" t="n">
        <x:v>1</x:v>
      </x:c>
      <x:c r="E335" s="11" t="n">
        <x:v>2</x:v>
      </x:c>
      <x:c r="F335" s="2" t="str">
        <x:v>23869417</x:v>
      </x:c>
      <x:c r="G335" s="2" t="str">
        <x:v>S40|23869417</x:v>
      </x:c>
      <x:c r="H335" s="2" t="n">
        <x:f>IFERROR(VLOOKUP(G335,'Ratings'!$A$6:$F$1387,6,FALSE),"Unknown")</x:f>
        <x:v>3</x:v>
      </x:c>
      <x:c r="I335" s="2" t="n">
        <x:f>IF(ISNUMBER(H335),1,0)</x:f>
        <x:v>1</x:v>
      </x:c>
      <x:c r="J335" s="2" t="n">
        <x:f>IF(ISNUMBER(H335),IF(H335&gt;=2,1,0),0)</x:f>
        <x:v>1</x:v>
      </x:c>
      <x:c r="K335" s="14" t="n">
        <x:f>IF(ISNUMBER(H335),2^H335-1,0)</x:f>
        <x:v>7</x:v>
      </x:c>
      <x:c r="L335" s="14" t="n">
        <x:f>K335/LOG(E335+1,2)</x:f>
        <x:v>4.4165082750002025</x:v>
      </x:c>
      <x:c r="M335" s="10" t="n">
        <x:v>4500</x:v>
      </x:c>
      <x:c r="N335" s="10" t="n">
        <x:v>2</x:v>
      </x:c>
      <x:c r="O335" s="10" t="n">
        <x:v>936</x:v>
      </x:c>
      <x:c r="P335" s="2" t="str">
        <x:v>D15</x:v>
      </x:c>
      <x:c r="Q335" s="2" t="str">
        <x:v>condominium</x:v>
      </x:c>
      <x:c r="R335" s="2" t="str">
        <x:v>https://www.propertyguru.com.sg/listing/for-rent-the-asteria-23869417</x:v>
      </x:c>
      <x:c r="S335" s="2" t="str">
        <x:v>cold_start_exploration</x:v>
      </x:c>
    </x:row>
    <x:row r="336" ht="22" customHeight="1">
      <x:c r="A336" s="2" t="str">
        <x:v>S40-T01</x:v>
      </x:c>
      <x:c r="B336" s="2" t="str">
        <x:v>S40</x:v>
      </x:c>
      <x:c r="C336" s="2" t="str">
        <x:v>Extension</x:v>
      </x:c>
      <x:c r="D336" s="11" t="n">
        <x:v>1</x:v>
      </x:c>
      <x:c r="E336" s="11" t="n">
        <x:v>3</x:v>
      </x:c>
      <x:c r="F336" s="2" t="str">
        <x:v>24289520</x:v>
      </x:c>
      <x:c r="G336" s="2" t="str">
        <x:v>S40|24289520</x:v>
      </x:c>
      <x:c r="H336" s="2" t="n">
        <x:f>IFERROR(VLOOKUP(G336,'Ratings'!$A$6:$F$1387,6,FALSE),"Unknown")</x:f>
        <x:v>3</x:v>
      </x:c>
      <x:c r="I336" s="2" t="n">
        <x:f>IF(ISNUMBER(H336),1,0)</x:f>
        <x:v>1</x:v>
      </x:c>
      <x:c r="J336" s="2" t="n">
        <x:f>IF(ISNUMBER(H336),IF(H336&gt;=2,1,0),0)</x:f>
        <x:v>1</x:v>
      </x:c>
      <x:c r="K336" s="14" t="n">
        <x:f>IF(ISNUMBER(H336),2^H336-1,0)</x:f>
        <x:v>7</x:v>
      </x:c>
      <x:c r="L336" s="14" t="n">
        <x:f>K336/LOG(E336+1,2)</x:f>
        <x:v>3.5</x:v>
      </x:c>
      <x:c r="M336" s="10" t="n">
        <x:v>3950</x:v>
      </x:c>
      <x:c r="N336" s="10" t="n">
        <x:v>2</x:v>
      </x:c>
      <x:c r="O336" s="10" t="n">
        <x:v>1100</x:v>
      </x:c>
      <x:c r="P336" s="2" t="str">
        <x:v>D15</x:v>
      </x:c>
      <x:c r="Q336" s="2" t="str">
        <x:v>hdb flat</x:v>
      </x:c>
      <x:c r="R336" s="2" t="str">
        <x:v>https://www.propertyguru.com.sg/listing/hdb-for-rent-14-kampong-arang-road-24289520</x:v>
      </x:c>
      <x:c r="S336" s="2" t="str">
        <x:v>cold_start_exploration</x:v>
      </x:c>
    </x:row>
    <x:row r="337" ht="22" customHeight="1">
      <x:c r="A337" s="2" t="str">
        <x:v>S40-T01</x:v>
      </x:c>
      <x:c r="B337" s="2" t="str">
        <x:v>S40</x:v>
      </x:c>
      <x:c r="C337" s="2" t="str">
        <x:v>Extension</x:v>
      </x:c>
      <x:c r="D337" s="11" t="n">
        <x:v>1</x:v>
      </x:c>
      <x:c r="E337" s="11" t="n">
        <x:v>4</x:v>
      </x:c>
      <x:c r="F337" s="2" t="str">
        <x:v>24656863</x:v>
      </x:c>
      <x:c r="G337" s="2" t="str">
        <x:v>S40|24656863</x:v>
      </x:c>
      <x:c r="H337" s="2" t="n">
        <x:f>IFERROR(VLOOKUP(G337,'Ratings'!$A$6:$F$1387,6,FALSE),"Unknown")</x:f>
        <x:v>3</x:v>
      </x:c>
      <x:c r="I337" s="2" t="n">
        <x:f>IF(ISNUMBER(H337),1,0)</x:f>
        <x:v>1</x:v>
      </x:c>
      <x:c r="J337" s="2" t="n">
        <x:f>IF(ISNUMBER(H337),IF(H337&gt;=2,1,0),0)</x:f>
        <x:v>1</x:v>
      </x:c>
      <x:c r="K337" s="14" t="n">
        <x:f>IF(ISNUMBER(H337),2^H337-1,0)</x:f>
        <x:v>7</x:v>
      </x:c>
      <x:c r="L337" s="14" t="n">
        <x:f>K337/LOG(E337+1,2)</x:f>
        <x:v>3.0147359065137516</x:v>
      </x:c>
      <x:c r="M337" s="10" t="n">
        <x:v>4300</x:v>
      </x:c>
      <x:c r="N337" s="10" t="n">
        <x:v>3</x:v>
      </x:c>
      <x:c r="O337" s="10" t="n">
        <x:v>947</x:v>
      </x:c>
      <x:c r="P337" s="2" t="str">
        <x:v>D15</x:v>
      </x:c>
      <x:c r="Q337" s="2" t="str">
        <x:v>condominium</x:v>
      </x:c>
      <x:c r="R337" s="2" t="str">
        <x:v>https://www.propertyguru.com.sg/listing/for-rent-bella-casita-24656863</x:v>
      </x:c>
      <x:c r="S337" s="2" t="str">
        <x:v>cold_start_exploration</x:v>
      </x:c>
    </x:row>
    <x:row r="338" ht="22" customHeight="1">
      <x:c r="A338" s="2" t="str">
        <x:v>S40-T01</x:v>
      </x:c>
      <x:c r="B338" s="2" t="str">
        <x:v>S40</x:v>
      </x:c>
      <x:c r="C338" s="2" t="str">
        <x:v>Extension</x:v>
      </x:c>
      <x:c r="D338" s="11" t="n">
        <x:v>1</x:v>
      </x:c>
      <x:c r="E338" s="11" t="n">
        <x:v>5</x:v>
      </x:c>
      <x:c r="F338" s="2" t="str">
        <x:v>24679242</x:v>
      </x:c>
      <x:c r="G338" s="2" t="str">
        <x:v>S40|24679242</x:v>
      </x:c>
      <x:c r="H338" s="2" t="n">
        <x:f>IFERROR(VLOOKUP(G338,'Ratings'!$A$6:$F$1387,6,FALSE),"Unknown")</x:f>
        <x:v>3</x:v>
      </x:c>
      <x:c r="I338" s="2" t="n">
        <x:f>IF(ISNUMBER(H338),1,0)</x:f>
        <x:v>1</x:v>
      </x:c>
      <x:c r="J338" s="2" t="n">
        <x:f>IF(ISNUMBER(H338),IF(H338&gt;=2,1,0),0)</x:f>
        <x:v>1</x:v>
      </x:c>
      <x:c r="K338" s="14" t="n">
        <x:f>IF(ISNUMBER(H338),2^H338-1,0)</x:f>
        <x:v>7</x:v>
      </x:c>
      <x:c r="L338" s="14" t="n">
        <x:f>K338/LOG(E338+1,2)</x:f>
        <x:v>2.7079696506417914</x:v>
      </x:c>
      <x:c r="M338" s="10" t="n">
        <x:v>4500</x:v>
      </x:c>
      <x:c r="N338" s="10" t="n">
        <x:v>2</x:v>
      </x:c>
      <x:c r="O338" s="10" t="n">
        <x:v>1076</x:v>
      </x:c>
      <x:c r="P338" s="2" t="str">
        <x:v>D15</x:v>
      </x:c>
      <x:c r="Q338" s="2" t="str">
        <x:v>condominium</x:v>
      </x:c>
      <x:c r="R338" s="2" t="str">
        <x:v>https://www.propertyguru.com.sg/listing/for-rent-haig-court-24679242</x:v>
      </x:c>
      <x:c r="S338" s="2" t="str">
        <x:v>cold_start_exploration</x:v>
      </x:c>
    </x:row>
    <x:row r="339" ht="22" customHeight="1">
      <x:c r="A339" s="2" t="str">
        <x:v>S40-T01</x:v>
      </x:c>
      <x:c r="B339" s="2" t="str">
        <x:v>S40</x:v>
      </x:c>
      <x:c r="C339" s="2" t="str">
        <x:v>Extension</x:v>
      </x:c>
      <x:c r="D339" s="11" t="n">
        <x:v>1</x:v>
      </x:c>
      <x:c r="E339" s="11" t="n">
        <x:v>6</x:v>
      </x:c>
      <x:c r="F339" s="2" t="str">
        <x:v>25284425</x:v>
      </x:c>
      <x:c r="G339" s="2" t="str">
        <x:v>S40|25284425</x:v>
      </x:c>
      <x:c r="H339" s="2" t="n">
        <x:f>IFERROR(VLOOKUP(G339,'Ratings'!$A$6:$F$1387,6,FALSE),"Unknown")</x:f>
        <x:v>3</x:v>
      </x:c>
      <x:c r="I339" s="2" t="n">
        <x:f>IF(ISNUMBER(H339),1,0)</x:f>
        <x:v>1</x:v>
      </x:c>
      <x:c r="J339" s="2" t="n">
        <x:f>IF(ISNUMBER(H339),IF(H339&gt;=2,1,0),0)</x:f>
        <x:v>1</x:v>
      </x:c>
      <x:c r="K339" s="14" t="n">
        <x:f>IF(ISNUMBER(H339),2^H339-1,0)</x:f>
        <x:v>7</x:v>
      </x:c>
      <x:c r="L339" s="14" t="n">
        <x:f>K339/LOG(E339+1,2)</x:f>
        <x:v>2.493450309756155</x:v>
      </x:c>
      <x:c r="M339" s="10" t="n">
        <x:v>4200</x:v>
      </x:c>
      <x:c r="N339" s="10" t="n">
        <x:v>3</x:v>
      </x:c>
      <x:c r="O339" s="10" t="n">
        <x:v>990</x:v>
      </x:c>
      <x:c r="P339" s="2" t="str">
        <x:v>D15</x:v>
      </x:c>
      <x:c r="Q339" s="2" t="str">
        <x:v>condominium</x:v>
      </x:c>
      <x:c r="R339" s="2" t="str">
        <x:v>https://www.propertyguru.com.sg/listing/for-rent-palm-vista-25284425</x:v>
      </x:c>
      <x:c r="S339" s="2" t="str">
        <x:v>cold_start_exploration</x:v>
      </x:c>
    </x:row>
    <x:row r="340" ht="22" customHeight="1">
      <x:c r="A340" s="2" t="str">
        <x:v>S40-T01</x:v>
      </x:c>
      <x:c r="B340" s="2" t="str">
        <x:v>S40</x:v>
      </x:c>
      <x:c r="C340" s="2" t="str">
        <x:v>Extension</x:v>
      </x:c>
      <x:c r="D340" s="11" t="n">
        <x:v>1</x:v>
      </x:c>
      <x:c r="E340" s="11" t="n">
        <x:v>7</x:v>
      </x:c>
      <x:c r="F340" s="2" t="str">
        <x:v>25622301</x:v>
      </x:c>
      <x:c r="G340" s="2" t="str">
        <x:v>S40|25622301</x:v>
      </x:c>
      <x:c r="H340" s="2" t="n">
        <x:f>IFERROR(VLOOKUP(G340,'Ratings'!$A$6:$F$1387,6,FALSE),"Unknown")</x:f>
        <x:v>3</x:v>
      </x:c>
      <x:c r="I340" s="2" t="n">
        <x:f>IF(ISNUMBER(H340),1,0)</x:f>
        <x:v>1</x:v>
      </x:c>
      <x:c r="J340" s="2" t="n">
        <x:f>IF(ISNUMBER(H340),IF(H340&gt;=2,1,0),0)</x:f>
        <x:v>1</x:v>
      </x:c>
      <x:c r="K340" s="14" t="n">
        <x:f>IF(ISNUMBER(H340),2^H340-1,0)</x:f>
        <x:v>7</x:v>
      </x:c>
      <x:c r="L340" s="14" t="n">
        <x:f>K340/LOG(E340+1,2)</x:f>
        <x:v>2.3333333333333335</x:v>
      </x:c>
      <x:c r="M340" s="10" t="n">
        <x:v>4500</x:v>
      </x:c>
      <x:c r="N340" s="10" t="n">
        <x:v>3</x:v>
      </x:c>
      <x:c r="O340" s="10" t="n">
        <x:v>900</x:v>
      </x:c>
      <x:c r="P340" s="2" t="str">
        <x:v>D15</x:v>
      </x:c>
      <x:c r="Q340" s="2" t="str">
        <x:v>condominium</x:v>
      </x:c>
      <x:c r="R340" s="2" t="str">
        <x:v>https://www.propertyguru.com.sg/listing/for-rent-the-serennia-25622301</x:v>
      </x:c>
      <x:c r="S340" s="2" t="str">
        <x:v>cold_start_exploration</x:v>
      </x:c>
    </x:row>
    <x:row r="341" ht="22" customHeight="1">
      <x:c r="A341" s="2" t="str">
        <x:v>S40-T01</x:v>
      </x:c>
      <x:c r="B341" s="2" t="str">
        <x:v>S40</x:v>
      </x:c>
      <x:c r="C341" s="2" t="str">
        <x:v>Extension</x:v>
      </x:c>
      <x:c r="D341" s="11" t="n">
        <x:v>1</x:v>
      </x:c>
      <x:c r="E341" s="11" t="n">
        <x:v>8</x:v>
      </x:c>
      <x:c r="F341" s="2" t="str">
        <x:v>500230933</x:v>
      </x:c>
      <x:c r="G341" s="2" t="str">
        <x:v>S40|500230933</x:v>
      </x:c>
      <x:c r="H341" s="2" t="n">
        <x:f>IFERROR(VLOOKUP(G341,'Ratings'!$A$6:$F$1387,6,FALSE),"Unknown")</x:f>
        <x:v>3</x:v>
      </x:c>
      <x:c r="I341" s="2" t="n">
        <x:f>IF(ISNUMBER(H341),1,0)</x:f>
        <x:v>1</x:v>
      </x:c>
      <x:c r="J341" s="2" t="n">
        <x:f>IF(ISNUMBER(H341),IF(H341&gt;=2,1,0),0)</x:f>
        <x:v>1</x:v>
      </x:c>
      <x:c r="K341" s="14" t="n">
        <x:f>IF(ISNUMBER(H341),2^H341-1,0)</x:f>
        <x:v>7</x:v>
      </x:c>
      <x:c r="L341" s="14" t="n">
        <x:f>K341/LOG(E341+1,2)</x:f>
        <x:v>2.208254137500101</x:v>
      </x:c>
      <x:c r="M341" s="10" t="n">
        <x:v>4300</x:v>
      </x:c>
      <x:c r="N341" s="10" t="n">
        <x:v>3</x:v>
      </x:c>
      <x:c r="O341" s="10" t="n">
        <x:v>1000</x:v>
      </x:c>
      <x:c r="P341" s="2" t="str">
        <x:v>D15</x:v>
      </x:c>
      <x:c r="Q341" s="2" t="str">
        <x:v>condominium</x:v>
      </x:c>
      <x:c r="R341" s="2" t="str">
        <x:v>https://www.propertyguru.com.sg/listing/for-rent-east-grove-500230933</x:v>
      </x:c>
      <x:c r="S341" s="2" t="str">
        <x:v>cold_start_exploration</x:v>
      </x:c>
    </x:row>
    <x:row r="342" ht="22" customHeight="1">
      <x:c r="A342" s="2" t="str">
        <x:v>S40-T01</x:v>
      </x:c>
      <x:c r="B342" s="2" t="str">
        <x:v>S40</x:v>
      </x:c>
      <x:c r="C342" s="2" t="str">
        <x:v>Extension</x:v>
      </x:c>
      <x:c r="D342" s="11" t="n">
        <x:v>1</x:v>
      </x:c>
      <x:c r="E342" s="11" t="n">
        <x:v>9</x:v>
      </x:c>
      <x:c r="F342" s="2" t="str">
        <x:v>500270641</x:v>
      </x:c>
      <x:c r="G342" s="2" t="str">
        <x:v>S40|500270641</x:v>
      </x:c>
      <x:c r="H342" s="2" t="n">
        <x:f>IFERROR(VLOOKUP(G342,'Ratings'!$A$6:$F$1387,6,FALSE),"Unknown")</x:f>
        <x:v>3</x:v>
      </x:c>
      <x:c r="I342" s="2" t="n">
        <x:f>IF(ISNUMBER(H342),1,0)</x:f>
        <x:v>1</x:v>
      </x:c>
      <x:c r="J342" s="2" t="n">
        <x:f>IF(ISNUMBER(H342),IF(H342&gt;=2,1,0),0)</x:f>
        <x:v>1</x:v>
      </x:c>
      <x:c r="K342" s="14" t="n">
        <x:f>IF(ISNUMBER(H342),2^H342-1,0)</x:f>
        <x:v>7</x:v>
      </x:c>
      <x:c r="L342" s="14" t="n">
        <x:f>K342/LOG(E342+1,2)</x:f>
        <x:v>2.1072099696478683</x:v>
      </x:c>
      <x:c r="M342" s="10" t="n">
        <x:v>3900</x:v>
      </x:c>
      <x:c r="N342" s="10" t="n">
        <x:v>3</x:v>
      </x:c>
      <x:c r="O342" s="10" t="n">
        <x:v>990</x:v>
      </x:c>
      <x:c r="P342" s="2" t="str">
        <x:v>D15</x:v>
      </x:c>
      <x:c r="Q342" s="2" t="str">
        <x:v>apartment</x:v>
      </x:c>
      <x:c r="R342" s="2" t="str">
        <x:v>https://www.propertyguru.com.sg/listing/for-rent-prestige-residence-500270641</x:v>
      </x:c>
      <x:c r="S342" s="2" t="str">
        <x:v>cold_start_exploration</x:v>
      </x:c>
    </x:row>
    <x:row r="343" ht="22" customHeight="1">
      <x:c r="A343" s="2" t="str">
        <x:v>S40-T01</x:v>
      </x:c>
      <x:c r="B343" s="2" t="str">
        <x:v>S40</x:v>
      </x:c>
      <x:c r="C343" s="2" t="str">
        <x:v>Extension</x:v>
      </x:c>
      <x:c r="D343" s="11" t="n">
        <x:v>1</x:v>
      </x:c>
      <x:c r="E343" s="11" t="n">
        <x:v>10</x:v>
      </x:c>
      <x:c r="F343" s="2" t="str">
        <x:v>500282984</x:v>
      </x:c>
      <x:c r="G343" s="2" t="str">
        <x:v>S40|500282984</x:v>
      </x:c>
      <x:c r="H343" s="2" t="n">
        <x:f>IFERROR(VLOOKUP(G343,'Ratings'!$A$6:$F$1387,6,FALSE),"Unknown")</x:f>
        <x:v>3</x:v>
      </x:c>
      <x:c r="I343" s="2" t="n">
        <x:f>IF(ISNUMBER(H343),1,0)</x:f>
        <x:v>1</x:v>
      </x:c>
      <x:c r="J343" s="2" t="n">
        <x:f>IF(ISNUMBER(H343),IF(H343&gt;=2,1,0),0)</x:f>
        <x:v>1</x:v>
      </x:c>
      <x:c r="K343" s="14" t="n">
        <x:f>IF(ISNUMBER(H343),2^H343-1,0)</x:f>
        <x:v>7</x:v>
      </x:c>
      <x:c r="L343" s="14" t="n">
        <x:f>K343/LOG(E343+1,2)</x:f>
        <x:v>2.023453784225215</x:v>
      </x:c>
      <x:c r="M343" s="10" t="n">
        <x:v>4500</x:v>
      </x:c>
      <x:c r="N343" s="10" t="n">
        <x:v>2</x:v>
      </x:c>
      <x:c r="O343" s="10" t="n">
        <x:v>947</x:v>
      </x:c>
      <x:c r="P343" s="2" t="str">
        <x:v>D15</x:v>
      </x:c>
      <x:c r="Q343" s="2" t="str">
        <x:v>hdb flat</x:v>
      </x:c>
      <x:c r="R343" s="2" t="str">
        <x:v>https://www.propertyguru.com.sg/listing/hdb-for-rent-20-marine-terrace-500282984</x:v>
      </x:c>
      <x:c r="S343" s="2" t="str">
        <x:v>cold_start_exploration</x:v>
      </x:c>
    </x:row>
    <x:row r="344" ht="22" customHeight="1">
      <x:c r="A344" s="2" t="str">
        <x:v>S27-T02</x:v>
      </x:c>
      <x:c r="B344" s="2" t="str">
        <x:v>S27</x:v>
      </x:c>
      <x:c r="C344" s="2" t="str">
        <x:v>Repeat</x:v>
      </x:c>
      <x:c r="D344" s="11" t="n">
        <x:v>2</x:v>
      </x:c>
      <x:c r="E344" s="11" t="n">
        <x:v>1</x:v>
      </x:c>
      <x:c r="F344" s="2" t="str">
        <x:v>19266007</x:v>
      </x:c>
      <x:c r="G344" s="2" t="str">
        <x:v>S27|19266007</x:v>
      </x:c>
      <x:c r="H344" s="2" t="n">
        <x:f>IFERROR(VLOOKUP(G344,'Ratings'!$A$6:$F$1387,6,FALSE),"Unknown")</x:f>
        <x:v>3</x:v>
      </x:c>
      <x:c r="I344" s="2" t="n">
        <x:f>IF(ISNUMBER(H344),1,0)</x:f>
        <x:v>1</x:v>
      </x:c>
      <x:c r="J344" s="2" t="n">
        <x:f>IF(ISNUMBER(H344),IF(H344&gt;=2,1,0),0)</x:f>
        <x:v>1</x:v>
      </x:c>
      <x:c r="K344" s="14" t="n">
        <x:f>IF(ISNUMBER(H344),2^H344-1,0)</x:f>
        <x:v>7</x:v>
      </x:c>
      <x:c r="L344" s="14" t="n">
        <x:f>K344/LOG(E344+1,2)</x:f>
        <x:v>7</x:v>
      </x:c>
      <x:c r="M344" s="10" t="n">
        <x:v>4500</x:v>
      </x:c>
      <x:c r="N344" s="10" t="n">
        <x:v>2</x:v>
      </x:c>
      <x:c r="O344" s="10" t="n">
        <x:v>957</x:v>
      </x:c>
      <x:c r="P344" s="2" t="str">
        <x:v>D05</x:v>
      </x:c>
      <x:c r="Q344" s="2" t="str">
        <x:v>condominium</x:v>
      </x:c>
      <x:c r="R344" s="2" t="str">
        <x:v>https://www.propertyguru.com.sg/listing/for-rent-regent-park-19266007</x:v>
      </x:c>
      <x:c r="S344" s="2" t="str">
        <x:v>cold_start_exploration</x:v>
      </x:c>
    </x:row>
    <x:row r="345" ht="22" customHeight="1">
      <x:c r="A345" s="2" t="str">
        <x:v>S27-T02</x:v>
      </x:c>
      <x:c r="B345" s="2" t="str">
        <x:v>S27</x:v>
      </x:c>
      <x:c r="C345" s="2" t="str">
        <x:v>Repeat</x:v>
      </x:c>
      <x:c r="D345" s="11" t="n">
        <x:v>2</x:v>
      </x:c>
      <x:c r="E345" s="11" t="n">
        <x:v>2</x:v>
      </x:c>
      <x:c r="F345" s="2" t="str">
        <x:v>20554943</x:v>
      </x:c>
      <x:c r="G345" s="2" t="str">
        <x:v>S27|20554943</x:v>
      </x:c>
      <x:c r="H345" s="2" t="n">
        <x:f>IFERROR(VLOOKUP(G345,'Ratings'!$A$6:$F$1387,6,FALSE),"Unknown")</x:f>
        <x:v>3</x:v>
      </x:c>
      <x:c r="I345" s="2" t="n">
        <x:f>IF(ISNUMBER(H345),1,0)</x:f>
        <x:v>1</x:v>
      </x:c>
      <x:c r="J345" s="2" t="n">
        <x:f>IF(ISNUMBER(H345),IF(H345&gt;=2,1,0),0)</x:f>
        <x:v>1</x:v>
      </x:c>
      <x:c r="K345" s="14" t="n">
        <x:f>IF(ISNUMBER(H345),2^H345-1,0)</x:f>
        <x:v>7</x:v>
      </x:c>
      <x:c r="L345" s="14" t="n">
        <x:f>K345/LOG(E345+1,2)</x:f>
        <x:v>4.4165082750002025</x:v>
      </x:c>
      <x:c r="M345" s="10" t="n">
        <x:v>4500</x:v>
      </x:c>
      <x:c r="N345" s="10" t="n">
        <x:v>3</x:v>
      </x:c>
      <x:c r="O345" s="10" t="n">
        <x:v>1259</x:v>
      </x:c>
      <x:c r="P345" s="2" t="str">
        <x:v>D03</x:v>
      </x:c>
      <x:c r="Q345" s="2" t="str">
        <x:v>hdb flat</x:v>
      </x:c>
      <x:c r="R345" s="2" t="str">
        <x:v>https://www.propertyguru.com.sg/listing/hdb-for-rent-117-bukit-merah-central-20554943</x:v>
      </x:c>
      <x:c r="S345" s="2" t="str">
        <x:v>cold_start_exploration</x:v>
      </x:c>
    </x:row>
    <x:row r="346" ht="22" customHeight="1">
      <x:c r="A346" s="2" t="str">
        <x:v>S27-T02</x:v>
      </x:c>
      <x:c r="B346" s="2" t="str">
        <x:v>S27</x:v>
      </x:c>
      <x:c r="C346" s="2" t="str">
        <x:v>Repeat</x:v>
      </x:c>
      <x:c r="D346" s="11" t="n">
        <x:v>2</x:v>
      </x:c>
      <x:c r="E346" s="11" t="n">
        <x:v>3</x:v>
      </x:c>
      <x:c r="F346" s="2" t="str">
        <x:v>23440735</x:v>
      </x:c>
      <x:c r="G346" s="2" t="str">
        <x:v>S27|23440735</x:v>
      </x:c>
      <x:c r="H346" s="2" t="n">
        <x:f>IFERROR(VLOOKUP(G346,'Ratings'!$A$6:$F$1387,6,FALSE),"Unknown")</x:f>
        <x:v>3</x:v>
      </x:c>
      <x:c r="I346" s="2" t="n">
        <x:f>IF(ISNUMBER(H346),1,0)</x:f>
        <x:v>1</x:v>
      </x:c>
      <x:c r="J346" s="2" t="n">
        <x:f>IF(ISNUMBER(H346),IF(H346&gt;=2,1,0),0)</x:f>
        <x:v>1</x:v>
      </x:c>
      <x:c r="K346" s="14" t="n">
        <x:f>IF(ISNUMBER(H346),2^H346-1,0)</x:f>
        <x:v>7</x:v>
      </x:c>
      <x:c r="L346" s="14" t="n">
        <x:f>K346/LOG(E346+1,2)</x:f>
        <x:v>3.5</x:v>
      </x:c>
      <x:c r="M346" s="10" t="n">
        <x:v>4500</x:v>
      </x:c>
      <x:c r="N346" s="10" t="n">
        <x:v>2</x:v>
      </x:c>
      <x:c r="O346" s="10" t="n">
        <x:v>969</x:v>
      </x:c>
      <x:c r="P346" s="2" t="str">
        <x:v>D05</x:v>
      </x:c>
      <x:c r="Q346" s="2" t="str">
        <x:v>condominium</x:v>
      </x:c>
      <x:c r="R346" s="2" t="str">
        <x:v>https://www.propertyguru.com.sg/listing/for-rent-dover-parkview-23440735</x:v>
      </x:c>
      <x:c r="S346" s="2" t="str">
        <x:v>cold_start_exploration</x:v>
      </x:c>
    </x:row>
    <x:row r="347" ht="22" customHeight="1">
      <x:c r="A347" s="2" t="str">
        <x:v>S27-T02</x:v>
      </x:c>
      <x:c r="B347" s="2" t="str">
        <x:v>S27</x:v>
      </x:c>
      <x:c r="C347" s="2" t="str">
        <x:v>Repeat</x:v>
      </x:c>
      <x:c r="D347" s="11" t="n">
        <x:v>2</x:v>
      </x:c>
      <x:c r="E347" s="11" t="n">
        <x:v>4</x:v>
      </x:c>
      <x:c r="F347" s="2" t="str">
        <x:v>24176266</x:v>
      </x:c>
      <x:c r="G347" s="2" t="str">
        <x:v>S27|24176266</x:v>
      </x:c>
      <x:c r="H347" s="2" t="n">
        <x:f>IFERROR(VLOOKUP(G347,'Ratings'!$A$6:$F$1387,6,FALSE),"Unknown")</x:f>
        <x:v>3</x:v>
      </x:c>
      <x:c r="I347" s="2" t="n">
        <x:f>IF(ISNUMBER(H347),1,0)</x:f>
        <x:v>1</x:v>
      </x:c>
      <x:c r="J347" s="2" t="n">
        <x:f>IF(ISNUMBER(H347),IF(H347&gt;=2,1,0),0)</x:f>
        <x:v>1</x:v>
      </x:c>
      <x:c r="K347" s="14" t="n">
        <x:f>IF(ISNUMBER(H347),2^H347-1,0)</x:f>
        <x:v>7</x:v>
      </x:c>
      <x:c r="L347" s="14" t="n">
        <x:f>K347/LOG(E347+1,2)</x:f>
        <x:v>3.0147359065137516</x:v>
      </x:c>
      <x:c r="M347" s="10" t="n">
        <x:v>4200</x:v>
      </x:c>
      <x:c r="N347" s="10" t="n">
        <x:v>3</x:v>
      </x:c>
      <x:c r="O347" s="10" t="n">
        <x:v>914</x:v>
      </x:c>
      <x:c r="P347" s="2" t="str">
        <x:v>D03</x:v>
      </x:c>
      <x:c r="Q347" s="2" t="str">
        <x:v>hdb flat</x:v>
      </x:c>
      <x:c r="R347" s="2" t="str">
        <x:v>https://www.propertyguru.com.sg/listing/hdb-for-rent-161-mei-ling-street-24176266</x:v>
      </x:c>
      <x:c r="S347" s="2" t="str">
        <x:v>cold_start_exploration</x:v>
      </x:c>
    </x:row>
    <x:row r="348" ht="22" customHeight="1">
      <x:c r="A348" s="2" t="str">
        <x:v>S27-T02</x:v>
      </x:c>
      <x:c r="B348" s="2" t="str">
        <x:v>S27</x:v>
      </x:c>
      <x:c r="C348" s="2" t="str">
        <x:v>Repeat</x:v>
      </x:c>
      <x:c r="D348" s="11" t="n">
        <x:v>2</x:v>
      </x:c>
      <x:c r="E348" s="11" t="n">
        <x:v>5</x:v>
      </x:c>
      <x:c r="F348" s="2" t="str">
        <x:v>24178763</x:v>
      </x:c>
      <x:c r="G348" s="2" t="str">
        <x:v>S27|24178763</x:v>
      </x:c>
      <x:c r="H348" s="2" t="n">
        <x:f>IFERROR(VLOOKUP(G348,'Ratings'!$A$6:$F$1387,6,FALSE),"Unknown")</x:f>
        <x:v>3</x:v>
      </x:c>
      <x:c r="I348" s="2" t="n">
        <x:f>IF(ISNUMBER(H348),1,0)</x:f>
        <x:v>1</x:v>
      </x:c>
      <x:c r="J348" s="2" t="n">
        <x:f>IF(ISNUMBER(H348),IF(H348&gt;=2,1,0),0)</x:f>
        <x:v>1</x:v>
      </x:c>
      <x:c r="K348" s="14" t="n">
        <x:f>IF(ISNUMBER(H348),2^H348-1,0)</x:f>
        <x:v>7</x:v>
      </x:c>
      <x:c r="L348" s="14" t="n">
        <x:f>K348/LOG(E348+1,2)</x:f>
        <x:v>2.7079696506417914</x:v>
      </x:c>
      <x:c r="M348" s="10" t="n">
        <x:v>4500</x:v>
      </x:c>
      <x:c r="N348" s="10" t="n">
        <x:v>3</x:v>
      </x:c>
      <x:c r="O348" s="10" t="n">
        <x:v>1184</x:v>
      </x:c>
      <x:c r="P348" s="2" t="str">
        <x:v>D05</x:v>
      </x:c>
      <x:c r="Q348" s="2" t="str">
        <x:v>hdb flat</x:v>
      </x:c>
      <x:c r="R348" s="2" t="str">
        <x:v>https://www.propertyguru.com.sg/listing/hdb-for-rent-459-clementi-avenue-3-24178763</x:v>
      </x:c>
      <x:c r="S348" s="2" t="str">
        <x:v>cold_start_exploration</x:v>
      </x:c>
    </x:row>
    <x:row r="349" ht="22" customHeight="1">
      <x:c r="A349" s="2" t="str">
        <x:v>S27-T02</x:v>
      </x:c>
      <x:c r="B349" s="2" t="str">
        <x:v>S27</x:v>
      </x:c>
      <x:c r="C349" s="2" t="str">
        <x:v>Repeat</x:v>
      </x:c>
      <x:c r="D349" s="11" t="n">
        <x:v>2</x:v>
      </x:c>
      <x:c r="E349" s="11" t="n">
        <x:v>6</x:v>
      </x:c>
      <x:c r="F349" s="2" t="str">
        <x:v>25447883</x:v>
      </x:c>
      <x:c r="G349" s="2" t="str">
        <x:v>S27|25447883</x:v>
      </x:c>
      <x:c r="H349" s="2" t="n">
        <x:f>IFERROR(VLOOKUP(G349,'Ratings'!$A$6:$F$1387,6,FALSE),"Unknown")</x:f>
        <x:v>3</x:v>
      </x:c>
      <x:c r="I349" s="2" t="n">
        <x:f>IF(ISNUMBER(H349),1,0)</x:f>
        <x:v>1</x:v>
      </x:c>
      <x:c r="J349" s="2" t="n">
        <x:f>IF(ISNUMBER(H349),IF(H349&gt;=2,1,0),0)</x:f>
        <x:v>1</x:v>
      </x:c>
      <x:c r="K349" s="14" t="n">
        <x:f>IF(ISNUMBER(H349),2^H349-1,0)</x:f>
        <x:v>7</x:v>
      </x:c>
      <x:c r="L349" s="14" t="n">
        <x:f>K349/LOG(E349+1,2)</x:f>
        <x:v>2.493450309756155</x:v>
      </x:c>
      <x:c r="M349" s="10" t="n">
        <x:v>4200</x:v>
      </x:c>
      <x:c r="N349" s="10" t="n">
        <x:v>2</x:v>
      </x:c>
      <x:c r="O349" s="10" t="n">
        <x:v>1033</x:v>
      </x:c>
      <x:c r="P349" s="2" t="str">
        <x:v>D05</x:v>
      </x:c>
      <x:c r="Q349" s="2" t="str">
        <x:v>hdb flat</x:v>
      </x:c>
      <x:c r="R349" s="2" t="str">
        <x:v>https://www.propertyguru.com.sg/listing/hdb-for-rent-28b-dover-crescent-25447883</x:v>
      </x:c>
      <x:c r="S349" s="2" t="str">
        <x:v>cold_start_exploration</x:v>
      </x:c>
    </x:row>
    <x:row r="350" ht="22" customHeight="1">
      <x:c r="A350" s="2" t="str">
        <x:v>S27-T02</x:v>
      </x:c>
      <x:c r="B350" s="2" t="str">
        <x:v>S27</x:v>
      </x:c>
      <x:c r="C350" s="2" t="str">
        <x:v>Repeat</x:v>
      </x:c>
      <x:c r="D350" s="11" t="n">
        <x:v>2</x:v>
      </x:c>
      <x:c r="E350" s="11" t="n">
        <x:v>7</x:v>
      </x:c>
      <x:c r="F350" s="2" t="str">
        <x:v>500164225</x:v>
      </x:c>
      <x:c r="G350" s="2" t="str">
        <x:v>S27|500164225</x:v>
      </x:c>
      <x:c r="H350" s="2" t="n">
        <x:f>IFERROR(VLOOKUP(G350,'Ratings'!$A$6:$F$1387,6,FALSE),"Unknown")</x:f>
        <x:v>3</x:v>
      </x:c>
      <x:c r="I350" s="2" t="n">
        <x:f>IF(ISNUMBER(H350),1,0)</x:f>
        <x:v>1</x:v>
      </x:c>
      <x:c r="J350" s="2" t="n">
        <x:f>IF(ISNUMBER(H350),IF(H350&gt;=2,1,0),0)</x:f>
        <x:v>1</x:v>
      </x:c>
      <x:c r="K350" s="14" t="n">
        <x:f>IF(ISNUMBER(H350),2^H350-1,0)</x:f>
        <x:v>7</x:v>
      </x:c>
      <x:c r="L350" s="14" t="n">
        <x:f>K350/LOG(E350+1,2)</x:f>
        <x:v>2.3333333333333335</x:v>
      </x:c>
      <x:c r="M350" s="10" t="n">
        <x:v>3999</x:v>
      </x:c>
      <x:c r="N350" s="10" t="n">
        <x:v>3</x:v>
      </x:c>
      <x:c r="O350" s="10" t="n">
        <x:v>1238</x:v>
      </x:c>
      <x:c r="P350" s="2" t="str">
        <x:v>D05</x:v>
      </x:c>
      <x:c r="Q350" s="2" t="str">
        <x:v>hdb flat</x:v>
      </x:c>
      <x:c r="R350" s="2" t="str">
        <x:v>https://www.propertyguru.com.sg/listing/hdb-for-rent-604-clementi-west-street-1-500164225</x:v>
      </x:c>
      <x:c r="S350" s="2" t="str">
        <x:v>cold_start_exploration</x:v>
      </x:c>
    </x:row>
    <x:row r="351" ht="22" customHeight="1">
      <x:c r="A351" s="2" t="str">
        <x:v>S27-T02</x:v>
      </x:c>
      <x:c r="B351" s="2" t="str">
        <x:v>S27</x:v>
      </x:c>
      <x:c r="C351" s="2" t="str">
        <x:v>Repeat</x:v>
      </x:c>
      <x:c r="D351" s="11" t="n">
        <x:v>2</x:v>
      </x:c>
      <x:c r="E351" s="11" t="n">
        <x:v>8</x:v>
      </x:c>
      <x:c r="F351" s="2" t="str">
        <x:v>500246212</x:v>
      </x:c>
      <x:c r="G351" s="2" t="str">
        <x:v>S27|500246212</x:v>
      </x:c>
      <x:c r="H351" s="2" t="n">
        <x:f>IFERROR(VLOOKUP(G351,'Ratings'!$A$6:$F$1387,6,FALSE),"Unknown")</x:f>
        <x:v>3</x:v>
      </x:c>
      <x:c r="I351" s="2" t="n">
        <x:f>IF(ISNUMBER(H351),1,0)</x:f>
        <x:v>1</x:v>
      </x:c>
      <x:c r="J351" s="2" t="n">
        <x:f>IF(ISNUMBER(H351),IF(H351&gt;=2,1,0),0)</x:f>
        <x:v>1</x:v>
      </x:c>
      <x:c r="K351" s="14" t="n">
        <x:f>IF(ISNUMBER(H351),2^H351-1,0)</x:f>
        <x:v>7</x:v>
      </x:c>
      <x:c r="L351" s="14" t="n">
        <x:f>K351/LOG(E351+1,2)</x:f>
        <x:v>2.208254137500101</x:v>
      </x:c>
      <x:c r="M351" s="10" t="n">
        <x:v>4500</x:v>
      </x:c>
      <x:c r="N351" s="10" t="n">
        <x:v>3</x:v>
      </x:c>
      <x:c r="O351" s="10" t="n">
        <x:v>1389</x:v>
      </x:c>
      <x:c r="P351" s="2" t="str">
        <x:v>D03</x:v>
      </x:c>
      <x:c r="Q351" s="2" t="str">
        <x:v>hdb flat</x:v>
      </x:c>
      <x:c r="R351" s="2" t="str">
        <x:v>https://www.propertyguru.com.sg/listing/hdb-for-rent-134-jalan-bukit-merah-500246212</x:v>
      </x:c>
      <x:c r="S351" s="2" t="str">
        <x:v>cold_start_exploration</x:v>
      </x:c>
    </x:row>
    <x:row r="352" ht="22" customHeight="1">
      <x:c r="A352" s="2" t="str">
        <x:v>S27-T02</x:v>
      </x:c>
      <x:c r="B352" s="2" t="str">
        <x:v>S27</x:v>
      </x:c>
      <x:c r="C352" s="2" t="str">
        <x:v>Repeat</x:v>
      </x:c>
      <x:c r="D352" s="11" t="n">
        <x:v>2</x:v>
      </x:c>
      <x:c r="E352" s="11" t="n">
        <x:v>9</x:v>
      </x:c>
      <x:c r="F352" s="2" t="str">
        <x:v>500267822</x:v>
      </x:c>
      <x:c r="G352" s="2" t="str">
        <x:v>S27|500267822</x:v>
      </x:c>
      <x:c r="H352" s="2" t="n">
        <x:f>IFERROR(VLOOKUP(G352,'Ratings'!$A$6:$F$1387,6,FALSE),"Unknown")</x:f>
        <x:v>3</x:v>
      </x:c>
      <x:c r="I352" s="2" t="n">
        <x:f>IF(ISNUMBER(H352),1,0)</x:f>
        <x:v>1</x:v>
      </x:c>
      <x:c r="J352" s="2" t="n">
        <x:f>IF(ISNUMBER(H352),IF(H352&gt;=2,1,0),0)</x:f>
        <x:v>1</x:v>
      </x:c>
      <x:c r="K352" s="14" t="n">
        <x:f>IF(ISNUMBER(H352),2^H352-1,0)</x:f>
        <x:v>7</x:v>
      </x:c>
      <x:c r="L352" s="14" t="n">
        <x:f>K352/LOG(E352+1,2)</x:f>
        <x:v>2.1072099696478683</x:v>
      </x:c>
      <x:c r="M352" s="10" t="n">
        <x:v>3880</x:v>
      </x:c>
      <x:c r="N352" s="10" t="n">
        <x:v>3</x:v>
      </x:c>
      <x:c r="O352" s="10" t="n">
        <x:v>980</x:v>
      </x:c>
      <x:c r="P352" s="2" t="str">
        <x:v>D05</x:v>
      </x:c>
      <x:c r="Q352" s="2" t="str">
        <x:v>hdb flat</x:v>
      </x:c>
      <x:c r="R352" s="2" t="str">
        <x:v>https://www.propertyguru.com.sg/listing/hdb-for-rent-373-clementi-avenue-4-500267822</x:v>
      </x:c>
      <x:c r="S352" s="2" t="str">
        <x:v>cold_start_exploration</x:v>
      </x:c>
    </x:row>
    <x:row r="353" ht="22" customHeight="1">
      <x:c r="A353" s="2" t="str">
        <x:v>S27-T02</x:v>
      </x:c>
      <x:c r="B353" s="2" t="str">
        <x:v>S27</x:v>
      </x:c>
      <x:c r="C353" s="2" t="str">
        <x:v>Repeat</x:v>
      </x:c>
      <x:c r="D353" s="11" t="n">
        <x:v>2</x:v>
      </x:c>
      <x:c r="E353" s="11" t="n">
        <x:v>10</x:v>
      </x:c>
      <x:c r="F353" s="2" t="str">
        <x:v>60120018</x:v>
      </x:c>
      <x:c r="G353" s="2" t="str">
        <x:v>S27|60120018</x:v>
      </x:c>
      <x:c r="H353" s="2" t="n">
        <x:f>IFERROR(VLOOKUP(G353,'Ratings'!$A$6:$F$1387,6,FALSE),"Unknown")</x:f>
        <x:v>3</x:v>
      </x:c>
      <x:c r="I353" s="2" t="n">
        <x:f>IF(ISNUMBER(H353),1,0)</x:f>
        <x:v>1</x:v>
      </x:c>
      <x:c r="J353" s="2" t="n">
        <x:f>IF(ISNUMBER(H353),IF(H353&gt;=2,1,0),0)</x:f>
        <x:v>1</x:v>
      </x:c>
      <x:c r="K353" s="14" t="n">
        <x:f>IF(ISNUMBER(H353),2^H353-1,0)</x:f>
        <x:v>7</x:v>
      </x:c>
      <x:c r="L353" s="14" t="n">
        <x:f>K353/LOG(E353+1,2)</x:f>
        <x:v>2.023453784225215</x:v>
      </x:c>
      <x:c r="M353" s="10" t="n">
        <x:v>4500</x:v>
      </x:c>
      <x:c r="N353" s="10" t="n">
        <x:v>3</x:v>
      </x:c>
      <x:c r="O353" s="10" t="n">
        <x:v>1345</x:v>
      </x:c>
      <x:c r="P353" s="2" t="str">
        <x:v>D05</x:v>
      </x:c>
      <x:c r="Q353" s="2" t="str">
        <x:v>hdb flat</x:v>
      </x:c>
      <x:c r="R353" s="2" t="str">
        <x:v>https://www.propertyguru.com.sg/listing/hdb-for-rent-414-commonwealth-avenue-west-60120018</x:v>
      </x:c>
      <x:c r="S353" s="2" t="str">
        <x:v>cold_start_exploration</x:v>
      </x:c>
    </x:row>
    <x:row r="354" ht="22" customHeight="1">
      <x:c r="A354" s="2" t="str">
        <x:v>S27-T03</x:v>
      </x:c>
      <x:c r="B354" s="2" t="str">
        <x:v>S27</x:v>
      </x:c>
      <x:c r="C354" s="2" t="str">
        <x:v>Repeat</x:v>
      </x:c>
      <x:c r="D354" s="11" t="n">
        <x:v>3</x:v>
      </x:c>
      <x:c r="E354" s="11" t="n">
        <x:v>1</x:v>
      </x:c>
      <x:c r="F354" s="2" t="str">
        <x:v>12885293</x:v>
      </x:c>
      <x:c r="G354" s="2" t="str">
        <x:v>S27|12885293</x:v>
      </x:c>
      <x:c r="H354" s="2" t="n">
        <x:f>IFERROR(VLOOKUP(G354,'Ratings'!$A$6:$F$1387,6,FALSE),"Unknown")</x:f>
        <x:v>3</x:v>
      </x:c>
      <x:c r="I354" s="2" t="n">
        <x:f>IF(ISNUMBER(H354),1,0)</x:f>
        <x:v>1</x:v>
      </x:c>
      <x:c r="J354" s="2" t="n">
        <x:f>IF(ISNUMBER(H354),IF(H354&gt;=2,1,0),0)</x:f>
        <x:v>1</x:v>
      </x:c>
      <x:c r="K354" s="14" t="n">
        <x:f>IF(ISNUMBER(H354),2^H354-1,0)</x:f>
        <x:v>7</x:v>
      </x:c>
      <x:c r="L354" s="14" t="n">
        <x:f>K354/LOG(E354+1,2)</x:f>
        <x:v>7</x:v>
      </x:c>
      <x:c r="M354" s="10" t="n">
        <x:v>4000</x:v>
      </x:c>
      <x:c r="N354" s="10" t="n">
        <x:v>2</x:v>
      </x:c>
      <x:c r="O354" s="10" t="n">
        <x:v>1000</x:v>
      </x:c>
      <x:c r="P354" s="2" t="str">
        <x:v>D05</x:v>
      </x:c>
      <x:c r="Q354" s="2" t="str">
        <x:v>hdb flat</x:v>
      </x:c>
      <x:c r="R354" s="2" t="str">
        <x:v>https://www.propertyguru.com.sg/listing/hdb-for-rent-17-dover-crescent-12885293</x:v>
      </x:c>
      <x:c r="S354" s="2" t="str">
        <x:v>cold_start_exploration</x:v>
      </x:c>
    </x:row>
    <x:row r="355" ht="22" customHeight="1">
      <x:c r="A355" s="2" t="str">
        <x:v>S27-T03</x:v>
      </x:c>
      <x:c r="B355" s="2" t="str">
        <x:v>S27</x:v>
      </x:c>
      <x:c r="C355" s="2" t="str">
        <x:v>Repeat</x:v>
      </x:c>
      <x:c r="D355" s="11" t="n">
        <x:v>3</x:v>
      </x:c>
      <x:c r="E355" s="11" t="n">
        <x:v>2</x:v>
      </x:c>
      <x:c r="F355" s="2" t="str">
        <x:v>19266007</x:v>
      </x:c>
      <x:c r="G355" s="2" t="str">
        <x:v>S27|19266007</x:v>
      </x:c>
      <x:c r="H355" s="2" t="n">
        <x:f>IFERROR(VLOOKUP(G355,'Ratings'!$A$6:$F$1387,6,FALSE),"Unknown")</x:f>
        <x:v>3</x:v>
      </x:c>
      <x:c r="I355" s="2" t="n">
        <x:f>IF(ISNUMBER(H355),1,0)</x:f>
        <x:v>1</x:v>
      </x:c>
      <x:c r="J355" s="2" t="n">
        <x:f>IF(ISNUMBER(H355),IF(H355&gt;=2,1,0),0)</x:f>
        <x:v>1</x:v>
      </x:c>
      <x:c r="K355" s="14" t="n">
        <x:f>IF(ISNUMBER(H355),2^H355-1,0)</x:f>
        <x:v>7</x:v>
      </x:c>
      <x:c r="L355" s="14" t="n">
        <x:f>K355/LOG(E355+1,2)</x:f>
        <x:v>4.4165082750002025</x:v>
      </x:c>
      <x:c r="M355" s="10" t="n">
        <x:v>4500</x:v>
      </x:c>
      <x:c r="N355" s="10" t="n">
        <x:v>2</x:v>
      </x:c>
      <x:c r="O355" s="10" t="n">
        <x:v>957</x:v>
      </x:c>
      <x:c r="P355" s="2" t="str">
        <x:v>D05</x:v>
      </x:c>
      <x:c r="Q355" s="2" t="str">
        <x:v>condominium</x:v>
      </x:c>
      <x:c r="R355" s="2" t="str">
        <x:v>https://www.propertyguru.com.sg/listing/for-rent-regent-park-19266007</x:v>
      </x:c>
      <x:c r="S355" s="2" t="str">
        <x:v>cold_start_exploration</x:v>
      </x:c>
    </x:row>
    <x:row r="356" ht="22" customHeight="1">
      <x:c r="A356" s="2" t="str">
        <x:v>S27-T03</x:v>
      </x:c>
      <x:c r="B356" s="2" t="str">
        <x:v>S27</x:v>
      </x:c>
      <x:c r="C356" s="2" t="str">
        <x:v>Repeat</x:v>
      </x:c>
      <x:c r="D356" s="11" t="n">
        <x:v>3</x:v>
      </x:c>
      <x:c r="E356" s="11" t="n">
        <x:v>3</x:v>
      </x:c>
      <x:c r="F356" s="2" t="str">
        <x:v>21449669</x:v>
      </x:c>
      <x:c r="G356" s="2" t="str">
        <x:v>S27|21449669</x:v>
      </x:c>
      <x:c r="H356" s="2" t="n">
        <x:f>IFERROR(VLOOKUP(G356,'Ratings'!$A$6:$F$1387,6,FALSE),"Unknown")</x:f>
        <x:v>3</x:v>
      </x:c>
      <x:c r="I356" s="2" t="n">
        <x:f>IF(ISNUMBER(H356),1,0)</x:f>
        <x:v>1</x:v>
      </x:c>
      <x:c r="J356" s="2" t="n">
        <x:f>IF(ISNUMBER(H356),IF(H356&gt;=2,1,0),0)</x:f>
        <x:v>1</x:v>
      </x:c>
      <x:c r="K356" s="14" t="n">
        <x:f>IF(ISNUMBER(H356),2^H356-1,0)</x:f>
        <x:v>7</x:v>
      </x:c>
      <x:c r="L356" s="14" t="n">
        <x:f>K356/LOG(E356+1,2)</x:f>
        <x:v>3.5</x:v>
      </x:c>
      <x:c r="M356" s="10" t="n">
        <x:v>4300</x:v>
      </x:c>
      <x:c r="N356" s="10" t="n">
        <x:v>3</x:v>
      </x:c>
      <x:c r="O356" s="10" t="n">
        <x:v>980</x:v>
      </x:c>
      <x:c r="P356" s="2" t="str">
        <x:v>D03</x:v>
      </x:c>
      <x:c r="Q356" s="2" t="str">
        <x:v>hdb flat</x:v>
      </x:c>
      <x:c r="R356" s="2" t="str">
        <x:v>https://www.propertyguru.com.sg/listing/hdb-for-rent-26a-jalan-membina-21449669</x:v>
      </x:c>
      <x:c r="S356" s="2" t="str">
        <x:v>cold_start_exploration</x:v>
      </x:c>
    </x:row>
    <x:row r="357" ht="22" customHeight="1">
      <x:c r="A357" s="2" t="str">
        <x:v>S27-T03</x:v>
      </x:c>
      <x:c r="B357" s="2" t="str">
        <x:v>S27</x:v>
      </x:c>
      <x:c r="C357" s="2" t="str">
        <x:v>Repeat</x:v>
      </x:c>
      <x:c r="D357" s="11" t="n">
        <x:v>3</x:v>
      </x:c>
      <x:c r="E357" s="11" t="n">
        <x:v>4</x:v>
      </x:c>
      <x:c r="F357" s="2" t="str">
        <x:v>21759366</x:v>
      </x:c>
      <x:c r="G357" s="2" t="str">
        <x:v>S27|21759366</x:v>
      </x:c>
      <x:c r="H357" s="2" t="n">
        <x:f>IFERROR(VLOOKUP(G357,'Ratings'!$A$6:$F$1387,6,FALSE),"Unknown")</x:f>
        <x:v>3</x:v>
      </x:c>
      <x:c r="I357" s="2" t="n">
        <x:f>IF(ISNUMBER(H357),1,0)</x:f>
        <x:v>1</x:v>
      </x:c>
      <x:c r="J357" s="2" t="n">
        <x:f>IF(ISNUMBER(H357),IF(H357&gt;=2,1,0),0)</x:f>
        <x:v>1</x:v>
      </x:c>
      <x:c r="K357" s="14" t="n">
        <x:f>IF(ISNUMBER(H357),2^H357-1,0)</x:f>
        <x:v>7</x:v>
      </x:c>
      <x:c r="L357" s="14" t="n">
        <x:f>K357/LOG(E357+1,2)</x:f>
        <x:v>3.0147359065137516</x:v>
      </x:c>
      <x:c r="M357" s="10" t="n">
        <x:v>4500</x:v>
      </x:c>
      <x:c r="N357" s="10" t="n">
        <x:v>3</x:v>
      </x:c>
      <x:c r="O357" s="10" t="n">
        <x:v>1260</x:v>
      </x:c>
      <x:c r="P357" s="2" t="str">
        <x:v>D03</x:v>
      </x:c>
      <x:c r="Q357" s="2" t="str">
        <x:v>hdb flat</x:v>
      </x:c>
      <x:c r="R357" s="2" t="str">
        <x:v>https://www.propertyguru.com.sg/listing/hdb-for-rent-117-bukit-merah-central-21759366</x:v>
      </x:c>
      <x:c r="S357" s="2" t="str">
        <x:v>cold_start_exploration</x:v>
      </x:c>
    </x:row>
    <x:row r="358" ht="22" customHeight="1">
      <x:c r="A358" s="2" t="str">
        <x:v>S27-T03</x:v>
      </x:c>
      <x:c r="B358" s="2" t="str">
        <x:v>S27</x:v>
      </x:c>
      <x:c r="C358" s="2" t="str">
        <x:v>Repeat</x:v>
      </x:c>
      <x:c r="D358" s="11" t="n">
        <x:v>3</x:v>
      </x:c>
      <x:c r="E358" s="11" t="n">
        <x:v>5</x:v>
      </x:c>
      <x:c r="F358" s="2" t="str">
        <x:v>23440735</x:v>
      </x:c>
      <x:c r="G358" s="2" t="str">
        <x:v>S27|23440735</x:v>
      </x:c>
      <x:c r="H358" s="2" t="n">
        <x:f>IFERROR(VLOOKUP(G358,'Ratings'!$A$6:$F$1387,6,FALSE),"Unknown")</x:f>
        <x:v>3</x:v>
      </x:c>
      <x:c r="I358" s="2" t="n">
        <x:f>IF(ISNUMBER(H358),1,0)</x:f>
        <x:v>1</x:v>
      </x:c>
      <x:c r="J358" s="2" t="n">
        <x:f>IF(ISNUMBER(H358),IF(H358&gt;=2,1,0),0)</x:f>
        <x:v>1</x:v>
      </x:c>
      <x:c r="K358" s="14" t="n">
        <x:f>IF(ISNUMBER(H358),2^H358-1,0)</x:f>
        <x:v>7</x:v>
      </x:c>
      <x:c r="L358" s="14" t="n">
        <x:f>K358/LOG(E358+1,2)</x:f>
        <x:v>2.7079696506417914</x:v>
      </x:c>
      <x:c r="M358" s="10" t="n">
        <x:v>4500</x:v>
      </x:c>
      <x:c r="N358" s="10" t="n">
        <x:v>2</x:v>
      </x:c>
      <x:c r="O358" s="10" t="n">
        <x:v>969</x:v>
      </x:c>
      <x:c r="P358" s="2" t="str">
        <x:v>D05</x:v>
      </x:c>
      <x:c r="Q358" s="2" t="str">
        <x:v>condominium</x:v>
      </x:c>
      <x:c r="R358" s="2" t="str">
        <x:v>https://www.propertyguru.com.sg/listing/for-rent-dover-parkview-23440735</x:v>
      </x:c>
      <x:c r="S358" s="2" t="str">
        <x:v>cold_start_exploration</x:v>
      </x:c>
    </x:row>
    <x:row r="359" ht="22" customHeight="1">
      <x:c r="A359" s="2" t="str">
        <x:v>S27-T03</x:v>
      </x:c>
      <x:c r="B359" s="2" t="str">
        <x:v>S27</x:v>
      </x:c>
      <x:c r="C359" s="2" t="str">
        <x:v>Repeat</x:v>
      </x:c>
      <x:c r="D359" s="11" t="n">
        <x:v>3</x:v>
      </x:c>
      <x:c r="E359" s="11" t="n">
        <x:v>6</x:v>
      </x:c>
      <x:c r="F359" s="2" t="str">
        <x:v>23509141</x:v>
      </x:c>
      <x:c r="G359" s="2" t="str">
        <x:v>S27|23509141</x:v>
      </x:c>
      <x:c r="H359" s="2" t="n">
        <x:f>IFERROR(VLOOKUP(G359,'Ratings'!$A$6:$F$1387,6,FALSE),"Unknown")</x:f>
        <x:v>3</x:v>
      </x:c>
      <x:c r="I359" s="2" t="n">
        <x:f>IF(ISNUMBER(H359),1,0)</x:f>
        <x:v>1</x:v>
      </x:c>
      <x:c r="J359" s="2" t="n">
        <x:f>IF(ISNUMBER(H359),IF(H359&gt;=2,1,0),0)</x:f>
        <x:v>1</x:v>
      </x:c>
      <x:c r="K359" s="14" t="n">
        <x:f>IF(ISNUMBER(H359),2^H359-1,0)</x:f>
        <x:v>7</x:v>
      </x:c>
      <x:c r="L359" s="14" t="n">
        <x:f>K359/LOG(E359+1,2)</x:f>
        <x:v>2.493450309756155</x:v>
      </x:c>
      <x:c r="M359" s="10" t="n">
        <x:v>3988</x:v>
      </x:c>
      <x:c r="N359" s="10" t="n">
        <x:v>3</x:v>
      </x:c>
      <x:c r="O359" s="10" t="n">
        <x:v>1270</x:v>
      </x:c>
      <x:c r="P359" s="2" t="str">
        <x:v>D05</x:v>
      </x:c>
      <x:c r="Q359" s="2" t="str">
        <x:v>hdb flat</x:v>
      </x:c>
      <x:c r="R359" s="2" t="str">
        <x:v>https://www.propertyguru.com.sg/listing/hdb-for-rent-717-clementi-west-street-2-23509141</x:v>
      </x:c>
      <x:c r="S359" s="2" t="str">
        <x:v>cold_start_exploration</x:v>
      </x:c>
    </x:row>
    <x:row r="360" ht="22" customHeight="1">
      <x:c r="A360" s="2" t="str">
        <x:v>S27-T03</x:v>
      </x:c>
      <x:c r="B360" s="2" t="str">
        <x:v>S27</x:v>
      </x:c>
      <x:c r="C360" s="2" t="str">
        <x:v>Repeat</x:v>
      </x:c>
      <x:c r="D360" s="11" t="n">
        <x:v>3</x:v>
      </x:c>
      <x:c r="E360" s="11" t="n">
        <x:v>7</x:v>
      </x:c>
      <x:c r="F360" s="2" t="str">
        <x:v>24178763</x:v>
      </x:c>
      <x:c r="G360" s="2" t="str">
        <x:v>S27|24178763</x:v>
      </x:c>
      <x:c r="H360" s="2" t="n">
        <x:f>IFERROR(VLOOKUP(G360,'Ratings'!$A$6:$F$1387,6,FALSE),"Unknown")</x:f>
        <x:v>3</x:v>
      </x:c>
      <x:c r="I360" s="2" t="n">
        <x:f>IF(ISNUMBER(H360),1,0)</x:f>
        <x:v>1</x:v>
      </x:c>
      <x:c r="J360" s="2" t="n">
        <x:f>IF(ISNUMBER(H360),IF(H360&gt;=2,1,0),0)</x:f>
        <x:v>1</x:v>
      </x:c>
      <x:c r="K360" s="14" t="n">
        <x:f>IF(ISNUMBER(H360),2^H360-1,0)</x:f>
        <x:v>7</x:v>
      </x:c>
      <x:c r="L360" s="14" t="n">
        <x:f>K360/LOG(E360+1,2)</x:f>
        <x:v>2.3333333333333335</x:v>
      </x:c>
      <x:c r="M360" s="10" t="n">
        <x:v>4500</x:v>
      </x:c>
      <x:c r="N360" s="10" t="n">
        <x:v>3</x:v>
      </x:c>
      <x:c r="O360" s="10" t="n">
        <x:v>1184</x:v>
      </x:c>
      <x:c r="P360" s="2" t="str">
        <x:v>D05</x:v>
      </x:c>
      <x:c r="Q360" s="2" t="str">
        <x:v>hdb flat</x:v>
      </x:c>
      <x:c r="R360" s="2" t="str">
        <x:v>https://www.propertyguru.com.sg/listing/hdb-for-rent-459-clementi-avenue-3-24178763</x:v>
      </x:c>
      <x:c r="S360" s="2" t="str">
        <x:v>cold_start_exploration</x:v>
      </x:c>
    </x:row>
    <x:row r="361" ht="22" customHeight="1">
      <x:c r="A361" s="2" t="str">
        <x:v>S27-T03</x:v>
      </x:c>
      <x:c r="B361" s="2" t="str">
        <x:v>S27</x:v>
      </x:c>
      <x:c r="C361" s="2" t="str">
        <x:v>Repeat</x:v>
      </x:c>
      <x:c r="D361" s="11" t="n">
        <x:v>3</x:v>
      </x:c>
      <x:c r="E361" s="11" t="n">
        <x:v>8</x:v>
      </x:c>
      <x:c r="F361" s="2" t="str">
        <x:v>25316446</x:v>
      </x:c>
      <x:c r="G361" s="2" t="str">
        <x:v>S27|25316446</x:v>
      </x:c>
      <x:c r="H361" s="2" t="n">
        <x:f>IFERROR(VLOOKUP(G361,'Ratings'!$A$6:$F$1387,6,FALSE),"Unknown")</x:f>
        <x:v>3</x:v>
      </x:c>
      <x:c r="I361" s="2" t="n">
        <x:f>IF(ISNUMBER(H361),1,0)</x:f>
        <x:v>1</x:v>
      </x:c>
      <x:c r="J361" s="2" t="n">
        <x:f>IF(ISNUMBER(H361),IF(H361&gt;=2,1,0),0)</x:f>
        <x:v>1</x:v>
      </x:c>
      <x:c r="K361" s="14" t="n">
        <x:f>IF(ISNUMBER(H361),2^H361-1,0)</x:f>
        <x:v>7</x:v>
      </x:c>
      <x:c r="L361" s="14" t="n">
        <x:f>K361/LOG(E361+1,2)</x:f>
        <x:v>2.208254137500101</x:v>
      </x:c>
      <x:c r="M361" s="10" t="n">
        <x:v>4200</x:v>
      </x:c>
      <x:c r="N361" s="10" t="n">
        <x:v>3</x:v>
      </x:c>
      <x:c r="O361" s="10" t="n">
        <x:v>915</x:v>
      </x:c>
      <x:c r="P361" s="2" t="str">
        <x:v>D03</x:v>
      </x:c>
      <x:c r="Q361" s="2" t="str">
        <x:v>hdb flat</x:v>
      </x:c>
      <x:c r="R361" s="2" t="str">
        <x:v>https://www.propertyguru.com.sg/listing/hdb-for-rent-69-redhill-close-25316446</x:v>
      </x:c>
      <x:c r="S361" s="2" t="str">
        <x:v>cold_start_exploration</x:v>
      </x:c>
    </x:row>
    <x:row r="362" ht="22" customHeight="1">
      <x:c r="A362" s="2" t="str">
        <x:v>S27-T03</x:v>
      </x:c>
      <x:c r="B362" s="2" t="str">
        <x:v>S27</x:v>
      </x:c>
      <x:c r="C362" s="2" t="str">
        <x:v>Repeat</x:v>
      </x:c>
      <x:c r="D362" s="11" t="n">
        <x:v>3</x:v>
      </x:c>
      <x:c r="E362" s="11" t="n">
        <x:v>9</x:v>
      </x:c>
      <x:c r="F362" s="2" t="str">
        <x:v>500229761</x:v>
      </x:c>
      <x:c r="G362" s="2" t="str">
        <x:v>S27|500229761</x:v>
      </x:c>
      <x:c r="H362" s="2" t="n">
        <x:f>IFERROR(VLOOKUP(G362,'Ratings'!$A$6:$F$1387,6,FALSE),"Unknown")</x:f>
        <x:v>3</x:v>
      </x:c>
      <x:c r="I362" s="2" t="n">
        <x:f>IF(ISNUMBER(H362),1,0)</x:f>
        <x:v>1</x:v>
      </x:c>
      <x:c r="J362" s="2" t="n">
        <x:f>IF(ISNUMBER(H362),IF(H362&gt;=2,1,0),0)</x:f>
        <x:v>1</x:v>
      </x:c>
      <x:c r="K362" s="14" t="n">
        <x:f>IF(ISNUMBER(H362),2^H362-1,0)</x:f>
        <x:v>7</x:v>
      </x:c>
      <x:c r="L362" s="14" t="n">
        <x:f>K362/LOG(E362+1,2)</x:f>
        <x:v>2.1072099696478683</x:v>
      </x:c>
      <x:c r="M362" s="10" t="n">
        <x:v>4200</x:v>
      </x:c>
      <x:c r="N362" s="10" t="n">
        <x:v>2</x:v>
      </x:c>
      <x:c r="O362" s="10" t="n">
        <x:v>1033</x:v>
      </x:c>
      <x:c r="P362" s="2" t="str">
        <x:v>D05</x:v>
      </x:c>
      <x:c r="Q362" s="2" t="str">
        <x:v>condominium</x:v>
      </x:c>
      <x:c r="R362" s="2" t="str">
        <x:v>https://www.propertyguru.com.sg/listing/for-rent-faber-crest-500229761</x:v>
      </x:c>
      <x:c r="S362" s="2" t="str">
        <x:v>cold_start_exploration</x:v>
      </x:c>
    </x:row>
    <x:row r="363" ht="22" customHeight="1">
      <x:c r="A363" s="2" t="str">
        <x:v>S27-T03</x:v>
      </x:c>
      <x:c r="B363" s="2" t="str">
        <x:v>S27</x:v>
      </x:c>
      <x:c r="C363" s="2" t="str">
        <x:v>Repeat</x:v>
      </x:c>
      <x:c r="D363" s="11" t="n">
        <x:v>3</x:v>
      </x:c>
      <x:c r="E363" s="11" t="n">
        <x:v>10</x:v>
      </x:c>
      <x:c r="F363" s="2" t="str">
        <x:v>500264910</x:v>
      </x:c>
      <x:c r="G363" s="2" t="str">
        <x:v>S27|500264910</x:v>
      </x:c>
      <x:c r="H363" s="2" t="n">
        <x:f>IFERROR(VLOOKUP(G363,'Ratings'!$A$6:$F$1387,6,FALSE),"Unknown")</x:f>
        <x:v>3</x:v>
      </x:c>
      <x:c r="I363" s="2" t="n">
        <x:f>IF(ISNUMBER(H363),1,0)</x:f>
        <x:v>1</x:v>
      </x:c>
      <x:c r="J363" s="2" t="n">
        <x:f>IF(ISNUMBER(H363),IF(H363&gt;=2,1,0),0)</x:f>
        <x:v>1</x:v>
      </x:c>
      <x:c r="K363" s="14" t="n">
        <x:f>IF(ISNUMBER(H363),2^H363-1,0)</x:f>
        <x:v>7</x:v>
      </x:c>
      <x:c r="L363" s="14" t="n">
        <x:f>K363/LOG(E363+1,2)</x:f>
        <x:v>2.023453784225215</x:v>
      </x:c>
      <x:c r="M363" s="10" t="n">
        <x:v>4500</x:v>
      </x:c>
      <x:c r="N363" s="10" t="n">
        <x:v>3</x:v>
      </x:c>
      <x:c r="O363" s="10" t="n">
        <x:v>1001</x:v>
      </x:c>
      <x:c r="P363" s="2" t="str">
        <x:v>D05</x:v>
      </x:c>
      <x:c r="Q363" s="2" t="str">
        <x:v>hdb flat</x:v>
      </x:c>
      <x:c r="R363" s="2" t="str">
        <x:v>https://www.propertyguru.com.sg/listing/hdb-for-rent-375-clementi-avenue-4-500264910</x:v>
      </x:c>
      <x:c r="S363" s="2" t="str">
        <x:v>cold_start_exploration</x:v>
      </x:c>
    </x:row>
    <x:row r="364" ht="22" customHeight="1">
      <x:c r="A364" s="2" t="str">
        <x:v>S27-T04</x:v>
      </x:c>
      <x:c r="B364" s="2" t="str">
        <x:v>S27</x:v>
      </x:c>
      <x:c r="C364" s="2" t="str">
        <x:v>Repeat</x:v>
      </x:c>
      <x:c r="D364" s="11" t="n">
        <x:v>4</x:v>
      </x:c>
      <x:c r="E364" s="11" t="n">
        <x:v>1</x:v>
      </x:c>
      <x:c r="F364" s="2" t="str">
        <x:v>17789448</x:v>
      </x:c>
      <x:c r="G364" s="2" t="str">
        <x:v>S27|17789448</x:v>
      </x:c>
      <x:c r="H364" s="2" t="n">
        <x:f>IFERROR(VLOOKUP(G364,'Ratings'!$A$6:$F$1387,6,FALSE),"Unknown")</x:f>
        <x:v>3</x:v>
      </x:c>
      <x:c r="I364" s="2" t="n">
        <x:f>IF(ISNUMBER(H364),1,0)</x:f>
        <x:v>1</x:v>
      </x:c>
      <x:c r="J364" s="2" t="n">
        <x:f>IF(ISNUMBER(H364),IF(H364&gt;=2,1,0),0)</x:f>
        <x:v>1</x:v>
      </x:c>
      <x:c r="K364" s="14" t="n">
        <x:f>IF(ISNUMBER(H364),2^H364-1,0)</x:f>
        <x:v>7</x:v>
      </x:c>
      <x:c r="L364" s="14" t="n">
        <x:f>K364/LOG(E364+1,2)</x:f>
        <x:v>7</x:v>
      </x:c>
      <x:c r="M364" s="10" t="n">
        <x:v>4400</x:v>
      </x:c>
      <x:c r="N364" s="10" t="n">
        <x:v>3</x:v>
      </x:c>
      <x:c r="O364" s="10" t="n">
        <x:v>1100</x:v>
      </x:c>
      <x:c r="P364" s="2" t="str">
        <x:v>D03</x:v>
      </x:c>
      <x:c r="Q364" s="2" t="str">
        <x:v>hdb flat</x:v>
      </x:c>
      <x:c r="R364" s="2" t="str">
        <x:v>https://www.propertyguru.com.sg/listing/hdb-for-rent-130-clarence-lane-17789448</x:v>
      </x:c>
      <x:c r="S364" s="2" t="str">
        <x:v>cold_start_exploration</x:v>
      </x:c>
    </x:row>
    <x:row r="365" ht="22" customHeight="1">
      <x:c r="A365" s="2" t="str">
        <x:v>S27-T04</x:v>
      </x:c>
      <x:c r="B365" s="2" t="str">
        <x:v>S27</x:v>
      </x:c>
      <x:c r="C365" s="2" t="str">
        <x:v>Repeat</x:v>
      </x:c>
      <x:c r="D365" s="11" t="n">
        <x:v>4</x:v>
      </x:c>
      <x:c r="E365" s="11" t="n">
        <x:v>2</x:v>
      </x:c>
      <x:c r="F365" s="2" t="str">
        <x:v>19221832</x:v>
      </x:c>
      <x:c r="G365" s="2" t="str">
        <x:v>S27|19221832</x:v>
      </x:c>
      <x:c r="H365" s="2" t="n">
        <x:f>IFERROR(VLOOKUP(G365,'Ratings'!$A$6:$F$1387,6,FALSE),"Unknown")</x:f>
        <x:v>3</x:v>
      </x:c>
      <x:c r="I365" s="2" t="n">
        <x:f>IF(ISNUMBER(H365),1,0)</x:f>
        <x:v>1</x:v>
      </x:c>
      <x:c r="J365" s="2" t="n">
        <x:f>IF(ISNUMBER(H365),IF(H365&gt;=2,1,0),0)</x:f>
        <x:v>1</x:v>
      </x:c>
      <x:c r="K365" s="14" t="n">
        <x:f>IF(ISNUMBER(H365),2^H365-1,0)</x:f>
        <x:v>7</x:v>
      </x:c>
      <x:c r="L365" s="14" t="n">
        <x:f>K365/LOG(E365+1,2)</x:f>
        <x:v>4.4165082750002025</x:v>
      </x:c>
      <x:c r="M365" s="10" t="n">
        <x:v>4200</x:v>
      </x:c>
      <x:c r="N365" s="10" t="n">
        <x:v>3</x:v>
      </x:c>
      <x:c r="O365" s="10" t="n">
        <x:v>1184</x:v>
      </x:c>
      <x:c r="P365" s="2" t="str">
        <x:v>D05</x:v>
      </x:c>
      <x:c r="Q365" s="2" t="str">
        <x:v>hdb flat</x:v>
      </x:c>
      <x:c r="R365" s="2" t="str">
        <x:v>https://www.propertyguru.com.sg/listing/hdb-for-rent-458-clementi-avenue-3-19221832</x:v>
      </x:c>
      <x:c r="S365" s="2" t="str">
        <x:v>cold_start_exploration</x:v>
      </x:c>
    </x:row>
    <x:row r="366" ht="22" customHeight="1">
      <x:c r="A366" s="2" t="str">
        <x:v>S27-T04</x:v>
      </x:c>
      <x:c r="B366" s="2" t="str">
        <x:v>S27</x:v>
      </x:c>
      <x:c r="C366" s="2" t="str">
        <x:v>Repeat</x:v>
      </x:c>
      <x:c r="D366" s="11" t="n">
        <x:v>4</x:v>
      </x:c>
      <x:c r="E366" s="11" t="n">
        <x:v>3</x:v>
      </x:c>
      <x:c r="F366" s="2" t="str">
        <x:v>21759366</x:v>
      </x:c>
      <x:c r="G366" s="2" t="str">
        <x:v>S27|21759366</x:v>
      </x:c>
      <x:c r="H366" s="2" t="n">
        <x:f>IFERROR(VLOOKUP(G366,'Ratings'!$A$6:$F$1387,6,FALSE),"Unknown")</x:f>
        <x:v>3</x:v>
      </x:c>
      <x:c r="I366" s="2" t="n">
        <x:f>IF(ISNUMBER(H366),1,0)</x:f>
        <x:v>1</x:v>
      </x:c>
      <x:c r="J366" s="2" t="n">
        <x:f>IF(ISNUMBER(H366),IF(H366&gt;=2,1,0),0)</x:f>
        <x:v>1</x:v>
      </x:c>
      <x:c r="K366" s="14" t="n">
        <x:f>IF(ISNUMBER(H366),2^H366-1,0)</x:f>
        <x:v>7</x:v>
      </x:c>
      <x:c r="L366" s="14" t="n">
        <x:f>K366/LOG(E366+1,2)</x:f>
        <x:v>3.5</x:v>
      </x:c>
      <x:c r="M366" s="10" t="n">
        <x:v>4500</x:v>
      </x:c>
      <x:c r="N366" s="10" t="n">
        <x:v>3</x:v>
      </x:c>
      <x:c r="O366" s="10" t="n">
        <x:v>1260</x:v>
      </x:c>
      <x:c r="P366" s="2" t="str">
        <x:v>D03</x:v>
      </x:c>
      <x:c r="Q366" s="2" t="str">
        <x:v>hdb flat</x:v>
      </x:c>
      <x:c r="R366" s="2" t="str">
        <x:v>https://www.propertyguru.com.sg/listing/hdb-for-rent-117-bukit-merah-central-21759366</x:v>
      </x:c>
      <x:c r="S366" s="2" t="str">
        <x:v>cold_start_exploration</x:v>
      </x:c>
    </x:row>
    <x:row r="367" ht="22" customHeight="1">
      <x:c r="A367" s="2" t="str">
        <x:v>S27-T04</x:v>
      </x:c>
      <x:c r="B367" s="2" t="str">
        <x:v>S27</x:v>
      </x:c>
      <x:c r="C367" s="2" t="str">
        <x:v>Repeat</x:v>
      </x:c>
      <x:c r="D367" s="11" t="n">
        <x:v>4</x:v>
      </x:c>
      <x:c r="E367" s="11" t="n">
        <x:v>4</x:v>
      </x:c>
      <x:c r="F367" s="2" t="str">
        <x:v>22773305</x:v>
      </x:c>
      <x:c r="G367" s="2" t="str">
        <x:v>S27|22773305</x:v>
      </x:c>
      <x:c r="H367" s="2" t="n">
        <x:f>IFERROR(VLOOKUP(G367,'Ratings'!$A$6:$F$1387,6,FALSE),"Unknown")</x:f>
        <x:v>3</x:v>
      </x:c>
      <x:c r="I367" s="2" t="n">
        <x:f>IF(ISNUMBER(H367),1,0)</x:f>
        <x:v>1</x:v>
      </x:c>
      <x:c r="J367" s="2" t="n">
        <x:f>IF(ISNUMBER(H367),IF(H367&gt;=2,1,0),0)</x:f>
        <x:v>1</x:v>
      </x:c>
      <x:c r="K367" s="14" t="n">
        <x:f>IF(ISNUMBER(H367),2^H367-1,0)</x:f>
        <x:v>7</x:v>
      </x:c>
      <x:c r="L367" s="14" t="n">
        <x:f>K367/LOG(E367+1,2)</x:f>
        <x:v>3.0147359065137516</x:v>
      </x:c>
      <x:c r="M367" s="10" t="n">
        <x:v>4500</x:v>
      </x:c>
      <x:c r="N367" s="10" t="n">
        <x:v>3</x:v>
      </x:c>
      <x:c r="O367" s="10" t="n">
        <x:v>1259</x:v>
      </x:c>
      <x:c r="P367" s="2" t="str">
        <x:v>D05</x:v>
      </x:c>
      <x:c r="Q367" s="2" t="str">
        <x:v>hdb flat</x:v>
      </x:c>
      <x:c r="R367" s="2" t="str">
        <x:v>https://www.propertyguru.com.sg/listing/hdb-for-rent-355-clementi-avenue-2-22773305</x:v>
      </x:c>
      <x:c r="S367" s="2" t="str">
        <x:v>cold_start_exploration</x:v>
      </x:c>
    </x:row>
    <x:row r="368" ht="22" customHeight="1">
      <x:c r="A368" s="2" t="str">
        <x:v>S27-T04</x:v>
      </x:c>
      <x:c r="B368" s="2" t="str">
        <x:v>S27</x:v>
      </x:c>
      <x:c r="C368" s="2" t="str">
        <x:v>Repeat</x:v>
      </x:c>
      <x:c r="D368" s="11" t="n">
        <x:v>4</x:v>
      </x:c>
      <x:c r="E368" s="11" t="n">
        <x:v>5</x:v>
      </x:c>
      <x:c r="F368" s="2" t="str">
        <x:v>24178763</x:v>
      </x:c>
      <x:c r="G368" s="2" t="str">
        <x:v>S27|24178763</x:v>
      </x:c>
      <x:c r="H368" s="2" t="n">
        <x:f>IFERROR(VLOOKUP(G368,'Ratings'!$A$6:$F$1387,6,FALSE),"Unknown")</x:f>
        <x:v>3</x:v>
      </x:c>
      <x:c r="I368" s="2" t="n">
        <x:f>IF(ISNUMBER(H368),1,0)</x:f>
        <x:v>1</x:v>
      </x:c>
      <x:c r="J368" s="2" t="n">
        <x:f>IF(ISNUMBER(H368),IF(H368&gt;=2,1,0),0)</x:f>
        <x:v>1</x:v>
      </x:c>
      <x:c r="K368" s="14" t="n">
        <x:f>IF(ISNUMBER(H368),2^H368-1,0)</x:f>
        <x:v>7</x:v>
      </x:c>
      <x:c r="L368" s="14" t="n">
        <x:f>K368/LOG(E368+1,2)</x:f>
        <x:v>2.7079696506417914</x:v>
      </x:c>
      <x:c r="M368" s="10" t="n">
        <x:v>4500</x:v>
      </x:c>
      <x:c r="N368" s="10" t="n">
        <x:v>3</x:v>
      </x:c>
      <x:c r="O368" s="10" t="n">
        <x:v>1184</x:v>
      </x:c>
      <x:c r="P368" s="2" t="str">
        <x:v>D05</x:v>
      </x:c>
      <x:c r="Q368" s="2" t="str">
        <x:v>hdb flat</x:v>
      </x:c>
      <x:c r="R368" s="2" t="str">
        <x:v>https://www.propertyguru.com.sg/listing/hdb-for-rent-459-clementi-avenue-3-24178763</x:v>
      </x:c>
      <x:c r="S368" s="2" t="str">
        <x:v>cold_start_exploration</x:v>
      </x:c>
    </x:row>
    <x:row r="369" ht="22" customHeight="1">
      <x:c r="A369" s="2" t="str">
        <x:v>S27-T04</x:v>
      </x:c>
      <x:c r="B369" s="2" t="str">
        <x:v>S27</x:v>
      </x:c>
      <x:c r="C369" s="2" t="str">
        <x:v>Repeat</x:v>
      </x:c>
      <x:c r="D369" s="11" t="n">
        <x:v>4</x:v>
      </x:c>
      <x:c r="E369" s="11" t="n">
        <x:v>6</x:v>
      </x:c>
      <x:c r="F369" s="2" t="str">
        <x:v>500234598</x:v>
      </x:c>
      <x:c r="G369" s="2" t="str">
        <x:v>S27|500234598</x:v>
      </x:c>
      <x:c r="H369" s="2" t="n">
        <x:f>IFERROR(VLOOKUP(G369,'Ratings'!$A$6:$F$1387,6,FALSE),"Unknown")</x:f>
        <x:v>3</x:v>
      </x:c>
      <x:c r="I369" s="2" t="n">
        <x:f>IF(ISNUMBER(H369),1,0)</x:f>
        <x:v>1</x:v>
      </x:c>
      <x:c r="J369" s="2" t="n">
        <x:f>IF(ISNUMBER(H369),IF(H369&gt;=2,1,0),0)</x:f>
        <x:v>1</x:v>
      </x:c>
      <x:c r="K369" s="14" t="n">
        <x:f>IF(ISNUMBER(H369),2^H369-1,0)</x:f>
        <x:v>7</x:v>
      </x:c>
      <x:c r="L369" s="14" t="n">
        <x:f>K369/LOG(E369+1,2)</x:f>
        <x:v>2.493450309756155</x:v>
      </x:c>
      <x:c r="M369" s="10" t="n">
        <x:v>4500</x:v>
      </x:c>
      <x:c r="N369" s="10" t="n">
        <x:v>2</x:v>
      </x:c>
      <x:c r="O369" s="10" t="n">
        <x:v>936</x:v>
      </x:c>
      <x:c r="P369" s="2" t="str">
        <x:v>D05</x:v>
      </x:c>
      <x:c r="Q369" s="2" t="str">
        <x:v>condominium</x:v>
      </x:c>
      <x:c r="R369" s="2" t="str">
        <x:v>https://www.propertyguru.com.sg/listing/for-rent-dover-parkview-500234598</x:v>
      </x:c>
      <x:c r="S369" s="2" t="str">
        <x:v>cold_start_exploration</x:v>
      </x:c>
    </x:row>
    <x:row r="370" ht="22" customHeight="1">
      <x:c r="A370" s="2" t="str">
        <x:v>S27-T04</x:v>
      </x:c>
      <x:c r="B370" s="2" t="str">
        <x:v>S27</x:v>
      </x:c>
      <x:c r="C370" s="2" t="str">
        <x:v>Repeat</x:v>
      </x:c>
      <x:c r="D370" s="11" t="n">
        <x:v>4</x:v>
      </x:c>
      <x:c r="E370" s="11" t="n">
        <x:v>7</x:v>
      </x:c>
      <x:c r="F370" s="2" t="str">
        <x:v>500251234</x:v>
      </x:c>
      <x:c r="G370" s="2" t="str">
        <x:v>S27|500251234</x:v>
      </x:c>
      <x:c r="H370" s="2" t="n">
        <x:f>IFERROR(VLOOKUP(G370,'Ratings'!$A$6:$F$1387,6,FALSE),"Unknown")</x:f>
        <x:v>3</x:v>
      </x:c>
      <x:c r="I370" s="2" t="n">
        <x:f>IF(ISNUMBER(H370),1,0)</x:f>
        <x:v>1</x:v>
      </x:c>
      <x:c r="J370" s="2" t="n">
        <x:f>IF(ISNUMBER(H370),IF(H370&gt;=2,1,0),0)</x:f>
        <x:v>1</x:v>
      </x:c>
      <x:c r="K370" s="14" t="n">
        <x:f>IF(ISNUMBER(H370),2^H370-1,0)</x:f>
        <x:v>7</x:v>
      </x:c>
      <x:c r="L370" s="14" t="n">
        <x:f>K370/LOG(E370+1,2)</x:f>
        <x:v>2.3333333333333335</x:v>
      </x:c>
      <x:c r="M370" s="10" t="n">
        <x:v>3900</x:v>
      </x:c>
      <x:c r="N370" s="10" t="n">
        <x:v>3</x:v>
      </x:c>
      <x:c r="O370" s="10" t="n">
        <x:v>1000</x:v>
      </x:c>
      <x:c r="P370" s="2" t="str">
        <x:v>D05</x:v>
      </x:c>
      <x:c r="Q370" s="2" t="str">
        <x:v>hdb flat</x:v>
      </x:c>
      <x:c r="R370" s="2" t="str">
        <x:v>https://www.propertyguru.com.sg/listing/hdb-for-rent-506-west-coast-drive-500251234</x:v>
      </x:c>
      <x:c r="S370" s="2" t="str">
        <x:v>cold_start_exploration</x:v>
      </x:c>
    </x:row>
    <x:row r="371" ht="22" customHeight="1">
      <x:c r="A371" s="2" t="str">
        <x:v>S27-T04</x:v>
      </x:c>
      <x:c r="B371" s="2" t="str">
        <x:v>S27</x:v>
      </x:c>
      <x:c r="C371" s="2" t="str">
        <x:v>Repeat</x:v>
      </x:c>
      <x:c r="D371" s="11" t="n">
        <x:v>4</x:v>
      </x:c>
      <x:c r="E371" s="11" t="n">
        <x:v>8</x:v>
      </x:c>
      <x:c r="F371" s="2" t="str">
        <x:v>500262625</x:v>
      </x:c>
      <x:c r="G371" s="2" t="str">
        <x:v>S27|500262625</x:v>
      </x:c>
      <x:c r="H371" s="2" t="n">
        <x:f>IFERROR(VLOOKUP(G371,'Ratings'!$A$6:$F$1387,6,FALSE),"Unknown")</x:f>
        <x:v>3</x:v>
      </x:c>
      <x:c r="I371" s="2" t="n">
        <x:f>IF(ISNUMBER(H371),1,0)</x:f>
        <x:v>1</x:v>
      </x:c>
      <x:c r="J371" s="2" t="n">
        <x:f>IF(ISNUMBER(H371),IF(H371&gt;=2,1,0),0)</x:f>
        <x:v>1</x:v>
      </x:c>
      <x:c r="K371" s="14" t="n">
        <x:f>IF(ISNUMBER(H371),2^H371-1,0)</x:f>
        <x:v>7</x:v>
      </x:c>
      <x:c r="L371" s="14" t="n">
        <x:f>K371/LOG(E371+1,2)</x:f>
        <x:v>2.208254137500101</x:v>
      </x:c>
      <x:c r="M371" s="10" t="n">
        <x:v>4500</x:v>
      </x:c>
      <x:c r="N371" s="10" t="n">
        <x:v>3</x:v>
      </x:c>
      <x:c r="O371" s="10" t="n">
        <x:v>980</x:v>
      </x:c>
      <x:c r="P371" s="2" t="str">
        <x:v>D05</x:v>
      </x:c>
      <x:c r="Q371" s="2" t="str">
        <x:v>hdb flat</x:v>
      </x:c>
      <x:c r="R371" s="2" t="str">
        <x:v>https://www.propertyguru.com.sg/listing/hdb-for-rent-373-clementi-avenue-4-500262625</x:v>
      </x:c>
      <x:c r="S371" s="2" t="str">
        <x:v>cold_start_exploration</x:v>
      </x:c>
    </x:row>
    <x:row r="372" ht="22" customHeight="1">
      <x:c r="A372" s="2" t="str">
        <x:v>S27-T04</x:v>
      </x:c>
      <x:c r="B372" s="2" t="str">
        <x:v>S27</x:v>
      </x:c>
      <x:c r="C372" s="2" t="str">
        <x:v>Repeat</x:v>
      </x:c>
      <x:c r="D372" s="11" t="n">
        <x:v>4</x:v>
      </x:c>
      <x:c r="E372" s="11" t="n">
        <x:v>9</x:v>
      </x:c>
      <x:c r="F372" s="2" t="str">
        <x:v>500265127</x:v>
      </x:c>
      <x:c r="G372" s="2" t="str">
        <x:v>S27|500265127</x:v>
      </x:c>
      <x:c r="H372" s="2" t="n">
        <x:f>IFERROR(VLOOKUP(G372,'Ratings'!$A$6:$F$1387,6,FALSE),"Unknown")</x:f>
        <x:v>3</x:v>
      </x:c>
      <x:c r="I372" s="2" t="n">
        <x:f>IF(ISNUMBER(H372),1,0)</x:f>
        <x:v>1</x:v>
      </x:c>
      <x:c r="J372" s="2" t="n">
        <x:f>IF(ISNUMBER(H372),IF(H372&gt;=2,1,0),0)</x:f>
        <x:v>1</x:v>
      </x:c>
      <x:c r="K372" s="14" t="n">
        <x:f>IF(ISNUMBER(H372),2^H372-1,0)</x:f>
        <x:v>7</x:v>
      </x:c>
      <x:c r="L372" s="14" t="n">
        <x:f>K372/LOG(E372+1,2)</x:f>
        <x:v>2.1072099696478683</x:v>
      </x:c>
      <x:c r="M372" s="10" t="n">
        <x:v>4200</x:v>
      </x:c>
      <x:c r="N372" s="10" t="n">
        <x:v>2</x:v>
      </x:c>
      <x:c r="O372" s="10" t="n">
        <x:v>1032</x:v>
      </x:c>
      <x:c r="P372" s="2" t="str">
        <x:v>D05</x:v>
      </x:c>
      <x:c r="Q372" s="2" t="str">
        <x:v>hdb flat</x:v>
      </x:c>
      <x:c r="R372" s="2" t="str">
        <x:v>https://www.propertyguru.com.sg/listing/hdb-for-rent-28b-dover-crescent-500265127</x:v>
      </x:c>
      <x:c r="S372" s="2" t="str">
        <x:v>cold_start_exploration</x:v>
      </x:c>
    </x:row>
    <x:row r="373" ht="22" customHeight="1">
      <x:c r="A373" s="2" t="str">
        <x:v>S27-T04</x:v>
      </x:c>
      <x:c r="B373" s="2" t="str">
        <x:v>S27</x:v>
      </x:c>
      <x:c r="C373" s="2" t="str">
        <x:v>Repeat</x:v>
      </x:c>
      <x:c r="D373" s="11" t="n">
        <x:v>4</x:v>
      </x:c>
      <x:c r="E373" s="11" t="n">
        <x:v>10</x:v>
      </x:c>
      <x:c r="F373" s="2" t="str">
        <x:v>500266415</x:v>
      </x:c>
      <x:c r="G373" s="2" t="str">
        <x:v>S27|500266415</x:v>
      </x:c>
      <x:c r="H373" s="2" t="n">
        <x:f>IFERROR(VLOOKUP(G373,'Ratings'!$A$6:$F$1387,6,FALSE),"Unknown")</x:f>
        <x:v>3</x:v>
      </x:c>
      <x:c r="I373" s="2" t="n">
        <x:f>IF(ISNUMBER(H373),1,0)</x:f>
        <x:v>1</x:v>
      </x:c>
      <x:c r="J373" s="2" t="n">
        <x:f>IF(ISNUMBER(H373),IF(H373&gt;=2,1,0),0)</x:f>
        <x:v>1</x:v>
      </x:c>
      <x:c r="K373" s="14" t="n">
        <x:f>IF(ISNUMBER(H373),2^H373-1,0)</x:f>
        <x:v>7</x:v>
      </x:c>
      <x:c r="L373" s="14" t="n">
        <x:f>K373/LOG(E373+1,2)</x:f>
        <x:v>2.023453784225215</x:v>
      </x:c>
      <x:c r="M373" s="10" t="n">
        <x:v>3300</x:v>
      </x:c>
      <x:c r="N373" s="10" t="n">
        <x:v>2</x:v>
      </x:c>
      <x:c r="O373" s="10" t="n">
        <x:v>980</x:v>
      </x:c>
      <x:c r="P373" s="2" t="str">
        <x:v>D05</x:v>
      </x:c>
      <x:c r="Q373" s="2" t="str">
        <x:v>hdb flat</x:v>
      </x:c>
      <x:c r="R373" s="2" t="str">
        <x:v>https://www.propertyguru.com.sg/listing/hdb-for-rent-511-west-coast-drive-500266415</x:v>
      </x:c>
      <x:c r="S373" s="2" t="str">
        <x:v>cold_start_exploration</x:v>
      </x:c>
    </x:row>
    <x:row r="374" ht="22" customHeight="1">
      <x:c r="A374" s="2" t="str">
        <x:v>S27-T05</x:v>
      </x:c>
      <x:c r="B374" s="2" t="str">
        <x:v>S27</x:v>
      </x:c>
      <x:c r="C374" s="2" t="str">
        <x:v>Repeat</x:v>
      </x:c>
      <x:c r="D374" s="11" t="n">
        <x:v>5</x:v>
      </x:c>
      <x:c r="E374" s="11" t="n">
        <x:v>1</x:v>
      </x:c>
      <x:c r="F374" s="2" t="str">
        <x:v>19221832</x:v>
      </x:c>
      <x:c r="G374" s="2" t="str">
        <x:v>S27|19221832</x:v>
      </x:c>
      <x:c r="H374" s="2" t="n">
        <x:f>IFERROR(VLOOKUP(G374,'Ratings'!$A$6:$F$1387,6,FALSE),"Unknown")</x:f>
        <x:v>3</x:v>
      </x:c>
      <x:c r="I374" s="2" t="n">
        <x:f>IF(ISNUMBER(H374),1,0)</x:f>
        <x:v>1</x:v>
      </x:c>
      <x:c r="J374" s="2" t="n">
        <x:f>IF(ISNUMBER(H374),IF(H374&gt;=2,1,0),0)</x:f>
        <x:v>1</x:v>
      </x:c>
      <x:c r="K374" s="14" t="n">
        <x:f>IF(ISNUMBER(H374),2^H374-1,0)</x:f>
        <x:v>7</x:v>
      </x:c>
      <x:c r="L374" s="14" t="n">
        <x:f>K374/LOG(E374+1,2)</x:f>
        <x:v>7</x:v>
      </x:c>
      <x:c r="M374" s="10" t="n">
        <x:v>4200</x:v>
      </x:c>
      <x:c r="N374" s="10" t="n">
        <x:v>3</x:v>
      </x:c>
      <x:c r="O374" s="10" t="n">
        <x:v>1184</x:v>
      </x:c>
      <x:c r="P374" s="2" t="str">
        <x:v>D05</x:v>
      </x:c>
      <x:c r="Q374" s="2" t="str">
        <x:v>hdb flat</x:v>
      </x:c>
      <x:c r="R374" s="2" t="str">
        <x:v>https://www.propertyguru.com.sg/listing/hdb-for-rent-458-clementi-avenue-3-19221832</x:v>
      </x:c>
      <x:c r="S374" s="2" t="str">
        <x:v>cold_start_exploration</x:v>
      </x:c>
    </x:row>
    <x:row r="375" ht="22" customHeight="1">
      <x:c r="A375" s="2" t="str">
        <x:v>S27-T05</x:v>
      </x:c>
      <x:c r="B375" s="2" t="str">
        <x:v>S27</x:v>
      </x:c>
      <x:c r="C375" s="2" t="str">
        <x:v>Repeat</x:v>
      </x:c>
      <x:c r="D375" s="11" t="n">
        <x:v>5</x:v>
      </x:c>
      <x:c r="E375" s="11" t="n">
        <x:v>2</x:v>
      </x:c>
      <x:c r="F375" s="2" t="str">
        <x:v>22083772</x:v>
      </x:c>
      <x:c r="G375" s="2" t="str">
        <x:v>S27|22083772</x:v>
      </x:c>
      <x:c r="H375" s="2" t="n">
        <x:f>IFERROR(VLOOKUP(G375,'Ratings'!$A$6:$F$1387,6,FALSE),"Unknown")</x:f>
        <x:v>3</x:v>
      </x:c>
      <x:c r="I375" s="2" t="n">
        <x:f>IF(ISNUMBER(H375),1,0)</x:f>
        <x:v>1</x:v>
      </x:c>
      <x:c r="J375" s="2" t="n">
        <x:f>IF(ISNUMBER(H375),IF(H375&gt;=2,1,0),0)</x:f>
        <x:v>1</x:v>
      </x:c>
      <x:c r="K375" s="14" t="n">
        <x:f>IF(ISNUMBER(H375),2^H375-1,0)</x:f>
        <x:v>7</x:v>
      </x:c>
      <x:c r="L375" s="14" t="n">
        <x:f>K375/LOG(E375+1,2)</x:f>
        <x:v>4.4165082750002025</x:v>
      </x:c>
      <x:c r="M375" s="10" t="n">
        <x:v>4500</x:v>
      </x:c>
      <x:c r="N375" s="10" t="n">
        <x:v>2</x:v>
      </x:c>
      <x:c r="O375" s="10" t="n">
        <x:v>915</x:v>
      </x:c>
      <x:c r="P375" s="2" t="str">
        <x:v>D05</x:v>
      </x:c>
      <x:c r="Q375" s="2" t="str">
        <x:v>condominium</x:v>
      </x:c>
      <x:c r="R375" s="2" t="str">
        <x:v>https://www.propertyguru.com.sg/listing/for-rent-hundred-trees-22083772</x:v>
      </x:c>
      <x:c r="S375" s="2" t="str">
        <x:v>cold_start_exploration</x:v>
      </x:c>
    </x:row>
    <x:row r="376" ht="22" customHeight="1">
      <x:c r="A376" s="2" t="str">
        <x:v>S27-T05</x:v>
      </x:c>
      <x:c r="B376" s="2" t="str">
        <x:v>S27</x:v>
      </x:c>
      <x:c r="C376" s="2" t="str">
        <x:v>Repeat</x:v>
      </x:c>
      <x:c r="D376" s="11" t="n">
        <x:v>5</x:v>
      </x:c>
      <x:c r="E376" s="11" t="n">
        <x:v>3</x:v>
      </x:c>
      <x:c r="F376" s="2" t="str">
        <x:v>22773305</x:v>
      </x:c>
      <x:c r="G376" s="2" t="str">
        <x:v>S27|22773305</x:v>
      </x:c>
      <x:c r="H376" s="2" t="n">
        <x:f>IFERROR(VLOOKUP(G376,'Ratings'!$A$6:$F$1387,6,FALSE),"Unknown")</x:f>
        <x:v>3</x:v>
      </x:c>
      <x:c r="I376" s="2" t="n">
        <x:f>IF(ISNUMBER(H376),1,0)</x:f>
        <x:v>1</x:v>
      </x:c>
      <x:c r="J376" s="2" t="n">
        <x:f>IF(ISNUMBER(H376),IF(H376&gt;=2,1,0),0)</x:f>
        <x:v>1</x:v>
      </x:c>
      <x:c r="K376" s="14" t="n">
        <x:f>IF(ISNUMBER(H376),2^H376-1,0)</x:f>
        <x:v>7</x:v>
      </x:c>
      <x:c r="L376" s="14" t="n">
        <x:f>K376/LOG(E376+1,2)</x:f>
        <x:v>3.5</x:v>
      </x:c>
      <x:c r="M376" s="10" t="n">
        <x:v>4500</x:v>
      </x:c>
      <x:c r="N376" s="10" t="n">
        <x:v>3</x:v>
      </x:c>
      <x:c r="O376" s="10" t="n">
        <x:v>1259</x:v>
      </x:c>
      <x:c r="P376" s="2" t="str">
        <x:v>D05</x:v>
      </x:c>
      <x:c r="Q376" s="2" t="str">
        <x:v>hdb flat</x:v>
      </x:c>
      <x:c r="R376" s="2" t="str">
        <x:v>https://www.propertyguru.com.sg/listing/hdb-for-rent-355-clementi-avenue-2-22773305</x:v>
      </x:c>
      <x:c r="S376" s="2" t="str">
        <x:v>cold_start_exploration</x:v>
      </x:c>
    </x:row>
    <x:row r="377" ht="22" customHeight="1">
      <x:c r="A377" s="2" t="str">
        <x:v>S27-T05</x:v>
      </x:c>
      <x:c r="B377" s="2" t="str">
        <x:v>S27</x:v>
      </x:c>
      <x:c r="C377" s="2" t="str">
        <x:v>Repeat</x:v>
      </x:c>
      <x:c r="D377" s="11" t="n">
        <x:v>5</x:v>
      </x:c>
      <x:c r="E377" s="11" t="n">
        <x:v>4</x:v>
      </x:c>
      <x:c r="F377" s="2" t="str">
        <x:v>24178763</x:v>
      </x:c>
      <x:c r="G377" s="2" t="str">
        <x:v>S27|24178763</x:v>
      </x:c>
      <x:c r="H377" s="2" t="n">
        <x:f>IFERROR(VLOOKUP(G377,'Ratings'!$A$6:$F$1387,6,FALSE),"Unknown")</x:f>
        <x:v>3</x:v>
      </x:c>
      <x:c r="I377" s="2" t="n">
        <x:f>IF(ISNUMBER(H377),1,0)</x:f>
        <x:v>1</x:v>
      </x:c>
      <x:c r="J377" s="2" t="n">
        <x:f>IF(ISNUMBER(H377),IF(H377&gt;=2,1,0),0)</x:f>
        <x:v>1</x:v>
      </x:c>
      <x:c r="K377" s="14" t="n">
        <x:f>IF(ISNUMBER(H377),2^H377-1,0)</x:f>
        <x:v>7</x:v>
      </x:c>
      <x:c r="L377" s="14" t="n">
        <x:f>K377/LOG(E377+1,2)</x:f>
        <x:v>3.0147359065137516</x:v>
      </x:c>
      <x:c r="M377" s="10" t="n">
        <x:v>4500</x:v>
      </x:c>
      <x:c r="N377" s="10" t="n">
        <x:v>3</x:v>
      </x:c>
      <x:c r="O377" s="10" t="n">
        <x:v>1184</x:v>
      </x:c>
      <x:c r="P377" s="2" t="str">
        <x:v>D05</x:v>
      </x:c>
      <x:c r="Q377" s="2" t="str">
        <x:v>hdb flat</x:v>
      </x:c>
      <x:c r="R377" s="2" t="str">
        <x:v>https://www.propertyguru.com.sg/listing/hdb-for-rent-459-clementi-avenue-3-24178763</x:v>
      </x:c>
      <x:c r="S377" s="2" t="str">
        <x:v>cold_start_exploration</x:v>
      </x:c>
    </x:row>
    <x:row r="378" ht="22" customHeight="1">
      <x:c r="A378" s="2" t="str">
        <x:v>S27-T05</x:v>
      </x:c>
      <x:c r="B378" s="2" t="str">
        <x:v>S27</x:v>
      </x:c>
      <x:c r="C378" s="2" t="str">
        <x:v>Repeat</x:v>
      </x:c>
      <x:c r="D378" s="11" t="n">
        <x:v>5</x:v>
      </x:c>
      <x:c r="E378" s="11" t="n">
        <x:v>5</x:v>
      </x:c>
      <x:c r="F378" s="2" t="str">
        <x:v>24981163</x:v>
      </x:c>
      <x:c r="G378" s="2" t="str">
        <x:v>S27|24981163</x:v>
      </x:c>
      <x:c r="H378" s="2" t="n">
        <x:f>IFERROR(VLOOKUP(G378,'Ratings'!$A$6:$F$1387,6,FALSE),"Unknown")</x:f>
        <x:v>3</x:v>
      </x:c>
      <x:c r="I378" s="2" t="n">
        <x:f>IF(ISNUMBER(H378),1,0)</x:f>
        <x:v>1</x:v>
      </x:c>
      <x:c r="J378" s="2" t="n">
        <x:f>IF(ISNUMBER(H378),IF(H378&gt;=2,1,0),0)</x:f>
        <x:v>1</x:v>
      </x:c>
      <x:c r="K378" s="14" t="n">
        <x:f>IF(ISNUMBER(H378),2^H378-1,0)</x:f>
        <x:v>7</x:v>
      </x:c>
      <x:c r="L378" s="14" t="n">
        <x:f>K378/LOG(E378+1,2)</x:f>
        <x:v>2.7079696506417914</x:v>
      </x:c>
      <x:c r="M378" s="10" t="n">
        <x:v>3800</x:v>
      </x:c>
      <x:c r="N378" s="10" t="n">
        <x:v>3</x:v>
      </x:c>
      <x:c r="O378" s="10" t="n">
        <x:v>1012</x:v>
      </x:c>
      <x:c r="P378" s="2" t="str">
        <x:v>D05</x:v>
      </x:c>
      <x:c r="Q378" s="2" t="str">
        <x:v>hdb flat</x:v>
      </x:c>
      <x:c r="R378" s="2" t="str">
        <x:v>https://www.propertyguru.com.sg/listing/hdb-for-rent-381-clementi-avenue-5-24981163</x:v>
      </x:c>
      <x:c r="S378" s="2" t="str">
        <x:v>cold_start_exploration</x:v>
      </x:c>
    </x:row>
    <x:row r="379" ht="22" customHeight="1">
      <x:c r="A379" s="2" t="str">
        <x:v>S27-T05</x:v>
      </x:c>
      <x:c r="B379" s="2" t="str">
        <x:v>S27</x:v>
      </x:c>
      <x:c r="C379" s="2" t="str">
        <x:v>Repeat</x:v>
      </x:c>
      <x:c r="D379" s="11" t="n">
        <x:v>5</x:v>
      </x:c>
      <x:c r="E379" s="11" t="n">
        <x:v>6</x:v>
      </x:c>
      <x:c r="F379" s="2" t="str">
        <x:v>25316446</x:v>
      </x:c>
      <x:c r="G379" s="2" t="str">
        <x:v>S27|25316446</x:v>
      </x:c>
      <x:c r="H379" s="2" t="n">
        <x:f>IFERROR(VLOOKUP(G379,'Ratings'!$A$6:$F$1387,6,FALSE),"Unknown")</x:f>
        <x:v>3</x:v>
      </x:c>
      <x:c r="I379" s="2" t="n">
        <x:f>IF(ISNUMBER(H379),1,0)</x:f>
        <x:v>1</x:v>
      </x:c>
      <x:c r="J379" s="2" t="n">
        <x:f>IF(ISNUMBER(H379),IF(H379&gt;=2,1,0),0)</x:f>
        <x:v>1</x:v>
      </x:c>
      <x:c r="K379" s="14" t="n">
        <x:f>IF(ISNUMBER(H379),2^H379-1,0)</x:f>
        <x:v>7</x:v>
      </x:c>
      <x:c r="L379" s="14" t="n">
        <x:f>K379/LOG(E379+1,2)</x:f>
        <x:v>2.493450309756155</x:v>
      </x:c>
      <x:c r="M379" s="10" t="n">
        <x:v>4200</x:v>
      </x:c>
      <x:c r="N379" s="10" t="n">
        <x:v>3</x:v>
      </x:c>
      <x:c r="O379" s="10" t="n">
        <x:v>915</x:v>
      </x:c>
      <x:c r="P379" s="2" t="str">
        <x:v>D03</x:v>
      </x:c>
      <x:c r="Q379" s="2" t="str">
        <x:v>hdb flat</x:v>
      </x:c>
      <x:c r="R379" s="2" t="str">
        <x:v>https://www.propertyguru.com.sg/listing/hdb-for-rent-69-redhill-close-25316446</x:v>
      </x:c>
      <x:c r="S379" s="2" t="str">
        <x:v>cold_start_exploration</x:v>
      </x:c>
    </x:row>
    <x:row r="380" ht="22" customHeight="1">
      <x:c r="A380" s="2" t="str">
        <x:v>S27-T05</x:v>
      </x:c>
      <x:c r="B380" s="2" t="str">
        <x:v>S27</x:v>
      </x:c>
      <x:c r="C380" s="2" t="str">
        <x:v>Repeat</x:v>
      </x:c>
      <x:c r="D380" s="11" t="n">
        <x:v>5</x:v>
      </x:c>
      <x:c r="E380" s="11" t="n">
        <x:v>7</x:v>
      </x:c>
      <x:c r="F380" s="2" t="str">
        <x:v>500234598</x:v>
      </x:c>
      <x:c r="G380" s="2" t="str">
        <x:v>S27|500234598</x:v>
      </x:c>
      <x:c r="H380" s="2" t="n">
        <x:f>IFERROR(VLOOKUP(G380,'Ratings'!$A$6:$F$1387,6,FALSE),"Unknown")</x:f>
        <x:v>3</x:v>
      </x:c>
      <x:c r="I380" s="2" t="n">
        <x:f>IF(ISNUMBER(H380),1,0)</x:f>
        <x:v>1</x:v>
      </x:c>
      <x:c r="J380" s="2" t="n">
        <x:f>IF(ISNUMBER(H380),IF(H380&gt;=2,1,0),0)</x:f>
        <x:v>1</x:v>
      </x:c>
      <x:c r="K380" s="14" t="n">
        <x:f>IF(ISNUMBER(H380),2^H380-1,0)</x:f>
        <x:v>7</x:v>
      </x:c>
      <x:c r="L380" s="14" t="n">
        <x:f>K380/LOG(E380+1,2)</x:f>
        <x:v>2.3333333333333335</x:v>
      </x:c>
      <x:c r="M380" s="10" t="n">
        <x:v>4500</x:v>
      </x:c>
      <x:c r="N380" s="10" t="n">
        <x:v>2</x:v>
      </x:c>
      <x:c r="O380" s="10" t="n">
        <x:v>936</x:v>
      </x:c>
      <x:c r="P380" s="2" t="str">
        <x:v>D05</x:v>
      </x:c>
      <x:c r="Q380" s="2" t="str">
        <x:v>condominium</x:v>
      </x:c>
      <x:c r="R380" s="2" t="str">
        <x:v>https://www.propertyguru.com.sg/listing/for-rent-dover-parkview-500234598</x:v>
      </x:c>
      <x:c r="S380" s="2" t="str">
        <x:v>cold_start_exploration</x:v>
      </x:c>
    </x:row>
    <x:row r="381" ht="22" customHeight="1">
      <x:c r="A381" s="2" t="str">
        <x:v>S27-T05</x:v>
      </x:c>
      <x:c r="B381" s="2" t="str">
        <x:v>S27</x:v>
      </x:c>
      <x:c r="C381" s="2" t="str">
        <x:v>Repeat</x:v>
      </x:c>
      <x:c r="D381" s="11" t="n">
        <x:v>5</x:v>
      </x:c>
      <x:c r="E381" s="11" t="n">
        <x:v>8</x:v>
      </x:c>
      <x:c r="F381" s="2" t="str">
        <x:v>500257322</x:v>
      </x:c>
      <x:c r="G381" s="2" t="str">
        <x:v>S27|500257322</x:v>
      </x:c>
      <x:c r="H381" s="2" t="n">
        <x:f>IFERROR(VLOOKUP(G381,'Ratings'!$A$6:$F$1387,6,FALSE),"Unknown")</x:f>
        <x:v>3</x:v>
      </x:c>
      <x:c r="I381" s="2" t="n">
        <x:f>IF(ISNUMBER(H381),1,0)</x:f>
        <x:v>1</x:v>
      </x:c>
      <x:c r="J381" s="2" t="n">
        <x:f>IF(ISNUMBER(H381),IF(H381&gt;=2,1,0),0)</x:f>
        <x:v>1</x:v>
      </x:c>
      <x:c r="K381" s="14" t="n">
        <x:f>IF(ISNUMBER(H381),2^H381-1,0)</x:f>
        <x:v>7</x:v>
      </x:c>
      <x:c r="L381" s="14" t="n">
        <x:f>K381/LOG(E381+1,2)</x:f>
        <x:v>2.208254137500101</x:v>
      </x:c>
      <x:c r="M381" s="10" t="n">
        <x:v>4200</x:v>
      </x:c>
      <x:c r="N381" s="10" t="n">
        <x:v>3</x:v>
      </x:c>
      <x:c r="O381" s="10" t="n">
        <x:v>1173</x:v>
      </x:c>
      <x:c r="P381" s="2" t="str">
        <x:v>D03</x:v>
      </x:c>
      <x:c r="Q381" s="2" t="str">
        <x:v>hdb flat</x:v>
      </x:c>
      <x:c r="R381" s="2" t="str">
        <x:v>https://www.propertyguru.com.sg/listing/hdb-for-rent-108-jalan-bukit-merah-500257322</x:v>
      </x:c>
      <x:c r="S381" s="2" t="str">
        <x:v>cold_start_exploration</x:v>
      </x:c>
    </x:row>
    <x:row r="382" ht="22" customHeight="1">
      <x:c r="A382" s="2" t="str">
        <x:v>S27-T05</x:v>
      </x:c>
      <x:c r="B382" s="2" t="str">
        <x:v>S27</x:v>
      </x:c>
      <x:c r="C382" s="2" t="str">
        <x:v>Repeat</x:v>
      </x:c>
      <x:c r="D382" s="11" t="n">
        <x:v>5</x:v>
      </x:c>
      <x:c r="E382" s="11" t="n">
        <x:v>9</x:v>
      </x:c>
      <x:c r="F382" s="2" t="str">
        <x:v>500283048</x:v>
      </x:c>
      <x:c r="G382" s="2" t="str">
        <x:v>S27|500283048</x:v>
      </x:c>
      <x:c r="H382" s="2" t="n">
        <x:f>IFERROR(VLOOKUP(G382,'Ratings'!$A$6:$F$1387,6,FALSE),"Unknown")</x:f>
        <x:v>3</x:v>
      </x:c>
      <x:c r="I382" s="2" t="n">
        <x:f>IF(ISNUMBER(H382),1,0)</x:f>
        <x:v>1</x:v>
      </x:c>
      <x:c r="J382" s="2" t="n">
        <x:f>IF(ISNUMBER(H382),IF(H382&gt;=2,1,0),0)</x:f>
        <x:v>1</x:v>
      </x:c>
      <x:c r="K382" s="14" t="n">
        <x:f>IF(ISNUMBER(H382),2^H382-1,0)</x:f>
        <x:v>7</x:v>
      </x:c>
      <x:c r="L382" s="14" t="n">
        <x:f>K382/LOG(E382+1,2)</x:f>
        <x:v>2.1072099696478683</x:v>
      </x:c>
      <x:c r="M382" s="10" t="n">
        <x:v>4300</x:v>
      </x:c>
      <x:c r="N382" s="10" t="n">
        <x:v>3</x:v>
      </x:c>
      <x:c r="O382" s="10" t="n">
        <x:v>990</x:v>
      </x:c>
      <x:c r="P382" s="2" t="str">
        <x:v>D05</x:v>
      </x:c>
      <x:c r="Q382" s="2" t="str">
        <x:v>hdb flat</x:v>
      </x:c>
      <x:c r="R382" s="2" t="str">
        <x:v>https://www.propertyguru.com.sg/listing/hdb-for-rent-715-clementi-west-street-2-500283048</x:v>
      </x:c>
      <x:c r="S382" s="2" t="str">
        <x:v>cold_start_exploration</x:v>
      </x:c>
    </x:row>
    <x:row r="383" ht="22" customHeight="1">
      <x:c r="A383" s="2" t="str">
        <x:v>S27-T05</x:v>
      </x:c>
      <x:c r="B383" s="2" t="str">
        <x:v>S27</x:v>
      </x:c>
      <x:c r="C383" s="2" t="str">
        <x:v>Repeat</x:v>
      </x:c>
      <x:c r="D383" s="11" t="n">
        <x:v>5</x:v>
      </x:c>
      <x:c r="E383" s="11" t="n">
        <x:v>10</x:v>
      </x:c>
      <x:c r="F383" s="2" t="str">
        <x:v>500288151</x:v>
      </x:c>
      <x:c r="G383" s="2" t="str">
        <x:v>S27|500288151</x:v>
      </x:c>
      <x:c r="H383" s="2" t="n">
        <x:f>IFERROR(VLOOKUP(G383,'Ratings'!$A$6:$F$1387,6,FALSE),"Unknown")</x:f>
        <x:v>3</x:v>
      </x:c>
      <x:c r="I383" s="2" t="n">
        <x:f>IF(ISNUMBER(H383),1,0)</x:f>
        <x:v>1</x:v>
      </x:c>
      <x:c r="J383" s="2" t="n">
        <x:f>IF(ISNUMBER(H383),IF(H383&gt;=2,1,0),0)</x:f>
        <x:v>1</x:v>
      </x:c>
      <x:c r="K383" s="14" t="n">
        <x:f>IF(ISNUMBER(H383),2^H383-1,0)</x:f>
        <x:v>7</x:v>
      </x:c>
      <x:c r="L383" s="14" t="n">
        <x:f>K383/LOG(E383+1,2)</x:f>
        <x:v>2.023453784225215</x:v>
      </x:c>
      <x:c r="M383" s="10" t="n">
        <x:v>4500</x:v>
      </x:c>
      <x:c r="N383" s="10" t="n">
        <x:v>3</x:v>
      </x:c>
      <x:c r="O383" s="10" t="n">
        <x:v>969</x:v>
      </x:c>
      <x:c r="P383" s="2" t="str">
        <x:v>D03</x:v>
      </x:c>
      <x:c r="Q383" s="2" t="str">
        <x:v>hdb flat</x:v>
      </x:c>
      <x:c r="R383" s="2" t="str">
        <x:v>https://www.propertyguru.com.sg/listing/hdb-for-rent-89-tanglin-halt-road-500288151</x:v>
      </x:c>
      <x:c r="S383" s="2" t="str">
        <x:v>cold_start_exploration</x:v>
      </x:c>
    </x:row>
    <x:row r="384" ht="22" customHeight="1">
      <x:c r="A384" s="2" t="str">
        <x:v>S29-T02</x:v>
      </x:c>
      <x:c r="B384" s="2" t="str">
        <x:v>S29</x:v>
      </x:c>
      <x:c r="C384" s="2" t="str">
        <x:v>Repeat</x:v>
      </x:c>
      <x:c r="D384" s="11" t="n">
        <x:v>2</x:v>
      </x:c>
      <x:c r="E384" s="11" t="n">
        <x:v>1</x:v>
      </x:c>
      <x:c r="F384" s="2" t="str">
        <x:v>25342943</x:v>
      </x:c>
      <x:c r="G384" s="2" t="str">
        <x:v>S29|25342943</x:v>
      </x:c>
      <x:c r="H384" s="2" t="n">
        <x:f>IFERROR(VLOOKUP(G384,'Ratings'!$A$6:$F$1387,6,FALSE),"Unknown")</x:f>
        <x:v>3</x:v>
      </x:c>
      <x:c r="I384" s="2" t="n">
        <x:f>IF(ISNUMBER(H384),1,0)</x:f>
        <x:v>1</x:v>
      </x:c>
      <x:c r="J384" s="2" t="n">
        <x:f>IF(ISNUMBER(H384),IF(H384&gt;=2,1,0),0)</x:f>
        <x:v>1</x:v>
      </x:c>
      <x:c r="K384" s="14" t="n">
        <x:f>IF(ISNUMBER(H384),2^H384-1,0)</x:f>
        <x:v>7</x:v>
      </x:c>
      <x:c r="L384" s="14" t="n">
        <x:f>K384/LOG(E384+1,2)</x:f>
        <x:v>7</x:v>
      </x:c>
      <x:c r="M384" s="10" t="n">
        <x:v>2600</x:v>
      </x:c>
      <x:c r="N384" s="10" t="n">
        <x:v>2</x:v>
      </x:c>
      <x:c r="O384" s="10" t="n">
        <x:v>1100</x:v>
      </x:c>
      <x:c r="P384" s="2" t="str">
        <x:v>D23</x:v>
      </x:c>
      <x:c r="Q384" s="2" t="str">
        <x:v>hdb flat</x:v>
      </x:c>
      <x:c r="R384" s="2" t="str">
        <x:v>https://www.propertyguru.com.sg/listing/hdb-for-rent-220-choa-chu-kang-central-25342943</x:v>
      </x:c>
      <x:c r="S384" s="2" t="str">
        <x:v>cold_start_exploration</x:v>
      </x:c>
    </x:row>
    <x:row r="385" ht="22" customHeight="1">
      <x:c r="A385" s="2" t="str">
        <x:v>S29-T02</x:v>
      </x:c>
      <x:c r="B385" s="2" t="str">
        <x:v>S29</x:v>
      </x:c>
      <x:c r="C385" s="2" t="str">
        <x:v>Repeat</x:v>
      </x:c>
      <x:c r="D385" s="11" t="n">
        <x:v>2</x:v>
      </x:c>
      <x:c r="E385" s="11" t="n">
        <x:v>2</x:v>
      </x:c>
      <x:c r="F385" s="2" t="str">
        <x:v>500269618</x:v>
      </x:c>
      <x:c r="G385" s="2" t="str">
        <x:v>S29|500269618</x:v>
      </x:c>
      <x:c r="H385" s="2" t="n">
        <x:f>IFERROR(VLOOKUP(G385,'Ratings'!$A$6:$F$1387,6,FALSE),"Unknown")</x:f>
        <x:v>3</x:v>
      </x:c>
      <x:c r="I385" s="2" t="n">
        <x:f>IF(ISNUMBER(H385),1,0)</x:f>
        <x:v>1</x:v>
      </x:c>
      <x:c r="J385" s="2" t="n">
        <x:f>IF(ISNUMBER(H385),IF(H385&gt;=2,1,0),0)</x:f>
        <x:v>1</x:v>
      </x:c>
      <x:c r="K385" s="14" t="n">
        <x:f>IF(ISNUMBER(H385),2^H385-1,0)</x:f>
        <x:v>7</x:v>
      </x:c>
      <x:c r="L385" s="14" t="n">
        <x:f>K385/LOG(E385+1,2)</x:f>
        <x:v>4.4165082750002025</x:v>
      </x:c>
      <x:c r="M385" s="10" t="n">
        <x:v>1100</x:v>
      </x:c>
      <x:c r="N385" s="10" t="n">
        <x:v>3</x:v>
      </x:c>
      <x:c r="O385" s="10" t="n">
        <x:v>947</x:v>
      </x:c>
      <x:c r="P385" s="2" t="str">
        <x:v>D20</x:v>
      </x:c>
      <x:c r="Q385" s="2" t="str">
        <x:v>hdb flat</x:v>
      </x:c>
      <x:c r="R385" s="2" t="str">
        <x:v>https://www.propertyguru.com.sg/listing/hdb-for-rent-25-sin-ming-road-500269618</x:v>
      </x:c>
      <x:c r="S385" s="2" t="str">
        <x:v>cold_start_exploration</x:v>
      </x:c>
    </x:row>
    <x:row r="386" ht="22" customHeight="1">
      <x:c r="A386" s="2" t="str">
        <x:v>S29-T02</x:v>
      </x:c>
      <x:c r="B386" s="2" t="str">
        <x:v>S29</x:v>
      </x:c>
      <x:c r="C386" s="2" t="str">
        <x:v>Repeat</x:v>
      </x:c>
      <x:c r="D386" s="11" t="n">
        <x:v>2</x:v>
      </x:c>
      <x:c r="E386" s="11" t="n">
        <x:v>3</x:v>
      </x:c>
      <x:c r="F386" s="2" t="str">
        <x:v>500281545</x:v>
      </x:c>
      <x:c r="G386" s="2" t="str">
        <x:v>S29|500281545</x:v>
      </x:c>
      <x:c r="H386" s="2" t="n">
        <x:f>IFERROR(VLOOKUP(G386,'Ratings'!$A$6:$F$1387,6,FALSE),"Unknown")</x:f>
        <x:v>3</x:v>
      </x:c>
      <x:c r="I386" s="2" t="n">
        <x:f>IF(ISNUMBER(H386),1,0)</x:f>
        <x:v>1</x:v>
      </x:c>
      <x:c r="J386" s="2" t="n">
        <x:f>IF(ISNUMBER(H386),IF(H386&gt;=2,1,0),0)</x:f>
        <x:v>1</x:v>
      </x:c>
      <x:c r="K386" s="14" t="n">
        <x:f>IF(ISNUMBER(H386),2^H386-1,0)</x:f>
        <x:v>7</x:v>
      </x:c>
      <x:c r="L386" s="14" t="n">
        <x:f>K386/LOG(E386+1,2)</x:f>
        <x:v>3.5</x:v>
      </x:c>
      <x:c r="M386" s="10" t="n">
        <x:v>700</x:v>
      </x:c>
      <x:c r="N386" s="10" t="n">
        <x:v>3</x:v>
      </x:c>
      <x:c r="O386" s="10" t="n">
        <x:v>904</x:v>
      </x:c>
      <x:c r="P386" s="2" t="str">
        <x:v>D18</x:v>
      </x:c>
      <x:c r="Q386" s="2" t="str">
        <x:v>hdb flat</x:v>
      </x:c>
      <x:c r="R386" s="2" t="str">
        <x:v>https://www.propertyguru.com.sg/listing/hdb-for-rent-832-tampines-street-82-500281545</x:v>
      </x:c>
      <x:c r="S386" s="2" t="str">
        <x:v>cold_start_exploration</x:v>
      </x:c>
    </x:row>
    <x:row r="387" ht="22" customHeight="1">
      <x:c r="A387" s="2" t="str">
        <x:v>S29-T02</x:v>
      </x:c>
      <x:c r="B387" s="2" t="str">
        <x:v>S29</x:v>
      </x:c>
      <x:c r="C387" s="2" t="str">
        <x:v>Repeat</x:v>
      </x:c>
      <x:c r="D387" s="11" t="n">
        <x:v>2</x:v>
      </x:c>
      <x:c r="E387" s="11" t="n">
        <x:v>4</x:v>
      </x:c>
      <x:c r="F387" s="2" t="str">
        <x:v>20160391</x:v>
      </x:c>
      <x:c r="G387" s="2" t="str">
        <x:v>S29|20160391</x:v>
      </x:c>
      <x:c r="H387" s="2" t="n">
        <x:f>IFERROR(VLOOKUP(G387,'Ratings'!$A$6:$F$1387,6,FALSE),"Unknown")</x:f>
        <x:v>2</x:v>
      </x:c>
      <x:c r="I387" s="2" t="n">
        <x:f>IF(ISNUMBER(H387),1,0)</x:f>
        <x:v>1</x:v>
      </x:c>
      <x:c r="J387" s="2" t="n">
        <x:f>IF(ISNUMBER(H387),IF(H387&gt;=2,1,0),0)</x:f>
        <x:v>1</x:v>
      </x:c>
      <x:c r="K387" s="14" t="n">
        <x:f>IF(ISNUMBER(H387),2^H387-1,0)</x:f>
        <x:v>3</x:v>
      </x:c>
      <x:c r="L387" s="14" t="n">
        <x:f>K387/LOG(E387+1,2)</x:f>
        <x:v>1.2920296742201793</x:v>
      </x:c>
      <x:c r="M387" s="10" t="n">
        <x:v>2800</x:v>
      </x:c>
      <x:c r="N387" s="10" t="n">
        <x:v>2</x:v>
      </x:c>
      <x:c r="O387" s="10" t="n">
        <x:v>731</x:v>
      </x:c>
      <x:c r="P387" s="2" t="str">
        <x:v>D20</x:v>
      </x:c>
      <x:c r="Q387" s="2" t="str">
        <x:v>hdb flat</x:v>
      </x:c>
      <x:c r="R387" s="2" t="str">
        <x:v>https://www.propertyguru.com.sg/listing/hdb-for-rent-22-sin-ming-road-20160391</x:v>
      </x:c>
      <x:c r="S387" s="2" t="str">
        <x:v>cold_start_exploration</x:v>
      </x:c>
    </x:row>
    <x:row r="388" ht="22" customHeight="1">
      <x:c r="A388" s="2" t="str">
        <x:v>S29-T02</x:v>
      </x:c>
      <x:c r="B388" s="2" t="str">
        <x:v>S29</x:v>
      </x:c>
      <x:c r="C388" s="2" t="str">
        <x:v>Repeat</x:v>
      </x:c>
      <x:c r="D388" s="11" t="n">
        <x:v>2</x:v>
      </x:c>
      <x:c r="E388" s="11" t="n">
        <x:v>5</x:v>
      </x:c>
      <x:c r="F388" s="2" t="str">
        <x:v>21789856</x:v>
      </x:c>
      <x:c r="G388" s="2" t="str">
        <x:v>S29|21789856</x:v>
      </x:c>
      <x:c r="H388" s="2" t="n">
        <x:f>IFERROR(VLOOKUP(G388,'Ratings'!$A$6:$F$1387,6,FALSE),"Unknown")</x:f>
        <x:v>2</x:v>
      </x:c>
      <x:c r="I388" s="2" t="n">
        <x:f>IF(ISNUMBER(H388),1,0)</x:f>
        <x:v>1</x:v>
      </x:c>
      <x:c r="J388" s="2" t="n">
        <x:f>IF(ISNUMBER(H388),IF(H388&gt;=2,1,0),0)</x:f>
        <x:v>1</x:v>
      </x:c>
      <x:c r="K388" s="14" t="n">
        <x:f>IF(ISNUMBER(H388),2^H388-1,0)</x:f>
        <x:v>3</x:v>
      </x:c>
      <x:c r="L388" s="14" t="n">
        <x:f>K388/LOG(E388+1,2)</x:f>
        <x:v>1.1605584217036249</x:v>
      </x:c>
      <x:c r="M388" s="10" t="n">
        <x:v>2250</x:v>
      </x:c>
      <x:c r="N388" s="10" t="n">
        <x:v>2</x:v>
      </x:c>
      <x:c r="O388" s="10" t="n">
        <x:v>645</x:v>
      </x:c>
      <x:c r="P388" s="2" t="str">
        <x:v>D20</x:v>
      </x:c>
      <x:c r="Q388" s="2" t="str">
        <x:v>hdb flat</x:v>
      </x:c>
      <x:c r="R388" s="2" t="str">
        <x:v>https://www.propertyguru.com.sg/listing/hdb-for-rent-137-bishan-street-12-21789856</x:v>
      </x:c>
      <x:c r="S388" s="2" t="str">
        <x:v>cold_start_exploration</x:v>
      </x:c>
    </x:row>
    <x:row r="389" ht="22" customHeight="1">
      <x:c r="A389" s="2" t="str">
        <x:v>S29-T02</x:v>
      </x:c>
      <x:c r="B389" s="2" t="str">
        <x:v>S29</x:v>
      </x:c>
      <x:c r="C389" s="2" t="str">
        <x:v>Repeat</x:v>
      </x:c>
      <x:c r="D389" s="11" t="n">
        <x:v>2</x:v>
      </x:c>
      <x:c r="E389" s="11" t="n">
        <x:v>6</x:v>
      </x:c>
      <x:c r="F389" s="2" t="str">
        <x:v>25361916</x:v>
      </x:c>
      <x:c r="G389" s="2" t="str">
        <x:v>S29|25361916</x:v>
      </x:c>
      <x:c r="H389" s="2" t="n">
        <x:f>IFERROR(VLOOKUP(G389,'Ratings'!$A$6:$F$1387,6,FALSE),"Unknown")</x:f>
        <x:v>2</x:v>
      </x:c>
      <x:c r="I389" s="2" t="n">
        <x:f>IF(ISNUMBER(H389),1,0)</x:f>
        <x:v>1</x:v>
      </x:c>
      <x:c r="J389" s="2" t="n">
        <x:f>IF(ISNUMBER(H389),IF(H389&gt;=2,1,0),0)</x:f>
        <x:v>1</x:v>
      </x:c>
      <x:c r="K389" s="14" t="n">
        <x:f>IF(ISNUMBER(H389),2^H389-1,0)</x:f>
        <x:v>3</x:v>
      </x:c>
      <x:c r="L389" s="14" t="n">
        <x:f>K389/LOG(E389+1,2)</x:f>
        <x:v>1.0686215613240666</x:v>
      </x:c>
      <x:c r="M389" s="10" t="n">
        <x:v>2499</x:v>
      </x:c>
      <x:c r="N389" s="10" t="n">
        <x:v>2</x:v>
      </x:c>
      <x:c r="O389" s="10" t="n">
        <x:v>506</x:v>
      </x:c>
      <x:c r="P389" s="2" t="str">
        <x:v>D19</x:v>
      </x:c>
      <x:c r="Q389" s="2" t="str">
        <x:v>hdb flat</x:v>
      </x:c>
      <x:c r="R389" s="2" t="str">
        <x:v>https://www.propertyguru.com.sg/listing/hdb-for-rent-353b-anchorvale-lane-25361916</x:v>
      </x:c>
      <x:c r="S389" s="2" t="str">
        <x:v>cold_start_exploration</x:v>
      </x:c>
    </x:row>
    <x:row r="390" ht="22" customHeight="1">
      <x:c r="A390" s="2" t="str">
        <x:v>S29-T02</x:v>
      </x:c>
      <x:c r="B390" s="2" t="str">
        <x:v>S29</x:v>
      </x:c>
      <x:c r="C390" s="2" t="str">
        <x:v>Repeat</x:v>
      </x:c>
      <x:c r="D390" s="11" t="n">
        <x:v>2</x:v>
      </x:c>
      <x:c r="E390" s="11" t="n">
        <x:v>7</x:v>
      </x:c>
      <x:c r="F390" s="2" t="str">
        <x:v>500265937</x:v>
      </x:c>
      <x:c r="G390" s="2" t="str">
        <x:v>S29|500265937</x:v>
      </x:c>
      <x:c r="H390" s="2" t="n">
        <x:f>IFERROR(VLOOKUP(G390,'Ratings'!$A$6:$F$1387,6,FALSE),"Unknown")</x:f>
        <x:v>2</x:v>
      </x:c>
      <x:c r="I390" s="2" t="n">
        <x:f>IF(ISNUMBER(H390),1,0)</x:f>
        <x:v>1</x:v>
      </x:c>
      <x:c r="J390" s="2" t="n">
        <x:f>IF(ISNUMBER(H390),IF(H390&gt;=2,1,0),0)</x:f>
        <x:v>1</x:v>
      </x:c>
      <x:c r="K390" s="14" t="n">
        <x:f>IF(ISNUMBER(H390),2^H390-1,0)</x:f>
        <x:v>3</x:v>
      </x:c>
      <x:c r="L390" s="14" t="n">
        <x:f>K390/LOG(E390+1,2)</x:f>
        <x:v>1</x:v>
      </x:c>
      <x:c r="M390" s="10" t="n">
        <x:v>2800</x:v>
      </x:c>
      <x:c r="N390" s="10" t="n">
        <x:v>2</x:v>
      </x:c>
      <x:c r="O390" s="10" t="n">
        <x:v>635</x:v>
      </x:c>
      <x:c r="P390" s="2" t="str">
        <x:v>D20</x:v>
      </x:c>
      <x:c r="Q390" s="2" t="str">
        <x:v>hdb flat</x:v>
      </x:c>
      <x:c r="R390" s="2" t="str">
        <x:v>https://www.propertyguru.com.sg/listing/hdb-for-rent-153-ang-mo-kio-avenue-5-500265937</x:v>
      </x:c>
      <x:c r="S390" s="2" t="str">
        <x:v>cold_start_exploration</x:v>
      </x:c>
    </x:row>
    <x:row r="391" ht="22" customHeight="1">
      <x:c r="A391" s="2" t="str">
        <x:v>S29-T02</x:v>
      </x:c>
      <x:c r="B391" s="2" t="str">
        <x:v>S29</x:v>
      </x:c>
      <x:c r="C391" s="2" t="str">
        <x:v>Repeat</x:v>
      </x:c>
      <x:c r="D391" s="11" t="n">
        <x:v>2</x:v>
      </x:c>
      <x:c r="E391" s="11" t="n">
        <x:v>8</x:v>
      </x:c>
      <x:c r="F391" s="2" t="str">
        <x:v>500272688</x:v>
      </x:c>
      <x:c r="G391" s="2" t="str">
        <x:v>S29|500272688</x:v>
      </x:c>
      <x:c r="H391" s="2" t="n">
        <x:f>IFERROR(VLOOKUP(G391,'Ratings'!$A$6:$F$1387,6,FALSE),"Unknown")</x:f>
        <x:v>2</x:v>
      </x:c>
      <x:c r="I391" s="2" t="n">
        <x:f>IF(ISNUMBER(H391),1,0)</x:f>
        <x:v>1</x:v>
      </x:c>
      <x:c r="J391" s="2" t="n">
        <x:f>IF(ISNUMBER(H391),IF(H391&gt;=2,1,0),0)</x:f>
        <x:v>1</x:v>
      </x:c>
      <x:c r="K391" s="14" t="n">
        <x:f>IF(ISNUMBER(H391),2^H391-1,0)</x:f>
        <x:v>3</x:v>
      </x:c>
      <x:c r="L391" s="14" t="n">
        <x:f>K391/LOG(E391+1,2)</x:f>
        <x:v>0.9463946303571861</x:v>
      </x:c>
      <x:c r="M391" s="10" t="n">
        <x:v>2700</x:v>
      </x:c>
      <x:c r="N391" s="10" t="n">
        <x:v>2</x:v>
      </x:c>
      <x:c r="O391" s="10" t="n">
        <x:v>735</x:v>
      </x:c>
      <x:c r="P391" s="2" t="str">
        <x:v>D18</x:v>
      </x:c>
      <x:c r="Q391" s="2" t="str">
        <x:v>hdb flat</x:v>
      </x:c>
      <x:c r="R391" s="2" t="str">
        <x:v>https://www.propertyguru.com.sg/listing/hdb-for-rent-219-tampines-street-24-500272688</x:v>
      </x:c>
      <x:c r="S391" s="2" t="str">
        <x:v>cold_start_exploration</x:v>
      </x:c>
    </x:row>
    <x:row r="392" ht="22" customHeight="1">
      <x:c r="A392" s="2" t="str">
        <x:v>S29-T02</x:v>
      </x:c>
      <x:c r="B392" s="2" t="str">
        <x:v>S29</x:v>
      </x:c>
      <x:c r="C392" s="2" t="str">
        <x:v>Repeat</x:v>
      </x:c>
      <x:c r="D392" s="11" t="n">
        <x:v>2</x:v>
      </x:c>
      <x:c r="E392" s="11" t="n">
        <x:v>9</x:v>
      </x:c>
      <x:c r="F392" s="2" t="str">
        <x:v>500288455</x:v>
      </x:c>
      <x:c r="G392" s="2" t="str">
        <x:v>S29|500288455</x:v>
      </x:c>
      <x:c r="H392" s="2" t="n">
        <x:f>IFERROR(VLOOKUP(G392,'Ratings'!$A$6:$F$1387,6,FALSE),"Unknown")</x:f>
        <x:v>2</x:v>
      </x:c>
      <x:c r="I392" s="2" t="n">
        <x:f>IF(ISNUMBER(H392),1,0)</x:f>
        <x:v>1</x:v>
      </x:c>
      <x:c r="J392" s="2" t="n">
        <x:f>IF(ISNUMBER(H392),IF(H392&gt;=2,1,0),0)</x:f>
        <x:v>1</x:v>
      </x:c>
      <x:c r="K392" s="14" t="n">
        <x:f>IF(ISNUMBER(H392),2^H392-1,0)</x:f>
        <x:v>3</x:v>
      </x:c>
      <x:c r="L392" s="14" t="n">
        <x:f>K392/LOG(E392+1,2)</x:f>
        <x:v>0.9030899869919435</x:v>
      </x:c>
      <x:c r="M392" s="10" t="n">
        <x:v>2390</x:v>
      </x:c>
      <x:c r="N392" s="10" t="n">
        <x:v>2</x:v>
      </x:c>
      <x:c r="O392" s="10" t="n">
        <x:v>403</x:v>
      </x:c>
      <x:c r="P392" s="2" t="str">
        <x:v>D19</x:v>
      </x:c>
      <x:c r="Q392" s="2" t="str">
        <x:v>hdb flat</x:v>
      </x:c>
      <x:c r="R392" s="2" t="str">
        <x:v>https://www.propertyguru.com.sg/listing/hdb-for-rent-250c-compassvale-street-500288455</x:v>
      </x:c>
      <x:c r="S392" s="2" t="str">
        <x:v>cold_start_exploration</x:v>
      </x:c>
    </x:row>
    <x:row r="393" ht="22" customHeight="1">
      <x:c r="A393" s="2" t="str">
        <x:v>S29-T02</x:v>
      </x:c>
      <x:c r="B393" s="2" t="str">
        <x:v>S29</x:v>
      </x:c>
      <x:c r="C393" s="2" t="str">
        <x:v>Repeat</x:v>
      </x:c>
      <x:c r="D393" s="11" t="n">
        <x:v>2</x:v>
      </x:c>
      <x:c r="E393" s="11" t="n">
        <x:v>10</x:v>
      </x:c>
      <x:c r="F393" s="2" t="str">
        <x:v>60178525</x:v>
      </x:c>
      <x:c r="G393" s="2" t="str">
        <x:v>S29|60178525</x:v>
      </x:c>
      <x:c r="H393" s="2" t="n">
        <x:f>IFERROR(VLOOKUP(G393,'Ratings'!$A$6:$F$1387,6,FALSE),"Unknown")</x:f>
        <x:v>2</x:v>
      </x:c>
      <x:c r="I393" s="2" t="n">
        <x:f>IF(ISNUMBER(H393),1,0)</x:f>
        <x:v>1</x:v>
      </x:c>
      <x:c r="J393" s="2" t="n">
        <x:f>IF(ISNUMBER(H393),IF(H393&gt;=2,1,0),0)</x:f>
        <x:v>1</x:v>
      </x:c>
      <x:c r="K393" s="14" t="n">
        <x:f>IF(ISNUMBER(H393),2^H393-1,0)</x:f>
        <x:v>3</x:v>
      </x:c>
      <x:c r="L393" s="14" t="n">
        <x:f>K393/LOG(E393+1,2)</x:f>
        <x:v>0.8671944789536634</x:v>
      </x:c>
      <x:c r="M393" s="10" t="n">
        <x:v>2800</x:v>
      </x:c>
      <x:c r="N393" s="10" t="n">
        <x:v>2</x:v>
      </x:c>
      <x:c r="O393" s="10" t="n">
        <x:v>646</x:v>
      </x:c>
      <x:c r="P393" s="2" t="str">
        <x:v>D19</x:v>
      </x:c>
      <x:c r="Q393" s="2" t="str">
        <x:v>hdb flat</x:v>
      </x:c>
      <x:c r="R393" s="2" t="str">
        <x:v>https://www.propertyguru.com.sg/listing/hdb-for-rent-623-hougang-avenue-8-60178525</x:v>
      </x:c>
      <x:c r="S393" s="2" t="str">
        <x:v>cold_start_exploration</x:v>
      </x:c>
    </x:row>
    <x:row r="394" ht="22" customHeight="1">
      <x:c r="A394" s="2" t="str">
        <x:v>S29-T03</x:v>
      </x:c>
      <x:c r="B394" s="2" t="str">
        <x:v>S29</x:v>
      </x:c>
      <x:c r="C394" s="2" t="str">
        <x:v>Repeat</x:v>
      </x:c>
      <x:c r="D394" s="11" t="n">
        <x:v>3</x:v>
      </x:c>
      <x:c r="E394" s="11" t="n">
        <x:v>1</x:v>
      </x:c>
      <x:c r="F394" s="2" t="str">
        <x:v>25342943</x:v>
      </x:c>
      <x:c r="G394" s="2" t="str">
        <x:v>S29|25342943</x:v>
      </x:c>
      <x:c r="H394" s="2" t="n">
        <x:f>IFERROR(VLOOKUP(G394,'Ratings'!$A$6:$F$1387,6,FALSE),"Unknown")</x:f>
        <x:v>3</x:v>
      </x:c>
      <x:c r="I394" s="2" t="n">
        <x:f>IF(ISNUMBER(H394),1,0)</x:f>
        <x:v>1</x:v>
      </x:c>
      <x:c r="J394" s="2" t="n">
        <x:f>IF(ISNUMBER(H394),IF(H394&gt;=2,1,0),0)</x:f>
        <x:v>1</x:v>
      </x:c>
      <x:c r="K394" s="14" t="n">
        <x:f>IF(ISNUMBER(H394),2^H394-1,0)</x:f>
        <x:v>7</x:v>
      </x:c>
      <x:c r="L394" s="14" t="n">
        <x:f>K394/LOG(E394+1,2)</x:f>
        <x:v>7</x:v>
      </x:c>
      <x:c r="M394" s="10" t="n">
        <x:v>2600</x:v>
      </x:c>
      <x:c r="N394" s="10" t="n">
        <x:v>2</x:v>
      </x:c>
      <x:c r="O394" s="10" t="n">
        <x:v>1100</x:v>
      </x:c>
      <x:c r="P394" s="2" t="str">
        <x:v>D23</x:v>
      </x:c>
      <x:c r="Q394" s="2" t="str">
        <x:v>hdb flat</x:v>
      </x:c>
      <x:c r="R394" s="2" t="str">
        <x:v>https://www.propertyguru.com.sg/listing/hdb-for-rent-220-choa-chu-kang-central-25342943</x:v>
      </x:c>
      <x:c r="S394" s="2" t="str">
        <x:v>cold_start_exploration</x:v>
      </x:c>
    </x:row>
    <x:row r="395" ht="22" customHeight="1">
      <x:c r="A395" s="2" t="str">
        <x:v>S29-T03</x:v>
      </x:c>
      <x:c r="B395" s="2" t="str">
        <x:v>S29</x:v>
      </x:c>
      <x:c r="C395" s="2" t="str">
        <x:v>Repeat</x:v>
      </x:c>
      <x:c r="D395" s="11" t="n">
        <x:v>3</x:v>
      </x:c>
      <x:c r="E395" s="11" t="n">
        <x:v>2</x:v>
      </x:c>
      <x:c r="F395" s="2" t="str">
        <x:v>500269618</x:v>
      </x:c>
      <x:c r="G395" s="2" t="str">
        <x:v>S29|500269618</x:v>
      </x:c>
      <x:c r="H395" s="2" t="n">
        <x:f>IFERROR(VLOOKUP(G395,'Ratings'!$A$6:$F$1387,6,FALSE),"Unknown")</x:f>
        <x:v>3</x:v>
      </x:c>
      <x:c r="I395" s="2" t="n">
        <x:f>IF(ISNUMBER(H395),1,0)</x:f>
        <x:v>1</x:v>
      </x:c>
      <x:c r="J395" s="2" t="n">
        <x:f>IF(ISNUMBER(H395),IF(H395&gt;=2,1,0),0)</x:f>
        <x:v>1</x:v>
      </x:c>
      <x:c r="K395" s="14" t="n">
        <x:f>IF(ISNUMBER(H395),2^H395-1,0)</x:f>
        <x:v>7</x:v>
      </x:c>
      <x:c r="L395" s="14" t="n">
        <x:f>K395/LOG(E395+1,2)</x:f>
        <x:v>4.4165082750002025</x:v>
      </x:c>
      <x:c r="M395" s="10" t="n">
        <x:v>1100</x:v>
      </x:c>
      <x:c r="N395" s="10" t="n">
        <x:v>3</x:v>
      </x:c>
      <x:c r="O395" s="10" t="n">
        <x:v>947</x:v>
      </x:c>
      <x:c r="P395" s="2" t="str">
        <x:v>D20</x:v>
      </x:c>
      <x:c r="Q395" s="2" t="str">
        <x:v>hdb flat</x:v>
      </x:c>
      <x:c r="R395" s="2" t="str">
        <x:v>https://www.propertyguru.com.sg/listing/hdb-for-rent-25-sin-ming-road-500269618</x:v>
      </x:c>
      <x:c r="S395" s="2" t="str">
        <x:v>cold_start_exploration</x:v>
      </x:c>
    </x:row>
    <x:row r="396" ht="22" customHeight="1">
      <x:c r="A396" s="2" t="str">
        <x:v>S29-T03</x:v>
      </x:c>
      <x:c r="B396" s="2" t="str">
        <x:v>S29</x:v>
      </x:c>
      <x:c r="C396" s="2" t="str">
        <x:v>Repeat</x:v>
      </x:c>
      <x:c r="D396" s="11" t="n">
        <x:v>3</x:v>
      </x:c>
      <x:c r="E396" s="11" t="n">
        <x:v>3</x:v>
      </x:c>
      <x:c r="F396" s="2" t="str">
        <x:v>500281545</x:v>
      </x:c>
      <x:c r="G396" s="2" t="str">
        <x:v>S29|500281545</x:v>
      </x:c>
      <x:c r="H396" s="2" t="n">
        <x:f>IFERROR(VLOOKUP(G396,'Ratings'!$A$6:$F$1387,6,FALSE),"Unknown")</x:f>
        <x:v>3</x:v>
      </x:c>
      <x:c r="I396" s="2" t="n">
        <x:f>IF(ISNUMBER(H396),1,0)</x:f>
        <x:v>1</x:v>
      </x:c>
      <x:c r="J396" s="2" t="n">
        <x:f>IF(ISNUMBER(H396),IF(H396&gt;=2,1,0),0)</x:f>
        <x:v>1</x:v>
      </x:c>
      <x:c r="K396" s="14" t="n">
        <x:f>IF(ISNUMBER(H396),2^H396-1,0)</x:f>
        <x:v>7</x:v>
      </x:c>
      <x:c r="L396" s="14" t="n">
        <x:f>K396/LOG(E396+1,2)</x:f>
        <x:v>3.5</x:v>
      </x:c>
      <x:c r="M396" s="10" t="n">
        <x:v>700</x:v>
      </x:c>
      <x:c r="N396" s="10" t="n">
        <x:v>3</x:v>
      </x:c>
      <x:c r="O396" s="10" t="n">
        <x:v>904</x:v>
      </x:c>
      <x:c r="P396" s="2" t="str">
        <x:v>D18</x:v>
      </x:c>
      <x:c r="Q396" s="2" t="str">
        <x:v>hdb flat</x:v>
      </x:c>
      <x:c r="R396" s="2" t="str">
        <x:v>https://www.propertyguru.com.sg/listing/hdb-for-rent-832-tampines-street-82-500281545</x:v>
      </x:c>
      <x:c r="S396" s="2" t="str">
        <x:v>cold_start_exploration</x:v>
      </x:c>
    </x:row>
    <x:row r="397" ht="22" customHeight="1">
      <x:c r="A397" s="2" t="str">
        <x:v>S29-T03</x:v>
      </x:c>
      <x:c r="B397" s="2" t="str">
        <x:v>S29</x:v>
      </x:c>
      <x:c r="C397" s="2" t="str">
        <x:v>Repeat</x:v>
      </x:c>
      <x:c r="D397" s="11" t="n">
        <x:v>3</x:v>
      </x:c>
      <x:c r="E397" s="11" t="n">
        <x:v>4</x:v>
      </x:c>
      <x:c r="F397" s="2" t="str">
        <x:v>16678444</x:v>
      </x:c>
      <x:c r="G397" s="2" t="str">
        <x:v>S29|16678444</x:v>
      </x:c>
      <x:c r="H397" s="2" t="n">
        <x:f>IFERROR(VLOOKUP(G397,'Ratings'!$A$6:$F$1387,6,FALSE),"Unknown")</x:f>
        <x:v>2</x:v>
      </x:c>
      <x:c r="I397" s="2" t="n">
        <x:f>IF(ISNUMBER(H397),1,0)</x:f>
        <x:v>1</x:v>
      </x:c>
      <x:c r="J397" s="2" t="n">
        <x:f>IF(ISNUMBER(H397),IF(H397&gt;=2,1,0),0)</x:f>
        <x:v>1</x:v>
      </x:c>
      <x:c r="K397" s="14" t="n">
        <x:f>IF(ISNUMBER(H397),2^H397-1,0)</x:f>
        <x:v>3</x:v>
      </x:c>
      <x:c r="L397" s="14" t="n">
        <x:f>K397/LOG(E397+1,2)</x:f>
        <x:v>1.2920296742201793</x:v>
      </x:c>
      <x:c r="M397" s="10" t="n">
        <x:v>2800</x:v>
      </x:c>
      <x:c r="N397" s="10" t="n">
        <x:v>2</x:v>
      </x:c>
      <x:c r="O397" s="10" t="n">
        <x:v>882</x:v>
      </x:c>
      <x:c r="P397" s="2" t="str">
        <x:v>D23</x:v>
      </x:c>
      <x:c r="Q397" s="2" t="str">
        <x:v>hdb flat</x:v>
      </x:c>
      <x:c r="R397" s="2" t="str">
        <x:v>https://www.propertyguru.com.sg/listing/hdb-for-rent-136-bukit-batok-west-avenue-6-16678444</x:v>
      </x:c>
      <x:c r="S397" s="2" t="str">
        <x:v>cold_start_exploration</x:v>
      </x:c>
    </x:row>
    <x:row r="398" ht="22" customHeight="1">
      <x:c r="A398" s="2" t="str">
        <x:v>S29-T03</x:v>
      </x:c>
      <x:c r="B398" s="2" t="str">
        <x:v>S29</x:v>
      </x:c>
      <x:c r="C398" s="2" t="str">
        <x:v>Repeat</x:v>
      </x:c>
      <x:c r="D398" s="11" t="n">
        <x:v>3</x:v>
      </x:c>
      <x:c r="E398" s="11" t="n">
        <x:v>5</x:v>
      </x:c>
      <x:c r="F398" s="2" t="str">
        <x:v>21789856</x:v>
      </x:c>
      <x:c r="G398" s="2" t="str">
        <x:v>S29|21789856</x:v>
      </x:c>
      <x:c r="H398" s="2" t="n">
        <x:f>IFERROR(VLOOKUP(G398,'Ratings'!$A$6:$F$1387,6,FALSE),"Unknown")</x:f>
        <x:v>2</x:v>
      </x:c>
      <x:c r="I398" s="2" t="n">
        <x:f>IF(ISNUMBER(H398),1,0)</x:f>
        <x:v>1</x:v>
      </x:c>
      <x:c r="J398" s="2" t="n">
        <x:f>IF(ISNUMBER(H398),IF(H398&gt;=2,1,0),0)</x:f>
        <x:v>1</x:v>
      </x:c>
      <x:c r="K398" s="14" t="n">
        <x:f>IF(ISNUMBER(H398),2^H398-1,0)</x:f>
        <x:v>3</x:v>
      </x:c>
      <x:c r="L398" s="14" t="n">
        <x:f>K398/LOG(E398+1,2)</x:f>
        <x:v>1.1605584217036249</x:v>
      </x:c>
      <x:c r="M398" s="10" t="n">
        <x:v>2250</x:v>
      </x:c>
      <x:c r="N398" s="10" t="n">
        <x:v>2</x:v>
      </x:c>
      <x:c r="O398" s="10" t="n">
        <x:v>645</x:v>
      </x:c>
      <x:c r="P398" s="2" t="str">
        <x:v>D20</x:v>
      </x:c>
      <x:c r="Q398" s="2" t="str">
        <x:v>hdb flat</x:v>
      </x:c>
      <x:c r="R398" s="2" t="str">
        <x:v>https://www.propertyguru.com.sg/listing/hdb-for-rent-137-bishan-street-12-21789856</x:v>
      </x:c>
      <x:c r="S398" s="2" t="str">
        <x:v>cold_start_exploration</x:v>
      </x:c>
    </x:row>
    <x:row r="399" ht="22" customHeight="1">
      <x:c r="A399" s="2" t="str">
        <x:v>S29-T03</x:v>
      </x:c>
      <x:c r="B399" s="2" t="str">
        <x:v>S29</x:v>
      </x:c>
      <x:c r="C399" s="2" t="str">
        <x:v>Repeat</x:v>
      </x:c>
      <x:c r="D399" s="11" t="n">
        <x:v>3</x:v>
      </x:c>
      <x:c r="E399" s="11" t="n">
        <x:v>6</x:v>
      </x:c>
      <x:c r="F399" s="2" t="str">
        <x:v>25209933</x:v>
      </x:c>
      <x:c r="G399" s="2" t="str">
        <x:v>S29|25209933</x:v>
      </x:c>
      <x:c r="H399" s="2" t="n">
        <x:f>IFERROR(VLOOKUP(G399,'Ratings'!$A$6:$F$1387,6,FALSE),"Unknown")</x:f>
        <x:v>2</x:v>
      </x:c>
      <x:c r="I399" s="2" t="n">
        <x:f>IF(ISNUMBER(H399),1,0)</x:f>
        <x:v>1</x:v>
      </x:c>
      <x:c r="J399" s="2" t="n">
        <x:f>IF(ISNUMBER(H399),IF(H399&gt;=2,1,0),0)</x:f>
        <x:v>1</x:v>
      </x:c>
      <x:c r="K399" s="14" t="n">
        <x:f>IF(ISNUMBER(H399),2^H399-1,0)</x:f>
        <x:v>3</x:v>
      </x:c>
      <x:c r="L399" s="14" t="n">
        <x:f>K399/LOG(E399+1,2)</x:f>
        <x:v>1.0686215613240666</x:v>
      </x:c>
      <x:c r="M399" s="10" t="n">
        <x:v>1150</x:v>
      </x:c>
      <x:c r="N399" s="10" t="n">
        <x:v>3</x:v>
      </x:c>
      <x:c r="O399" s="10" t="n">
        <x:v>190</x:v>
      </x:c>
      <x:c r="P399" s="2" t="str">
        <x:v>D23</x:v>
      </x:c>
      <x:c r="Q399" s="2" t="str">
        <x:v>hdb flat</x:v>
      </x:c>
      <x:c r="R399" s="2" t="str">
        <x:v>https://www.propertyguru.com.sg/listing/hdb-for-rent-288g-bukit-batok-street-25-25209933</x:v>
      </x:c>
      <x:c r="S399" s="2" t="str">
        <x:v>cold_start_exploration</x:v>
      </x:c>
    </x:row>
    <x:row r="400" ht="22" customHeight="1">
      <x:c r="A400" s="2" t="str">
        <x:v>S29-T03</x:v>
      </x:c>
      <x:c r="B400" s="2" t="str">
        <x:v>S29</x:v>
      </x:c>
      <x:c r="C400" s="2" t="str">
        <x:v>Repeat</x:v>
      </x:c>
      <x:c r="D400" s="11" t="n">
        <x:v>3</x:v>
      </x:c>
      <x:c r="E400" s="11" t="n">
        <x:v>7</x:v>
      </x:c>
      <x:c r="F400" s="2" t="str">
        <x:v>500230625</x:v>
      </x:c>
      <x:c r="G400" s="2" t="str">
        <x:v>S29|500230625</x:v>
      </x:c>
      <x:c r="H400" s="2" t="n">
        <x:f>IFERROR(VLOOKUP(G400,'Ratings'!$A$6:$F$1387,6,FALSE),"Unknown")</x:f>
        <x:v>2</x:v>
      </x:c>
      <x:c r="I400" s="2" t="n">
        <x:f>IF(ISNUMBER(H400),1,0)</x:f>
        <x:v>1</x:v>
      </x:c>
      <x:c r="J400" s="2" t="n">
        <x:f>IF(ISNUMBER(H400),IF(H400&gt;=2,1,0),0)</x:f>
        <x:v>1</x:v>
      </x:c>
      <x:c r="K400" s="14" t="n">
        <x:f>IF(ISNUMBER(H400),2^H400-1,0)</x:f>
        <x:v>3</x:v>
      </x:c>
      <x:c r="L400" s="14" t="n">
        <x:f>K400/LOG(E400+1,2)</x:f>
        <x:v>1</x:v>
      </x:c>
      <x:c r="M400" s="10" t="n">
        <x:v>2800</x:v>
      </x:c>
      <x:c r="N400" s="10" t="n">
        <x:v>2</x:v>
      </x:c>
      <x:c r="O400" s="10" t="n">
        <x:v>732</x:v>
      </x:c>
      <x:c r="P400" s="2" t="str">
        <x:v>D20</x:v>
      </x:c>
      <x:c r="Q400" s="2" t="str">
        <x:v>hdb flat</x:v>
      </x:c>
      <x:c r="R400" s="2" t="str">
        <x:v>https://www.propertyguru.com.sg/listing/hdb-for-rent-523-ang-mo-kio-avenue-5-500230625</x:v>
      </x:c>
      <x:c r="S400" s="2" t="str">
        <x:v>cold_start_exploration</x:v>
      </x:c>
    </x:row>
    <x:row r="401" ht="22" customHeight="1">
      <x:c r="A401" s="2" t="str">
        <x:v>S29-T03</x:v>
      </x:c>
      <x:c r="B401" s="2" t="str">
        <x:v>S29</x:v>
      </x:c>
      <x:c r="C401" s="2" t="str">
        <x:v>Repeat</x:v>
      </x:c>
      <x:c r="D401" s="11" t="n">
        <x:v>3</x:v>
      </x:c>
      <x:c r="E401" s="11" t="n">
        <x:v>8</x:v>
      </x:c>
      <x:c r="F401" s="2" t="str">
        <x:v>500273485</x:v>
      </x:c>
      <x:c r="G401" s="2" t="str">
        <x:v>S29|500273485</x:v>
      </x:c>
      <x:c r="H401" s="2" t="n">
        <x:f>IFERROR(VLOOKUP(G401,'Ratings'!$A$6:$F$1387,6,FALSE),"Unknown")</x:f>
        <x:v>2</x:v>
      </x:c>
      <x:c r="I401" s="2" t="n">
        <x:f>IF(ISNUMBER(H401),1,0)</x:f>
        <x:v>1</x:v>
      </x:c>
      <x:c r="J401" s="2" t="n">
        <x:f>IF(ISNUMBER(H401),IF(H401&gt;=2,1,0),0)</x:f>
        <x:v>1</x:v>
      </x:c>
      <x:c r="K401" s="14" t="n">
        <x:f>IF(ISNUMBER(H401),2^H401-1,0)</x:f>
        <x:v>3</x:v>
      </x:c>
      <x:c r="L401" s="14" t="n">
        <x:f>K401/LOG(E401+1,2)</x:f>
        <x:v>0.9463946303571861</x:v>
      </x:c>
      <x:c r="M401" s="10" t="n">
        <x:v>2500</x:v>
      </x:c>
      <x:c r="N401" s="10" t="n">
        <x:v>2</x:v>
      </x:c>
      <x:c r="O401" s="10" t="n">
        <x:v>690</x:v>
      </x:c>
      <x:c r="P401" s="2" t="str">
        <x:v>D19</x:v>
      </x:c>
      <x:c r="Q401" s="2" t="str">
        <x:v>hdb flat</x:v>
      </x:c>
      <x:c r="R401" s="2" t="str">
        <x:v>https://www.propertyguru.com.sg/listing/hdb-for-rent-2-hougang-avenue-3-500273485</x:v>
      </x:c>
      <x:c r="S401" s="2" t="str">
        <x:v>cold_start_exploration</x:v>
      </x:c>
    </x:row>
    <x:row r="402" ht="22" customHeight="1">
      <x:c r="A402" s="2" t="str">
        <x:v>S29-T03</x:v>
      </x:c>
      <x:c r="B402" s="2" t="str">
        <x:v>S29</x:v>
      </x:c>
      <x:c r="C402" s="2" t="str">
        <x:v>Repeat</x:v>
      </x:c>
      <x:c r="D402" s="11" t="n">
        <x:v>3</x:v>
      </x:c>
      <x:c r="E402" s="11" t="n">
        <x:v>9</x:v>
      </x:c>
      <x:c r="F402" s="2" t="str">
        <x:v>500282928</x:v>
      </x:c>
      <x:c r="G402" s="2" t="str">
        <x:v>S29|500282928</x:v>
      </x:c>
      <x:c r="H402" s="2" t="n">
        <x:f>IFERROR(VLOOKUP(G402,'Ratings'!$A$6:$F$1387,6,FALSE),"Unknown")</x:f>
        <x:v>2</x:v>
      </x:c>
      <x:c r="I402" s="2" t="n">
        <x:f>IF(ISNUMBER(H402),1,0)</x:f>
        <x:v>1</x:v>
      </x:c>
      <x:c r="J402" s="2" t="n">
        <x:f>IF(ISNUMBER(H402),IF(H402&gt;=2,1,0),0)</x:f>
        <x:v>1</x:v>
      </x:c>
      <x:c r="K402" s="14" t="n">
        <x:f>IF(ISNUMBER(H402),2^H402-1,0)</x:f>
        <x:v>3</x:v>
      </x:c>
      <x:c r="L402" s="14" t="n">
        <x:f>K402/LOG(E402+1,2)</x:f>
        <x:v>0.9030899869919435</x:v>
      </x:c>
      <x:c r="M402" s="10" t="n">
        <x:v>2688</x:v>
      </x:c>
      <x:c r="N402" s="10" t="n">
        <x:v>2</x:v>
      </x:c>
      <x:c r="O402" s="10" t="n">
        <x:v>732</x:v>
      </x:c>
      <x:c r="P402" s="2" t="str">
        <x:v>D20</x:v>
      </x:c>
      <x:c r="Q402" s="2" t="str">
        <x:v>hdb flat</x:v>
      </x:c>
      <x:c r="R402" s="2" t="str">
        <x:v>https://www.propertyguru.com.sg/listing/hdb-for-rent-523-ang-mo-kio-avenue-5-500282928</x:v>
      </x:c>
      <x:c r="S402" s="2" t="str">
        <x:v>cold_start_exploration</x:v>
      </x:c>
    </x:row>
    <x:row r="403" ht="22" customHeight="1">
      <x:c r="A403" s="2" t="str">
        <x:v>S29-T03</x:v>
      </x:c>
      <x:c r="B403" s="2" t="str">
        <x:v>S29</x:v>
      </x:c>
      <x:c r="C403" s="2" t="str">
        <x:v>Repeat</x:v>
      </x:c>
      <x:c r="D403" s="11" t="n">
        <x:v>3</x:v>
      </x:c>
      <x:c r="E403" s="11" t="n">
        <x:v>10</x:v>
      </x:c>
      <x:c r="F403" s="2" t="str">
        <x:v>60060332</x:v>
      </x:c>
      <x:c r="G403" s="2" t="str">
        <x:v>S29|60060332</x:v>
      </x:c>
      <x:c r="H403" s="2" t="n">
        <x:f>IFERROR(VLOOKUP(G403,'Ratings'!$A$6:$F$1387,6,FALSE),"Unknown")</x:f>
        <x:v>2</x:v>
      </x:c>
      <x:c r="I403" s="2" t="n">
        <x:f>IF(ISNUMBER(H403),1,0)</x:f>
        <x:v>1</x:v>
      </x:c>
      <x:c r="J403" s="2" t="n">
        <x:f>IF(ISNUMBER(H403),IF(H403&gt;=2,1,0),0)</x:f>
        <x:v>1</x:v>
      </x:c>
      <x:c r="K403" s="14" t="n">
        <x:f>IF(ISNUMBER(H403),2^H403-1,0)</x:f>
        <x:v>3</x:v>
      </x:c>
      <x:c r="L403" s="14" t="n">
        <x:f>K403/LOG(E403+1,2)</x:f>
        <x:v>0.8671944789536634</x:v>
      </x:c>
      <x:c r="M403" s="10" t="n">
        <x:v>2400</x:v>
      </x:c>
      <x:c r="N403" s="10" t="n">
        <x:v>2</x:v>
      </x:c>
      <x:c r="O403" s="10" t="n">
        <x:v>800</x:v>
      </x:c>
      <x:c r="P403" s="2" t="str">
        <x:v>D19</x:v>
      </x:c>
      <x:c r="Q403" s="2" t="str">
        <x:v>hdb flat</x:v>
      </x:c>
      <x:c r="R403" s="2" t="str">
        <x:v>https://www.propertyguru.com.sg/listing/hdb-for-rent-239-hougang-street-22-60060332</x:v>
      </x:c>
      <x:c r="S403" s="2" t="str">
        <x:v>cold_start_exploration</x:v>
      </x:c>
    </x:row>
    <x:row r="404" ht="22" customHeight="1">
      <x:c r="A404" s="2" t="str">
        <x:v>S29-T04</x:v>
      </x:c>
      <x:c r="B404" s="2" t="str">
        <x:v>S29</x:v>
      </x:c>
      <x:c r="C404" s="2" t="str">
        <x:v>Repeat</x:v>
      </x:c>
      <x:c r="D404" s="11" t="n">
        <x:v>4</x:v>
      </x:c>
      <x:c r="E404" s="11" t="n">
        <x:v>1</x:v>
      </x:c>
      <x:c r="F404" s="2" t="str">
        <x:v>25342943</x:v>
      </x:c>
      <x:c r="G404" s="2" t="str">
        <x:v>S29|25342943</x:v>
      </x:c>
      <x:c r="H404" s="2" t="n">
        <x:f>IFERROR(VLOOKUP(G404,'Ratings'!$A$6:$F$1387,6,FALSE),"Unknown")</x:f>
        <x:v>3</x:v>
      </x:c>
      <x:c r="I404" s="2" t="n">
        <x:f>IF(ISNUMBER(H404),1,0)</x:f>
        <x:v>1</x:v>
      </x:c>
      <x:c r="J404" s="2" t="n">
        <x:f>IF(ISNUMBER(H404),IF(H404&gt;=2,1,0),0)</x:f>
        <x:v>1</x:v>
      </x:c>
      <x:c r="K404" s="14" t="n">
        <x:f>IF(ISNUMBER(H404),2^H404-1,0)</x:f>
        <x:v>7</x:v>
      </x:c>
      <x:c r="L404" s="14" t="n">
        <x:f>K404/LOG(E404+1,2)</x:f>
        <x:v>7</x:v>
      </x:c>
      <x:c r="M404" s="10" t="n">
        <x:v>2600</x:v>
      </x:c>
      <x:c r="N404" s="10" t="n">
        <x:v>2</x:v>
      </x:c>
      <x:c r="O404" s="10" t="n">
        <x:v>1100</x:v>
      </x:c>
      <x:c r="P404" s="2" t="str">
        <x:v>D23</x:v>
      </x:c>
      <x:c r="Q404" s="2" t="str">
        <x:v>hdb flat</x:v>
      </x:c>
      <x:c r="R404" s="2" t="str">
        <x:v>https://www.propertyguru.com.sg/listing/hdb-for-rent-220-choa-chu-kang-central-25342943</x:v>
      </x:c>
      <x:c r="S404" s="2" t="str">
        <x:v>cold_start_exploration</x:v>
      </x:c>
    </x:row>
    <x:row r="405" ht="22" customHeight="1">
      <x:c r="A405" s="2" t="str">
        <x:v>S29-T04</x:v>
      </x:c>
      <x:c r="B405" s="2" t="str">
        <x:v>S29</x:v>
      </x:c>
      <x:c r="C405" s="2" t="str">
        <x:v>Repeat</x:v>
      </x:c>
      <x:c r="D405" s="11" t="n">
        <x:v>4</x:v>
      </x:c>
      <x:c r="E405" s="11" t="n">
        <x:v>2</x:v>
      </x:c>
      <x:c r="F405" s="2" t="str">
        <x:v>500269618</x:v>
      </x:c>
      <x:c r="G405" s="2" t="str">
        <x:v>S29|500269618</x:v>
      </x:c>
      <x:c r="H405" s="2" t="n">
        <x:f>IFERROR(VLOOKUP(G405,'Ratings'!$A$6:$F$1387,6,FALSE),"Unknown")</x:f>
        <x:v>3</x:v>
      </x:c>
      <x:c r="I405" s="2" t="n">
        <x:f>IF(ISNUMBER(H405),1,0)</x:f>
        <x:v>1</x:v>
      </x:c>
      <x:c r="J405" s="2" t="n">
        <x:f>IF(ISNUMBER(H405),IF(H405&gt;=2,1,0),0)</x:f>
        <x:v>1</x:v>
      </x:c>
      <x:c r="K405" s="14" t="n">
        <x:f>IF(ISNUMBER(H405),2^H405-1,0)</x:f>
        <x:v>7</x:v>
      </x:c>
      <x:c r="L405" s="14" t="n">
        <x:f>K405/LOG(E405+1,2)</x:f>
        <x:v>4.4165082750002025</x:v>
      </x:c>
      <x:c r="M405" s="10" t="n">
        <x:v>1100</x:v>
      </x:c>
      <x:c r="N405" s="10" t="n">
        <x:v>3</x:v>
      </x:c>
      <x:c r="O405" s="10" t="n">
        <x:v>947</x:v>
      </x:c>
      <x:c r="P405" s="2" t="str">
        <x:v>D20</x:v>
      </x:c>
      <x:c r="Q405" s="2" t="str">
        <x:v>hdb flat</x:v>
      </x:c>
      <x:c r="R405" s="2" t="str">
        <x:v>https://www.propertyguru.com.sg/listing/hdb-for-rent-25-sin-ming-road-500269618</x:v>
      </x:c>
      <x:c r="S405" s="2" t="str">
        <x:v>cold_start_exploration</x:v>
      </x:c>
    </x:row>
    <x:row r="406" ht="22" customHeight="1">
      <x:c r="A406" s="2" t="str">
        <x:v>S29-T04</x:v>
      </x:c>
      <x:c r="B406" s="2" t="str">
        <x:v>S29</x:v>
      </x:c>
      <x:c r="C406" s="2" t="str">
        <x:v>Repeat</x:v>
      </x:c>
      <x:c r="D406" s="11" t="n">
        <x:v>4</x:v>
      </x:c>
      <x:c r="E406" s="11" t="n">
        <x:v>3</x:v>
      </x:c>
      <x:c r="F406" s="2" t="str">
        <x:v>500281545</x:v>
      </x:c>
      <x:c r="G406" s="2" t="str">
        <x:v>S29|500281545</x:v>
      </x:c>
      <x:c r="H406" s="2" t="n">
        <x:f>IFERROR(VLOOKUP(G406,'Ratings'!$A$6:$F$1387,6,FALSE),"Unknown")</x:f>
        <x:v>3</x:v>
      </x:c>
      <x:c r="I406" s="2" t="n">
        <x:f>IF(ISNUMBER(H406),1,0)</x:f>
        <x:v>1</x:v>
      </x:c>
      <x:c r="J406" s="2" t="n">
        <x:f>IF(ISNUMBER(H406),IF(H406&gt;=2,1,0),0)</x:f>
        <x:v>1</x:v>
      </x:c>
      <x:c r="K406" s="14" t="n">
        <x:f>IF(ISNUMBER(H406),2^H406-1,0)</x:f>
        <x:v>7</x:v>
      </x:c>
      <x:c r="L406" s="14" t="n">
        <x:f>K406/LOG(E406+1,2)</x:f>
        <x:v>3.5</x:v>
      </x:c>
      <x:c r="M406" s="10" t="n">
        <x:v>700</x:v>
      </x:c>
      <x:c r="N406" s="10" t="n">
        <x:v>3</x:v>
      </x:c>
      <x:c r="O406" s="10" t="n">
        <x:v>904</x:v>
      </x:c>
      <x:c r="P406" s="2" t="str">
        <x:v>D18</x:v>
      </x:c>
      <x:c r="Q406" s="2" t="str">
        <x:v>hdb flat</x:v>
      </x:c>
      <x:c r="R406" s="2" t="str">
        <x:v>https://www.propertyguru.com.sg/listing/hdb-for-rent-832-tampines-street-82-500281545</x:v>
      </x:c>
      <x:c r="S406" s="2" t="str">
        <x:v>cold_start_exploration</x:v>
      </x:c>
    </x:row>
    <x:row r="407" ht="22" customHeight="1">
      <x:c r="A407" s="2" t="str">
        <x:v>S29-T04</x:v>
      </x:c>
      <x:c r="B407" s="2" t="str">
        <x:v>S29</x:v>
      </x:c>
      <x:c r="C407" s="2" t="str">
        <x:v>Repeat</x:v>
      </x:c>
      <x:c r="D407" s="11" t="n">
        <x:v>4</x:v>
      </x:c>
      <x:c r="E407" s="11" t="n">
        <x:v>4</x:v>
      </x:c>
      <x:c r="F407" s="2" t="str">
        <x:v>500256762</x:v>
      </x:c>
      <x:c r="G407" s="2" t="str">
        <x:v>S29|500256762</x:v>
      </x:c>
      <x:c r="H407" s="2" t="n">
        <x:f>IFERROR(VLOOKUP(G407,'Ratings'!$A$6:$F$1387,6,FALSE),"Unknown")</x:f>
        <x:v>2</x:v>
      </x:c>
      <x:c r="I407" s="2" t="n">
        <x:f>IF(ISNUMBER(H407),1,0)</x:f>
        <x:v>1</x:v>
      </x:c>
      <x:c r="J407" s="2" t="n">
        <x:f>IF(ISNUMBER(H407),IF(H407&gt;=2,1,0),0)</x:f>
        <x:v>1</x:v>
      </x:c>
      <x:c r="K407" s="14" t="n">
        <x:f>IF(ISNUMBER(H407),2^H407-1,0)</x:f>
        <x:v>3</x:v>
      </x:c>
      <x:c r="L407" s="14" t="n">
        <x:f>K407/LOG(E407+1,2)</x:f>
        <x:v>1.2920296742201793</x:v>
      </x:c>
      <x:c r="M407" s="10" t="n">
        <x:v>2300</x:v>
      </x:c>
      <x:c r="N407" s="10" t="n">
        <x:v>2</x:v>
      </x:c>
      <x:c r="O407" s="10" t="n">
        <x:v>200</x:v>
      </x:c>
      <x:c r="P407" s="2" t="str">
        <x:v>D19</x:v>
      </x:c>
      <x:c r="Q407" s="2" t="str">
        <x:v>hdb flat</x:v>
      </x:c>
      <x:c r="R407" s="2" t="str">
        <x:v>https://www.propertyguru.com.sg/listing/hdb-for-rent-980b-buangkok-crescent-500256762</x:v>
      </x:c>
      <x:c r="S407" s="2" t="str">
        <x:v>cold_start_exploration</x:v>
      </x:c>
    </x:row>
    <x:row r="408" ht="22" customHeight="1">
      <x:c r="A408" s="2" t="str">
        <x:v>S29-T04</x:v>
      </x:c>
      <x:c r="B408" s="2" t="str">
        <x:v>S29</x:v>
      </x:c>
      <x:c r="C408" s="2" t="str">
        <x:v>Repeat</x:v>
      </x:c>
      <x:c r="D408" s="11" t="n">
        <x:v>4</x:v>
      </x:c>
      <x:c r="E408" s="11" t="n">
        <x:v>5</x:v>
      </x:c>
      <x:c r="F408" s="2" t="str">
        <x:v>500257933</x:v>
      </x:c>
      <x:c r="G408" s="2" t="str">
        <x:v>S29|500257933</x:v>
      </x:c>
      <x:c r="H408" s="2" t="n">
        <x:f>IFERROR(VLOOKUP(G408,'Ratings'!$A$6:$F$1387,6,FALSE),"Unknown")</x:f>
        <x:v>2</x:v>
      </x:c>
      <x:c r="I408" s="2" t="n">
        <x:f>IF(ISNUMBER(H408),1,0)</x:f>
        <x:v>1</x:v>
      </x:c>
      <x:c r="J408" s="2" t="n">
        <x:f>IF(ISNUMBER(H408),IF(H408&gt;=2,1,0),0)</x:f>
        <x:v>1</x:v>
      </x:c>
      <x:c r="K408" s="14" t="n">
        <x:f>IF(ISNUMBER(H408),2^H408-1,0)</x:f>
        <x:v>3</x:v>
      </x:c>
      <x:c r="L408" s="14" t="n">
        <x:f>K408/LOG(E408+1,2)</x:f>
        <x:v>1.1605584217036249</x:v>
      </x:c>
      <x:c r="M408" s="10" t="n">
        <x:v>2800</x:v>
      </x:c>
      <x:c r="N408" s="10" t="n">
        <x:v>2</x:v>
      </x:c>
      <x:c r="O408" s="10" t="n">
        <x:v>721</x:v>
      </x:c>
      <x:c r="P408" s="2" t="str">
        <x:v>D20</x:v>
      </x:c>
      <x:c r="Q408" s="2" t="str">
        <x:v>hdb flat</x:v>
      </x:c>
      <x:c r="R408" s="2" t="str">
        <x:v>https://www.propertyguru.com.sg/listing/hdb-for-rent-233-ang-mo-kio-avenue-3-500257933</x:v>
      </x:c>
      <x:c r="S408" s="2" t="str">
        <x:v>cold_start_exploration</x:v>
      </x:c>
    </x:row>
    <x:row r="409" ht="22" customHeight="1">
      <x:c r="A409" s="2" t="str">
        <x:v>S29-T04</x:v>
      </x:c>
      <x:c r="B409" s="2" t="str">
        <x:v>S29</x:v>
      </x:c>
      <x:c r="C409" s="2" t="str">
        <x:v>Repeat</x:v>
      </x:c>
      <x:c r="D409" s="11" t="n">
        <x:v>4</x:v>
      </x:c>
      <x:c r="E409" s="11" t="n">
        <x:v>6</x:v>
      </x:c>
      <x:c r="F409" s="2" t="str">
        <x:v>500273673</x:v>
      </x:c>
      <x:c r="G409" s="2" t="str">
        <x:v>S29|500273673</x:v>
      </x:c>
      <x:c r="H409" s="2" t="n">
        <x:f>IFERROR(VLOOKUP(G409,'Ratings'!$A$6:$F$1387,6,FALSE),"Unknown")</x:f>
        <x:v>2</x:v>
      </x:c>
      <x:c r="I409" s="2" t="n">
        <x:f>IF(ISNUMBER(H409),1,0)</x:f>
        <x:v>1</x:v>
      </x:c>
      <x:c r="J409" s="2" t="n">
        <x:f>IF(ISNUMBER(H409),IF(H409&gt;=2,1,0),0)</x:f>
        <x:v>1</x:v>
      </x:c>
      <x:c r="K409" s="14" t="n">
        <x:f>IF(ISNUMBER(H409),2^H409-1,0)</x:f>
        <x:v>3</x:v>
      </x:c>
      <x:c r="L409" s="14" t="n">
        <x:f>K409/LOG(E409+1,2)</x:f>
        <x:v>1.0686215613240666</x:v>
      </x:c>
      <x:c r="M409" s="10" t="n">
        <x:v>2800</x:v>
      </x:c>
      <x:c r="N409" s="10" t="n">
        <x:v>2</x:v>
      </x:c>
      <x:c r="O409" s="10" t="n">
        <x:v>700</x:v>
      </x:c>
      <x:c r="P409" s="2" t="str">
        <x:v>D19</x:v>
      </x:c>
      <x:c r="Q409" s="2" t="str">
        <x:v>hdb flat</x:v>
      </x:c>
      <x:c r="R409" s="2" t="str">
        <x:v>https://www.propertyguru.com.sg/listing/hdb-for-rent-637b-punggol-drive-500273673</x:v>
      </x:c>
      <x:c r="S409" s="2" t="str">
        <x:v>cold_start_exploration</x:v>
      </x:c>
    </x:row>
    <x:row r="410" ht="22" customHeight="1">
      <x:c r="A410" s="2" t="str">
        <x:v>S29-T04</x:v>
      </x:c>
      <x:c r="B410" s="2" t="str">
        <x:v>S29</x:v>
      </x:c>
      <x:c r="C410" s="2" t="str">
        <x:v>Repeat</x:v>
      </x:c>
      <x:c r="D410" s="11" t="n">
        <x:v>4</x:v>
      </x:c>
      <x:c r="E410" s="11" t="n">
        <x:v>7</x:v>
      </x:c>
      <x:c r="F410" s="2" t="str">
        <x:v>500280968</x:v>
      </x:c>
      <x:c r="G410" s="2" t="str">
        <x:v>S29|500280968</x:v>
      </x:c>
      <x:c r="H410" s="2" t="n">
        <x:f>IFERROR(VLOOKUP(G410,'Ratings'!$A$6:$F$1387,6,FALSE),"Unknown")</x:f>
        <x:v>2</x:v>
      </x:c>
      <x:c r="I410" s="2" t="n">
        <x:f>IF(ISNUMBER(H410),1,0)</x:f>
        <x:v>1</x:v>
      </x:c>
      <x:c r="J410" s="2" t="n">
        <x:f>IF(ISNUMBER(H410),IF(H410&gt;=2,1,0),0)</x:f>
        <x:v>1</x:v>
      </x:c>
      <x:c r="K410" s="14" t="n">
        <x:f>IF(ISNUMBER(H410),2^H410-1,0)</x:f>
        <x:v>3</x:v>
      </x:c>
      <x:c r="L410" s="14" t="n">
        <x:f>K410/LOG(E410+1,2)</x:f>
        <x:v>1</x:v>
      </x:c>
      <x:c r="M410" s="10" t="n">
        <x:v>2600</x:v>
      </x:c>
      <x:c r="N410" s="10" t="n">
        <x:v>2</x:v>
      </x:c>
      <x:c r="O410" s="10" t="n">
        <x:v>721</x:v>
      </x:c>
      <x:c r="P410" s="2" t="str">
        <x:v>D19</x:v>
      </x:c>
      <x:c r="Q410" s="2" t="str">
        <x:v>hdb flat</x:v>
      </x:c>
      <x:c r="R410" s="2" t="str">
        <x:v>https://www.propertyguru.com.sg/listing/hdb-for-rent-632-hougang-avenue-8-500280968</x:v>
      </x:c>
      <x:c r="S410" s="2" t="str">
        <x:v>cold_start_exploration</x:v>
      </x:c>
    </x:row>
    <x:row r="411" ht="22" customHeight="1">
      <x:c r="A411" s="2" t="str">
        <x:v>S29-T04</x:v>
      </x:c>
      <x:c r="B411" s="2" t="str">
        <x:v>S29</x:v>
      </x:c>
      <x:c r="C411" s="2" t="str">
        <x:v>Repeat</x:v>
      </x:c>
      <x:c r="D411" s="11" t="n">
        <x:v>4</x:v>
      </x:c>
      <x:c r="E411" s="11" t="n">
        <x:v>8</x:v>
      </x:c>
      <x:c r="F411" s="2" t="str">
        <x:v>500288134</x:v>
      </x:c>
      <x:c r="G411" s="2" t="str">
        <x:v>S29|500288134</x:v>
      </x:c>
      <x:c r="H411" s="2" t="n">
        <x:f>IFERROR(VLOOKUP(G411,'Ratings'!$A$6:$F$1387,6,FALSE),"Unknown")</x:f>
        <x:v>2</x:v>
      </x:c>
      <x:c r="I411" s="2" t="n">
        <x:f>IF(ISNUMBER(H411),1,0)</x:f>
        <x:v>1</x:v>
      </x:c>
      <x:c r="J411" s="2" t="n">
        <x:f>IF(ISNUMBER(H411),IF(H411&gt;=2,1,0),0)</x:f>
        <x:v>1</x:v>
      </x:c>
      <x:c r="K411" s="14" t="n">
        <x:f>IF(ISNUMBER(H411),2^H411-1,0)</x:f>
        <x:v>3</x:v>
      </x:c>
      <x:c r="L411" s="14" t="n">
        <x:f>K411/LOG(E411+1,2)</x:f>
        <x:v>0.9463946303571861</x:v>
      </x:c>
      <x:c r="M411" s="10" t="n">
        <x:v>2800</x:v>
      </x:c>
      <x:c r="N411" s="10" t="n">
        <x:v>2</x:v>
      </x:c>
      <x:c r="O411" s="10" t="n">
        <x:v>731</x:v>
      </x:c>
      <x:c r="P411" s="2" t="str">
        <x:v>D19</x:v>
      </x:c>
      <x:c r="Q411" s="2" t="str">
        <x:v>hdb flat</x:v>
      </x:c>
      <x:c r="R411" s="2" t="str">
        <x:v>https://www.propertyguru.com.sg/listing/hdb-for-rent-401-hougang-avenue-10-500288134</x:v>
      </x:c>
      <x:c r="S411" s="2" t="str">
        <x:v>cold_start_exploration</x:v>
      </x:c>
    </x:row>
    <x:row r="412" ht="22" customHeight="1">
      <x:c r="A412" s="2" t="str">
        <x:v>S29-T04</x:v>
      </x:c>
      <x:c r="B412" s="2" t="str">
        <x:v>S29</x:v>
      </x:c>
      <x:c r="C412" s="2" t="str">
        <x:v>Repeat</x:v>
      </x:c>
      <x:c r="D412" s="11" t="n">
        <x:v>4</x:v>
      </x:c>
      <x:c r="E412" s="11" t="n">
        <x:v>9</x:v>
      </x:c>
      <x:c r="F412" s="2" t="str">
        <x:v>60060332</x:v>
      </x:c>
      <x:c r="G412" s="2" t="str">
        <x:v>S29|60060332</x:v>
      </x:c>
      <x:c r="H412" s="2" t="n">
        <x:f>IFERROR(VLOOKUP(G412,'Ratings'!$A$6:$F$1387,6,FALSE),"Unknown")</x:f>
        <x:v>2</x:v>
      </x:c>
      <x:c r="I412" s="2" t="n">
        <x:f>IF(ISNUMBER(H412),1,0)</x:f>
        <x:v>1</x:v>
      </x:c>
      <x:c r="J412" s="2" t="n">
        <x:f>IF(ISNUMBER(H412),IF(H412&gt;=2,1,0),0)</x:f>
        <x:v>1</x:v>
      </x:c>
      <x:c r="K412" s="14" t="n">
        <x:f>IF(ISNUMBER(H412),2^H412-1,0)</x:f>
        <x:v>3</x:v>
      </x:c>
      <x:c r="L412" s="14" t="n">
        <x:f>K412/LOG(E412+1,2)</x:f>
        <x:v>0.9030899869919435</x:v>
      </x:c>
      <x:c r="M412" s="10" t="n">
        <x:v>2400</x:v>
      </x:c>
      <x:c r="N412" s="10" t="n">
        <x:v>2</x:v>
      </x:c>
      <x:c r="O412" s="10" t="n">
        <x:v>800</x:v>
      </x:c>
      <x:c r="P412" s="2" t="str">
        <x:v>D19</x:v>
      </x:c>
      <x:c r="Q412" s="2" t="str">
        <x:v>hdb flat</x:v>
      </x:c>
      <x:c r="R412" s="2" t="str">
        <x:v>https://www.propertyguru.com.sg/listing/hdb-for-rent-239-hougang-street-22-60060332</x:v>
      </x:c>
      <x:c r="S412" s="2" t="str">
        <x:v>cold_start_exploration</x:v>
      </x:c>
    </x:row>
    <x:row r="413" ht="22" customHeight="1">
      <x:c r="A413" s="2" t="str">
        <x:v>S29-T04</x:v>
      </x:c>
      <x:c r="B413" s="2" t="str">
        <x:v>S29</x:v>
      </x:c>
      <x:c r="C413" s="2" t="str">
        <x:v>Repeat</x:v>
      </x:c>
      <x:c r="D413" s="11" t="n">
        <x:v>4</x:v>
      </x:c>
      <x:c r="E413" s="11" t="n">
        <x:v>10</x:v>
      </x:c>
      <x:c r="F413" s="2" t="str">
        <x:v>60178525</x:v>
      </x:c>
      <x:c r="G413" s="2" t="str">
        <x:v>S29|60178525</x:v>
      </x:c>
      <x:c r="H413" s="2" t="n">
        <x:f>IFERROR(VLOOKUP(G413,'Ratings'!$A$6:$F$1387,6,FALSE),"Unknown")</x:f>
        <x:v>2</x:v>
      </x:c>
      <x:c r="I413" s="2" t="n">
        <x:f>IF(ISNUMBER(H413),1,0)</x:f>
        <x:v>1</x:v>
      </x:c>
      <x:c r="J413" s="2" t="n">
        <x:f>IF(ISNUMBER(H413),IF(H413&gt;=2,1,0),0)</x:f>
        <x:v>1</x:v>
      </x:c>
      <x:c r="K413" s="14" t="n">
        <x:f>IF(ISNUMBER(H413),2^H413-1,0)</x:f>
        <x:v>3</x:v>
      </x:c>
      <x:c r="L413" s="14" t="n">
        <x:f>K413/LOG(E413+1,2)</x:f>
        <x:v>0.8671944789536634</x:v>
      </x:c>
      <x:c r="M413" s="10" t="n">
        <x:v>2800</x:v>
      </x:c>
      <x:c r="N413" s="10" t="n">
        <x:v>2</x:v>
      </x:c>
      <x:c r="O413" s="10" t="n">
        <x:v>646</x:v>
      </x:c>
      <x:c r="P413" s="2" t="str">
        <x:v>D19</x:v>
      </x:c>
      <x:c r="Q413" s="2" t="str">
        <x:v>hdb flat</x:v>
      </x:c>
      <x:c r="R413" s="2" t="str">
        <x:v>https://www.propertyguru.com.sg/listing/hdb-for-rent-623-hougang-avenue-8-60178525</x:v>
      </x:c>
      <x:c r="S413" s="2" t="str">
        <x:v>cold_start_exploration</x:v>
      </x:c>
    </x:row>
    <x:row r="414" ht="22" customHeight="1">
      <x:c r="A414" s="2" t="str">
        <x:v>S29-T05</x:v>
      </x:c>
      <x:c r="B414" s="2" t="str">
        <x:v>S29</x:v>
      </x:c>
      <x:c r="C414" s="2" t="str">
        <x:v>Repeat</x:v>
      </x:c>
      <x:c r="D414" s="11" t="n">
        <x:v>5</x:v>
      </x:c>
      <x:c r="E414" s="11" t="n">
        <x:v>1</x:v>
      </x:c>
      <x:c r="F414" s="2" t="str">
        <x:v>25342943</x:v>
      </x:c>
      <x:c r="G414" s="2" t="str">
        <x:v>S29|25342943</x:v>
      </x:c>
      <x:c r="H414" s="2" t="n">
        <x:f>IFERROR(VLOOKUP(G414,'Ratings'!$A$6:$F$1387,6,FALSE),"Unknown")</x:f>
        <x:v>3</x:v>
      </x:c>
      <x:c r="I414" s="2" t="n">
        <x:f>IF(ISNUMBER(H414),1,0)</x:f>
        <x:v>1</x:v>
      </x:c>
      <x:c r="J414" s="2" t="n">
        <x:f>IF(ISNUMBER(H414),IF(H414&gt;=2,1,0),0)</x:f>
        <x:v>1</x:v>
      </x:c>
      <x:c r="K414" s="14" t="n">
        <x:f>IF(ISNUMBER(H414),2^H414-1,0)</x:f>
        <x:v>7</x:v>
      </x:c>
      <x:c r="L414" s="14" t="n">
        <x:f>K414/LOG(E414+1,2)</x:f>
        <x:v>7</x:v>
      </x:c>
      <x:c r="M414" s="10" t="n">
        <x:v>2600</x:v>
      </x:c>
      <x:c r="N414" s="10" t="n">
        <x:v>2</x:v>
      </x:c>
      <x:c r="O414" s="10" t="n">
        <x:v>1100</x:v>
      </x:c>
      <x:c r="P414" s="2" t="str">
        <x:v>D23</x:v>
      </x:c>
      <x:c r="Q414" s="2" t="str">
        <x:v>hdb flat</x:v>
      </x:c>
      <x:c r="R414" s="2" t="str">
        <x:v>https://www.propertyguru.com.sg/listing/hdb-for-rent-220-choa-chu-kang-central-25342943</x:v>
      </x:c>
      <x:c r="S414" s="2" t="str">
        <x:v>cold_start_exploration</x:v>
      </x:c>
    </x:row>
    <x:row r="415" ht="22" customHeight="1">
      <x:c r="A415" s="2" t="str">
        <x:v>S29-T05</x:v>
      </x:c>
      <x:c r="B415" s="2" t="str">
        <x:v>S29</x:v>
      </x:c>
      <x:c r="C415" s="2" t="str">
        <x:v>Repeat</x:v>
      </x:c>
      <x:c r="D415" s="11" t="n">
        <x:v>5</x:v>
      </x:c>
      <x:c r="E415" s="11" t="n">
        <x:v>2</x:v>
      </x:c>
      <x:c r="F415" s="2" t="str">
        <x:v>500269618</x:v>
      </x:c>
      <x:c r="G415" s="2" t="str">
        <x:v>S29|500269618</x:v>
      </x:c>
      <x:c r="H415" s="2" t="n">
        <x:f>IFERROR(VLOOKUP(G415,'Ratings'!$A$6:$F$1387,6,FALSE),"Unknown")</x:f>
        <x:v>3</x:v>
      </x:c>
      <x:c r="I415" s="2" t="n">
        <x:f>IF(ISNUMBER(H415),1,0)</x:f>
        <x:v>1</x:v>
      </x:c>
      <x:c r="J415" s="2" t="n">
        <x:f>IF(ISNUMBER(H415),IF(H415&gt;=2,1,0),0)</x:f>
        <x:v>1</x:v>
      </x:c>
      <x:c r="K415" s="14" t="n">
        <x:f>IF(ISNUMBER(H415),2^H415-1,0)</x:f>
        <x:v>7</x:v>
      </x:c>
      <x:c r="L415" s="14" t="n">
        <x:f>K415/LOG(E415+1,2)</x:f>
        <x:v>4.4165082750002025</x:v>
      </x:c>
      <x:c r="M415" s="10" t="n">
        <x:v>1100</x:v>
      </x:c>
      <x:c r="N415" s="10" t="n">
        <x:v>3</x:v>
      </x:c>
      <x:c r="O415" s="10" t="n">
        <x:v>947</x:v>
      </x:c>
      <x:c r="P415" s="2" t="str">
        <x:v>D20</x:v>
      </x:c>
      <x:c r="Q415" s="2" t="str">
        <x:v>hdb flat</x:v>
      </x:c>
      <x:c r="R415" s="2" t="str">
        <x:v>https://www.propertyguru.com.sg/listing/hdb-for-rent-25-sin-ming-road-500269618</x:v>
      </x:c>
      <x:c r="S415" s="2" t="str">
        <x:v>cold_start_exploration</x:v>
      </x:c>
    </x:row>
    <x:row r="416" ht="22" customHeight="1">
      <x:c r="A416" s="2" t="str">
        <x:v>S29-T05</x:v>
      </x:c>
      <x:c r="B416" s="2" t="str">
        <x:v>S29</x:v>
      </x:c>
      <x:c r="C416" s="2" t="str">
        <x:v>Repeat</x:v>
      </x:c>
      <x:c r="D416" s="11" t="n">
        <x:v>5</x:v>
      </x:c>
      <x:c r="E416" s="11" t="n">
        <x:v>3</x:v>
      </x:c>
      <x:c r="F416" s="2" t="str">
        <x:v>500281545</x:v>
      </x:c>
      <x:c r="G416" s="2" t="str">
        <x:v>S29|500281545</x:v>
      </x:c>
      <x:c r="H416" s="2" t="n">
        <x:f>IFERROR(VLOOKUP(G416,'Ratings'!$A$6:$F$1387,6,FALSE),"Unknown")</x:f>
        <x:v>3</x:v>
      </x:c>
      <x:c r="I416" s="2" t="n">
        <x:f>IF(ISNUMBER(H416),1,0)</x:f>
        <x:v>1</x:v>
      </x:c>
      <x:c r="J416" s="2" t="n">
        <x:f>IF(ISNUMBER(H416),IF(H416&gt;=2,1,0),0)</x:f>
        <x:v>1</x:v>
      </x:c>
      <x:c r="K416" s="14" t="n">
        <x:f>IF(ISNUMBER(H416),2^H416-1,0)</x:f>
        <x:v>7</x:v>
      </x:c>
      <x:c r="L416" s="14" t="n">
        <x:f>K416/LOG(E416+1,2)</x:f>
        <x:v>3.5</x:v>
      </x:c>
      <x:c r="M416" s="10" t="n">
        <x:v>700</x:v>
      </x:c>
      <x:c r="N416" s="10" t="n">
        <x:v>3</x:v>
      </x:c>
      <x:c r="O416" s="10" t="n">
        <x:v>904</x:v>
      </x:c>
      <x:c r="P416" s="2" t="str">
        <x:v>D18</x:v>
      </x:c>
      <x:c r="Q416" s="2" t="str">
        <x:v>hdb flat</x:v>
      </x:c>
      <x:c r="R416" s="2" t="str">
        <x:v>https://www.propertyguru.com.sg/listing/hdb-for-rent-832-tampines-street-82-500281545</x:v>
      </x:c>
      <x:c r="S416" s="2" t="str">
        <x:v>cold_start_exploration</x:v>
      </x:c>
    </x:row>
    <x:row r="417" ht="22" customHeight="1">
      <x:c r="A417" s="2" t="str">
        <x:v>S29-T05</x:v>
      </x:c>
      <x:c r="B417" s="2" t="str">
        <x:v>S29</x:v>
      </x:c>
      <x:c r="C417" s="2" t="str">
        <x:v>Repeat</x:v>
      </x:c>
      <x:c r="D417" s="11" t="n">
        <x:v>5</x:v>
      </x:c>
      <x:c r="E417" s="11" t="n">
        <x:v>4</x:v>
      </x:c>
      <x:c r="F417" s="2" t="str">
        <x:v>24123060</x:v>
      </x:c>
      <x:c r="G417" s="2" t="str">
        <x:v>S29|24123060</x:v>
      </x:c>
      <x:c r="H417" s="2" t="n">
        <x:f>IFERROR(VLOOKUP(G417,'Ratings'!$A$6:$F$1387,6,FALSE),"Unknown")</x:f>
        <x:v>2</x:v>
      </x:c>
      <x:c r="I417" s="2" t="n">
        <x:f>IF(ISNUMBER(H417),1,0)</x:f>
        <x:v>1</x:v>
      </x:c>
      <x:c r="J417" s="2" t="n">
        <x:f>IF(ISNUMBER(H417),IF(H417&gt;=2,1,0),0)</x:f>
        <x:v>1</x:v>
      </x:c>
      <x:c r="K417" s="14" t="n">
        <x:f>IF(ISNUMBER(H417),2^H417-1,0)</x:f>
        <x:v>3</x:v>
      </x:c>
      <x:c r="L417" s="14" t="n">
        <x:f>K417/LOG(E417+1,2)</x:f>
        <x:v>1.2920296742201793</x:v>
      </x:c>
      <x:c r="M417" s="10" t="n">
        <x:v>2800</x:v>
      </x:c>
      <x:c r="N417" s="10" t="n">
        <x:v>2</x:v>
      </x:c>
      <x:c r="O417" s="10" t="n">
        <x:v>721</x:v>
      </x:c>
      <x:c r="P417" s="2" t="str">
        <x:v>D19</x:v>
      </x:c>
      <x:c r="Q417" s="2" t="str">
        <x:v>hdb flat</x:v>
      </x:c>
      <x:c r="R417" s="2" t="str">
        <x:v>https://www.propertyguru.com.sg/listing/hdb-for-rent-120b-punggol-edge-24123060</x:v>
      </x:c>
      <x:c r="S417" s="2" t="str">
        <x:v>cold_start_exploration</x:v>
      </x:c>
    </x:row>
    <x:row r="418" ht="22" customHeight="1">
      <x:c r="A418" s="2" t="str">
        <x:v>S29-T05</x:v>
      </x:c>
      <x:c r="B418" s="2" t="str">
        <x:v>S29</x:v>
      </x:c>
      <x:c r="C418" s="2" t="str">
        <x:v>Repeat</x:v>
      </x:c>
      <x:c r="D418" s="11" t="n">
        <x:v>5</x:v>
      </x:c>
      <x:c r="E418" s="11" t="n">
        <x:v>5</x:v>
      </x:c>
      <x:c r="F418" s="2" t="str">
        <x:v>500262772</x:v>
      </x:c>
      <x:c r="G418" s="2" t="str">
        <x:v>S29|500262772</x:v>
      </x:c>
      <x:c r="H418" s="2" t="n">
        <x:f>IFERROR(VLOOKUP(G418,'Ratings'!$A$6:$F$1387,6,FALSE),"Unknown")</x:f>
        <x:v>2</x:v>
      </x:c>
      <x:c r="I418" s="2" t="n">
        <x:f>IF(ISNUMBER(H418),1,0)</x:f>
        <x:v>1</x:v>
      </x:c>
      <x:c r="J418" s="2" t="n">
        <x:f>IF(ISNUMBER(H418),IF(H418&gt;=2,1,0),0)</x:f>
        <x:v>1</x:v>
      </x:c>
      <x:c r="K418" s="14" t="n">
        <x:f>IF(ISNUMBER(H418),2^H418-1,0)</x:f>
        <x:v>3</x:v>
      </x:c>
      <x:c r="L418" s="14" t="n">
        <x:f>K418/LOG(E418+1,2)</x:f>
        <x:v>1.1605584217036249</x:v>
      </x:c>
      <x:c r="M418" s="10" t="n">
        <x:v>2800</x:v>
      </x:c>
      <x:c r="N418" s="10" t="n">
        <x:v>2</x:v>
      </x:c>
      <x:c r="O418" s="10" t="n">
        <x:v>721</x:v>
      </x:c>
      <x:c r="P418" s="2" t="str">
        <x:v>D19</x:v>
      </x:c>
      <x:c r="Q418" s="2" t="str">
        <x:v>hdb flat</x:v>
      </x:c>
      <x:c r="R418" s="2" t="str">
        <x:v>https://www.propertyguru.com.sg/listing/hdb-for-rent-327-hougang-avenue-5-500262772</x:v>
      </x:c>
      <x:c r="S418" s="2" t="str">
        <x:v>cold_start_exploration</x:v>
      </x:c>
    </x:row>
    <x:row r="419" ht="22" customHeight="1">
      <x:c r="A419" s="2" t="str">
        <x:v>S29-T05</x:v>
      </x:c>
      <x:c r="B419" s="2" t="str">
        <x:v>S29</x:v>
      </x:c>
      <x:c r="C419" s="2" t="str">
        <x:v>Repeat</x:v>
      </x:c>
      <x:c r="D419" s="11" t="n">
        <x:v>5</x:v>
      </x:c>
      <x:c r="E419" s="11" t="n">
        <x:v>6</x:v>
      </x:c>
      <x:c r="F419" s="2" t="str">
        <x:v>500269987</x:v>
      </x:c>
      <x:c r="G419" s="2" t="str">
        <x:v>S29|500269987</x:v>
      </x:c>
      <x:c r="H419" s="2" t="n">
        <x:f>IFERROR(VLOOKUP(G419,'Ratings'!$A$6:$F$1387,6,FALSE),"Unknown")</x:f>
        <x:v>2</x:v>
      </x:c>
      <x:c r="I419" s="2" t="n">
        <x:f>IF(ISNUMBER(H419),1,0)</x:f>
        <x:v>1</x:v>
      </x:c>
      <x:c r="J419" s="2" t="n">
        <x:f>IF(ISNUMBER(H419),IF(H419&gt;=2,1,0),0)</x:f>
        <x:v>1</x:v>
      </x:c>
      <x:c r="K419" s="14" t="n">
        <x:f>IF(ISNUMBER(H419),2^H419-1,0)</x:f>
        <x:v>3</x:v>
      </x:c>
      <x:c r="L419" s="14" t="n">
        <x:f>K419/LOG(E419+1,2)</x:f>
        <x:v>1.0686215613240666</x:v>
      </x:c>
      <x:c r="M419" s="10" t="n">
        <x:v>2700</x:v>
      </x:c>
      <x:c r="N419" s="10" t="n">
        <x:v>2</x:v>
      </x:c>
      <x:c r="O419" s="10" t="n">
        <x:v>735</x:v>
      </x:c>
      <x:c r="P419" s="2" t="str">
        <x:v>D18</x:v>
      </x:c>
      <x:c r="Q419" s="2" t="str">
        <x:v>hdb flat</x:v>
      </x:c>
      <x:c r="R419" s="2" t="str">
        <x:v>https://www.propertyguru.com.sg/listing/hdb-for-rent-292-tampines-street-22-500269987</x:v>
      </x:c>
      <x:c r="S419" s="2" t="str">
        <x:v>cold_start_exploration</x:v>
      </x:c>
    </x:row>
    <x:row r="420" ht="22" customHeight="1">
      <x:c r="A420" s="2" t="str">
        <x:v>S29-T05</x:v>
      </x:c>
      <x:c r="B420" s="2" t="str">
        <x:v>S29</x:v>
      </x:c>
      <x:c r="C420" s="2" t="str">
        <x:v>Repeat</x:v>
      </x:c>
      <x:c r="D420" s="11" t="n">
        <x:v>5</x:v>
      </x:c>
      <x:c r="E420" s="11" t="n">
        <x:v>7</x:v>
      </x:c>
      <x:c r="F420" s="2" t="str">
        <x:v>500273673</x:v>
      </x:c>
      <x:c r="G420" s="2" t="str">
        <x:v>S29|500273673</x:v>
      </x:c>
      <x:c r="H420" s="2" t="n">
        <x:f>IFERROR(VLOOKUP(G420,'Ratings'!$A$6:$F$1387,6,FALSE),"Unknown")</x:f>
        <x:v>2</x:v>
      </x:c>
      <x:c r="I420" s="2" t="n">
        <x:f>IF(ISNUMBER(H420),1,0)</x:f>
        <x:v>1</x:v>
      </x:c>
      <x:c r="J420" s="2" t="n">
        <x:f>IF(ISNUMBER(H420),IF(H420&gt;=2,1,0),0)</x:f>
        <x:v>1</x:v>
      </x:c>
      <x:c r="K420" s="14" t="n">
        <x:f>IF(ISNUMBER(H420),2^H420-1,0)</x:f>
        <x:v>3</x:v>
      </x:c>
      <x:c r="L420" s="14" t="n">
        <x:f>K420/LOG(E420+1,2)</x:f>
        <x:v>1</x:v>
      </x:c>
      <x:c r="M420" s="10" t="n">
        <x:v>2800</x:v>
      </x:c>
      <x:c r="N420" s="10" t="n">
        <x:v>2</x:v>
      </x:c>
      <x:c r="O420" s="10" t="n">
        <x:v>700</x:v>
      </x:c>
      <x:c r="P420" s="2" t="str">
        <x:v>D19</x:v>
      </x:c>
      <x:c r="Q420" s="2" t="str">
        <x:v>hdb flat</x:v>
      </x:c>
      <x:c r="R420" s="2" t="str">
        <x:v>https://www.propertyguru.com.sg/listing/hdb-for-rent-637b-punggol-drive-500273673</x:v>
      </x:c>
      <x:c r="S420" s="2" t="str">
        <x:v>cold_start_exploration</x:v>
      </x:c>
    </x:row>
    <x:row r="421" ht="22" customHeight="1">
      <x:c r="A421" s="2" t="str">
        <x:v>S29-T05</x:v>
      </x:c>
      <x:c r="B421" s="2" t="str">
        <x:v>S29</x:v>
      </x:c>
      <x:c r="C421" s="2" t="str">
        <x:v>Repeat</x:v>
      </x:c>
      <x:c r="D421" s="11" t="n">
        <x:v>5</x:v>
      </x:c>
      <x:c r="E421" s="11" t="n">
        <x:v>8</x:v>
      </x:c>
      <x:c r="F421" s="2" t="str">
        <x:v>500283565</x:v>
      </x:c>
      <x:c r="G421" s="2" t="str">
        <x:v>S29|500283565</x:v>
      </x:c>
      <x:c r="H421" s="2" t="n">
        <x:f>IFERROR(VLOOKUP(G421,'Ratings'!$A$6:$F$1387,6,FALSE),"Unknown")</x:f>
        <x:v>2</x:v>
      </x:c>
      <x:c r="I421" s="2" t="n">
        <x:f>IF(ISNUMBER(H421),1,0)</x:f>
        <x:v>1</x:v>
      </x:c>
      <x:c r="J421" s="2" t="n">
        <x:f>IF(ISNUMBER(H421),IF(H421&gt;=2,1,0),0)</x:f>
        <x:v>1</x:v>
      </x:c>
      <x:c r="K421" s="14" t="n">
        <x:f>IF(ISNUMBER(H421),2^H421-1,0)</x:f>
        <x:v>3</x:v>
      </x:c>
      <x:c r="L421" s="14" t="n">
        <x:f>K421/LOG(E421+1,2)</x:f>
        <x:v>0.9463946303571861</x:v>
      </x:c>
      <x:c r="M421" s="10" t="n">
        <x:v>2600</x:v>
      </x:c>
      <x:c r="N421" s="10" t="n">
        <x:v>2</x:v>
      </x:c>
      <x:c r="O421" s="10" t="n">
        <x:v>721</x:v>
      </x:c>
      <x:c r="P421" s="2" t="str">
        <x:v>D20</x:v>
      </x:c>
      <x:c r="Q421" s="2" t="str">
        <x:v>hdb flat</x:v>
      </x:c>
      <x:c r="R421" s="2" t="str">
        <x:v>https://www.propertyguru.com.sg/listing/hdb-for-rent-213-ang-mo-kio-avenue-3-500283565</x:v>
      </x:c>
      <x:c r="S421" s="2" t="str">
        <x:v>cold_start_exploration</x:v>
      </x:c>
    </x:row>
    <x:row r="422" ht="22" customHeight="1">
      <x:c r="A422" s="2" t="str">
        <x:v>S29-T05</x:v>
      </x:c>
      <x:c r="B422" s="2" t="str">
        <x:v>S29</x:v>
      </x:c>
      <x:c r="C422" s="2" t="str">
        <x:v>Repeat</x:v>
      </x:c>
      <x:c r="D422" s="11" t="n">
        <x:v>5</x:v>
      </x:c>
      <x:c r="E422" s="11" t="n">
        <x:v>9</x:v>
      </x:c>
      <x:c r="F422" s="2" t="str">
        <x:v>500288455</x:v>
      </x:c>
      <x:c r="G422" s="2" t="str">
        <x:v>S29|500288455</x:v>
      </x:c>
      <x:c r="H422" s="2" t="n">
        <x:f>IFERROR(VLOOKUP(G422,'Ratings'!$A$6:$F$1387,6,FALSE),"Unknown")</x:f>
        <x:v>2</x:v>
      </x:c>
      <x:c r="I422" s="2" t="n">
        <x:f>IF(ISNUMBER(H422),1,0)</x:f>
        <x:v>1</x:v>
      </x:c>
      <x:c r="J422" s="2" t="n">
        <x:f>IF(ISNUMBER(H422),IF(H422&gt;=2,1,0),0)</x:f>
        <x:v>1</x:v>
      </x:c>
      <x:c r="K422" s="14" t="n">
        <x:f>IF(ISNUMBER(H422),2^H422-1,0)</x:f>
        <x:v>3</x:v>
      </x:c>
      <x:c r="L422" s="14" t="n">
        <x:f>K422/LOG(E422+1,2)</x:f>
        <x:v>0.9030899869919435</x:v>
      </x:c>
      <x:c r="M422" s="10" t="n">
        <x:v>2390</x:v>
      </x:c>
      <x:c r="N422" s="10" t="n">
        <x:v>2</x:v>
      </x:c>
      <x:c r="O422" s="10" t="n">
        <x:v>403</x:v>
      </x:c>
      <x:c r="P422" s="2" t="str">
        <x:v>D19</x:v>
      </x:c>
      <x:c r="Q422" s="2" t="str">
        <x:v>hdb flat</x:v>
      </x:c>
      <x:c r="R422" s="2" t="str">
        <x:v>https://www.propertyguru.com.sg/listing/hdb-for-rent-250c-compassvale-street-500288455</x:v>
      </x:c>
      <x:c r="S422" s="2" t="str">
        <x:v>cold_start_exploration</x:v>
      </x:c>
    </x:row>
    <x:row r="423" ht="22" customHeight="1">
      <x:c r="A423" s="2" t="str">
        <x:v>S29-T05</x:v>
      </x:c>
      <x:c r="B423" s="2" t="str">
        <x:v>S29</x:v>
      </x:c>
      <x:c r="C423" s="2" t="str">
        <x:v>Repeat</x:v>
      </x:c>
      <x:c r="D423" s="11" t="n">
        <x:v>5</x:v>
      </x:c>
      <x:c r="E423" s="11" t="n">
        <x:v>10</x:v>
      </x:c>
      <x:c r="F423" s="2" t="str">
        <x:v>60178525</x:v>
      </x:c>
      <x:c r="G423" s="2" t="str">
        <x:v>S29|60178525</x:v>
      </x:c>
      <x:c r="H423" s="2" t="n">
        <x:f>IFERROR(VLOOKUP(G423,'Ratings'!$A$6:$F$1387,6,FALSE),"Unknown")</x:f>
        <x:v>2</x:v>
      </x:c>
      <x:c r="I423" s="2" t="n">
        <x:f>IF(ISNUMBER(H423),1,0)</x:f>
        <x:v>1</x:v>
      </x:c>
      <x:c r="J423" s="2" t="n">
        <x:f>IF(ISNUMBER(H423),IF(H423&gt;=2,1,0),0)</x:f>
        <x:v>1</x:v>
      </x:c>
      <x:c r="K423" s="14" t="n">
        <x:f>IF(ISNUMBER(H423),2^H423-1,0)</x:f>
        <x:v>3</x:v>
      </x:c>
      <x:c r="L423" s="14" t="n">
        <x:f>K423/LOG(E423+1,2)</x:f>
        <x:v>0.8671944789536634</x:v>
      </x:c>
      <x:c r="M423" s="10" t="n">
        <x:v>2800</x:v>
      </x:c>
      <x:c r="N423" s="10" t="n">
        <x:v>2</x:v>
      </x:c>
      <x:c r="O423" s="10" t="n">
        <x:v>646</x:v>
      </x:c>
      <x:c r="P423" s="2" t="str">
        <x:v>D19</x:v>
      </x:c>
      <x:c r="Q423" s="2" t="str">
        <x:v>hdb flat</x:v>
      </x:c>
      <x:c r="R423" s="2" t="str">
        <x:v>https://www.propertyguru.com.sg/listing/hdb-for-rent-623-hougang-avenue-8-60178525</x:v>
      </x:c>
      <x:c r="S423" s="2" t="str">
        <x:v>cold_start_exploration</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pane xSplit="3" ySplit="5" topLeftCell="D6" activePane="bottomRight" state="frozen"/>
    </x:sheetView>
  </x:sheetViews>
  <x:sheetFormatPr defaultRowHeight="15"/>
  <x:cols>
    <x:col min="1" max="1" width="20.559999465942383" hidden="0" customWidth="1"/>
    <x:col min="2" max="2" width="15.5600004196167" hidden="0" customWidth="1"/>
    <x:col min="3" max="3" width="10" hidden="0" customWidth="1"/>
    <x:col min="4" max="4" width="12.220000267028809" hidden="0" customWidth="1"/>
    <x:col min="5" max="5" width="7.21999979019165" hidden="0" customWidth="1"/>
    <x:col min="6" max="6" width="7.21999979019165" hidden="0" customWidth="1"/>
    <x:col min="7" max="7" width="11.109999656677246" hidden="0" customWidth="1"/>
    <x:col min="8" max="8" width="9.4399995803833" hidden="0" customWidth="1"/>
    <x:col min="9" max="9" width="11.109999656677246" hidden="0" customWidth="1"/>
    <x:col min="10" max="10" width="13.890000343322754" hidden="0" customWidth="1"/>
    <x:col min="11" max="11" width="13.329999923706055" hidden="0" customWidth="1"/>
    <x:col min="12" max="12" width="13.890000343322754" hidden="0" customWidth="1"/>
    <x:col min="13" max="13" width="12.779999732971191" hidden="0" customWidth="1"/>
    <x:col min="14" max="14" width="13.329999923706055" hidden="0" customWidth="1"/>
    <x:col min="15" max="15" width="12.779999732971191" hidden="0" customWidth="1"/>
    <x:col min="16" max="16" width="13.890000343322754" hidden="0" customWidth="1"/>
    <x:col min="17" max="17" width="12.220000267028809" hidden="0" customWidth="1"/>
  </x:cols>
  <x:sheetData>
    <x:row r="1" ht="22" customHeight="1">
      <x:c r="A1" s="2"/>
      <x:c r="B1" s="2"/>
      <x:c r="C1" s="2"/>
      <x:c r="D1" s="2"/>
      <x:c r="E1" s="2"/>
      <x:c r="F1" s="2"/>
      <x:c r="G1" s="2"/>
      <x:c r="H1" s="2"/>
      <x:c r="I1" s="2"/>
      <x:c r="J1" s="2"/>
      <x:c r="K1" s="2"/>
      <x:c r="L1" s="2"/>
      <x:c r="M1" s="2"/>
      <x:c r="N1" s="2"/>
      <x:c r="O1" s="2"/>
      <x:c r="P1" s="2"/>
      <x:c r="Q1" s="2"/>
    </x:row>
    <x:row r="2" ht="22" customHeight="1">
      <x:c r="A2" s="3" t="str">
        <x:v>Per scenario and cutoff calculations</x:v>
      </x:c>
      <x:c r="B2" s="2"/>
      <x:c r="C2" s="2"/>
      <x:c r="D2" s="2"/>
      <x:c r="E2" s="2"/>
      <x:c r="F2" s="2"/>
      <x:c r="G2" s="2"/>
      <x:c r="H2" s="2"/>
      <x:c r="I2" s="2"/>
      <x:c r="J2" s="2"/>
      <x:c r="K2" s="2"/>
      <x:c r="L2" s="2"/>
      <x:c r="M2" s="2"/>
      <x:c r="N2" s="2"/>
      <x:c r="O2" s="2"/>
      <x:c r="P2" s="2"/>
      <x:c r="Q2" s="2"/>
    </x:row>
    <x:row r="3" ht="22" customHeight="1">
      <x:c r="A3" s="4" t="str">
        <x:v>Main results use trial 1. Repeated trials retain separate identities and do not increase the scenario count.</x:v>
      </x:c>
      <x:c r="B3" s="2"/>
      <x:c r="C3" s="2"/>
      <x:c r="D3" s="2"/>
      <x:c r="E3" s="2"/>
      <x:c r="F3" s="2"/>
      <x:c r="G3" s="2"/>
      <x:c r="H3" s="2"/>
      <x:c r="I3" s="2"/>
      <x:c r="J3" s="2"/>
      <x:c r="K3" s="2"/>
      <x:c r="L3" s="2"/>
      <x:c r="M3" s="2"/>
      <x:c r="N3" s="2"/>
      <x:c r="O3" s="2"/>
      <x:c r="P3" s="2"/>
      <x:c r="Q3" s="2"/>
    </x:row>
    <x:row r="4" ht="22" customHeight="1">
      <x:c r="A4" s="2"/>
      <x:c r="B4" s="2"/>
      <x:c r="C4" s="2"/>
      <x:c r="D4" s="2"/>
      <x:c r="E4" s="2"/>
      <x:c r="F4" s="2"/>
      <x:c r="G4" s="2"/>
      <x:c r="H4" s="2"/>
      <x:c r="I4" s="2"/>
      <x:c r="J4" s="2"/>
      <x:c r="K4" s="2"/>
      <x:c r="L4" s="2"/>
      <x:c r="M4" s="2"/>
      <x:c r="N4" s="2"/>
      <x:c r="O4" s="2"/>
      <x:c r="P4" s="2"/>
      <x:c r="Q4" s="2"/>
    </x:row>
    <x:row r="5" ht="36" customHeight="1">
      <x:c r="A5" s="8" t="str">
        <x:v>Lookup key</x:v>
      </x:c>
      <x:c r="B5" s="8" t="str">
        <x:v>Run ID</x:v>
      </x:c>
      <x:c r="C5" s="8" t="str">
        <x:v>Scenario</x:v>
      </x:c>
      <x:c r="D5" s="8" t="str">
        <x:v>Cohort</x:v>
      </x:c>
      <x:c r="E5" s="8" t="str">
        <x:v>Trial</x:v>
      </x:c>
      <x:c r="F5" s="8" t="str">
        <x:v>K</x:v>
      </x:c>
      <x:c r="G5" s="8" t="str">
        <x:v>Returned</x:v>
      </x:c>
      <x:c r="H5" s="8" t="str">
        <x:v>Hits</x:v>
      </x:c>
      <x:c r="I5" s="8" t="str">
        <x:v>Unknown</x:v>
      </x:c>
      <x:c r="J5" s="8" t="str">
        <x:v>Pool relevant</x:v>
      </x:c>
      <x:c r="K5" s="8" t="str">
        <x:v>Precision</x:v>
      </x:c>
      <x:c r="L5" s="8" t="str">
        <x:v>Pool Recall</x:v>
      </x:c>
      <x:c r="M5" s="8" t="str">
        <x:v>DCG</x:v>
      </x:c>
      <x:c r="N5" s="8" t="str">
        <x:v>Ideal DCG</x:v>
      </x:c>
      <x:c r="O5" s="8" t="str">
        <x:v>NDCG</x:v>
      </x:c>
      <x:c r="P5" s="8" t="str">
        <x:v>Filled-slot P</x:v>
      </x:c>
      <x:c r="Q5" s="8" t="str">
        <x:v>Empty slots</x:v>
      </x:c>
    </x:row>
    <x:row r="6" ht="22" customHeight="1">
      <x:c r="A6" s="2" t="str">
        <x:v>S01-T01|1</x:v>
      </x:c>
      <x:c r="B6" s="2" t="str">
        <x:v>S01-T01</x:v>
      </x:c>
      <x:c r="C6" s="2" t="str">
        <x:v>S01</x:v>
      </x:c>
      <x:c r="D6" s="2" t="str">
        <x:v>Retained</x:v>
      </x:c>
      <x:c r="E6" s="2" t="n">
        <x:v>1</x:v>
      </x:c>
      <x:c r="F6" s="2" t="n">
        <x:v>1</x:v>
      </x:c>
      <x:c r="G6" s="2" t="n">
        <x:f>COUNTIFS('Rankings'!$A$6:$A$423,B6,'Rankings'!$E$6:$E$423,"&lt;="&amp;F6)</x:f>
        <x:v>1</x:v>
      </x:c>
      <x:c r="H6" s="2" t="n">
        <x:f>SUMIFS('Rankings'!$J$6:$J$423,'Rankings'!$A$6:$A$423,B6,'Rankings'!$E$6:$E$423,"&lt;="&amp;F6)</x:f>
        <x:v>1</x:v>
      </x:c>
      <x:c r="I6" s="2" t="n">
        <x:f>G6-SUMIFS('Rankings'!$I$6:$I$423,'Rankings'!$A$6:$A$423,B6,'Rankings'!$E$6:$E$423,"&lt;="&amp;F6)</x:f>
        <x:v>0</x:v>
      </x:c>
      <x:c r="J6" s="2" t="n">
        <x:f>SUMIFS('Ratings'!$H$6:$H$1387,'Ratings'!$B$6:$B$1387,C6)</x:f>
        <x:v>17</x:v>
      </x:c>
      <x:c r="K6" s="15" t="n">
        <x:f>IF(I6&gt;0,"Unknown",H6/F6)</x:f>
        <x:v>1</x:v>
      </x:c>
      <x:c r="L6" s="15" t="n">
        <x:f>IF(J6=0,"N/A",H6/J6)</x:f>
        <x:v>0.058823529411764705</x:v>
      </x:c>
      <x:c r="M6" s="14" t="n">
        <x:f>SUMIFS('Rankings'!$L$6:$L$423,'Rankings'!$A$6:$A$423,B6,'Rankings'!$E$6:$E$423,"&lt;="&amp;F6)</x:f>
        <x:v>7</x:v>
      </x:c>
      <x:c r="N6" s="14" t="n">
        <x:f>SUMIFS('Ideal ranking'!$H$6:$H$365,'Ideal ranking'!$A$6:$A$365,C6,'Ideal ranking'!$B$6:$B$365,"&lt;="&amp;F6)</x:f>
        <x:v>7</x:v>
      </x:c>
      <x:c r="O6" s="14" t="n">
        <x:f>IF(I6&gt;0,"Unknown",IF(N6=0,"N/A",M6/N6))</x:f>
        <x:v>1</x:v>
      </x:c>
      <x:c r="P6" s="15" t="n">
        <x:f>IF(G6=0,"N/A",IF(I6&gt;0,"Unknown",H6/G6))</x:f>
        <x:v>1</x:v>
      </x:c>
      <x:c r="Q6" s="2" t="n">
        <x:f>F6-G6</x:f>
        <x:v>0</x:v>
      </x:c>
    </x:row>
    <x:row r="7" ht="22" customHeight="1">
      <x:c r="A7" s="2" t="str">
        <x:v>S01-T01|2</x:v>
      </x:c>
      <x:c r="B7" s="2" t="str">
        <x:v>S01-T01</x:v>
      </x:c>
      <x:c r="C7" s="2" t="str">
        <x:v>S01</x:v>
      </x:c>
      <x:c r="D7" s="2" t="str">
        <x:v>Retained</x:v>
      </x:c>
      <x:c r="E7" s="2" t="n">
        <x:v>1</x:v>
      </x:c>
      <x:c r="F7" s="2" t="n">
        <x:v>2</x:v>
      </x:c>
      <x:c r="G7" s="2" t="n">
        <x:f>COUNTIFS('Rankings'!$A$6:$A$423,B7,'Rankings'!$E$6:$E$423,"&lt;="&amp;F7)</x:f>
        <x:v>2</x:v>
      </x:c>
      <x:c r="H7" s="2" t="n">
        <x:f>SUMIFS('Rankings'!$J$6:$J$423,'Rankings'!$A$6:$A$423,B7,'Rankings'!$E$6:$E$423,"&lt;="&amp;F7)</x:f>
        <x:v>2</x:v>
      </x:c>
      <x:c r="I7" s="2" t="n">
        <x:f>G7-SUMIFS('Rankings'!$I$6:$I$423,'Rankings'!$A$6:$A$423,B7,'Rankings'!$E$6:$E$423,"&lt;="&amp;F7)</x:f>
        <x:v>0</x:v>
      </x:c>
      <x:c r="J7" s="2" t="n">
        <x:f>SUMIFS('Ratings'!$H$6:$H$1387,'Ratings'!$B$6:$B$1387,C7)</x:f>
        <x:v>17</x:v>
      </x:c>
      <x:c r="K7" s="15" t="n">
        <x:f>IF(I7&gt;0,"Unknown",H7/F7)</x:f>
        <x:v>1</x:v>
      </x:c>
      <x:c r="L7" s="15" t="n">
        <x:f>IF(J7=0,"N/A",H7/J7)</x:f>
        <x:v>0.11764705882352941</x:v>
      </x:c>
      <x:c r="M7" s="14" t="n">
        <x:f>SUMIFS('Rankings'!$L$6:$L$423,'Rankings'!$A$6:$A$423,B7,'Rankings'!$E$6:$E$423,"&lt;="&amp;F7)</x:f>
        <x:v>11.416508275000202</x:v>
      </x:c>
      <x:c r="N7" s="14" t="n">
        <x:f>SUMIFS('Ideal ranking'!$H$6:$H$365,'Ideal ranking'!$A$6:$A$365,C7,'Ideal ranking'!$B$6:$B$365,"&lt;="&amp;F7)</x:f>
        <x:v>11.416508275000202</x:v>
      </x:c>
      <x:c r="O7" s="14" t="n">
        <x:f>IF(I7&gt;0,"Unknown",IF(N7=0,"N/A",M7/N7))</x:f>
        <x:v>1</x:v>
      </x:c>
      <x:c r="P7" s="15" t="n">
        <x:f>IF(G7=0,"N/A",IF(I7&gt;0,"Unknown",H7/G7))</x:f>
        <x:v>1</x:v>
      </x:c>
      <x:c r="Q7" s="2" t="n">
        <x:f>F7-G7</x:f>
        <x:v>0</x:v>
      </x:c>
    </x:row>
    <x:row r="8" ht="22" customHeight="1">
      <x:c r="A8" s="2" t="str">
        <x:v>S01-T01|3</x:v>
      </x:c>
      <x:c r="B8" s="2" t="str">
        <x:v>S01-T01</x:v>
      </x:c>
      <x:c r="C8" s="2" t="str">
        <x:v>S01</x:v>
      </x:c>
      <x:c r="D8" s="2" t="str">
        <x:v>Retained</x:v>
      </x:c>
      <x:c r="E8" s="2" t="n">
        <x:v>1</x:v>
      </x:c>
      <x:c r="F8" s="2" t="n">
        <x:v>3</x:v>
      </x:c>
      <x:c r="G8" s="2" t="n">
        <x:f>COUNTIFS('Rankings'!$A$6:$A$423,B8,'Rankings'!$E$6:$E$423,"&lt;="&amp;F8)</x:f>
        <x:v>3</x:v>
      </x:c>
      <x:c r="H8" s="2" t="n">
        <x:f>SUMIFS('Rankings'!$J$6:$J$423,'Rankings'!$A$6:$A$423,B8,'Rankings'!$E$6:$E$423,"&lt;="&amp;F8)</x:f>
        <x:v>3</x:v>
      </x:c>
      <x:c r="I8" s="2" t="n">
        <x:f>G8-SUMIFS('Rankings'!$I$6:$I$423,'Rankings'!$A$6:$A$423,B8,'Rankings'!$E$6:$E$423,"&lt;="&amp;F8)</x:f>
        <x:v>0</x:v>
      </x:c>
      <x:c r="J8" s="2" t="n">
        <x:f>SUMIFS('Ratings'!$H$6:$H$1387,'Ratings'!$B$6:$B$1387,C8)</x:f>
        <x:v>17</x:v>
      </x:c>
      <x:c r="K8" s="15" t="n">
        <x:f>IF(I8&gt;0,"Unknown",H8/F8)</x:f>
        <x:v>1</x:v>
      </x:c>
      <x:c r="L8" s="15" t="n">
        <x:f>IF(J8=0,"N/A",H8/J8)</x:f>
        <x:v>0.17647058823529413</x:v>
      </x:c>
      <x:c r="M8" s="14" t="n">
        <x:f>SUMIFS('Rankings'!$L$6:$L$423,'Rankings'!$A$6:$A$423,B8,'Rankings'!$E$6:$E$423,"&lt;="&amp;F8)</x:f>
        <x:v>14.916508275000202</x:v>
      </x:c>
      <x:c r="N8" s="14" t="n">
        <x:f>SUMIFS('Ideal ranking'!$H$6:$H$365,'Ideal ranking'!$A$6:$A$365,C8,'Ideal ranking'!$B$6:$B$365,"&lt;="&amp;F8)</x:f>
        <x:v>14.916508275000202</x:v>
      </x:c>
      <x:c r="O8" s="14" t="n">
        <x:f>IF(I8&gt;0,"Unknown",IF(N8=0,"N/A",M8/N8))</x:f>
        <x:v>1</x:v>
      </x:c>
      <x:c r="P8" s="15" t="n">
        <x:f>IF(G8=0,"N/A",IF(I8&gt;0,"Unknown",H8/G8))</x:f>
        <x:v>1</x:v>
      </x:c>
      <x:c r="Q8" s="2" t="n">
        <x:f>F8-G8</x:f>
        <x:v>0</x:v>
      </x:c>
    </x:row>
    <x:row r="9" ht="22" customHeight="1">
      <x:c r="A9" s="2" t="str">
        <x:v>S01-T01|4</x:v>
      </x:c>
      <x:c r="B9" s="2" t="str">
        <x:v>S01-T01</x:v>
      </x:c>
      <x:c r="C9" s="2" t="str">
        <x:v>S01</x:v>
      </x:c>
      <x:c r="D9" s="2" t="str">
        <x:v>Retained</x:v>
      </x:c>
      <x:c r="E9" s="2" t="n">
        <x:v>1</x:v>
      </x:c>
      <x:c r="F9" s="2" t="n">
        <x:v>4</x:v>
      </x:c>
      <x:c r="G9" s="2" t="n">
        <x:f>COUNTIFS('Rankings'!$A$6:$A$423,B9,'Rankings'!$E$6:$E$423,"&lt;="&amp;F9)</x:f>
        <x:v>4</x:v>
      </x:c>
      <x:c r="H9" s="2" t="n">
        <x:f>SUMIFS('Rankings'!$J$6:$J$423,'Rankings'!$A$6:$A$423,B9,'Rankings'!$E$6:$E$423,"&lt;="&amp;F9)</x:f>
        <x:v>4</x:v>
      </x:c>
      <x:c r="I9" s="2" t="n">
        <x:f>G9-SUMIFS('Rankings'!$I$6:$I$423,'Rankings'!$A$6:$A$423,B9,'Rankings'!$E$6:$E$423,"&lt;="&amp;F9)</x:f>
        <x:v>0</x:v>
      </x:c>
      <x:c r="J9" s="2" t="n">
        <x:f>SUMIFS('Ratings'!$H$6:$H$1387,'Ratings'!$B$6:$B$1387,C9)</x:f>
        <x:v>17</x:v>
      </x:c>
      <x:c r="K9" s="15" t="n">
        <x:f>IF(I9&gt;0,"Unknown",H9/F9)</x:f>
        <x:v>1</x:v>
      </x:c>
      <x:c r="L9" s="15" t="n">
        <x:f>IF(J9=0,"N/A",H9/J9)</x:f>
        <x:v>0.23529411764705882</x:v>
      </x:c>
      <x:c r="M9" s="14" t="n">
        <x:f>SUMIFS('Rankings'!$L$6:$L$423,'Rankings'!$A$6:$A$423,B9,'Rankings'!$E$6:$E$423,"&lt;="&amp;F9)</x:f>
        <x:v>17.931244181513954</x:v>
      </x:c>
      <x:c r="N9" s="14" t="n">
        <x:f>SUMIFS('Ideal ranking'!$H$6:$H$365,'Ideal ranking'!$A$6:$A$365,C9,'Ideal ranking'!$B$6:$B$365,"&lt;="&amp;F9)</x:f>
        <x:v>17.931244181513954</x:v>
      </x:c>
      <x:c r="O9" s="14" t="n">
        <x:f>IF(I9&gt;0,"Unknown",IF(N9=0,"N/A",M9/N9))</x:f>
        <x:v>1</x:v>
      </x:c>
      <x:c r="P9" s="15" t="n">
        <x:f>IF(G9=0,"N/A",IF(I9&gt;0,"Unknown",H9/G9))</x:f>
        <x:v>1</x:v>
      </x:c>
      <x:c r="Q9" s="2" t="n">
        <x:f>F9-G9</x:f>
        <x:v>0</x:v>
      </x:c>
    </x:row>
    <x:row r="10" ht="22" customHeight="1">
      <x:c r="A10" s="2" t="str">
        <x:v>S01-T01|5</x:v>
      </x:c>
      <x:c r="B10" s="2" t="str">
        <x:v>S01-T01</x:v>
      </x:c>
      <x:c r="C10" s="2" t="str">
        <x:v>S01</x:v>
      </x:c>
      <x:c r="D10" s="2" t="str">
        <x:v>Retained</x:v>
      </x:c>
      <x:c r="E10" s="2" t="n">
        <x:v>1</x:v>
      </x:c>
      <x:c r="F10" s="2" t="n">
        <x:v>5</x:v>
      </x:c>
      <x:c r="G10" s="2" t="n">
        <x:f>COUNTIFS('Rankings'!$A$6:$A$423,B10,'Rankings'!$E$6:$E$423,"&lt;="&amp;F10)</x:f>
        <x:v>5</x:v>
      </x:c>
      <x:c r="H10" s="2" t="n">
        <x:f>SUMIFS('Rankings'!$J$6:$J$423,'Rankings'!$A$6:$A$423,B10,'Rankings'!$E$6:$E$423,"&lt;="&amp;F10)</x:f>
        <x:v>5</x:v>
      </x:c>
      <x:c r="I10" s="2" t="n">
        <x:f>G10-SUMIFS('Rankings'!$I$6:$I$423,'Rankings'!$A$6:$A$423,B10,'Rankings'!$E$6:$E$423,"&lt;="&amp;F10)</x:f>
        <x:v>0</x:v>
      </x:c>
      <x:c r="J10" s="2" t="n">
        <x:f>SUMIFS('Ratings'!$H$6:$H$1387,'Ratings'!$B$6:$B$1387,C10)</x:f>
        <x:v>17</x:v>
      </x:c>
      <x:c r="K10" s="15" t="n">
        <x:f>IF(I10&gt;0,"Unknown",H10/F10)</x:f>
        <x:v>1</x:v>
      </x:c>
      <x:c r="L10" s="15" t="n">
        <x:f>IF(J10=0,"N/A",H10/J10)</x:f>
        <x:v>0.29411764705882354</x:v>
      </x:c>
      <x:c r="M10" s="14" t="n">
        <x:f>SUMIFS('Rankings'!$L$6:$L$423,'Rankings'!$A$6:$A$423,B10,'Rankings'!$E$6:$E$423,"&lt;="&amp;F10)</x:f>
        <x:v>20.639213832155747</x:v>
      </x:c>
      <x:c r="N10" s="14" t="n">
        <x:f>SUMIFS('Ideal ranking'!$H$6:$H$365,'Ideal ranking'!$A$6:$A$365,C10,'Ideal ranking'!$B$6:$B$365,"&lt;="&amp;F10)</x:f>
        <x:v>20.639213832155747</x:v>
      </x:c>
      <x:c r="O10" s="14" t="n">
        <x:f>IF(I10&gt;0,"Unknown",IF(N10=0,"N/A",M10/N10))</x:f>
        <x:v>1</x:v>
      </x:c>
      <x:c r="P10" s="15" t="n">
        <x:f>IF(G10=0,"N/A",IF(I10&gt;0,"Unknown",H10/G10))</x:f>
        <x:v>1</x:v>
      </x:c>
      <x:c r="Q10" s="2" t="n">
        <x:f>F10-G10</x:f>
        <x:v>0</x:v>
      </x:c>
    </x:row>
    <x:row r="11" ht="22" customHeight="1">
      <x:c r="A11" s="2" t="str">
        <x:v>S01-T01|6</x:v>
      </x:c>
      <x:c r="B11" s="2" t="str">
        <x:v>S01-T01</x:v>
      </x:c>
      <x:c r="C11" s="2" t="str">
        <x:v>S01</x:v>
      </x:c>
      <x:c r="D11" s="2" t="str">
        <x:v>Retained</x:v>
      </x:c>
      <x:c r="E11" s="2" t="n">
        <x:v>1</x:v>
      </x:c>
      <x:c r="F11" s="2" t="n">
        <x:v>6</x:v>
      </x:c>
      <x:c r="G11" s="2" t="n">
        <x:f>COUNTIFS('Rankings'!$A$6:$A$423,B11,'Rankings'!$E$6:$E$423,"&lt;="&amp;F11)</x:f>
        <x:v>6</x:v>
      </x:c>
      <x:c r="H11" s="2" t="n">
        <x:f>SUMIFS('Rankings'!$J$6:$J$423,'Rankings'!$A$6:$A$423,B11,'Rankings'!$E$6:$E$423,"&lt;="&amp;F11)</x:f>
        <x:v>6</x:v>
      </x:c>
      <x:c r="I11" s="2" t="n">
        <x:f>G11-SUMIFS('Rankings'!$I$6:$I$423,'Rankings'!$A$6:$A$423,B11,'Rankings'!$E$6:$E$423,"&lt;="&amp;F11)</x:f>
        <x:v>0</x:v>
      </x:c>
      <x:c r="J11" s="2" t="n">
        <x:f>SUMIFS('Ratings'!$H$6:$H$1387,'Ratings'!$B$6:$B$1387,C11)</x:f>
        <x:v>17</x:v>
      </x:c>
      <x:c r="K11" s="15" t="n">
        <x:f>IF(I11&gt;0,"Unknown",H11/F11)</x:f>
        <x:v>1</x:v>
      </x:c>
      <x:c r="L11" s="15" t="n">
        <x:f>IF(J11=0,"N/A",H11/J11)</x:f>
        <x:v>0.35294117647058826</x:v>
      </x:c>
      <x:c r="M11" s="14" t="n">
        <x:f>SUMIFS('Rankings'!$L$6:$L$423,'Rankings'!$A$6:$A$423,B11,'Rankings'!$E$6:$E$423,"&lt;="&amp;F11)</x:f>
        <x:v>23.132664141911903</x:v>
      </x:c>
      <x:c r="N11" s="14" t="n">
        <x:f>SUMIFS('Ideal ranking'!$H$6:$H$365,'Ideal ranking'!$A$6:$A$365,C11,'Ideal ranking'!$B$6:$B$365,"&lt;="&amp;F11)</x:f>
        <x:v>23.132664141911903</x:v>
      </x:c>
      <x:c r="O11" s="14" t="n">
        <x:f>IF(I11&gt;0,"Unknown",IF(N11=0,"N/A",M11/N11))</x:f>
        <x:v>1</x:v>
      </x:c>
      <x:c r="P11" s="15" t="n">
        <x:f>IF(G11=0,"N/A",IF(I11&gt;0,"Unknown",H11/G11))</x:f>
        <x:v>1</x:v>
      </x:c>
      <x:c r="Q11" s="2" t="n">
        <x:f>F11-G11</x:f>
        <x:v>0</x:v>
      </x:c>
    </x:row>
    <x:row r="12" ht="22" customHeight="1">
      <x:c r="A12" s="2" t="str">
        <x:v>S01-T01|7</x:v>
      </x:c>
      <x:c r="B12" s="2" t="str">
        <x:v>S01-T01</x:v>
      </x:c>
      <x:c r="C12" s="2" t="str">
        <x:v>S01</x:v>
      </x:c>
      <x:c r="D12" s="2" t="str">
        <x:v>Retained</x:v>
      </x:c>
      <x:c r="E12" s="2" t="n">
        <x:v>1</x:v>
      </x:c>
      <x:c r="F12" s="2" t="n">
        <x:v>7</x:v>
      </x:c>
      <x:c r="G12" s="2" t="n">
        <x:f>COUNTIFS('Rankings'!$A$6:$A$423,B12,'Rankings'!$E$6:$E$423,"&lt;="&amp;F12)</x:f>
        <x:v>7</x:v>
      </x:c>
      <x:c r="H12" s="2" t="n">
        <x:f>SUMIFS('Rankings'!$J$6:$J$423,'Rankings'!$A$6:$A$423,B12,'Rankings'!$E$6:$E$423,"&lt;="&amp;F12)</x:f>
        <x:v>7</x:v>
      </x:c>
      <x:c r="I12" s="2" t="n">
        <x:f>G12-SUMIFS('Rankings'!$I$6:$I$423,'Rankings'!$A$6:$A$423,B12,'Rankings'!$E$6:$E$423,"&lt;="&amp;F12)</x:f>
        <x:v>0</x:v>
      </x:c>
      <x:c r="J12" s="2" t="n">
        <x:f>SUMIFS('Ratings'!$H$6:$H$1387,'Ratings'!$B$6:$B$1387,C12)</x:f>
        <x:v>17</x:v>
      </x:c>
      <x:c r="K12" s="15" t="n">
        <x:f>IF(I12&gt;0,"Unknown",H12/F12)</x:f>
        <x:v>1</x:v>
      </x:c>
      <x:c r="L12" s="15" t="n">
        <x:f>IF(J12=0,"N/A",H12/J12)</x:f>
        <x:v>0.4117647058823529</x:v>
      </x:c>
      <x:c r="M12" s="14" t="n">
        <x:f>SUMIFS('Rankings'!$L$6:$L$423,'Rankings'!$A$6:$A$423,B12,'Rankings'!$E$6:$E$423,"&lt;="&amp;F12)</x:f>
        <x:v>25.465997475245235</x:v>
      </x:c>
      <x:c r="N12" s="14" t="n">
        <x:f>SUMIFS('Ideal ranking'!$H$6:$H$365,'Ideal ranking'!$A$6:$A$365,C12,'Ideal ranking'!$B$6:$B$365,"&lt;="&amp;F12)</x:f>
        <x:v>25.465997475245235</x:v>
      </x:c>
      <x:c r="O12" s="14" t="n">
        <x:f>IF(I12&gt;0,"Unknown",IF(N12=0,"N/A",M12/N12))</x:f>
        <x:v>1</x:v>
      </x:c>
      <x:c r="P12" s="15" t="n">
        <x:f>IF(G12=0,"N/A",IF(I12&gt;0,"Unknown",H12/G12))</x:f>
        <x:v>1</x:v>
      </x:c>
      <x:c r="Q12" s="2" t="n">
        <x:f>F12-G12</x:f>
        <x:v>0</x:v>
      </x:c>
    </x:row>
    <x:row r="13" ht="22" customHeight="1">
      <x:c r="A13" s="2" t="str">
        <x:v>S01-T01|8</x:v>
      </x:c>
      <x:c r="B13" s="2" t="str">
        <x:v>S01-T01</x:v>
      </x:c>
      <x:c r="C13" s="2" t="str">
        <x:v>S01</x:v>
      </x:c>
      <x:c r="D13" s="2" t="str">
        <x:v>Retained</x:v>
      </x:c>
      <x:c r="E13" s="2" t="n">
        <x:v>1</x:v>
      </x:c>
      <x:c r="F13" s="2" t="n">
        <x:v>8</x:v>
      </x:c>
      <x:c r="G13" s="2" t="n">
        <x:f>COUNTIFS('Rankings'!$A$6:$A$423,B13,'Rankings'!$E$6:$E$423,"&lt;="&amp;F13)</x:f>
        <x:v>8</x:v>
      </x:c>
      <x:c r="H13" s="2" t="n">
        <x:f>SUMIFS('Rankings'!$J$6:$J$423,'Rankings'!$A$6:$A$423,B13,'Rankings'!$E$6:$E$423,"&lt;="&amp;F13)</x:f>
        <x:v>8</x:v>
      </x:c>
      <x:c r="I13" s="2" t="n">
        <x:f>G13-SUMIFS('Rankings'!$I$6:$I$423,'Rankings'!$A$6:$A$423,B13,'Rankings'!$E$6:$E$423,"&lt;="&amp;F13)</x:f>
        <x:v>0</x:v>
      </x:c>
      <x:c r="J13" s="2" t="n">
        <x:f>SUMIFS('Ratings'!$H$6:$H$1387,'Ratings'!$B$6:$B$1387,C13)</x:f>
        <x:v>17</x:v>
      </x:c>
      <x:c r="K13" s="15" t="n">
        <x:f>IF(I13&gt;0,"Unknown",H13/F13)</x:f>
        <x:v>1</x:v>
      </x:c>
      <x:c r="L13" s="15" t="n">
        <x:f>IF(J13=0,"N/A",H13/J13)</x:f>
        <x:v>0.47058823529411764</x:v>
      </x:c>
      <x:c r="M13" s="14" t="n">
        <x:f>SUMIFS('Rankings'!$L$6:$L$423,'Rankings'!$A$6:$A$423,B13,'Rankings'!$E$6:$E$423,"&lt;="&amp;F13)</x:f>
        <x:v>27.674251612745337</x:v>
      </x:c>
      <x:c r="N13" s="14" t="n">
        <x:f>SUMIFS('Ideal ranking'!$H$6:$H$365,'Ideal ranking'!$A$6:$A$365,C13,'Ideal ranking'!$B$6:$B$365,"&lt;="&amp;F13)</x:f>
        <x:v>27.674251612745337</x:v>
      </x:c>
      <x:c r="O13" s="14" t="n">
        <x:f>IF(I13&gt;0,"Unknown",IF(N13=0,"N/A",M13/N13))</x:f>
        <x:v>1</x:v>
      </x:c>
      <x:c r="P13" s="15" t="n">
        <x:f>IF(G13=0,"N/A",IF(I13&gt;0,"Unknown",H13/G13))</x:f>
        <x:v>1</x:v>
      </x:c>
      <x:c r="Q13" s="2" t="n">
        <x:f>F13-G13</x:f>
        <x:v>0</x:v>
      </x:c>
    </x:row>
    <x:row r="14" ht="22" customHeight="1">
      <x:c r="A14" s="2" t="str">
        <x:v>S01-T01|9</x:v>
      </x:c>
      <x:c r="B14" s="2" t="str">
        <x:v>S01-T01</x:v>
      </x:c>
      <x:c r="C14" s="2" t="str">
        <x:v>S01</x:v>
      </x:c>
      <x:c r="D14" s="2" t="str">
        <x:v>Retained</x:v>
      </x:c>
      <x:c r="E14" s="2" t="n">
        <x:v>1</x:v>
      </x:c>
      <x:c r="F14" s="2" t="n">
        <x:v>9</x:v>
      </x:c>
      <x:c r="G14" s="2" t="n">
        <x:f>COUNTIFS('Rankings'!$A$6:$A$423,B14,'Rankings'!$E$6:$E$423,"&lt;="&amp;F14)</x:f>
        <x:v>9</x:v>
      </x:c>
      <x:c r="H14" s="2" t="n">
        <x:f>SUMIFS('Rankings'!$J$6:$J$423,'Rankings'!$A$6:$A$423,B14,'Rankings'!$E$6:$E$423,"&lt;="&amp;F14)</x:f>
        <x:v>9</x:v>
      </x:c>
      <x:c r="I14" s="2" t="n">
        <x:f>G14-SUMIFS('Rankings'!$I$6:$I$423,'Rankings'!$A$6:$A$423,B14,'Rankings'!$E$6:$E$423,"&lt;="&amp;F14)</x:f>
        <x:v>0</x:v>
      </x:c>
      <x:c r="J14" s="2" t="n">
        <x:f>SUMIFS('Ratings'!$H$6:$H$1387,'Ratings'!$B$6:$B$1387,C14)</x:f>
        <x:v>17</x:v>
      </x:c>
      <x:c r="K14" s="15" t="n">
        <x:f>IF(I14&gt;0,"Unknown",H14/F14)</x:f>
        <x:v>1</x:v>
      </x:c>
      <x:c r="L14" s="15" t="n">
        <x:f>IF(J14=0,"N/A",H14/J14)</x:f>
        <x:v>0.5294117647058824</x:v>
      </x:c>
      <x:c r="M14" s="14" t="n">
        <x:f>SUMIFS('Rankings'!$L$6:$L$423,'Rankings'!$A$6:$A$423,B14,'Rankings'!$E$6:$E$423,"&lt;="&amp;F14)</x:f>
        <x:v>28.57734159973728</x:v>
      </x:c>
      <x:c r="N14" s="14" t="n">
        <x:f>SUMIFS('Ideal ranking'!$H$6:$H$365,'Ideal ranking'!$A$6:$A$365,C14,'Ideal ranking'!$B$6:$B$365,"&lt;="&amp;F14)</x:f>
        <x:v>29.781461582393206</x:v>
      </x:c>
      <x:c r="O14" s="14" t="n">
        <x:f>IF(I14&gt;0,"Unknown",IF(N14=0,"N/A",M14/N14))</x:f>
        <x:v>0.9595681367308111</x:v>
      </x:c>
      <x:c r="P14" s="15" t="n">
        <x:f>IF(G14=0,"N/A",IF(I14&gt;0,"Unknown",H14/G14))</x:f>
        <x:v>1</x:v>
      </x:c>
      <x:c r="Q14" s="2" t="n">
        <x:f>F14-G14</x:f>
        <x:v>0</x:v>
      </x:c>
    </x:row>
    <x:row r="15" ht="22" customHeight="1">
      <x:c r="A15" s="2" t="str">
        <x:v>S01-T01|10</x:v>
      </x:c>
      <x:c r="B15" s="2" t="str">
        <x:v>S01-T01</x:v>
      </x:c>
      <x:c r="C15" s="2" t="str">
        <x:v>S01</x:v>
      </x:c>
      <x:c r="D15" s="2" t="str">
        <x:v>Retained</x:v>
      </x:c>
      <x:c r="E15" s="2" t="n">
        <x:v>1</x:v>
      </x:c>
      <x:c r="F15" s="2" t="n">
        <x:v>10</x:v>
      </x:c>
      <x:c r="G15" s="2" t="n">
        <x:f>COUNTIFS('Rankings'!$A$6:$A$423,B15,'Rankings'!$E$6:$E$423,"&lt;="&amp;F15)</x:f>
        <x:v>10</x:v>
      </x:c>
      <x:c r="H15" s="2" t="n">
        <x:f>SUMIFS('Rankings'!$J$6:$J$423,'Rankings'!$A$6:$A$423,B15,'Rankings'!$E$6:$E$423,"&lt;="&amp;F15)</x:f>
        <x:v>10</x:v>
      </x:c>
      <x:c r="I15" s="2" t="n">
        <x:f>G15-SUMIFS('Rankings'!$I$6:$I$423,'Rankings'!$A$6:$A$423,B15,'Rankings'!$E$6:$E$423,"&lt;="&amp;F15)</x:f>
        <x:v>0</x:v>
      </x:c>
      <x:c r="J15" s="2" t="n">
        <x:f>SUMIFS('Ratings'!$H$6:$H$1387,'Ratings'!$B$6:$B$1387,C15)</x:f>
        <x:v>17</x:v>
      </x:c>
      <x:c r="K15" s="15" t="n">
        <x:f>IF(I15&gt;0,"Unknown",H15/F15)</x:f>
        <x:v>1</x:v>
      </x:c>
      <x:c r="L15" s="15" t="n">
        <x:f>IF(J15=0,"N/A",H15/J15)</x:f>
        <x:v>0.5882352941176471</x:v>
      </x:c>
      <x:c r="M15" s="14" t="n">
        <x:f>SUMIFS('Rankings'!$L$6:$L$423,'Rankings'!$A$6:$A$423,B15,'Rankings'!$E$6:$E$423,"&lt;="&amp;F15)</x:f>
        <x:v>29.444536078690945</x:v>
      </x:c>
      <x:c r="N15" s="14" t="n">
        <x:f>SUMIFS('Ideal ranking'!$H$6:$H$365,'Ideal ranking'!$A$6:$A$365,C15,'Ideal ranking'!$B$6:$B$365,"&lt;="&amp;F15)</x:f>
        <x:v>31.80491536661842</x:v>
      </x:c>
      <x:c r="O15" s="14" t="n">
        <x:f>IF(I15&gt;0,"Unknown",IF(N15=0,"N/A",M15/N15))</x:f>
        <x:v>0.9257857076266625</x:v>
      </x:c>
      <x:c r="P15" s="15" t="n">
        <x:f>IF(G15=0,"N/A",IF(I15&gt;0,"Unknown",H15/G15))</x:f>
        <x:v>1</x:v>
      </x:c>
      <x:c r="Q15" s="2" t="n">
        <x:f>F15-G15</x:f>
        <x:v>0</x:v>
      </x:c>
    </x:row>
    <x:row r="16" ht="22" customHeight="1">
      <x:c r="A16" s="2" t="str">
        <x:v>S02-T01|1</x:v>
      </x:c>
      <x:c r="B16" s="2" t="str">
        <x:v>S02-T01</x:v>
      </x:c>
      <x:c r="C16" s="2" t="str">
        <x:v>S02</x:v>
      </x:c>
      <x:c r="D16" s="2" t="str">
        <x:v>Retained</x:v>
      </x:c>
      <x:c r="E16" s="2" t="n">
        <x:v>1</x:v>
      </x:c>
      <x:c r="F16" s="2" t="n">
        <x:v>1</x:v>
      </x:c>
      <x:c r="G16" s="2" t="n">
        <x:f>COUNTIFS('Rankings'!$A$6:$A$423,B16,'Rankings'!$E$6:$E$423,"&lt;="&amp;F16)</x:f>
        <x:v>1</x:v>
      </x:c>
      <x:c r="H16" s="2" t="n">
        <x:f>SUMIFS('Rankings'!$J$6:$J$423,'Rankings'!$A$6:$A$423,B16,'Rankings'!$E$6:$E$423,"&lt;="&amp;F16)</x:f>
        <x:v>1</x:v>
      </x:c>
      <x:c r="I16" s="2" t="n">
        <x:f>G16-SUMIFS('Rankings'!$I$6:$I$423,'Rankings'!$A$6:$A$423,B16,'Rankings'!$E$6:$E$423,"&lt;="&amp;F16)</x:f>
        <x:v>0</x:v>
      </x:c>
      <x:c r="J16" s="2" t="n">
        <x:f>SUMIFS('Ratings'!$H$6:$H$1387,'Ratings'!$B$6:$B$1387,C16)</x:f>
        <x:v>6</x:v>
      </x:c>
      <x:c r="K16" s="15" t="n">
        <x:f>IF(I16&gt;0,"Unknown",H16/F16)</x:f>
        <x:v>1</x:v>
      </x:c>
      <x:c r="L16" s="15" t="n">
        <x:f>IF(J16=0,"N/A",H16/J16)</x:f>
        <x:v>0.16666666666666666</x:v>
      </x:c>
      <x:c r="M16" s="14" t="n">
        <x:f>SUMIFS('Rankings'!$L$6:$L$423,'Rankings'!$A$6:$A$423,B16,'Rankings'!$E$6:$E$423,"&lt;="&amp;F16)</x:f>
        <x:v>7</x:v>
      </x:c>
      <x:c r="N16" s="14" t="n">
        <x:f>SUMIFS('Ideal ranking'!$H$6:$H$365,'Ideal ranking'!$A$6:$A$365,C16,'Ideal ranking'!$B$6:$B$365,"&lt;="&amp;F16)</x:f>
        <x:v>7</x:v>
      </x:c>
      <x:c r="O16" s="14" t="n">
        <x:f>IF(I16&gt;0,"Unknown",IF(N16=0,"N/A",M16/N16))</x:f>
        <x:v>1</x:v>
      </x:c>
      <x:c r="P16" s="15" t="n">
        <x:f>IF(G16=0,"N/A",IF(I16&gt;0,"Unknown",H16/G16))</x:f>
        <x:v>1</x:v>
      </x:c>
      <x:c r="Q16" s="2" t="n">
        <x:f>F16-G16</x:f>
        <x:v>0</x:v>
      </x:c>
    </x:row>
    <x:row r="17" ht="22" customHeight="1">
      <x:c r="A17" s="2" t="str">
        <x:v>S02-T01|2</x:v>
      </x:c>
      <x:c r="B17" s="2" t="str">
        <x:v>S02-T01</x:v>
      </x:c>
      <x:c r="C17" s="2" t="str">
        <x:v>S02</x:v>
      </x:c>
      <x:c r="D17" s="2" t="str">
        <x:v>Retained</x:v>
      </x:c>
      <x:c r="E17" s="2" t="n">
        <x:v>1</x:v>
      </x:c>
      <x:c r="F17" s="2" t="n">
        <x:v>2</x:v>
      </x:c>
      <x:c r="G17" s="2" t="n">
        <x:f>COUNTIFS('Rankings'!$A$6:$A$423,B17,'Rankings'!$E$6:$E$423,"&lt;="&amp;F17)</x:f>
        <x:v>2</x:v>
      </x:c>
      <x:c r="H17" s="2" t="n">
        <x:f>SUMIFS('Rankings'!$J$6:$J$423,'Rankings'!$A$6:$A$423,B17,'Rankings'!$E$6:$E$423,"&lt;="&amp;F17)</x:f>
        <x:v>2</x:v>
      </x:c>
      <x:c r="I17" s="2" t="n">
        <x:f>G17-SUMIFS('Rankings'!$I$6:$I$423,'Rankings'!$A$6:$A$423,B17,'Rankings'!$E$6:$E$423,"&lt;="&amp;F17)</x:f>
        <x:v>0</x:v>
      </x:c>
      <x:c r="J17" s="2" t="n">
        <x:f>SUMIFS('Ratings'!$H$6:$H$1387,'Ratings'!$B$6:$B$1387,C17)</x:f>
        <x:v>6</x:v>
      </x:c>
      <x:c r="K17" s="15" t="n">
        <x:f>IF(I17&gt;0,"Unknown",H17/F17)</x:f>
        <x:v>1</x:v>
      </x:c>
      <x:c r="L17" s="15" t="n">
        <x:f>IF(J17=0,"N/A",H17/J17)</x:f>
        <x:v>0.3333333333333333</x:v>
      </x:c>
      <x:c r="M17" s="14" t="n">
        <x:f>SUMIFS('Rankings'!$L$6:$L$423,'Rankings'!$A$6:$A$423,B17,'Rankings'!$E$6:$E$423,"&lt;="&amp;F17)</x:f>
        <x:v>11.416508275000202</x:v>
      </x:c>
      <x:c r="N17" s="14" t="n">
        <x:f>SUMIFS('Ideal ranking'!$H$6:$H$365,'Ideal ranking'!$A$6:$A$365,C17,'Ideal ranking'!$B$6:$B$365,"&lt;="&amp;F17)</x:f>
        <x:v>11.416508275000202</x:v>
      </x:c>
      <x:c r="O17" s="14" t="n">
        <x:f>IF(I17&gt;0,"Unknown",IF(N17=0,"N/A",M17/N17))</x:f>
        <x:v>1</x:v>
      </x:c>
      <x:c r="P17" s="15" t="n">
        <x:f>IF(G17=0,"N/A",IF(I17&gt;0,"Unknown",H17/G17))</x:f>
        <x:v>1</x:v>
      </x:c>
      <x:c r="Q17" s="2" t="n">
        <x:f>F17-G17</x:f>
        <x:v>0</x:v>
      </x:c>
    </x:row>
    <x:row r="18" ht="22" customHeight="1">
      <x:c r="A18" s="2" t="str">
        <x:v>S02-T01|3</x:v>
      </x:c>
      <x:c r="B18" s="2" t="str">
        <x:v>S02-T01</x:v>
      </x:c>
      <x:c r="C18" s="2" t="str">
        <x:v>S02</x:v>
      </x:c>
      <x:c r="D18" s="2" t="str">
        <x:v>Retained</x:v>
      </x:c>
      <x:c r="E18" s="2" t="n">
        <x:v>1</x:v>
      </x:c>
      <x:c r="F18" s="2" t="n">
        <x:v>3</x:v>
      </x:c>
      <x:c r="G18" s="2" t="n">
        <x:f>COUNTIFS('Rankings'!$A$6:$A$423,B18,'Rankings'!$E$6:$E$423,"&lt;="&amp;F18)</x:f>
        <x:v>3</x:v>
      </x:c>
      <x:c r="H18" s="2" t="n">
        <x:f>SUMIFS('Rankings'!$J$6:$J$423,'Rankings'!$A$6:$A$423,B18,'Rankings'!$E$6:$E$423,"&lt;="&amp;F18)</x:f>
        <x:v>3</x:v>
      </x:c>
      <x:c r="I18" s="2" t="n">
        <x:f>G18-SUMIFS('Rankings'!$I$6:$I$423,'Rankings'!$A$6:$A$423,B18,'Rankings'!$E$6:$E$423,"&lt;="&amp;F18)</x:f>
        <x:v>0</x:v>
      </x:c>
      <x:c r="J18" s="2" t="n">
        <x:f>SUMIFS('Ratings'!$H$6:$H$1387,'Ratings'!$B$6:$B$1387,C18)</x:f>
        <x:v>6</x:v>
      </x:c>
      <x:c r="K18" s="15" t="n">
        <x:f>IF(I18&gt;0,"Unknown",H18/F18)</x:f>
        <x:v>1</x:v>
      </x:c>
      <x:c r="L18" s="15" t="n">
        <x:f>IF(J18=0,"N/A",H18/J18)</x:f>
        <x:v>0.5</x:v>
      </x:c>
      <x:c r="M18" s="14" t="n">
        <x:f>SUMIFS('Rankings'!$L$6:$L$423,'Rankings'!$A$6:$A$423,B18,'Rankings'!$E$6:$E$423,"&lt;="&amp;F18)</x:f>
        <x:v>14.916508275000202</x:v>
      </x:c>
      <x:c r="N18" s="14" t="n">
        <x:f>SUMIFS('Ideal ranking'!$H$6:$H$365,'Ideal ranking'!$A$6:$A$365,C18,'Ideal ranking'!$B$6:$B$365,"&lt;="&amp;F18)</x:f>
        <x:v>14.916508275000202</x:v>
      </x:c>
      <x:c r="O18" s="14" t="n">
        <x:f>IF(I18&gt;0,"Unknown",IF(N18=0,"N/A",M18/N18))</x:f>
        <x:v>1</x:v>
      </x:c>
      <x:c r="P18" s="15" t="n">
        <x:f>IF(G18=0,"N/A",IF(I18&gt;0,"Unknown",H18/G18))</x:f>
        <x:v>1</x:v>
      </x:c>
      <x:c r="Q18" s="2" t="n">
        <x:f>F18-G18</x:f>
        <x:v>0</x:v>
      </x:c>
    </x:row>
    <x:row r="19" ht="22" customHeight="1">
      <x:c r="A19" s="2" t="str">
        <x:v>S02-T01|4</x:v>
      </x:c>
      <x:c r="B19" s="2" t="str">
        <x:v>S02-T01</x:v>
      </x:c>
      <x:c r="C19" s="2" t="str">
        <x:v>S02</x:v>
      </x:c>
      <x:c r="D19" s="2" t="str">
        <x:v>Retained</x:v>
      </x:c>
      <x:c r="E19" s="2" t="n">
        <x:v>1</x:v>
      </x:c>
      <x:c r="F19" s="2" t="n">
        <x:v>4</x:v>
      </x:c>
      <x:c r="G19" s="2" t="n">
        <x:f>COUNTIFS('Rankings'!$A$6:$A$423,B19,'Rankings'!$E$6:$E$423,"&lt;="&amp;F19)</x:f>
        <x:v>4</x:v>
      </x:c>
      <x:c r="H19" s="2" t="n">
        <x:f>SUMIFS('Rankings'!$J$6:$J$423,'Rankings'!$A$6:$A$423,B19,'Rankings'!$E$6:$E$423,"&lt;="&amp;F19)</x:f>
        <x:v>4</x:v>
      </x:c>
      <x:c r="I19" s="2" t="n">
        <x:f>G19-SUMIFS('Rankings'!$I$6:$I$423,'Rankings'!$A$6:$A$423,B19,'Rankings'!$E$6:$E$423,"&lt;="&amp;F19)</x:f>
        <x:v>0</x:v>
      </x:c>
      <x:c r="J19" s="2" t="n">
        <x:f>SUMIFS('Ratings'!$H$6:$H$1387,'Ratings'!$B$6:$B$1387,C19)</x:f>
        <x:v>6</x:v>
      </x:c>
      <x:c r="K19" s="15" t="n">
        <x:f>IF(I19&gt;0,"Unknown",H19/F19)</x:f>
        <x:v>1</x:v>
      </x:c>
      <x:c r="L19" s="15" t="n">
        <x:f>IF(J19=0,"N/A",H19/J19)</x:f>
        <x:v>0.6666666666666666</x:v>
      </x:c>
      <x:c r="M19" s="14" t="n">
        <x:f>SUMIFS('Rankings'!$L$6:$L$423,'Rankings'!$A$6:$A$423,B19,'Rankings'!$E$6:$E$423,"&lt;="&amp;F19)</x:f>
        <x:v>17.931244181513954</x:v>
      </x:c>
      <x:c r="N19" s="14" t="n">
        <x:f>SUMIFS('Ideal ranking'!$H$6:$H$365,'Ideal ranking'!$A$6:$A$365,C19,'Ideal ranking'!$B$6:$B$365,"&lt;="&amp;F19)</x:f>
        <x:v>17.931244181513954</x:v>
      </x:c>
      <x:c r="O19" s="14" t="n">
        <x:f>IF(I19&gt;0,"Unknown",IF(N19=0,"N/A",M19/N19))</x:f>
        <x:v>1</x:v>
      </x:c>
      <x:c r="P19" s="15" t="n">
        <x:f>IF(G19=0,"N/A",IF(I19&gt;0,"Unknown",H19/G19))</x:f>
        <x:v>1</x:v>
      </x:c>
      <x:c r="Q19" s="2" t="n">
        <x:f>F19-G19</x:f>
        <x:v>0</x:v>
      </x:c>
    </x:row>
    <x:row r="20" ht="22" customHeight="1">
      <x:c r="A20" s="2" t="str">
        <x:v>S02-T01|5</x:v>
      </x:c>
      <x:c r="B20" s="2" t="str">
        <x:v>S02-T01</x:v>
      </x:c>
      <x:c r="C20" s="2" t="str">
        <x:v>S02</x:v>
      </x:c>
      <x:c r="D20" s="2" t="str">
        <x:v>Retained</x:v>
      </x:c>
      <x:c r="E20" s="2" t="n">
        <x:v>1</x:v>
      </x:c>
      <x:c r="F20" s="2" t="n">
        <x:v>5</x:v>
      </x:c>
      <x:c r="G20" s="2" t="n">
        <x:f>COUNTIFS('Rankings'!$A$6:$A$423,B20,'Rankings'!$E$6:$E$423,"&lt;="&amp;F20)</x:f>
        <x:v>5</x:v>
      </x:c>
      <x:c r="H20" s="2" t="n">
        <x:f>SUMIFS('Rankings'!$J$6:$J$423,'Rankings'!$A$6:$A$423,B20,'Rankings'!$E$6:$E$423,"&lt;="&amp;F20)</x:f>
        <x:v>5</x:v>
      </x:c>
      <x:c r="I20" s="2" t="n">
        <x:f>G20-SUMIFS('Rankings'!$I$6:$I$423,'Rankings'!$A$6:$A$423,B20,'Rankings'!$E$6:$E$423,"&lt;="&amp;F20)</x:f>
        <x:v>0</x:v>
      </x:c>
      <x:c r="J20" s="2" t="n">
        <x:f>SUMIFS('Ratings'!$H$6:$H$1387,'Ratings'!$B$6:$B$1387,C20)</x:f>
        <x:v>6</x:v>
      </x:c>
      <x:c r="K20" s="15" t="n">
        <x:f>IF(I20&gt;0,"Unknown",H20/F20)</x:f>
        <x:v>1</x:v>
      </x:c>
      <x:c r="L20" s="15" t="n">
        <x:f>IF(J20=0,"N/A",H20/J20)</x:f>
        <x:v>0.8333333333333334</x:v>
      </x:c>
      <x:c r="M20" s="14" t="n">
        <x:f>SUMIFS('Rankings'!$L$6:$L$423,'Rankings'!$A$6:$A$423,B20,'Rankings'!$E$6:$E$423,"&lt;="&amp;F20)</x:f>
        <x:v>19.09180260321758</x:v>
      </x:c>
      <x:c r="N20" s="14" t="n">
        <x:f>SUMIFS('Ideal ranking'!$H$6:$H$365,'Ideal ranking'!$A$6:$A$365,C20,'Ideal ranking'!$B$6:$B$365,"&lt;="&amp;F20)</x:f>
        <x:v>19.09180260321758</x:v>
      </x:c>
      <x:c r="O20" s="14" t="n">
        <x:f>IF(I20&gt;0,"Unknown",IF(N20=0,"N/A",M20/N20))</x:f>
        <x:v>1</x:v>
      </x:c>
      <x:c r="P20" s="15" t="n">
        <x:f>IF(G20=0,"N/A",IF(I20&gt;0,"Unknown",H20/G20))</x:f>
        <x:v>1</x:v>
      </x:c>
      <x:c r="Q20" s="2" t="n">
        <x:f>F20-G20</x:f>
        <x:v>0</x:v>
      </x:c>
    </x:row>
    <x:row r="21" ht="22" customHeight="1">
      <x:c r="A21" s="2" t="str">
        <x:v>S02-T01|6</x:v>
      </x:c>
      <x:c r="B21" s="2" t="str">
        <x:v>S02-T01</x:v>
      </x:c>
      <x:c r="C21" s="2" t="str">
        <x:v>S02</x:v>
      </x:c>
      <x:c r="D21" s="2" t="str">
        <x:v>Retained</x:v>
      </x:c>
      <x:c r="E21" s="2" t="n">
        <x:v>1</x:v>
      </x:c>
      <x:c r="F21" s="2" t="n">
        <x:v>6</x:v>
      </x:c>
      <x:c r="G21" s="2" t="n">
        <x:f>COUNTIFS('Rankings'!$A$6:$A$423,B21,'Rankings'!$E$6:$E$423,"&lt;="&amp;F21)</x:f>
        <x:v>6</x:v>
      </x:c>
      <x:c r="H21" s="2" t="n">
        <x:f>SUMIFS('Rankings'!$J$6:$J$423,'Rankings'!$A$6:$A$423,B21,'Rankings'!$E$6:$E$423,"&lt;="&amp;F21)</x:f>
        <x:v>6</x:v>
      </x:c>
      <x:c r="I21" s="2" t="n">
        <x:f>G21-SUMIFS('Rankings'!$I$6:$I$423,'Rankings'!$A$6:$A$423,B21,'Rankings'!$E$6:$E$423,"&lt;="&amp;F21)</x:f>
        <x:v>0</x:v>
      </x:c>
      <x:c r="J21" s="2" t="n">
        <x:f>SUMIFS('Ratings'!$H$6:$H$1387,'Ratings'!$B$6:$B$1387,C21)</x:f>
        <x:v>6</x:v>
      </x:c>
      <x:c r="K21" s="15" t="n">
        <x:f>IF(I21&gt;0,"Unknown",H21/F21)</x:f>
        <x:v>1</x:v>
      </x:c>
      <x:c r="L21" s="15" t="n">
        <x:f>IF(J21=0,"N/A",H21/J21)</x:f>
        <x:v>1</x:v>
      </x:c>
      <x:c r="M21" s="14" t="n">
        <x:f>SUMIFS('Rankings'!$L$6:$L$423,'Rankings'!$A$6:$A$423,B21,'Rankings'!$E$6:$E$423,"&lt;="&amp;F21)</x:f>
        <x:v>20.160424164541645</x:v>
      </x:c>
      <x:c r="N21" s="14" t="n">
        <x:f>SUMIFS('Ideal ranking'!$H$6:$H$365,'Ideal ranking'!$A$6:$A$365,C21,'Ideal ranking'!$B$6:$B$365,"&lt;="&amp;F21)</x:f>
        <x:v>20.160424164541645</x:v>
      </x:c>
      <x:c r="O21" s="14" t="n">
        <x:f>IF(I21&gt;0,"Unknown",IF(N21=0,"N/A",M21/N21))</x:f>
        <x:v>1</x:v>
      </x:c>
      <x:c r="P21" s="15" t="n">
        <x:f>IF(G21=0,"N/A",IF(I21&gt;0,"Unknown",H21/G21))</x:f>
        <x:v>1</x:v>
      </x:c>
      <x:c r="Q21" s="2" t="n">
        <x:f>F21-G21</x:f>
        <x:v>0</x:v>
      </x:c>
    </x:row>
    <x:row r="22" ht="22" customHeight="1">
      <x:c r="A22" s="2" t="str">
        <x:v>S02-T01|7</x:v>
      </x:c>
      <x:c r="B22" s="2" t="str">
        <x:v>S02-T01</x:v>
      </x:c>
      <x:c r="C22" s="2" t="str">
        <x:v>S02</x:v>
      </x:c>
      <x:c r="D22" s="2" t="str">
        <x:v>Retained</x:v>
      </x:c>
      <x:c r="E22" s="2" t="n">
        <x:v>1</x:v>
      </x:c>
      <x:c r="F22" s="2" t="n">
        <x:v>7</x:v>
      </x:c>
      <x:c r="G22" s="2" t="n">
        <x:f>COUNTIFS('Rankings'!$A$6:$A$423,B22,'Rankings'!$E$6:$E$423,"&lt;="&amp;F22)</x:f>
        <x:v>7</x:v>
      </x:c>
      <x:c r="H22" s="2" t="n">
        <x:f>SUMIFS('Rankings'!$J$6:$J$423,'Rankings'!$A$6:$A$423,B22,'Rankings'!$E$6:$E$423,"&lt;="&amp;F22)</x:f>
        <x:v>6</x:v>
      </x:c>
      <x:c r="I22" s="2" t="n">
        <x:f>G22-SUMIFS('Rankings'!$I$6:$I$423,'Rankings'!$A$6:$A$423,B22,'Rankings'!$E$6:$E$423,"&lt;="&amp;F22)</x:f>
        <x:v>0</x:v>
      </x:c>
      <x:c r="J22" s="2" t="n">
        <x:f>SUMIFS('Ratings'!$H$6:$H$1387,'Ratings'!$B$6:$B$1387,C22)</x:f>
        <x:v>6</x:v>
      </x:c>
      <x:c r="K22" s="15" t="n">
        <x:f>IF(I22&gt;0,"Unknown",H22/F22)</x:f>
        <x:v>0.8571428571428571</x:v>
      </x:c>
      <x:c r="L22" s="15" t="n">
        <x:f>IF(J22=0,"N/A",H22/J22)</x:f>
        <x:v>1</x:v>
      </x:c>
      <x:c r="M22" s="14" t="n">
        <x:f>SUMIFS('Rankings'!$L$6:$L$423,'Rankings'!$A$6:$A$423,B22,'Rankings'!$E$6:$E$423,"&lt;="&amp;F22)</x:f>
        <x:v>20.493757497874977</x:v>
      </x:c>
      <x:c r="N22" s="14" t="n">
        <x:f>SUMIFS('Ideal ranking'!$H$6:$H$365,'Ideal ranking'!$A$6:$A$365,C22,'Ideal ranking'!$B$6:$B$365,"&lt;="&amp;F22)</x:f>
        <x:v>20.493757497874977</x:v>
      </x:c>
      <x:c r="O22" s="14" t="n">
        <x:f>IF(I22&gt;0,"Unknown",IF(N22=0,"N/A",M22/N22))</x:f>
        <x:v>1</x:v>
      </x:c>
      <x:c r="P22" s="15" t="n">
        <x:f>IF(G22=0,"N/A",IF(I22&gt;0,"Unknown",H22/G22))</x:f>
        <x:v>0.8571428571428571</x:v>
      </x:c>
      <x:c r="Q22" s="2" t="n">
        <x:f>F22-G22</x:f>
        <x:v>0</x:v>
      </x:c>
    </x:row>
    <x:row r="23" ht="22" customHeight="1">
      <x:c r="A23" s="2" t="str">
        <x:v>S02-T01|8</x:v>
      </x:c>
      <x:c r="B23" s="2" t="str">
        <x:v>S02-T01</x:v>
      </x:c>
      <x:c r="C23" s="2" t="str">
        <x:v>S02</x:v>
      </x:c>
      <x:c r="D23" s="2" t="str">
        <x:v>Retained</x:v>
      </x:c>
      <x:c r="E23" s="2" t="n">
        <x:v>1</x:v>
      </x:c>
      <x:c r="F23" s="2" t="n">
        <x:v>8</x:v>
      </x:c>
      <x:c r="G23" s="2" t="n">
        <x:f>COUNTIFS('Rankings'!$A$6:$A$423,B23,'Rankings'!$E$6:$E$423,"&lt;="&amp;F23)</x:f>
        <x:v>8</x:v>
      </x:c>
      <x:c r="H23" s="2" t="n">
        <x:f>SUMIFS('Rankings'!$J$6:$J$423,'Rankings'!$A$6:$A$423,B23,'Rankings'!$E$6:$E$423,"&lt;="&amp;F23)</x:f>
        <x:v>6</x:v>
      </x:c>
      <x:c r="I23" s="2" t="n">
        <x:f>G23-SUMIFS('Rankings'!$I$6:$I$423,'Rankings'!$A$6:$A$423,B23,'Rankings'!$E$6:$E$423,"&lt;="&amp;F23)</x:f>
        <x:v>0</x:v>
      </x:c>
      <x:c r="J23" s="2" t="n">
        <x:f>SUMIFS('Ratings'!$H$6:$H$1387,'Ratings'!$B$6:$B$1387,C23)</x:f>
        <x:v>6</x:v>
      </x:c>
      <x:c r="K23" s="15" t="n">
        <x:f>IF(I23&gt;0,"Unknown",H23/F23)</x:f>
        <x:v>0.75</x:v>
      </x:c>
      <x:c r="L23" s="15" t="n">
        <x:f>IF(J23=0,"N/A",H23/J23)</x:f>
        <x:v>1</x:v>
      </x:c>
      <x:c r="M23" s="14" t="n">
        <x:f>SUMIFS('Rankings'!$L$6:$L$423,'Rankings'!$A$6:$A$423,B23,'Rankings'!$E$6:$E$423,"&lt;="&amp;F23)</x:f>
        <x:v>20.809222374660706</x:v>
      </x:c>
      <x:c r="N23" s="14" t="n">
        <x:f>SUMIFS('Ideal ranking'!$H$6:$H$365,'Ideal ranking'!$A$6:$A$365,C23,'Ideal ranking'!$B$6:$B$365,"&lt;="&amp;F23)</x:f>
        <x:v>20.809222374660706</x:v>
      </x:c>
      <x:c r="O23" s="14" t="n">
        <x:f>IF(I23&gt;0,"Unknown",IF(N23=0,"N/A",M23/N23))</x:f>
        <x:v>1</x:v>
      </x:c>
      <x:c r="P23" s="15" t="n">
        <x:f>IF(G23=0,"N/A",IF(I23&gt;0,"Unknown",H23/G23))</x:f>
        <x:v>0.75</x:v>
      </x:c>
      <x:c r="Q23" s="2" t="n">
        <x:f>F23-G23</x:f>
        <x:v>0</x:v>
      </x:c>
    </x:row>
    <x:row r="24" ht="22" customHeight="1">
      <x:c r="A24" s="2" t="str">
        <x:v>S02-T01|9</x:v>
      </x:c>
      <x:c r="B24" s="2" t="str">
        <x:v>S02-T01</x:v>
      </x:c>
      <x:c r="C24" s="2" t="str">
        <x:v>S02</x:v>
      </x:c>
      <x:c r="D24" s="2" t="str">
        <x:v>Retained</x:v>
      </x:c>
      <x:c r="E24" s="2" t="n">
        <x:v>1</x:v>
      </x:c>
      <x:c r="F24" s="2" t="n">
        <x:v>9</x:v>
      </x:c>
      <x:c r="G24" s="2" t="n">
        <x:f>COUNTIFS('Rankings'!$A$6:$A$423,B24,'Rankings'!$E$6:$E$423,"&lt;="&amp;F24)</x:f>
        <x:v>9</x:v>
      </x:c>
      <x:c r="H24" s="2" t="n">
        <x:f>SUMIFS('Rankings'!$J$6:$J$423,'Rankings'!$A$6:$A$423,B24,'Rankings'!$E$6:$E$423,"&lt;="&amp;F24)</x:f>
        <x:v>6</x:v>
      </x:c>
      <x:c r="I24" s="2" t="n">
        <x:f>G24-SUMIFS('Rankings'!$I$6:$I$423,'Rankings'!$A$6:$A$423,B24,'Rankings'!$E$6:$E$423,"&lt;="&amp;F24)</x:f>
        <x:v>0</x:v>
      </x:c>
      <x:c r="J24" s="2" t="n">
        <x:f>SUMIFS('Ratings'!$H$6:$H$1387,'Ratings'!$B$6:$B$1387,C24)</x:f>
        <x:v>6</x:v>
      </x:c>
      <x:c r="K24" s="15" t="n">
        <x:f>IF(I24&gt;0,"Unknown",H24/F24)</x:f>
        <x:v>0.6666666666666666</x:v>
      </x:c>
      <x:c r="L24" s="15" t="n">
        <x:f>IF(J24=0,"N/A",H24/J24)</x:f>
        <x:v>1</x:v>
      </x:c>
      <x:c r="M24" s="14" t="n">
        <x:f>SUMIFS('Rankings'!$L$6:$L$423,'Rankings'!$A$6:$A$423,B24,'Rankings'!$E$6:$E$423,"&lt;="&amp;F24)</x:f>
        <x:v>21.110252370324687</x:v>
      </x:c>
      <x:c r="N24" s="14" t="n">
        <x:f>SUMIFS('Ideal ranking'!$H$6:$H$365,'Ideal ranking'!$A$6:$A$365,C24,'Ideal ranking'!$B$6:$B$365,"&lt;="&amp;F24)</x:f>
        <x:v>21.110252370324687</x:v>
      </x:c>
      <x:c r="O24" s="14" t="n">
        <x:f>IF(I24&gt;0,"Unknown",IF(N24=0,"N/A",M24/N24))</x:f>
        <x:v>1</x:v>
      </x:c>
      <x:c r="P24" s="15" t="n">
        <x:f>IF(G24=0,"N/A",IF(I24&gt;0,"Unknown",H24/G24))</x:f>
        <x:v>0.6666666666666666</x:v>
      </x:c>
      <x:c r="Q24" s="2" t="n">
        <x:f>F24-G24</x:f>
        <x:v>0</x:v>
      </x:c>
    </x:row>
    <x:row r="25" ht="22" customHeight="1">
      <x:c r="A25" s="2" t="str">
        <x:v>S02-T01|10</x:v>
      </x:c>
      <x:c r="B25" s="2" t="str">
        <x:v>S02-T01</x:v>
      </x:c>
      <x:c r="C25" s="2" t="str">
        <x:v>S02</x:v>
      </x:c>
      <x:c r="D25" s="2" t="str">
        <x:v>Retained</x:v>
      </x:c>
      <x:c r="E25" s="2" t="n">
        <x:v>1</x:v>
      </x:c>
      <x:c r="F25" s="2" t="n">
        <x:v>10</x:v>
      </x:c>
      <x:c r="G25" s="2" t="n">
        <x:f>COUNTIFS('Rankings'!$A$6:$A$423,B25,'Rankings'!$E$6:$E$423,"&lt;="&amp;F25)</x:f>
        <x:v>10</x:v>
      </x:c>
      <x:c r="H25" s="2" t="n">
        <x:f>SUMIFS('Rankings'!$J$6:$J$423,'Rankings'!$A$6:$A$423,B25,'Rankings'!$E$6:$E$423,"&lt;="&amp;F25)</x:f>
        <x:v>6</x:v>
      </x:c>
      <x:c r="I25" s="2" t="n">
        <x:f>G25-SUMIFS('Rankings'!$I$6:$I$423,'Rankings'!$A$6:$A$423,B25,'Rankings'!$E$6:$E$423,"&lt;="&amp;F25)</x:f>
        <x:v>0</x:v>
      </x:c>
      <x:c r="J25" s="2" t="n">
        <x:f>SUMIFS('Ratings'!$H$6:$H$1387,'Ratings'!$B$6:$B$1387,C25)</x:f>
        <x:v>6</x:v>
      </x:c>
      <x:c r="K25" s="15" t="n">
        <x:f>IF(I25&gt;0,"Unknown",H25/F25)</x:f>
        <x:v>0.6</x:v>
      </x:c>
      <x:c r="L25" s="15" t="n">
        <x:f>IF(J25=0,"N/A",H25/J25)</x:f>
        <x:v>1</x:v>
      </x:c>
      <x:c r="M25" s="14" t="n">
        <x:f>SUMIFS('Rankings'!$L$6:$L$423,'Rankings'!$A$6:$A$423,B25,'Rankings'!$E$6:$E$423,"&lt;="&amp;F25)</x:f>
        <x:v>21.399317196642574</x:v>
      </x:c>
      <x:c r="N25" s="14" t="n">
        <x:f>SUMIFS('Ideal ranking'!$H$6:$H$365,'Ideal ranking'!$A$6:$A$365,C25,'Ideal ranking'!$B$6:$B$365,"&lt;="&amp;F25)</x:f>
        <x:v>21.399317196642574</x:v>
      </x:c>
      <x:c r="O25" s="14" t="n">
        <x:f>IF(I25&gt;0,"Unknown",IF(N25=0,"N/A",M25/N25))</x:f>
        <x:v>1</x:v>
      </x:c>
      <x:c r="P25" s="15" t="n">
        <x:f>IF(G25=0,"N/A",IF(I25&gt;0,"Unknown",H25/G25))</x:f>
        <x:v>0.6</x:v>
      </x:c>
      <x:c r="Q25" s="2" t="n">
        <x:f>F25-G25</x:f>
        <x:v>0</x:v>
      </x:c>
    </x:row>
    <x:row r="26" ht="22" customHeight="1">
      <x:c r="A26" s="2" t="str">
        <x:v>S03-T01|1</x:v>
      </x:c>
      <x:c r="B26" s="2" t="str">
        <x:v>S03-T01</x:v>
      </x:c>
      <x:c r="C26" s="2" t="str">
        <x:v>S03</x:v>
      </x:c>
      <x:c r="D26" s="2" t="str">
        <x:v>Retained</x:v>
      </x:c>
      <x:c r="E26" s="2" t="n">
        <x:v>1</x:v>
      </x:c>
      <x:c r="F26" s="2" t="n">
        <x:v>1</x:v>
      </x:c>
      <x:c r="G26" s="2" t="n">
        <x:f>COUNTIFS('Rankings'!$A$6:$A$423,B26,'Rankings'!$E$6:$E$423,"&lt;="&amp;F26)</x:f>
        <x:v>1</x:v>
      </x:c>
      <x:c r="H26" s="2" t="n">
        <x:f>SUMIFS('Rankings'!$J$6:$J$423,'Rankings'!$A$6:$A$423,B26,'Rankings'!$E$6:$E$423,"&lt;="&amp;F26)</x:f>
        <x:v>0</x:v>
      </x:c>
      <x:c r="I26" s="2" t="n">
        <x:f>G26-SUMIFS('Rankings'!$I$6:$I$423,'Rankings'!$A$6:$A$423,B26,'Rankings'!$E$6:$E$423,"&lt;="&amp;F26)</x:f>
        <x:v>0</x:v>
      </x:c>
      <x:c r="J26" s="2" t="n">
        <x:f>SUMIFS('Ratings'!$H$6:$H$1387,'Ratings'!$B$6:$B$1387,C26)</x:f>
        <x:v>0</x:v>
      </x:c>
      <x:c r="K26" s="15" t="n">
        <x:f>IF(I26&gt;0,"Unknown",H26/F26)</x:f>
        <x:v>0</x:v>
      </x:c>
      <x:c r="L26" s="15" t="str">
        <x:f>IF(J26=0,"N/A",H26/J26)</x:f>
        <x:v>N/A</x:v>
      </x:c>
      <x:c r="M26" s="14" t="n">
        <x:f>SUMIFS('Rankings'!$L$6:$L$423,'Rankings'!$A$6:$A$423,B26,'Rankings'!$E$6:$E$423,"&lt;="&amp;F26)</x:f>
        <x:v>1</x:v>
      </x:c>
      <x:c r="N26" s="14" t="n">
        <x:f>SUMIFS('Ideal ranking'!$H$6:$H$365,'Ideal ranking'!$A$6:$A$365,C26,'Ideal ranking'!$B$6:$B$365,"&lt;="&amp;F26)</x:f>
        <x:v>1</x:v>
      </x:c>
      <x:c r="O26" s="14" t="n">
        <x:f>IF(I26&gt;0,"Unknown",IF(N26=0,"N/A",M26/N26))</x:f>
        <x:v>1</x:v>
      </x:c>
      <x:c r="P26" s="15" t="n">
        <x:f>IF(G26=0,"N/A",IF(I26&gt;0,"Unknown",H26/G26))</x:f>
        <x:v>0</x:v>
      </x:c>
      <x:c r="Q26" s="2" t="n">
        <x:f>F26-G26</x:f>
        <x:v>0</x:v>
      </x:c>
    </x:row>
    <x:row r="27" ht="22" customHeight="1">
      <x:c r="A27" s="2" t="str">
        <x:v>S03-T01|2</x:v>
      </x:c>
      <x:c r="B27" s="2" t="str">
        <x:v>S03-T01</x:v>
      </x:c>
      <x:c r="C27" s="2" t="str">
        <x:v>S03</x:v>
      </x:c>
      <x:c r="D27" s="2" t="str">
        <x:v>Retained</x:v>
      </x:c>
      <x:c r="E27" s="2" t="n">
        <x:v>1</x:v>
      </x:c>
      <x:c r="F27" s="2" t="n">
        <x:v>2</x:v>
      </x:c>
      <x:c r="G27" s="2" t="n">
        <x:f>COUNTIFS('Rankings'!$A$6:$A$423,B27,'Rankings'!$E$6:$E$423,"&lt;="&amp;F27)</x:f>
        <x:v>2</x:v>
      </x:c>
      <x:c r="H27" s="2" t="n">
        <x:f>SUMIFS('Rankings'!$J$6:$J$423,'Rankings'!$A$6:$A$423,B27,'Rankings'!$E$6:$E$423,"&lt;="&amp;F27)</x:f>
        <x:v>0</x:v>
      </x:c>
      <x:c r="I27" s="2" t="n">
        <x:f>G27-SUMIFS('Rankings'!$I$6:$I$423,'Rankings'!$A$6:$A$423,B27,'Rankings'!$E$6:$E$423,"&lt;="&amp;F27)</x:f>
        <x:v>0</x:v>
      </x:c>
      <x:c r="J27" s="2" t="n">
        <x:f>SUMIFS('Ratings'!$H$6:$H$1387,'Ratings'!$B$6:$B$1387,C27)</x:f>
        <x:v>0</x:v>
      </x:c>
      <x:c r="K27" s="15" t="n">
        <x:f>IF(I27&gt;0,"Unknown",H27/F27)</x:f>
        <x:v>0</x:v>
      </x:c>
      <x:c r="L27" s="15" t="str">
        <x:f>IF(J27=0,"N/A",H27/J27)</x:f>
        <x:v>N/A</x:v>
      </x:c>
      <x:c r="M27" s="14" t="n">
        <x:f>SUMIFS('Rankings'!$L$6:$L$423,'Rankings'!$A$6:$A$423,B27,'Rankings'!$E$6:$E$423,"&lt;="&amp;F27)</x:f>
        <x:v>1.6309297535714575</x:v>
      </x:c>
      <x:c r="N27" s="14" t="n">
        <x:f>SUMIFS('Ideal ranking'!$H$6:$H$365,'Ideal ranking'!$A$6:$A$365,C27,'Ideal ranking'!$B$6:$B$365,"&lt;="&amp;F27)</x:f>
        <x:v>1.6309297535714575</x:v>
      </x:c>
      <x:c r="O27" s="14" t="n">
        <x:f>IF(I27&gt;0,"Unknown",IF(N27=0,"N/A",M27/N27))</x:f>
        <x:v>1</x:v>
      </x:c>
      <x:c r="P27" s="15" t="n">
        <x:f>IF(G27=0,"N/A",IF(I27&gt;0,"Unknown",H27/G27))</x:f>
        <x:v>0</x:v>
      </x:c>
      <x:c r="Q27" s="2" t="n">
        <x:f>F27-G27</x:f>
        <x:v>0</x:v>
      </x:c>
    </x:row>
    <x:row r="28" ht="22" customHeight="1">
      <x:c r="A28" s="2" t="str">
        <x:v>S03-T01|3</x:v>
      </x:c>
      <x:c r="B28" s="2" t="str">
        <x:v>S03-T01</x:v>
      </x:c>
      <x:c r="C28" s="2" t="str">
        <x:v>S03</x:v>
      </x:c>
      <x:c r="D28" s="2" t="str">
        <x:v>Retained</x:v>
      </x:c>
      <x:c r="E28" s="2" t="n">
        <x:v>1</x:v>
      </x:c>
      <x:c r="F28" s="2" t="n">
        <x:v>3</x:v>
      </x:c>
      <x:c r="G28" s="2" t="n">
        <x:f>COUNTIFS('Rankings'!$A$6:$A$423,B28,'Rankings'!$E$6:$E$423,"&lt;="&amp;F28)</x:f>
        <x:v>3</x:v>
      </x:c>
      <x:c r="H28" s="2" t="n">
        <x:f>SUMIFS('Rankings'!$J$6:$J$423,'Rankings'!$A$6:$A$423,B28,'Rankings'!$E$6:$E$423,"&lt;="&amp;F28)</x:f>
        <x:v>0</x:v>
      </x:c>
      <x:c r="I28" s="2" t="n">
        <x:f>G28-SUMIFS('Rankings'!$I$6:$I$423,'Rankings'!$A$6:$A$423,B28,'Rankings'!$E$6:$E$423,"&lt;="&amp;F28)</x:f>
        <x:v>0</x:v>
      </x:c>
      <x:c r="J28" s="2" t="n">
        <x:f>SUMIFS('Ratings'!$H$6:$H$1387,'Ratings'!$B$6:$B$1387,C28)</x:f>
        <x:v>0</x:v>
      </x:c>
      <x:c r="K28" s="15" t="n">
        <x:f>IF(I28&gt;0,"Unknown",H28/F28)</x:f>
        <x:v>0</x:v>
      </x:c>
      <x:c r="L28" s="15" t="str">
        <x:f>IF(J28=0,"N/A",H28/J28)</x:f>
        <x:v>N/A</x:v>
      </x:c>
      <x:c r="M28" s="14" t="n">
        <x:f>SUMIFS('Rankings'!$L$6:$L$423,'Rankings'!$A$6:$A$423,B28,'Rankings'!$E$6:$E$423,"&lt;="&amp;F28)</x:f>
        <x:v>2.1309297535714578</x:v>
      </x:c>
      <x:c r="N28" s="14" t="n">
        <x:f>SUMIFS('Ideal ranking'!$H$6:$H$365,'Ideal ranking'!$A$6:$A$365,C28,'Ideal ranking'!$B$6:$B$365,"&lt;="&amp;F28)</x:f>
        <x:v>2.1309297535714578</x:v>
      </x:c>
      <x:c r="O28" s="14" t="n">
        <x:f>IF(I28&gt;0,"Unknown",IF(N28=0,"N/A",M28/N28))</x:f>
        <x:v>1</x:v>
      </x:c>
      <x:c r="P28" s="15" t="n">
        <x:f>IF(G28=0,"N/A",IF(I28&gt;0,"Unknown",H28/G28))</x:f>
        <x:v>0</x:v>
      </x:c>
      <x:c r="Q28" s="2" t="n">
        <x:f>F28-G28</x:f>
        <x:v>0</x:v>
      </x:c>
    </x:row>
    <x:row r="29" ht="22" customHeight="1">
      <x:c r="A29" s="2" t="str">
        <x:v>S03-T01|4</x:v>
      </x:c>
      <x:c r="B29" s="2" t="str">
        <x:v>S03-T01</x:v>
      </x:c>
      <x:c r="C29" s="2" t="str">
        <x:v>S03</x:v>
      </x:c>
      <x:c r="D29" s="2" t="str">
        <x:v>Retained</x:v>
      </x:c>
      <x:c r="E29" s="2" t="n">
        <x:v>1</x:v>
      </x:c>
      <x:c r="F29" s="2" t="n">
        <x:v>4</x:v>
      </x:c>
      <x:c r="G29" s="2" t="n">
        <x:f>COUNTIFS('Rankings'!$A$6:$A$423,B29,'Rankings'!$E$6:$E$423,"&lt;="&amp;F29)</x:f>
        <x:v>4</x:v>
      </x:c>
      <x:c r="H29" s="2" t="n">
        <x:f>SUMIFS('Rankings'!$J$6:$J$423,'Rankings'!$A$6:$A$423,B29,'Rankings'!$E$6:$E$423,"&lt;="&amp;F29)</x:f>
        <x:v>0</x:v>
      </x:c>
      <x:c r="I29" s="2" t="n">
        <x:f>G29-SUMIFS('Rankings'!$I$6:$I$423,'Rankings'!$A$6:$A$423,B29,'Rankings'!$E$6:$E$423,"&lt;="&amp;F29)</x:f>
        <x:v>0</x:v>
      </x:c>
      <x:c r="J29" s="2" t="n">
        <x:f>SUMIFS('Ratings'!$H$6:$H$1387,'Ratings'!$B$6:$B$1387,C29)</x:f>
        <x:v>0</x:v>
      </x:c>
      <x:c r="K29" s="15" t="n">
        <x:f>IF(I29&gt;0,"Unknown",H29/F29)</x:f>
        <x:v>0</x:v>
      </x:c>
      <x:c r="L29" s="15" t="str">
        <x:f>IF(J29=0,"N/A",H29/J29)</x:f>
        <x:v>N/A</x:v>
      </x:c>
      <x:c r="M29" s="14" t="n">
        <x:f>SUMIFS('Rankings'!$L$6:$L$423,'Rankings'!$A$6:$A$423,B29,'Rankings'!$E$6:$E$423,"&lt;="&amp;F29)</x:f>
        <x:v>2.5616063116448506</x:v>
      </x:c>
      <x:c r="N29" s="14" t="n">
        <x:f>SUMIFS('Ideal ranking'!$H$6:$H$365,'Ideal ranking'!$A$6:$A$365,C29,'Ideal ranking'!$B$6:$B$365,"&lt;="&amp;F29)</x:f>
        <x:v>2.5616063116448506</x:v>
      </x:c>
      <x:c r="O29" s="14" t="n">
        <x:f>IF(I29&gt;0,"Unknown",IF(N29=0,"N/A",M29/N29))</x:f>
        <x:v>1</x:v>
      </x:c>
      <x:c r="P29" s="15" t="n">
        <x:f>IF(G29=0,"N/A",IF(I29&gt;0,"Unknown",H29/G29))</x:f>
        <x:v>0</x:v>
      </x:c>
      <x:c r="Q29" s="2" t="n">
        <x:f>F29-G29</x:f>
        <x:v>0</x:v>
      </x:c>
    </x:row>
    <x:row r="30" ht="22" customHeight="1">
      <x:c r="A30" s="2" t="str">
        <x:v>S03-T01|5</x:v>
      </x:c>
      <x:c r="B30" s="2" t="str">
        <x:v>S03-T01</x:v>
      </x:c>
      <x:c r="C30" s="2" t="str">
        <x:v>S03</x:v>
      </x:c>
      <x:c r="D30" s="2" t="str">
        <x:v>Retained</x:v>
      </x:c>
      <x:c r="E30" s="2" t="n">
        <x:v>1</x:v>
      </x:c>
      <x:c r="F30" s="2" t="n">
        <x:v>5</x:v>
      </x:c>
      <x:c r="G30" s="2" t="n">
        <x:f>COUNTIFS('Rankings'!$A$6:$A$423,B30,'Rankings'!$E$6:$E$423,"&lt;="&amp;F30)</x:f>
        <x:v>5</x:v>
      </x:c>
      <x:c r="H30" s="2" t="n">
        <x:f>SUMIFS('Rankings'!$J$6:$J$423,'Rankings'!$A$6:$A$423,B30,'Rankings'!$E$6:$E$423,"&lt;="&amp;F30)</x:f>
        <x:v>0</x:v>
      </x:c>
      <x:c r="I30" s="2" t="n">
        <x:f>G30-SUMIFS('Rankings'!$I$6:$I$423,'Rankings'!$A$6:$A$423,B30,'Rankings'!$E$6:$E$423,"&lt;="&amp;F30)</x:f>
        <x:v>0</x:v>
      </x:c>
      <x:c r="J30" s="2" t="n">
        <x:f>SUMIFS('Ratings'!$H$6:$H$1387,'Ratings'!$B$6:$B$1387,C30)</x:f>
        <x:v>0</x:v>
      </x:c>
      <x:c r="K30" s="15" t="n">
        <x:f>IF(I30&gt;0,"Unknown",H30/F30)</x:f>
        <x:v>0</x:v>
      </x:c>
      <x:c r="L30" s="15" t="str">
        <x:f>IF(J30=0,"N/A",H30/J30)</x:f>
        <x:v>N/A</x:v>
      </x:c>
      <x:c r="M30" s="14" t="n">
        <x:f>SUMIFS('Rankings'!$L$6:$L$423,'Rankings'!$A$6:$A$423,B30,'Rankings'!$E$6:$E$423,"&lt;="&amp;F30)</x:f>
        <x:v>2.9484591188793923</x:v>
      </x:c>
      <x:c r="N30" s="14" t="n">
        <x:f>SUMIFS('Ideal ranking'!$H$6:$H$365,'Ideal ranking'!$A$6:$A$365,C30,'Ideal ranking'!$B$6:$B$365,"&lt;="&amp;F30)</x:f>
        <x:v>2.9484591188793923</x:v>
      </x:c>
      <x:c r="O30" s="14" t="n">
        <x:f>IF(I30&gt;0,"Unknown",IF(N30=0,"N/A",M30/N30))</x:f>
        <x:v>1</x:v>
      </x:c>
      <x:c r="P30" s="15" t="n">
        <x:f>IF(G30=0,"N/A",IF(I30&gt;0,"Unknown",H30/G30))</x:f>
        <x:v>0</x:v>
      </x:c>
      <x:c r="Q30" s="2" t="n">
        <x:f>F30-G30</x:f>
        <x:v>0</x:v>
      </x:c>
    </x:row>
    <x:row r="31" ht="22" customHeight="1">
      <x:c r="A31" s="2" t="str">
        <x:v>S03-T01|6</x:v>
      </x:c>
      <x:c r="B31" s="2" t="str">
        <x:v>S03-T01</x:v>
      </x:c>
      <x:c r="C31" s="2" t="str">
        <x:v>S03</x:v>
      </x:c>
      <x:c r="D31" s="2" t="str">
        <x:v>Retained</x:v>
      </x:c>
      <x:c r="E31" s="2" t="n">
        <x:v>1</x:v>
      </x:c>
      <x:c r="F31" s="2" t="n">
        <x:v>6</x:v>
      </x:c>
      <x:c r="G31" s="2" t="n">
        <x:f>COUNTIFS('Rankings'!$A$6:$A$423,B31,'Rankings'!$E$6:$E$423,"&lt;="&amp;F31)</x:f>
        <x:v>6</x:v>
      </x:c>
      <x:c r="H31" s="2" t="n">
        <x:f>SUMIFS('Rankings'!$J$6:$J$423,'Rankings'!$A$6:$A$423,B31,'Rankings'!$E$6:$E$423,"&lt;="&amp;F31)</x:f>
        <x:v>0</x:v>
      </x:c>
      <x:c r="I31" s="2" t="n">
        <x:f>G31-SUMIFS('Rankings'!$I$6:$I$423,'Rankings'!$A$6:$A$423,B31,'Rankings'!$E$6:$E$423,"&lt;="&amp;F31)</x:f>
        <x:v>0</x:v>
      </x:c>
      <x:c r="J31" s="2" t="n">
        <x:f>SUMIFS('Ratings'!$H$6:$H$1387,'Ratings'!$B$6:$B$1387,C31)</x:f>
        <x:v>0</x:v>
      </x:c>
      <x:c r="K31" s="15" t="n">
        <x:f>IF(I31&gt;0,"Unknown",H31/F31)</x:f>
        <x:v>0</x:v>
      </x:c>
      <x:c r="L31" s="15" t="str">
        <x:f>IF(J31=0,"N/A",H31/J31)</x:f>
        <x:v>N/A</x:v>
      </x:c>
      <x:c r="M31" s="14" t="n">
        <x:f>SUMIFS('Rankings'!$L$6:$L$423,'Rankings'!$A$6:$A$423,B31,'Rankings'!$E$6:$E$423,"&lt;="&amp;F31)</x:f>
        <x:v>3.3046663059874146</x:v>
      </x:c>
      <x:c r="N31" s="14" t="n">
        <x:f>SUMIFS('Ideal ranking'!$H$6:$H$365,'Ideal ranking'!$A$6:$A$365,C31,'Ideal ranking'!$B$6:$B$365,"&lt;="&amp;F31)</x:f>
        <x:v>3.3046663059874146</x:v>
      </x:c>
      <x:c r="O31" s="14" t="n">
        <x:f>IF(I31&gt;0,"Unknown",IF(N31=0,"N/A",M31/N31))</x:f>
        <x:v>1</x:v>
      </x:c>
      <x:c r="P31" s="15" t="n">
        <x:f>IF(G31=0,"N/A",IF(I31&gt;0,"Unknown",H31/G31))</x:f>
        <x:v>0</x:v>
      </x:c>
      <x:c r="Q31" s="2" t="n">
        <x:f>F31-G31</x:f>
        <x:v>0</x:v>
      </x:c>
    </x:row>
    <x:row r="32" ht="22" customHeight="1">
      <x:c r="A32" s="2" t="str">
        <x:v>S03-T01|7</x:v>
      </x:c>
      <x:c r="B32" s="2" t="str">
        <x:v>S03-T01</x:v>
      </x:c>
      <x:c r="C32" s="2" t="str">
        <x:v>S03</x:v>
      </x:c>
      <x:c r="D32" s="2" t="str">
        <x:v>Retained</x:v>
      </x:c>
      <x:c r="E32" s="2" t="n">
        <x:v>1</x:v>
      </x:c>
      <x:c r="F32" s="2" t="n">
        <x:v>7</x:v>
      </x:c>
      <x:c r="G32" s="2" t="n">
        <x:f>COUNTIFS('Rankings'!$A$6:$A$423,B32,'Rankings'!$E$6:$E$423,"&lt;="&amp;F32)</x:f>
        <x:v>7</x:v>
      </x:c>
      <x:c r="H32" s="2" t="n">
        <x:f>SUMIFS('Rankings'!$J$6:$J$423,'Rankings'!$A$6:$A$423,B32,'Rankings'!$E$6:$E$423,"&lt;="&amp;F32)</x:f>
        <x:v>0</x:v>
      </x:c>
      <x:c r="I32" s="2" t="n">
        <x:f>G32-SUMIFS('Rankings'!$I$6:$I$423,'Rankings'!$A$6:$A$423,B32,'Rankings'!$E$6:$E$423,"&lt;="&amp;F32)</x:f>
        <x:v>0</x:v>
      </x:c>
      <x:c r="J32" s="2" t="n">
        <x:f>SUMIFS('Ratings'!$H$6:$H$1387,'Ratings'!$B$6:$B$1387,C32)</x:f>
        <x:v>0</x:v>
      </x:c>
      <x:c r="K32" s="15" t="n">
        <x:f>IF(I32&gt;0,"Unknown",H32/F32)</x:f>
        <x:v>0</x:v>
      </x:c>
      <x:c r="L32" s="15" t="str">
        <x:f>IF(J32=0,"N/A",H32/J32)</x:f>
        <x:v>N/A</x:v>
      </x:c>
      <x:c r="M32" s="14" t="n">
        <x:f>SUMIFS('Rankings'!$L$6:$L$423,'Rankings'!$A$6:$A$423,B32,'Rankings'!$E$6:$E$423,"&lt;="&amp;F32)</x:f>
        <x:v>3.637999639320748</x:v>
      </x:c>
      <x:c r="N32" s="14" t="n">
        <x:f>SUMIFS('Ideal ranking'!$H$6:$H$365,'Ideal ranking'!$A$6:$A$365,C32,'Ideal ranking'!$B$6:$B$365,"&lt;="&amp;F32)</x:f>
        <x:v>3.637999639320748</x:v>
      </x:c>
      <x:c r="O32" s="14" t="n">
        <x:f>IF(I32&gt;0,"Unknown",IF(N32=0,"N/A",M32/N32))</x:f>
        <x:v>1</x:v>
      </x:c>
      <x:c r="P32" s="15" t="n">
        <x:f>IF(G32=0,"N/A",IF(I32&gt;0,"Unknown",H32/G32))</x:f>
        <x:v>0</x:v>
      </x:c>
      <x:c r="Q32" s="2" t="n">
        <x:f>F32-G32</x:f>
        <x:v>0</x:v>
      </x:c>
    </x:row>
    <x:row r="33" ht="22" customHeight="1">
      <x:c r="A33" s="2" t="str">
        <x:v>S03-T01|8</x:v>
      </x:c>
      <x:c r="B33" s="2" t="str">
        <x:v>S03-T01</x:v>
      </x:c>
      <x:c r="C33" s="2" t="str">
        <x:v>S03</x:v>
      </x:c>
      <x:c r="D33" s="2" t="str">
        <x:v>Retained</x:v>
      </x:c>
      <x:c r="E33" s="2" t="n">
        <x:v>1</x:v>
      </x:c>
      <x:c r="F33" s="2" t="n">
        <x:v>8</x:v>
      </x:c>
      <x:c r="G33" s="2" t="n">
        <x:f>COUNTIFS('Rankings'!$A$6:$A$423,B33,'Rankings'!$E$6:$E$423,"&lt;="&amp;F33)</x:f>
        <x:v>8</x:v>
      </x:c>
      <x:c r="H33" s="2" t="n">
        <x:f>SUMIFS('Rankings'!$J$6:$J$423,'Rankings'!$A$6:$A$423,B33,'Rankings'!$E$6:$E$423,"&lt;="&amp;F33)</x:f>
        <x:v>0</x:v>
      </x:c>
      <x:c r="I33" s="2" t="n">
        <x:f>G33-SUMIFS('Rankings'!$I$6:$I$423,'Rankings'!$A$6:$A$423,B33,'Rankings'!$E$6:$E$423,"&lt;="&amp;F33)</x:f>
        <x:v>0</x:v>
      </x:c>
      <x:c r="J33" s="2" t="n">
        <x:f>SUMIFS('Ratings'!$H$6:$H$1387,'Ratings'!$B$6:$B$1387,C33)</x:f>
        <x:v>0</x:v>
      </x:c>
      <x:c r="K33" s="15" t="n">
        <x:f>IF(I33&gt;0,"Unknown",H33/F33)</x:f>
        <x:v>0</x:v>
      </x:c>
      <x:c r="L33" s="15" t="str">
        <x:f>IF(J33=0,"N/A",H33/J33)</x:f>
        <x:v>N/A</x:v>
      </x:c>
      <x:c r="M33" s="14" t="n">
        <x:f>SUMIFS('Rankings'!$L$6:$L$423,'Rankings'!$A$6:$A$423,B33,'Rankings'!$E$6:$E$423,"&lt;="&amp;F33)</x:f>
        <x:v>3.953464516106477</x:v>
      </x:c>
      <x:c r="N33" s="14" t="n">
        <x:f>SUMIFS('Ideal ranking'!$H$6:$H$365,'Ideal ranking'!$A$6:$A$365,C33,'Ideal ranking'!$B$6:$B$365,"&lt;="&amp;F33)</x:f>
        <x:v>3.953464516106477</x:v>
      </x:c>
      <x:c r="O33" s="14" t="n">
        <x:f>IF(I33&gt;0,"Unknown",IF(N33=0,"N/A",M33/N33))</x:f>
        <x:v>1</x:v>
      </x:c>
      <x:c r="P33" s="15" t="n">
        <x:f>IF(G33=0,"N/A",IF(I33&gt;0,"Unknown",H33/G33))</x:f>
        <x:v>0</x:v>
      </x:c>
      <x:c r="Q33" s="2" t="n">
        <x:f>F33-G33</x:f>
        <x:v>0</x:v>
      </x:c>
    </x:row>
    <x:row r="34" ht="22" customHeight="1">
      <x:c r="A34" s="2" t="str">
        <x:v>S03-T01|9</x:v>
      </x:c>
      <x:c r="B34" s="2" t="str">
        <x:v>S03-T01</x:v>
      </x:c>
      <x:c r="C34" s="2" t="str">
        <x:v>S03</x:v>
      </x:c>
      <x:c r="D34" s="2" t="str">
        <x:v>Retained</x:v>
      </x:c>
      <x:c r="E34" s="2" t="n">
        <x:v>1</x:v>
      </x:c>
      <x:c r="F34" s="2" t="n">
        <x:v>9</x:v>
      </x:c>
      <x:c r="G34" s="2" t="n">
        <x:f>COUNTIFS('Rankings'!$A$6:$A$423,B34,'Rankings'!$E$6:$E$423,"&lt;="&amp;F34)</x:f>
        <x:v>9</x:v>
      </x:c>
      <x:c r="H34" s="2" t="n">
        <x:f>SUMIFS('Rankings'!$J$6:$J$423,'Rankings'!$A$6:$A$423,B34,'Rankings'!$E$6:$E$423,"&lt;="&amp;F34)</x:f>
        <x:v>0</x:v>
      </x:c>
      <x:c r="I34" s="2" t="n">
        <x:f>G34-SUMIFS('Rankings'!$I$6:$I$423,'Rankings'!$A$6:$A$423,B34,'Rankings'!$E$6:$E$423,"&lt;="&amp;F34)</x:f>
        <x:v>0</x:v>
      </x:c>
      <x:c r="J34" s="2" t="n">
        <x:f>SUMIFS('Ratings'!$H$6:$H$1387,'Ratings'!$B$6:$B$1387,C34)</x:f>
        <x:v>0</x:v>
      </x:c>
      <x:c r="K34" s="15" t="n">
        <x:f>IF(I34&gt;0,"Unknown",H34/F34)</x:f>
        <x:v>0</x:v>
      </x:c>
      <x:c r="L34" s="15" t="str">
        <x:f>IF(J34=0,"N/A",H34/J34)</x:f>
        <x:v>N/A</x:v>
      </x:c>
      <x:c r="M34" s="14" t="n">
        <x:f>SUMIFS('Rankings'!$L$6:$L$423,'Rankings'!$A$6:$A$423,B34,'Rankings'!$E$6:$E$423,"&lt;="&amp;F34)</x:f>
        <x:v>4.254494511770458</x:v>
      </x:c>
      <x:c r="N34" s="14" t="n">
        <x:f>SUMIFS('Ideal ranking'!$H$6:$H$365,'Ideal ranking'!$A$6:$A$365,C34,'Ideal ranking'!$B$6:$B$365,"&lt;="&amp;F34)</x:f>
        <x:v>4.254494511770458</x:v>
      </x:c>
      <x:c r="O34" s="14" t="n">
        <x:f>IF(I34&gt;0,"Unknown",IF(N34=0,"N/A",M34/N34))</x:f>
        <x:v>1</x:v>
      </x:c>
      <x:c r="P34" s="15" t="n">
        <x:f>IF(G34=0,"N/A",IF(I34&gt;0,"Unknown",H34/G34))</x:f>
        <x:v>0</x:v>
      </x:c>
      <x:c r="Q34" s="2" t="n">
        <x:f>F34-G34</x:f>
        <x:v>0</x:v>
      </x:c>
    </x:row>
    <x:row r="35" ht="22" customHeight="1">
      <x:c r="A35" s="2" t="str">
        <x:v>S03-T01|10</x:v>
      </x:c>
      <x:c r="B35" s="2" t="str">
        <x:v>S03-T01</x:v>
      </x:c>
      <x:c r="C35" s="2" t="str">
        <x:v>S03</x:v>
      </x:c>
      <x:c r="D35" s="2" t="str">
        <x:v>Retained</x:v>
      </x:c>
      <x:c r="E35" s="2" t="n">
        <x:v>1</x:v>
      </x:c>
      <x:c r="F35" s="2" t="n">
        <x:v>10</x:v>
      </x:c>
      <x:c r="G35" s="2" t="n">
        <x:f>COUNTIFS('Rankings'!$A$6:$A$423,B35,'Rankings'!$E$6:$E$423,"&lt;="&amp;F35)</x:f>
        <x:v>10</x:v>
      </x:c>
      <x:c r="H35" s="2" t="n">
        <x:f>SUMIFS('Rankings'!$J$6:$J$423,'Rankings'!$A$6:$A$423,B35,'Rankings'!$E$6:$E$423,"&lt;="&amp;F35)</x:f>
        <x:v>0</x:v>
      </x:c>
      <x:c r="I35" s="2" t="n">
        <x:f>G35-SUMIFS('Rankings'!$I$6:$I$423,'Rankings'!$A$6:$A$423,B35,'Rankings'!$E$6:$E$423,"&lt;="&amp;F35)</x:f>
        <x:v>0</x:v>
      </x:c>
      <x:c r="J35" s="2" t="n">
        <x:f>SUMIFS('Ratings'!$H$6:$H$1387,'Ratings'!$B$6:$B$1387,C35)</x:f>
        <x:v>0</x:v>
      </x:c>
      <x:c r="K35" s="15" t="n">
        <x:f>IF(I35&gt;0,"Unknown",H35/F35)</x:f>
        <x:v>0</x:v>
      </x:c>
      <x:c r="L35" s="15" t="str">
        <x:f>IF(J35=0,"N/A",H35/J35)</x:f>
        <x:v>N/A</x:v>
      </x:c>
      <x:c r="M35" s="14" t="n">
        <x:f>SUMIFS('Rankings'!$L$6:$L$423,'Rankings'!$A$6:$A$423,B35,'Rankings'!$E$6:$E$423,"&lt;="&amp;F35)</x:f>
        <x:v>4.543559338088346</x:v>
      </x:c>
      <x:c r="N35" s="14" t="n">
        <x:f>SUMIFS('Ideal ranking'!$H$6:$H$365,'Ideal ranking'!$A$6:$A$365,C35,'Ideal ranking'!$B$6:$B$365,"&lt;="&amp;F35)</x:f>
        <x:v>4.543559338088346</x:v>
      </x:c>
      <x:c r="O35" s="14" t="n">
        <x:f>IF(I35&gt;0,"Unknown",IF(N35=0,"N/A",M35/N35))</x:f>
        <x:v>1</x:v>
      </x:c>
      <x:c r="P35" s="15" t="n">
        <x:f>IF(G35=0,"N/A",IF(I35&gt;0,"Unknown",H35/G35))</x:f>
        <x:v>0</x:v>
      </x:c>
      <x:c r="Q35" s="2" t="n">
        <x:f>F35-G35</x:f>
        <x:v>0</x:v>
      </x:c>
    </x:row>
    <x:row r="36" ht="22" customHeight="1">
      <x:c r="A36" s="2" t="str">
        <x:v>S04-T01|1</x:v>
      </x:c>
      <x:c r="B36" s="2" t="str">
        <x:v>S04-T01</x:v>
      </x:c>
      <x:c r="C36" s="2" t="str">
        <x:v>S04</x:v>
      </x:c>
      <x:c r="D36" s="2" t="str">
        <x:v>Retained</x:v>
      </x:c>
      <x:c r="E36" s="2" t="n">
        <x:v>1</x:v>
      </x:c>
      <x:c r="F36" s="2" t="n">
        <x:v>1</x:v>
      </x:c>
      <x:c r="G36" s="2" t="n">
        <x:f>COUNTIFS('Rankings'!$A$6:$A$423,B36,'Rankings'!$E$6:$E$423,"&lt;="&amp;F36)</x:f>
        <x:v>1</x:v>
      </x:c>
      <x:c r="H36" s="2" t="n">
        <x:f>SUMIFS('Rankings'!$J$6:$J$423,'Rankings'!$A$6:$A$423,B36,'Rankings'!$E$6:$E$423,"&lt;="&amp;F36)</x:f>
        <x:v>1</x:v>
      </x:c>
      <x:c r="I36" s="2" t="n">
        <x:f>G36-SUMIFS('Rankings'!$I$6:$I$423,'Rankings'!$A$6:$A$423,B36,'Rankings'!$E$6:$E$423,"&lt;="&amp;F36)</x:f>
        <x:v>0</x:v>
      </x:c>
      <x:c r="J36" s="2" t="n">
        <x:f>SUMIFS('Ratings'!$H$6:$H$1387,'Ratings'!$B$6:$B$1387,C36)</x:f>
        <x:v>22</x:v>
      </x:c>
      <x:c r="K36" s="15" t="n">
        <x:f>IF(I36&gt;0,"Unknown",H36/F36)</x:f>
        <x:v>1</x:v>
      </x:c>
      <x:c r="L36" s="15" t="n">
        <x:f>IF(J36=0,"N/A",H36/J36)</x:f>
        <x:v>0.045454545454545456</x:v>
      </x:c>
      <x:c r="M36" s="14" t="n">
        <x:f>SUMIFS('Rankings'!$L$6:$L$423,'Rankings'!$A$6:$A$423,B36,'Rankings'!$E$6:$E$423,"&lt;="&amp;F36)</x:f>
        <x:v>7</x:v>
      </x:c>
      <x:c r="N36" s="14" t="n">
        <x:f>SUMIFS('Ideal ranking'!$H$6:$H$365,'Ideal ranking'!$A$6:$A$365,C36,'Ideal ranking'!$B$6:$B$365,"&lt;="&amp;F36)</x:f>
        <x:v>7</x:v>
      </x:c>
      <x:c r="O36" s="14" t="n">
        <x:f>IF(I36&gt;0,"Unknown",IF(N36=0,"N/A",M36/N36))</x:f>
        <x:v>1</x:v>
      </x:c>
      <x:c r="P36" s="15" t="n">
        <x:f>IF(G36=0,"N/A",IF(I36&gt;0,"Unknown",H36/G36))</x:f>
        <x:v>1</x:v>
      </x:c>
      <x:c r="Q36" s="2" t="n">
        <x:f>F36-G36</x:f>
        <x:v>0</x:v>
      </x:c>
    </x:row>
    <x:row r="37" ht="22" customHeight="1">
      <x:c r="A37" s="2" t="str">
        <x:v>S04-T01|2</x:v>
      </x:c>
      <x:c r="B37" s="2" t="str">
        <x:v>S04-T01</x:v>
      </x:c>
      <x:c r="C37" s="2" t="str">
        <x:v>S04</x:v>
      </x:c>
      <x:c r="D37" s="2" t="str">
        <x:v>Retained</x:v>
      </x:c>
      <x:c r="E37" s="2" t="n">
        <x:v>1</x:v>
      </x:c>
      <x:c r="F37" s="2" t="n">
        <x:v>2</x:v>
      </x:c>
      <x:c r="G37" s="2" t="n">
        <x:f>COUNTIFS('Rankings'!$A$6:$A$423,B37,'Rankings'!$E$6:$E$423,"&lt;="&amp;F37)</x:f>
        <x:v>2</x:v>
      </x:c>
      <x:c r="H37" s="2" t="n">
        <x:f>SUMIFS('Rankings'!$J$6:$J$423,'Rankings'!$A$6:$A$423,B37,'Rankings'!$E$6:$E$423,"&lt;="&amp;F37)</x:f>
        <x:v>2</x:v>
      </x:c>
      <x:c r="I37" s="2" t="n">
        <x:f>G37-SUMIFS('Rankings'!$I$6:$I$423,'Rankings'!$A$6:$A$423,B37,'Rankings'!$E$6:$E$423,"&lt;="&amp;F37)</x:f>
        <x:v>0</x:v>
      </x:c>
      <x:c r="J37" s="2" t="n">
        <x:f>SUMIFS('Ratings'!$H$6:$H$1387,'Ratings'!$B$6:$B$1387,C37)</x:f>
        <x:v>22</x:v>
      </x:c>
      <x:c r="K37" s="15" t="n">
        <x:f>IF(I37&gt;0,"Unknown",H37/F37)</x:f>
        <x:v>1</x:v>
      </x:c>
      <x:c r="L37" s="15" t="n">
        <x:f>IF(J37=0,"N/A",H37/J37)</x:f>
        <x:v>0.09090909090909091</x:v>
      </x:c>
      <x:c r="M37" s="14" t="n">
        <x:f>SUMIFS('Rankings'!$L$6:$L$423,'Rankings'!$A$6:$A$423,B37,'Rankings'!$E$6:$E$423,"&lt;="&amp;F37)</x:f>
        <x:v>11.416508275000202</x:v>
      </x:c>
      <x:c r="N37" s="14" t="n">
        <x:f>SUMIFS('Ideal ranking'!$H$6:$H$365,'Ideal ranking'!$A$6:$A$365,C37,'Ideal ranking'!$B$6:$B$365,"&lt;="&amp;F37)</x:f>
        <x:v>11.416508275000202</x:v>
      </x:c>
      <x:c r="O37" s="14" t="n">
        <x:f>IF(I37&gt;0,"Unknown",IF(N37=0,"N/A",M37/N37))</x:f>
        <x:v>1</x:v>
      </x:c>
      <x:c r="P37" s="15" t="n">
        <x:f>IF(G37=0,"N/A",IF(I37&gt;0,"Unknown",H37/G37))</x:f>
        <x:v>1</x:v>
      </x:c>
      <x:c r="Q37" s="2" t="n">
        <x:f>F37-G37</x:f>
        <x:v>0</x:v>
      </x:c>
    </x:row>
    <x:row r="38" ht="22" customHeight="1">
      <x:c r="A38" s="2" t="str">
        <x:v>S04-T01|3</x:v>
      </x:c>
      <x:c r="B38" s="2" t="str">
        <x:v>S04-T01</x:v>
      </x:c>
      <x:c r="C38" s="2" t="str">
        <x:v>S04</x:v>
      </x:c>
      <x:c r="D38" s="2" t="str">
        <x:v>Retained</x:v>
      </x:c>
      <x:c r="E38" s="2" t="n">
        <x:v>1</x:v>
      </x:c>
      <x:c r="F38" s="2" t="n">
        <x:v>3</x:v>
      </x:c>
      <x:c r="G38" s="2" t="n">
        <x:f>COUNTIFS('Rankings'!$A$6:$A$423,B38,'Rankings'!$E$6:$E$423,"&lt;="&amp;F38)</x:f>
        <x:v>3</x:v>
      </x:c>
      <x:c r="H38" s="2" t="n">
        <x:f>SUMIFS('Rankings'!$J$6:$J$423,'Rankings'!$A$6:$A$423,B38,'Rankings'!$E$6:$E$423,"&lt;="&amp;F38)</x:f>
        <x:v>3</x:v>
      </x:c>
      <x:c r="I38" s="2" t="n">
        <x:f>G38-SUMIFS('Rankings'!$I$6:$I$423,'Rankings'!$A$6:$A$423,B38,'Rankings'!$E$6:$E$423,"&lt;="&amp;F38)</x:f>
        <x:v>0</x:v>
      </x:c>
      <x:c r="J38" s="2" t="n">
        <x:f>SUMIFS('Ratings'!$H$6:$H$1387,'Ratings'!$B$6:$B$1387,C38)</x:f>
        <x:v>22</x:v>
      </x:c>
      <x:c r="K38" s="15" t="n">
        <x:f>IF(I38&gt;0,"Unknown",H38/F38)</x:f>
        <x:v>1</x:v>
      </x:c>
      <x:c r="L38" s="15" t="n">
        <x:f>IF(J38=0,"N/A",H38/J38)</x:f>
        <x:v>0.13636363636363635</x:v>
      </x:c>
      <x:c r="M38" s="14" t="n">
        <x:f>SUMIFS('Rankings'!$L$6:$L$423,'Rankings'!$A$6:$A$423,B38,'Rankings'!$E$6:$E$423,"&lt;="&amp;F38)</x:f>
        <x:v>14.916508275000202</x:v>
      </x:c>
      <x:c r="N38" s="14" t="n">
        <x:f>SUMIFS('Ideal ranking'!$H$6:$H$365,'Ideal ranking'!$A$6:$A$365,C38,'Ideal ranking'!$B$6:$B$365,"&lt;="&amp;F38)</x:f>
        <x:v>14.916508275000202</x:v>
      </x:c>
      <x:c r="O38" s="14" t="n">
        <x:f>IF(I38&gt;0,"Unknown",IF(N38=0,"N/A",M38/N38))</x:f>
        <x:v>1</x:v>
      </x:c>
      <x:c r="P38" s="15" t="n">
        <x:f>IF(G38=0,"N/A",IF(I38&gt;0,"Unknown",H38/G38))</x:f>
        <x:v>1</x:v>
      </x:c>
      <x:c r="Q38" s="2" t="n">
        <x:f>F38-G38</x:f>
        <x:v>0</x:v>
      </x:c>
    </x:row>
    <x:row r="39" ht="22" customHeight="1">
      <x:c r="A39" s="2" t="str">
        <x:v>S04-T01|4</x:v>
      </x:c>
      <x:c r="B39" s="2" t="str">
        <x:v>S04-T01</x:v>
      </x:c>
      <x:c r="C39" s="2" t="str">
        <x:v>S04</x:v>
      </x:c>
      <x:c r="D39" s="2" t="str">
        <x:v>Retained</x:v>
      </x:c>
      <x:c r="E39" s="2" t="n">
        <x:v>1</x:v>
      </x:c>
      <x:c r="F39" s="2" t="n">
        <x:v>4</x:v>
      </x:c>
      <x:c r="G39" s="2" t="n">
        <x:f>COUNTIFS('Rankings'!$A$6:$A$423,B39,'Rankings'!$E$6:$E$423,"&lt;="&amp;F39)</x:f>
        <x:v>4</x:v>
      </x:c>
      <x:c r="H39" s="2" t="n">
        <x:f>SUMIFS('Rankings'!$J$6:$J$423,'Rankings'!$A$6:$A$423,B39,'Rankings'!$E$6:$E$423,"&lt;="&amp;F39)</x:f>
        <x:v>4</x:v>
      </x:c>
      <x:c r="I39" s="2" t="n">
        <x:f>G39-SUMIFS('Rankings'!$I$6:$I$423,'Rankings'!$A$6:$A$423,B39,'Rankings'!$E$6:$E$423,"&lt;="&amp;F39)</x:f>
        <x:v>0</x:v>
      </x:c>
      <x:c r="J39" s="2" t="n">
        <x:f>SUMIFS('Ratings'!$H$6:$H$1387,'Ratings'!$B$6:$B$1387,C39)</x:f>
        <x:v>22</x:v>
      </x:c>
      <x:c r="K39" s="15" t="n">
        <x:f>IF(I39&gt;0,"Unknown",H39/F39)</x:f>
        <x:v>1</x:v>
      </x:c>
      <x:c r="L39" s="15" t="n">
        <x:f>IF(J39=0,"N/A",H39/J39)</x:f>
        <x:v>0.18181818181818182</x:v>
      </x:c>
      <x:c r="M39" s="14" t="n">
        <x:f>SUMIFS('Rankings'!$L$6:$L$423,'Rankings'!$A$6:$A$423,B39,'Rankings'!$E$6:$E$423,"&lt;="&amp;F39)</x:f>
        <x:v>17.931244181513954</x:v>
      </x:c>
      <x:c r="N39" s="14" t="n">
        <x:f>SUMIFS('Ideal ranking'!$H$6:$H$365,'Ideal ranking'!$A$6:$A$365,C39,'Ideal ranking'!$B$6:$B$365,"&lt;="&amp;F39)</x:f>
        <x:v>17.931244181513954</x:v>
      </x:c>
      <x:c r="O39" s="14" t="n">
        <x:f>IF(I39&gt;0,"Unknown",IF(N39=0,"N/A",M39/N39))</x:f>
        <x:v>1</x:v>
      </x:c>
      <x:c r="P39" s="15" t="n">
        <x:f>IF(G39=0,"N/A",IF(I39&gt;0,"Unknown",H39/G39))</x:f>
        <x:v>1</x:v>
      </x:c>
      <x:c r="Q39" s="2" t="n">
        <x:f>F39-G39</x:f>
        <x:v>0</x:v>
      </x:c>
    </x:row>
    <x:row r="40" ht="22" customHeight="1">
      <x:c r="A40" s="2" t="str">
        <x:v>S04-T01|5</x:v>
      </x:c>
      <x:c r="B40" s="2" t="str">
        <x:v>S04-T01</x:v>
      </x:c>
      <x:c r="C40" s="2" t="str">
        <x:v>S04</x:v>
      </x:c>
      <x:c r="D40" s="2" t="str">
        <x:v>Retained</x:v>
      </x:c>
      <x:c r="E40" s="2" t="n">
        <x:v>1</x:v>
      </x:c>
      <x:c r="F40" s="2" t="n">
        <x:v>5</x:v>
      </x:c>
      <x:c r="G40" s="2" t="n">
        <x:f>COUNTIFS('Rankings'!$A$6:$A$423,B40,'Rankings'!$E$6:$E$423,"&lt;="&amp;F40)</x:f>
        <x:v>5</x:v>
      </x:c>
      <x:c r="H40" s="2" t="n">
        <x:f>SUMIFS('Rankings'!$J$6:$J$423,'Rankings'!$A$6:$A$423,B40,'Rankings'!$E$6:$E$423,"&lt;="&amp;F40)</x:f>
        <x:v>5</x:v>
      </x:c>
      <x:c r="I40" s="2" t="n">
        <x:f>G40-SUMIFS('Rankings'!$I$6:$I$423,'Rankings'!$A$6:$A$423,B40,'Rankings'!$E$6:$E$423,"&lt;="&amp;F40)</x:f>
        <x:v>0</x:v>
      </x:c>
      <x:c r="J40" s="2" t="n">
        <x:f>SUMIFS('Ratings'!$H$6:$H$1387,'Ratings'!$B$6:$B$1387,C40)</x:f>
        <x:v>22</x:v>
      </x:c>
      <x:c r="K40" s="15" t="n">
        <x:f>IF(I40&gt;0,"Unknown",H40/F40)</x:f>
        <x:v>1</x:v>
      </x:c>
      <x:c r="L40" s="15" t="n">
        <x:f>IF(J40=0,"N/A",H40/J40)</x:f>
        <x:v>0.22727272727272727</x:v>
      </x:c>
      <x:c r="M40" s="14" t="n">
        <x:f>SUMIFS('Rankings'!$L$6:$L$423,'Rankings'!$A$6:$A$423,B40,'Rankings'!$E$6:$E$423,"&lt;="&amp;F40)</x:f>
        <x:v>19.09180260321758</x:v>
      </x:c>
      <x:c r="N40" s="14" t="n">
        <x:f>SUMIFS('Ideal ranking'!$H$6:$H$365,'Ideal ranking'!$A$6:$A$365,C40,'Ideal ranking'!$B$6:$B$365,"&lt;="&amp;F40)</x:f>
        <x:v>19.09180260321758</x:v>
      </x:c>
      <x:c r="O40" s="14" t="n">
        <x:f>IF(I40&gt;0,"Unknown",IF(N40=0,"N/A",M40/N40))</x:f>
        <x:v>1</x:v>
      </x:c>
      <x:c r="P40" s="15" t="n">
        <x:f>IF(G40=0,"N/A",IF(I40&gt;0,"Unknown",H40/G40))</x:f>
        <x:v>1</x:v>
      </x:c>
      <x:c r="Q40" s="2" t="n">
        <x:f>F40-G40</x:f>
        <x:v>0</x:v>
      </x:c>
    </x:row>
    <x:row r="41" ht="22" customHeight="1">
      <x:c r="A41" s="2" t="str">
        <x:v>S04-T01|6</x:v>
      </x:c>
      <x:c r="B41" s="2" t="str">
        <x:v>S04-T01</x:v>
      </x:c>
      <x:c r="C41" s="2" t="str">
        <x:v>S04</x:v>
      </x:c>
      <x:c r="D41" s="2" t="str">
        <x:v>Retained</x:v>
      </x:c>
      <x:c r="E41" s="2" t="n">
        <x:v>1</x:v>
      </x:c>
      <x:c r="F41" s="2" t="n">
        <x:v>6</x:v>
      </x:c>
      <x:c r="G41" s="2" t="n">
        <x:f>COUNTIFS('Rankings'!$A$6:$A$423,B41,'Rankings'!$E$6:$E$423,"&lt;="&amp;F41)</x:f>
        <x:v>6</x:v>
      </x:c>
      <x:c r="H41" s="2" t="n">
        <x:f>SUMIFS('Rankings'!$J$6:$J$423,'Rankings'!$A$6:$A$423,B41,'Rankings'!$E$6:$E$423,"&lt;="&amp;F41)</x:f>
        <x:v>6</x:v>
      </x:c>
      <x:c r="I41" s="2" t="n">
        <x:f>G41-SUMIFS('Rankings'!$I$6:$I$423,'Rankings'!$A$6:$A$423,B41,'Rankings'!$E$6:$E$423,"&lt;="&amp;F41)</x:f>
        <x:v>0</x:v>
      </x:c>
      <x:c r="J41" s="2" t="n">
        <x:f>SUMIFS('Ratings'!$H$6:$H$1387,'Ratings'!$B$6:$B$1387,C41)</x:f>
        <x:v>22</x:v>
      </x:c>
      <x:c r="K41" s="15" t="n">
        <x:f>IF(I41&gt;0,"Unknown",H41/F41)</x:f>
        <x:v>1</x:v>
      </x:c>
      <x:c r="L41" s="15" t="n">
        <x:f>IF(J41=0,"N/A",H41/J41)</x:f>
        <x:v>0.2727272727272727</x:v>
      </x:c>
      <x:c r="M41" s="14" t="n">
        <x:f>SUMIFS('Rankings'!$L$6:$L$423,'Rankings'!$A$6:$A$423,B41,'Rankings'!$E$6:$E$423,"&lt;="&amp;F41)</x:f>
        <x:v>20.160424164541645</x:v>
      </x:c>
      <x:c r="N41" s="14" t="n">
        <x:f>SUMIFS('Ideal ranking'!$H$6:$H$365,'Ideal ranking'!$A$6:$A$365,C41,'Ideal ranking'!$B$6:$B$365,"&lt;="&amp;F41)</x:f>
        <x:v>20.160424164541645</x:v>
      </x:c>
      <x:c r="O41" s="14" t="n">
        <x:f>IF(I41&gt;0,"Unknown",IF(N41=0,"N/A",M41/N41))</x:f>
        <x:v>1</x:v>
      </x:c>
      <x:c r="P41" s="15" t="n">
        <x:f>IF(G41=0,"N/A",IF(I41&gt;0,"Unknown",H41/G41))</x:f>
        <x:v>1</x:v>
      </x:c>
      <x:c r="Q41" s="2" t="n">
        <x:f>F41-G41</x:f>
        <x:v>0</x:v>
      </x:c>
    </x:row>
    <x:row r="42" ht="22" customHeight="1">
      <x:c r="A42" s="2" t="str">
        <x:v>S04-T01|7</x:v>
      </x:c>
      <x:c r="B42" s="2" t="str">
        <x:v>S04-T01</x:v>
      </x:c>
      <x:c r="C42" s="2" t="str">
        <x:v>S04</x:v>
      </x:c>
      <x:c r="D42" s="2" t="str">
        <x:v>Retained</x:v>
      </x:c>
      <x:c r="E42" s="2" t="n">
        <x:v>1</x:v>
      </x:c>
      <x:c r="F42" s="2" t="n">
        <x:v>7</x:v>
      </x:c>
      <x:c r="G42" s="2" t="n">
        <x:f>COUNTIFS('Rankings'!$A$6:$A$423,B42,'Rankings'!$E$6:$E$423,"&lt;="&amp;F42)</x:f>
        <x:v>7</x:v>
      </x:c>
      <x:c r="H42" s="2" t="n">
        <x:f>SUMIFS('Rankings'!$J$6:$J$423,'Rankings'!$A$6:$A$423,B42,'Rankings'!$E$6:$E$423,"&lt;="&amp;F42)</x:f>
        <x:v>7</x:v>
      </x:c>
      <x:c r="I42" s="2" t="n">
        <x:f>G42-SUMIFS('Rankings'!$I$6:$I$423,'Rankings'!$A$6:$A$423,B42,'Rankings'!$E$6:$E$423,"&lt;="&amp;F42)</x:f>
        <x:v>0</x:v>
      </x:c>
      <x:c r="J42" s="2" t="n">
        <x:f>SUMIFS('Ratings'!$H$6:$H$1387,'Ratings'!$B$6:$B$1387,C42)</x:f>
        <x:v>22</x:v>
      </x:c>
      <x:c r="K42" s="15" t="n">
        <x:f>IF(I42&gt;0,"Unknown",H42/F42)</x:f>
        <x:v>1</x:v>
      </x:c>
      <x:c r="L42" s="15" t="n">
        <x:f>IF(J42=0,"N/A",H42/J42)</x:f>
        <x:v>0.3181818181818182</x:v>
      </x:c>
      <x:c r="M42" s="14" t="n">
        <x:f>SUMIFS('Rankings'!$L$6:$L$423,'Rankings'!$A$6:$A$423,B42,'Rankings'!$E$6:$E$423,"&lt;="&amp;F42)</x:f>
        <x:v>21.160424164541645</x:v>
      </x:c>
      <x:c r="N42" s="14" t="n">
        <x:f>SUMIFS('Ideal ranking'!$H$6:$H$365,'Ideal ranking'!$A$6:$A$365,C42,'Ideal ranking'!$B$6:$B$365,"&lt;="&amp;F42)</x:f>
        <x:v>21.160424164541645</x:v>
      </x:c>
      <x:c r="O42" s="14" t="n">
        <x:f>IF(I42&gt;0,"Unknown",IF(N42=0,"N/A",M42/N42))</x:f>
        <x:v>1</x:v>
      </x:c>
      <x:c r="P42" s="15" t="n">
        <x:f>IF(G42=0,"N/A",IF(I42&gt;0,"Unknown",H42/G42))</x:f>
        <x:v>1</x:v>
      </x:c>
      <x:c r="Q42" s="2" t="n">
        <x:f>F42-G42</x:f>
        <x:v>0</x:v>
      </x:c>
    </x:row>
    <x:row r="43" ht="22" customHeight="1">
      <x:c r="A43" s="2" t="str">
        <x:v>S04-T01|8</x:v>
      </x:c>
      <x:c r="B43" s="2" t="str">
        <x:v>S04-T01</x:v>
      </x:c>
      <x:c r="C43" s="2" t="str">
        <x:v>S04</x:v>
      </x:c>
      <x:c r="D43" s="2" t="str">
        <x:v>Retained</x:v>
      </x:c>
      <x:c r="E43" s="2" t="n">
        <x:v>1</x:v>
      </x:c>
      <x:c r="F43" s="2" t="n">
        <x:v>8</x:v>
      </x:c>
      <x:c r="G43" s="2" t="n">
        <x:f>COUNTIFS('Rankings'!$A$6:$A$423,B43,'Rankings'!$E$6:$E$423,"&lt;="&amp;F43)</x:f>
        <x:v>8</x:v>
      </x:c>
      <x:c r="H43" s="2" t="n">
        <x:f>SUMIFS('Rankings'!$J$6:$J$423,'Rankings'!$A$6:$A$423,B43,'Rankings'!$E$6:$E$423,"&lt;="&amp;F43)</x:f>
        <x:v>8</x:v>
      </x:c>
      <x:c r="I43" s="2" t="n">
        <x:f>G43-SUMIFS('Rankings'!$I$6:$I$423,'Rankings'!$A$6:$A$423,B43,'Rankings'!$E$6:$E$423,"&lt;="&amp;F43)</x:f>
        <x:v>0</x:v>
      </x:c>
      <x:c r="J43" s="2" t="n">
        <x:f>SUMIFS('Ratings'!$H$6:$H$1387,'Ratings'!$B$6:$B$1387,C43)</x:f>
        <x:v>22</x:v>
      </x:c>
      <x:c r="K43" s="15" t="n">
        <x:f>IF(I43&gt;0,"Unknown",H43/F43)</x:f>
        <x:v>1</x:v>
      </x:c>
      <x:c r="L43" s="15" t="n">
        <x:f>IF(J43=0,"N/A",H43/J43)</x:f>
        <x:v>0.36363636363636365</x:v>
      </x:c>
      <x:c r="M43" s="14" t="n">
        <x:f>SUMIFS('Rankings'!$L$6:$L$423,'Rankings'!$A$6:$A$423,B43,'Rankings'!$E$6:$E$423,"&lt;="&amp;F43)</x:f>
        <x:v>22.10681879489883</x:v>
      </x:c>
      <x:c r="N43" s="14" t="n">
        <x:f>SUMIFS('Ideal ranking'!$H$6:$H$365,'Ideal ranking'!$A$6:$A$365,C43,'Ideal ranking'!$B$6:$B$365,"&lt;="&amp;F43)</x:f>
        <x:v>22.10681879489883</x:v>
      </x:c>
      <x:c r="O43" s="14" t="n">
        <x:f>IF(I43&gt;0,"Unknown",IF(N43=0,"N/A",M43/N43))</x:f>
        <x:v>1</x:v>
      </x:c>
      <x:c r="P43" s="15" t="n">
        <x:f>IF(G43=0,"N/A",IF(I43&gt;0,"Unknown",H43/G43))</x:f>
        <x:v>1</x:v>
      </x:c>
      <x:c r="Q43" s="2" t="n">
        <x:f>F43-G43</x:f>
        <x:v>0</x:v>
      </x:c>
    </x:row>
    <x:row r="44" ht="22" customHeight="1">
      <x:c r="A44" s="2" t="str">
        <x:v>S04-T01|9</x:v>
      </x:c>
      <x:c r="B44" s="2" t="str">
        <x:v>S04-T01</x:v>
      </x:c>
      <x:c r="C44" s="2" t="str">
        <x:v>S04</x:v>
      </x:c>
      <x:c r="D44" s="2" t="str">
        <x:v>Retained</x:v>
      </x:c>
      <x:c r="E44" s="2" t="n">
        <x:v>1</x:v>
      </x:c>
      <x:c r="F44" s="2" t="n">
        <x:v>9</x:v>
      </x:c>
      <x:c r="G44" s="2" t="n">
        <x:f>COUNTIFS('Rankings'!$A$6:$A$423,B44,'Rankings'!$E$6:$E$423,"&lt;="&amp;F44)</x:f>
        <x:v>9</x:v>
      </x:c>
      <x:c r="H44" s="2" t="n">
        <x:f>SUMIFS('Rankings'!$J$6:$J$423,'Rankings'!$A$6:$A$423,B44,'Rankings'!$E$6:$E$423,"&lt;="&amp;F44)</x:f>
        <x:v>9</x:v>
      </x:c>
      <x:c r="I44" s="2" t="n">
        <x:f>G44-SUMIFS('Rankings'!$I$6:$I$423,'Rankings'!$A$6:$A$423,B44,'Rankings'!$E$6:$E$423,"&lt;="&amp;F44)</x:f>
        <x:v>0</x:v>
      </x:c>
      <x:c r="J44" s="2" t="n">
        <x:f>SUMIFS('Ratings'!$H$6:$H$1387,'Ratings'!$B$6:$B$1387,C44)</x:f>
        <x:v>22</x:v>
      </x:c>
      <x:c r="K44" s="15" t="n">
        <x:f>IF(I44&gt;0,"Unknown",H44/F44)</x:f>
        <x:v>1</x:v>
      </x:c>
      <x:c r="L44" s="15" t="n">
        <x:f>IF(J44=0,"N/A",H44/J44)</x:f>
        <x:v>0.4090909090909091</x:v>
      </x:c>
      <x:c r="M44" s="14" t="n">
        <x:f>SUMIFS('Rankings'!$L$6:$L$423,'Rankings'!$A$6:$A$423,B44,'Rankings'!$E$6:$E$423,"&lt;="&amp;F44)</x:f>
        <x:v>23.009908781890775</x:v>
      </x:c>
      <x:c r="N44" s="14" t="n">
        <x:f>SUMIFS('Ideal ranking'!$H$6:$H$365,'Ideal ranking'!$A$6:$A$365,C44,'Ideal ranking'!$B$6:$B$365,"&lt;="&amp;F44)</x:f>
        <x:v>23.009908781890775</x:v>
      </x:c>
      <x:c r="O44" s="14" t="n">
        <x:f>IF(I44&gt;0,"Unknown",IF(N44=0,"N/A",M44/N44))</x:f>
        <x:v>1</x:v>
      </x:c>
      <x:c r="P44" s="15" t="n">
        <x:f>IF(G44=0,"N/A",IF(I44&gt;0,"Unknown",H44/G44))</x:f>
        <x:v>1</x:v>
      </x:c>
      <x:c r="Q44" s="2" t="n">
        <x:f>F44-G44</x:f>
        <x:v>0</x:v>
      </x:c>
    </x:row>
    <x:row r="45" ht="22" customHeight="1">
      <x:c r="A45" s="2" t="str">
        <x:v>S04-T01|10</x:v>
      </x:c>
      <x:c r="B45" s="2" t="str">
        <x:v>S04-T01</x:v>
      </x:c>
      <x:c r="C45" s="2" t="str">
        <x:v>S04</x:v>
      </x:c>
      <x:c r="D45" s="2" t="str">
        <x:v>Retained</x:v>
      </x:c>
      <x:c r="E45" s="2" t="n">
        <x:v>1</x:v>
      </x:c>
      <x:c r="F45" s="2" t="n">
        <x:v>10</x:v>
      </x:c>
      <x:c r="G45" s="2" t="n">
        <x:f>COUNTIFS('Rankings'!$A$6:$A$423,B45,'Rankings'!$E$6:$E$423,"&lt;="&amp;F45)</x:f>
        <x:v>10</x:v>
      </x:c>
      <x:c r="H45" s="2" t="n">
        <x:f>SUMIFS('Rankings'!$J$6:$J$423,'Rankings'!$A$6:$A$423,B45,'Rankings'!$E$6:$E$423,"&lt;="&amp;F45)</x:f>
        <x:v>10</x:v>
      </x:c>
      <x:c r="I45" s="2" t="n">
        <x:f>G45-SUMIFS('Rankings'!$I$6:$I$423,'Rankings'!$A$6:$A$423,B45,'Rankings'!$E$6:$E$423,"&lt;="&amp;F45)</x:f>
        <x:v>0</x:v>
      </x:c>
      <x:c r="J45" s="2" t="n">
        <x:f>SUMIFS('Ratings'!$H$6:$H$1387,'Ratings'!$B$6:$B$1387,C45)</x:f>
        <x:v>22</x:v>
      </x:c>
      <x:c r="K45" s="15" t="n">
        <x:f>IF(I45&gt;0,"Unknown",H45/F45)</x:f>
        <x:v>1</x:v>
      </x:c>
      <x:c r="L45" s="15" t="n">
        <x:f>IF(J45=0,"N/A",H45/J45)</x:f>
        <x:v>0.45454545454545453</x:v>
      </x:c>
      <x:c r="M45" s="14" t="n">
        <x:f>SUMIFS('Rankings'!$L$6:$L$423,'Rankings'!$A$6:$A$423,B45,'Rankings'!$E$6:$E$423,"&lt;="&amp;F45)</x:f>
        <x:v>23.87710326084444</x:v>
      </x:c>
      <x:c r="N45" s="14" t="n">
        <x:f>SUMIFS('Ideal ranking'!$H$6:$H$365,'Ideal ranking'!$A$6:$A$365,C45,'Ideal ranking'!$B$6:$B$365,"&lt;="&amp;F45)</x:f>
        <x:v>23.87710326084444</x:v>
      </x:c>
      <x:c r="O45" s="14" t="n">
        <x:f>IF(I45&gt;0,"Unknown",IF(N45=0,"N/A",M45/N45))</x:f>
        <x:v>1</x:v>
      </x:c>
      <x:c r="P45" s="15" t="n">
        <x:f>IF(G45=0,"N/A",IF(I45&gt;0,"Unknown",H45/G45))</x:f>
        <x:v>1</x:v>
      </x:c>
      <x:c r="Q45" s="2" t="n">
        <x:f>F45-G45</x:f>
        <x:v>0</x:v>
      </x:c>
    </x:row>
    <x:row r="46" ht="22" customHeight="1">
      <x:c r="A46" s="2" t="str">
        <x:v>S05-T01|1</x:v>
      </x:c>
      <x:c r="B46" s="2" t="str">
        <x:v>S05-T01</x:v>
      </x:c>
      <x:c r="C46" s="2" t="str">
        <x:v>S05</x:v>
      </x:c>
      <x:c r="D46" s="2" t="str">
        <x:v>Retained</x:v>
      </x:c>
      <x:c r="E46" s="2" t="n">
        <x:v>1</x:v>
      </x:c>
      <x:c r="F46" s="2" t="n">
        <x:v>1</x:v>
      </x:c>
      <x:c r="G46" s="2" t="n">
        <x:f>COUNTIFS('Rankings'!$A$6:$A$423,B46,'Rankings'!$E$6:$E$423,"&lt;="&amp;F46)</x:f>
        <x:v>1</x:v>
      </x:c>
      <x:c r="H46" s="2" t="n">
        <x:f>SUMIFS('Rankings'!$J$6:$J$423,'Rankings'!$A$6:$A$423,B46,'Rankings'!$E$6:$E$423,"&lt;="&amp;F46)</x:f>
        <x:v>1</x:v>
      </x:c>
      <x:c r="I46" s="2" t="n">
        <x:f>G46-SUMIFS('Rankings'!$I$6:$I$423,'Rankings'!$A$6:$A$423,B46,'Rankings'!$E$6:$E$423,"&lt;="&amp;F46)</x:f>
        <x:v>0</x:v>
      </x:c>
      <x:c r="J46" s="2" t="n">
        <x:f>SUMIFS('Ratings'!$H$6:$H$1387,'Ratings'!$B$6:$B$1387,C46)</x:f>
        <x:v>9</x:v>
      </x:c>
      <x:c r="K46" s="15" t="n">
        <x:f>IF(I46&gt;0,"Unknown",H46/F46)</x:f>
        <x:v>1</x:v>
      </x:c>
      <x:c r="L46" s="15" t="n">
        <x:f>IF(J46=0,"N/A",H46/J46)</x:f>
        <x:v>0.1111111111111111</x:v>
      </x:c>
      <x:c r="M46" s="14" t="n">
        <x:f>SUMIFS('Rankings'!$L$6:$L$423,'Rankings'!$A$6:$A$423,B46,'Rankings'!$E$6:$E$423,"&lt;="&amp;F46)</x:f>
        <x:v>7</x:v>
      </x:c>
      <x:c r="N46" s="14" t="n">
        <x:f>SUMIFS('Ideal ranking'!$H$6:$H$365,'Ideal ranking'!$A$6:$A$365,C46,'Ideal ranking'!$B$6:$B$365,"&lt;="&amp;F46)</x:f>
        <x:v>7</x:v>
      </x:c>
      <x:c r="O46" s="14" t="n">
        <x:f>IF(I46&gt;0,"Unknown",IF(N46=0,"N/A",M46/N46))</x:f>
        <x:v>1</x:v>
      </x:c>
      <x:c r="P46" s="15" t="n">
        <x:f>IF(G46=0,"N/A",IF(I46&gt;0,"Unknown",H46/G46))</x:f>
        <x:v>1</x:v>
      </x:c>
      <x:c r="Q46" s="2" t="n">
        <x:f>F46-G46</x:f>
        <x:v>0</x:v>
      </x:c>
    </x:row>
    <x:row r="47" ht="22" customHeight="1">
      <x:c r="A47" s="2" t="str">
        <x:v>S05-T01|2</x:v>
      </x:c>
      <x:c r="B47" s="2" t="str">
        <x:v>S05-T01</x:v>
      </x:c>
      <x:c r="C47" s="2" t="str">
        <x:v>S05</x:v>
      </x:c>
      <x:c r="D47" s="2" t="str">
        <x:v>Retained</x:v>
      </x:c>
      <x:c r="E47" s="2" t="n">
        <x:v>1</x:v>
      </x:c>
      <x:c r="F47" s="2" t="n">
        <x:v>2</x:v>
      </x:c>
      <x:c r="G47" s="2" t="n">
        <x:f>COUNTIFS('Rankings'!$A$6:$A$423,B47,'Rankings'!$E$6:$E$423,"&lt;="&amp;F47)</x:f>
        <x:v>2</x:v>
      </x:c>
      <x:c r="H47" s="2" t="n">
        <x:f>SUMIFS('Rankings'!$J$6:$J$423,'Rankings'!$A$6:$A$423,B47,'Rankings'!$E$6:$E$423,"&lt;="&amp;F47)</x:f>
        <x:v>2</x:v>
      </x:c>
      <x:c r="I47" s="2" t="n">
        <x:f>G47-SUMIFS('Rankings'!$I$6:$I$423,'Rankings'!$A$6:$A$423,B47,'Rankings'!$E$6:$E$423,"&lt;="&amp;F47)</x:f>
        <x:v>0</x:v>
      </x:c>
      <x:c r="J47" s="2" t="n">
        <x:f>SUMIFS('Ratings'!$H$6:$H$1387,'Ratings'!$B$6:$B$1387,C47)</x:f>
        <x:v>9</x:v>
      </x:c>
      <x:c r="K47" s="15" t="n">
        <x:f>IF(I47&gt;0,"Unknown",H47/F47)</x:f>
        <x:v>1</x:v>
      </x:c>
      <x:c r="L47" s="15" t="n">
        <x:f>IF(J47=0,"N/A",H47/J47)</x:f>
        <x:v>0.2222222222222222</x:v>
      </x:c>
      <x:c r="M47" s="14" t="n">
        <x:f>SUMIFS('Rankings'!$L$6:$L$423,'Rankings'!$A$6:$A$423,B47,'Rankings'!$E$6:$E$423,"&lt;="&amp;F47)</x:f>
        <x:v>11.416508275000202</x:v>
      </x:c>
      <x:c r="N47" s="14" t="n">
        <x:f>SUMIFS('Ideal ranking'!$H$6:$H$365,'Ideal ranking'!$A$6:$A$365,C47,'Ideal ranking'!$B$6:$B$365,"&lt;="&amp;F47)</x:f>
        <x:v>11.416508275000202</x:v>
      </x:c>
      <x:c r="O47" s="14" t="n">
        <x:f>IF(I47&gt;0,"Unknown",IF(N47=0,"N/A",M47/N47))</x:f>
        <x:v>1</x:v>
      </x:c>
      <x:c r="P47" s="15" t="n">
        <x:f>IF(G47=0,"N/A",IF(I47&gt;0,"Unknown",H47/G47))</x:f>
        <x:v>1</x:v>
      </x:c>
      <x:c r="Q47" s="2" t="n">
        <x:f>F47-G47</x:f>
        <x:v>0</x:v>
      </x:c>
    </x:row>
    <x:row r="48" ht="22" customHeight="1">
      <x:c r="A48" s="2" t="str">
        <x:v>S05-T01|3</x:v>
      </x:c>
      <x:c r="B48" s="2" t="str">
        <x:v>S05-T01</x:v>
      </x:c>
      <x:c r="C48" s="2" t="str">
        <x:v>S05</x:v>
      </x:c>
      <x:c r="D48" s="2" t="str">
        <x:v>Retained</x:v>
      </x:c>
      <x:c r="E48" s="2" t="n">
        <x:v>1</x:v>
      </x:c>
      <x:c r="F48" s="2" t="n">
        <x:v>3</x:v>
      </x:c>
      <x:c r="G48" s="2" t="n">
        <x:f>COUNTIFS('Rankings'!$A$6:$A$423,B48,'Rankings'!$E$6:$E$423,"&lt;="&amp;F48)</x:f>
        <x:v>3</x:v>
      </x:c>
      <x:c r="H48" s="2" t="n">
        <x:f>SUMIFS('Rankings'!$J$6:$J$423,'Rankings'!$A$6:$A$423,B48,'Rankings'!$E$6:$E$423,"&lt;="&amp;F48)</x:f>
        <x:v>3</x:v>
      </x:c>
      <x:c r="I48" s="2" t="n">
        <x:f>G48-SUMIFS('Rankings'!$I$6:$I$423,'Rankings'!$A$6:$A$423,B48,'Rankings'!$E$6:$E$423,"&lt;="&amp;F48)</x:f>
        <x:v>0</x:v>
      </x:c>
      <x:c r="J48" s="2" t="n">
        <x:f>SUMIFS('Ratings'!$H$6:$H$1387,'Ratings'!$B$6:$B$1387,C48)</x:f>
        <x:v>9</x:v>
      </x:c>
      <x:c r="K48" s="15" t="n">
        <x:f>IF(I48&gt;0,"Unknown",H48/F48)</x:f>
        <x:v>1</x:v>
      </x:c>
      <x:c r="L48" s="15" t="n">
        <x:f>IF(J48=0,"N/A",H48/J48)</x:f>
        <x:v>0.3333333333333333</x:v>
      </x:c>
      <x:c r="M48" s="14" t="n">
        <x:f>SUMIFS('Rankings'!$L$6:$L$423,'Rankings'!$A$6:$A$423,B48,'Rankings'!$E$6:$E$423,"&lt;="&amp;F48)</x:f>
        <x:v>12.916508275000202</x:v>
      </x:c>
      <x:c r="N48" s="14" t="n">
        <x:f>SUMIFS('Ideal ranking'!$H$6:$H$365,'Ideal ranking'!$A$6:$A$365,C48,'Ideal ranking'!$B$6:$B$365,"&lt;="&amp;F48)</x:f>
        <x:v>12.916508275000202</x:v>
      </x:c>
      <x:c r="O48" s="14" t="n">
        <x:f>IF(I48&gt;0,"Unknown",IF(N48=0,"N/A",M48/N48))</x:f>
        <x:v>1</x:v>
      </x:c>
      <x:c r="P48" s="15" t="n">
        <x:f>IF(G48=0,"N/A",IF(I48&gt;0,"Unknown",H48/G48))</x:f>
        <x:v>1</x:v>
      </x:c>
      <x:c r="Q48" s="2" t="n">
        <x:f>F48-G48</x:f>
        <x:v>0</x:v>
      </x:c>
    </x:row>
    <x:row r="49" ht="22" customHeight="1">
      <x:c r="A49" s="2" t="str">
        <x:v>S05-T01|4</x:v>
      </x:c>
      <x:c r="B49" s="2" t="str">
        <x:v>S05-T01</x:v>
      </x:c>
      <x:c r="C49" s="2" t="str">
        <x:v>S05</x:v>
      </x:c>
      <x:c r="D49" s="2" t="str">
        <x:v>Retained</x:v>
      </x:c>
      <x:c r="E49" s="2" t="n">
        <x:v>1</x:v>
      </x:c>
      <x:c r="F49" s="2" t="n">
        <x:v>4</x:v>
      </x:c>
      <x:c r="G49" s="2" t="n">
        <x:f>COUNTIFS('Rankings'!$A$6:$A$423,B49,'Rankings'!$E$6:$E$423,"&lt;="&amp;F49)</x:f>
        <x:v>4</x:v>
      </x:c>
      <x:c r="H49" s="2" t="n">
        <x:f>SUMIFS('Rankings'!$J$6:$J$423,'Rankings'!$A$6:$A$423,B49,'Rankings'!$E$6:$E$423,"&lt;="&amp;F49)</x:f>
        <x:v>4</x:v>
      </x:c>
      <x:c r="I49" s="2" t="n">
        <x:f>G49-SUMIFS('Rankings'!$I$6:$I$423,'Rankings'!$A$6:$A$423,B49,'Rankings'!$E$6:$E$423,"&lt;="&amp;F49)</x:f>
        <x:v>0</x:v>
      </x:c>
      <x:c r="J49" s="2" t="n">
        <x:f>SUMIFS('Ratings'!$H$6:$H$1387,'Ratings'!$B$6:$B$1387,C49)</x:f>
        <x:v>9</x:v>
      </x:c>
      <x:c r="K49" s="15" t="n">
        <x:f>IF(I49&gt;0,"Unknown",H49/F49)</x:f>
        <x:v>1</x:v>
      </x:c>
      <x:c r="L49" s="15" t="n">
        <x:f>IF(J49=0,"N/A",H49/J49)</x:f>
        <x:v>0.4444444444444444</x:v>
      </x:c>
      <x:c r="M49" s="14" t="n">
        <x:f>SUMIFS('Rankings'!$L$6:$L$423,'Rankings'!$A$6:$A$423,B49,'Rankings'!$E$6:$E$423,"&lt;="&amp;F49)</x:f>
        <x:v>14.208537949220382</x:v>
      </x:c>
      <x:c r="N49" s="14" t="n">
        <x:f>SUMIFS('Ideal ranking'!$H$6:$H$365,'Ideal ranking'!$A$6:$A$365,C49,'Ideal ranking'!$B$6:$B$365,"&lt;="&amp;F49)</x:f>
        <x:v>14.208537949220382</x:v>
      </x:c>
      <x:c r="O49" s="14" t="n">
        <x:f>IF(I49&gt;0,"Unknown",IF(N49=0,"N/A",M49/N49))</x:f>
        <x:v>1</x:v>
      </x:c>
      <x:c r="P49" s="15" t="n">
        <x:f>IF(G49=0,"N/A",IF(I49&gt;0,"Unknown",H49/G49))</x:f>
        <x:v>1</x:v>
      </x:c>
      <x:c r="Q49" s="2" t="n">
        <x:f>F49-G49</x:f>
        <x:v>0</x:v>
      </x:c>
    </x:row>
    <x:row r="50" ht="22" customHeight="1">
      <x:c r="A50" s="2" t="str">
        <x:v>S05-T01|5</x:v>
      </x:c>
      <x:c r="B50" s="2" t="str">
        <x:v>S05-T01</x:v>
      </x:c>
      <x:c r="C50" s="2" t="str">
        <x:v>S05</x:v>
      </x:c>
      <x:c r="D50" s="2" t="str">
        <x:v>Retained</x:v>
      </x:c>
      <x:c r="E50" s="2" t="n">
        <x:v>1</x:v>
      </x:c>
      <x:c r="F50" s="2" t="n">
        <x:v>5</x:v>
      </x:c>
      <x:c r="G50" s="2" t="n">
        <x:f>COUNTIFS('Rankings'!$A$6:$A$423,B50,'Rankings'!$E$6:$E$423,"&lt;="&amp;F50)</x:f>
        <x:v>5</x:v>
      </x:c>
      <x:c r="H50" s="2" t="n">
        <x:f>SUMIFS('Rankings'!$J$6:$J$423,'Rankings'!$A$6:$A$423,B50,'Rankings'!$E$6:$E$423,"&lt;="&amp;F50)</x:f>
        <x:v>5</x:v>
      </x:c>
      <x:c r="I50" s="2" t="n">
        <x:f>G50-SUMIFS('Rankings'!$I$6:$I$423,'Rankings'!$A$6:$A$423,B50,'Rankings'!$E$6:$E$423,"&lt;="&amp;F50)</x:f>
        <x:v>0</x:v>
      </x:c>
      <x:c r="J50" s="2" t="n">
        <x:f>SUMIFS('Ratings'!$H$6:$H$1387,'Ratings'!$B$6:$B$1387,C50)</x:f>
        <x:v>9</x:v>
      </x:c>
      <x:c r="K50" s="15" t="n">
        <x:f>IF(I50&gt;0,"Unknown",H50/F50)</x:f>
        <x:v>1</x:v>
      </x:c>
      <x:c r="L50" s="15" t="n">
        <x:f>IF(J50=0,"N/A",H50/J50)</x:f>
        <x:v>0.5555555555555556</x:v>
      </x:c>
      <x:c r="M50" s="14" t="n">
        <x:f>SUMIFS('Rankings'!$L$6:$L$423,'Rankings'!$A$6:$A$423,B50,'Rankings'!$E$6:$E$423,"&lt;="&amp;F50)</x:f>
        <x:v>15.369096370924007</x:v>
      </x:c>
      <x:c r="N50" s="14" t="n">
        <x:f>SUMIFS('Ideal ranking'!$H$6:$H$365,'Ideal ranking'!$A$6:$A$365,C50,'Ideal ranking'!$B$6:$B$365,"&lt;="&amp;F50)</x:f>
        <x:v>15.369096370924007</x:v>
      </x:c>
      <x:c r="O50" s="14" t="n">
        <x:f>IF(I50&gt;0,"Unknown",IF(N50=0,"N/A",M50/N50))</x:f>
        <x:v>1</x:v>
      </x:c>
      <x:c r="P50" s="15" t="n">
        <x:f>IF(G50=0,"N/A",IF(I50&gt;0,"Unknown",H50/G50))</x:f>
        <x:v>1</x:v>
      </x:c>
      <x:c r="Q50" s="2" t="n">
        <x:f>F50-G50</x:f>
        <x:v>0</x:v>
      </x:c>
    </x:row>
    <x:row r="51" ht="22" customHeight="1">
      <x:c r="A51" s="2" t="str">
        <x:v>S05-T01|6</x:v>
      </x:c>
      <x:c r="B51" s="2" t="str">
        <x:v>S05-T01</x:v>
      </x:c>
      <x:c r="C51" s="2" t="str">
        <x:v>S05</x:v>
      </x:c>
      <x:c r="D51" s="2" t="str">
        <x:v>Retained</x:v>
      </x:c>
      <x:c r="E51" s="2" t="n">
        <x:v>1</x:v>
      </x:c>
      <x:c r="F51" s="2" t="n">
        <x:v>6</x:v>
      </x:c>
      <x:c r="G51" s="2" t="n">
        <x:f>COUNTIFS('Rankings'!$A$6:$A$423,B51,'Rankings'!$E$6:$E$423,"&lt;="&amp;F51)</x:f>
        <x:v>6</x:v>
      </x:c>
      <x:c r="H51" s="2" t="n">
        <x:f>SUMIFS('Rankings'!$J$6:$J$423,'Rankings'!$A$6:$A$423,B51,'Rankings'!$E$6:$E$423,"&lt;="&amp;F51)</x:f>
        <x:v>6</x:v>
      </x:c>
      <x:c r="I51" s="2" t="n">
        <x:f>G51-SUMIFS('Rankings'!$I$6:$I$423,'Rankings'!$A$6:$A$423,B51,'Rankings'!$E$6:$E$423,"&lt;="&amp;F51)</x:f>
        <x:v>0</x:v>
      </x:c>
      <x:c r="J51" s="2" t="n">
        <x:f>SUMIFS('Ratings'!$H$6:$H$1387,'Ratings'!$B$6:$B$1387,C51)</x:f>
        <x:v>9</x:v>
      </x:c>
      <x:c r="K51" s="15" t="n">
        <x:f>IF(I51&gt;0,"Unknown",H51/F51)</x:f>
        <x:v>1</x:v>
      </x:c>
      <x:c r="L51" s="15" t="n">
        <x:f>IF(J51=0,"N/A",H51/J51)</x:f>
        <x:v>0.6666666666666666</x:v>
      </x:c>
      <x:c r="M51" s="14" t="n">
        <x:f>SUMIFS('Rankings'!$L$6:$L$423,'Rankings'!$A$6:$A$423,B51,'Rankings'!$E$6:$E$423,"&lt;="&amp;F51)</x:f>
        <x:v>16.437717932248074</x:v>
      </x:c>
      <x:c r="N51" s="14" t="n">
        <x:f>SUMIFS('Ideal ranking'!$H$6:$H$365,'Ideal ranking'!$A$6:$A$365,C51,'Ideal ranking'!$B$6:$B$365,"&lt;="&amp;F51)</x:f>
        <x:v>16.437717932248074</x:v>
      </x:c>
      <x:c r="O51" s="14" t="n">
        <x:f>IF(I51&gt;0,"Unknown",IF(N51=0,"N/A",M51/N51))</x:f>
        <x:v>1</x:v>
      </x:c>
      <x:c r="P51" s="15" t="n">
        <x:f>IF(G51=0,"N/A",IF(I51&gt;0,"Unknown",H51/G51))</x:f>
        <x:v>1</x:v>
      </x:c>
      <x:c r="Q51" s="2" t="n">
        <x:f>F51-G51</x:f>
        <x:v>0</x:v>
      </x:c>
    </x:row>
    <x:row r="52" ht="22" customHeight="1">
      <x:c r="A52" s="2" t="str">
        <x:v>S05-T01|7</x:v>
      </x:c>
      <x:c r="B52" s="2" t="str">
        <x:v>S05-T01</x:v>
      </x:c>
      <x:c r="C52" s="2" t="str">
        <x:v>S05</x:v>
      </x:c>
      <x:c r="D52" s="2" t="str">
        <x:v>Retained</x:v>
      </x:c>
      <x:c r="E52" s="2" t="n">
        <x:v>1</x:v>
      </x:c>
      <x:c r="F52" s="2" t="n">
        <x:v>7</x:v>
      </x:c>
      <x:c r="G52" s="2" t="n">
        <x:f>COUNTIFS('Rankings'!$A$6:$A$423,B52,'Rankings'!$E$6:$E$423,"&lt;="&amp;F52)</x:f>
        <x:v>7</x:v>
      </x:c>
      <x:c r="H52" s="2" t="n">
        <x:f>SUMIFS('Rankings'!$J$6:$J$423,'Rankings'!$A$6:$A$423,B52,'Rankings'!$E$6:$E$423,"&lt;="&amp;F52)</x:f>
        <x:v>7</x:v>
      </x:c>
      <x:c r="I52" s="2" t="n">
        <x:f>G52-SUMIFS('Rankings'!$I$6:$I$423,'Rankings'!$A$6:$A$423,B52,'Rankings'!$E$6:$E$423,"&lt;="&amp;F52)</x:f>
        <x:v>0</x:v>
      </x:c>
      <x:c r="J52" s="2" t="n">
        <x:f>SUMIFS('Ratings'!$H$6:$H$1387,'Ratings'!$B$6:$B$1387,C52)</x:f>
        <x:v>9</x:v>
      </x:c>
      <x:c r="K52" s="15" t="n">
        <x:f>IF(I52&gt;0,"Unknown",H52/F52)</x:f>
        <x:v>1</x:v>
      </x:c>
      <x:c r="L52" s="15" t="n">
        <x:f>IF(J52=0,"N/A",H52/J52)</x:f>
        <x:v>0.7777777777777778</x:v>
      </x:c>
      <x:c r="M52" s="14" t="n">
        <x:f>SUMIFS('Rankings'!$L$6:$L$423,'Rankings'!$A$6:$A$423,B52,'Rankings'!$E$6:$E$423,"&lt;="&amp;F52)</x:f>
        <x:v>17.437717932248074</x:v>
      </x:c>
      <x:c r="N52" s="14" t="n">
        <x:f>SUMIFS('Ideal ranking'!$H$6:$H$365,'Ideal ranking'!$A$6:$A$365,C52,'Ideal ranking'!$B$6:$B$365,"&lt;="&amp;F52)</x:f>
        <x:v>17.437717932248074</x:v>
      </x:c>
      <x:c r="O52" s="14" t="n">
        <x:f>IF(I52&gt;0,"Unknown",IF(N52=0,"N/A",M52/N52))</x:f>
        <x:v>1</x:v>
      </x:c>
      <x:c r="P52" s="15" t="n">
        <x:f>IF(G52=0,"N/A",IF(I52&gt;0,"Unknown",H52/G52))</x:f>
        <x:v>1</x:v>
      </x:c>
      <x:c r="Q52" s="2" t="n">
        <x:f>F52-G52</x:f>
        <x:v>0</x:v>
      </x:c>
    </x:row>
    <x:row r="53" ht="22" customHeight="1">
      <x:c r="A53" s="2" t="str">
        <x:v>S05-T01|8</x:v>
      </x:c>
      <x:c r="B53" s="2" t="str">
        <x:v>S05-T01</x:v>
      </x:c>
      <x:c r="C53" s="2" t="str">
        <x:v>S05</x:v>
      </x:c>
      <x:c r="D53" s="2" t="str">
        <x:v>Retained</x:v>
      </x:c>
      <x:c r="E53" s="2" t="n">
        <x:v>1</x:v>
      </x:c>
      <x:c r="F53" s="2" t="n">
        <x:v>8</x:v>
      </x:c>
      <x:c r="G53" s="2" t="n">
        <x:f>COUNTIFS('Rankings'!$A$6:$A$423,B53,'Rankings'!$E$6:$E$423,"&lt;="&amp;F53)</x:f>
        <x:v>8</x:v>
      </x:c>
      <x:c r="H53" s="2" t="n">
        <x:f>SUMIFS('Rankings'!$J$6:$J$423,'Rankings'!$A$6:$A$423,B53,'Rankings'!$E$6:$E$423,"&lt;="&amp;F53)</x:f>
        <x:v>8</x:v>
      </x:c>
      <x:c r="I53" s="2" t="n">
        <x:f>G53-SUMIFS('Rankings'!$I$6:$I$423,'Rankings'!$A$6:$A$423,B53,'Rankings'!$E$6:$E$423,"&lt;="&amp;F53)</x:f>
        <x:v>0</x:v>
      </x:c>
      <x:c r="J53" s="2" t="n">
        <x:f>SUMIFS('Ratings'!$H$6:$H$1387,'Ratings'!$B$6:$B$1387,C53)</x:f>
        <x:v>9</x:v>
      </x:c>
      <x:c r="K53" s="15" t="n">
        <x:f>IF(I53&gt;0,"Unknown",H53/F53)</x:f>
        <x:v>1</x:v>
      </x:c>
      <x:c r="L53" s="15" t="n">
        <x:f>IF(J53=0,"N/A",H53/J53)</x:f>
        <x:v>0.8888888888888888</x:v>
      </x:c>
      <x:c r="M53" s="14" t="n">
        <x:f>SUMIFS('Rankings'!$L$6:$L$423,'Rankings'!$A$6:$A$423,B53,'Rankings'!$E$6:$E$423,"&lt;="&amp;F53)</x:f>
        <x:v>18.38411256260526</x:v>
      </x:c>
      <x:c r="N53" s="14" t="n">
        <x:f>SUMIFS('Ideal ranking'!$H$6:$H$365,'Ideal ranking'!$A$6:$A$365,C53,'Ideal ranking'!$B$6:$B$365,"&lt;="&amp;F53)</x:f>
        <x:v>18.38411256260526</x:v>
      </x:c>
      <x:c r="O53" s="14" t="n">
        <x:f>IF(I53&gt;0,"Unknown",IF(N53=0,"N/A",M53/N53))</x:f>
        <x:v>1</x:v>
      </x:c>
      <x:c r="P53" s="15" t="n">
        <x:f>IF(G53=0,"N/A",IF(I53&gt;0,"Unknown",H53/G53))</x:f>
        <x:v>1</x:v>
      </x:c>
      <x:c r="Q53" s="2" t="n">
        <x:f>F53-G53</x:f>
        <x:v>0</x:v>
      </x:c>
    </x:row>
    <x:row r="54" ht="22" customHeight="1">
      <x:c r="A54" s="2" t="str">
        <x:v>S05-T01|9</x:v>
      </x:c>
      <x:c r="B54" s="2" t="str">
        <x:v>S05-T01</x:v>
      </x:c>
      <x:c r="C54" s="2" t="str">
        <x:v>S05</x:v>
      </x:c>
      <x:c r="D54" s="2" t="str">
        <x:v>Retained</x:v>
      </x:c>
      <x:c r="E54" s="2" t="n">
        <x:v>1</x:v>
      </x:c>
      <x:c r="F54" s="2" t="n">
        <x:v>9</x:v>
      </x:c>
      <x:c r="G54" s="2" t="n">
        <x:f>COUNTIFS('Rankings'!$A$6:$A$423,B54,'Rankings'!$E$6:$E$423,"&lt;="&amp;F54)</x:f>
        <x:v>9</x:v>
      </x:c>
      <x:c r="H54" s="2" t="n">
        <x:f>SUMIFS('Rankings'!$J$6:$J$423,'Rankings'!$A$6:$A$423,B54,'Rankings'!$E$6:$E$423,"&lt;="&amp;F54)</x:f>
        <x:v>8</x:v>
      </x:c>
      <x:c r="I54" s="2" t="n">
        <x:f>G54-SUMIFS('Rankings'!$I$6:$I$423,'Rankings'!$A$6:$A$423,B54,'Rankings'!$E$6:$E$423,"&lt;="&amp;F54)</x:f>
        <x:v>0</x:v>
      </x:c>
      <x:c r="J54" s="2" t="n">
        <x:f>SUMIFS('Ratings'!$H$6:$H$1387,'Ratings'!$B$6:$B$1387,C54)</x:f>
        <x:v>9</x:v>
      </x:c>
      <x:c r="K54" s="15" t="n">
        <x:f>IF(I54&gt;0,"Unknown",H54/F54)</x:f>
        <x:v>0.8888888888888888</x:v>
      </x:c>
      <x:c r="L54" s="15" t="n">
        <x:f>IF(J54=0,"N/A",H54/J54)</x:f>
        <x:v>0.8888888888888888</x:v>
      </x:c>
      <x:c r="M54" s="14" t="n">
        <x:f>SUMIFS('Rankings'!$L$6:$L$423,'Rankings'!$A$6:$A$423,B54,'Rankings'!$E$6:$E$423,"&lt;="&amp;F54)</x:f>
        <x:v>18.68514255826924</x:v>
      </x:c>
      <x:c r="N54" s="14" t="n">
        <x:f>SUMIFS('Ideal ranking'!$H$6:$H$365,'Ideal ranking'!$A$6:$A$365,C54,'Ideal ranking'!$B$6:$B$365,"&lt;="&amp;F54)</x:f>
        <x:v>19.287202549597204</x:v>
      </x:c>
      <x:c r="O54" s="14" t="n">
        <x:f>IF(I54&gt;0,"Unknown",IF(N54=0,"N/A",M54/N54))</x:f>
        <x:v>0.9687844834013767</x:v>
      </x:c>
      <x:c r="P54" s="15" t="n">
        <x:f>IF(G54=0,"N/A",IF(I54&gt;0,"Unknown",H54/G54))</x:f>
        <x:v>0.8888888888888888</x:v>
      </x:c>
      <x:c r="Q54" s="2" t="n">
        <x:f>F54-G54</x:f>
        <x:v>0</x:v>
      </x:c>
    </x:row>
    <x:row r="55" ht="22" customHeight="1">
      <x:c r="A55" s="2" t="str">
        <x:v>S05-T01|10</x:v>
      </x:c>
      <x:c r="B55" s="2" t="str">
        <x:v>S05-T01</x:v>
      </x:c>
      <x:c r="C55" s="2" t="str">
        <x:v>S05</x:v>
      </x:c>
      <x:c r="D55" s="2" t="str">
        <x:v>Retained</x:v>
      </x:c>
      <x:c r="E55" s="2" t="n">
        <x:v>1</x:v>
      </x:c>
      <x:c r="F55" s="2" t="n">
        <x:v>10</x:v>
      </x:c>
      <x:c r="G55" s="2" t="n">
        <x:f>COUNTIFS('Rankings'!$A$6:$A$423,B55,'Rankings'!$E$6:$E$423,"&lt;="&amp;F55)</x:f>
        <x:v>10</x:v>
      </x:c>
      <x:c r="H55" s="2" t="n">
        <x:f>SUMIFS('Rankings'!$J$6:$J$423,'Rankings'!$A$6:$A$423,B55,'Rankings'!$E$6:$E$423,"&lt;="&amp;F55)</x:f>
        <x:v>8</x:v>
      </x:c>
      <x:c r="I55" s="2" t="n">
        <x:f>G55-SUMIFS('Rankings'!$I$6:$I$423,'Rankings'!$A$6:$A$423,B55,'Rankings'!$E$6:$E$423,"&lt;="&amp;F55)</x:f>
        <x:v>0</x:v>
      </x:c>
      <x:c r="J55" s="2" t="n">
        <x:f>SUMIFS('Ratings'!$H$6:$H$1387,'Ratings'!$B$6:$B$1387,C55)</x:f>
        <x:v>9</x:v>
      </x:c>
      <x:c r="K55" s="15" t="n">
        <x:f>IF(I55&gt;0,"Unknown",H55/F55)</x:f>
        <x:v>0.8</x:v>
      </x:c>
      <x:c r="L55" s="15" t="n">
        <x:f>IF(J55=0,"N/A",H55/J55)</x:f>
        <x:v>0.8888888888888888</x:v>
      </x:c>
      <x:c r="M55" s="14" t="n">
        <x:f>SUMIFS('Rankings'!$L$6:$L$423,'Rankings'!$A$6:$A$423,B55,'Rankings'!$E$6:$E$423,"&lt;="&amp;F55)</x:f>
        <x:v>18.974207384587128</x:v>
      </x:c>
      <x:c r="N55" s="14" t="n">
        <x:f>SUMIFS('Ideal ranking'!$H$6:$H$365,'Ideal ranking'!$A$6:$A$365,C55,'Ideal ranking'!$B$6:$B$365,"&lt;="&amp;F55)</x:f>
        <x:v>19.57626737591509</x:v>
      </x:c>
      <x:c r="O55" s="14" t="n">
        <x:f>IF(I55&gt;0,"Unknown",IF(N55=0,"N/A",M55/N55))</x:f>
        <x:v>0.9692454143700201</x:v>
      </x:c>
      <x:c r="P55" s="15" t="n">
        <x:f>IF(G55=0,"N/A",IF(I55&gt;0,"Unknown",H55/G55))</x:f>
        <x:v>0.8</x:v>
      </x:c>
      <x:c r="Q55" s="2" t="n">
        <x:f>F55-G55</x:f>
        <x:v>0</x:v>
      </x:c>
    </x:row>
    <x:row r="56" ht="22" customHeight="1">
      <x:c r="A56" s="2" t="str">
        <x:v>S06-T01|1</x:v>
      </x:c>
      <x:c r="B56" s="2" t="str">
        <x:v>S06-T01</x:v>
      </x:c>
      <x:c r="C56" s="2" t="str">
        <x:v>S06</x:v>
      </x:c>
      <x:c r="D56" s="2" t="str">
        <x:v>Retained</x:v>
      </x:c>
      <x:c r="E56" s="2" t="n">
        <x:v>1</x:v>
      </x:c>
      <x:c r="F56" s="2" t="n">
        <x:v>1</x:v>
      </x:c>
      <x:c r="G56" s="2" t="n">
        <x:f>COUNTIFS('Rankings'!$A$6:$A$423,B56,'Rankings'!$E$6:$E$423,"&lt;="&amp;F56)</x:f>
        <x:v>1</x:v>
      </x:c>
      <x:c r="H56" s="2" t="n">
        <x:f>SUMIFS('Rankings'!$J$6:$J$423,'Rankings'!$A$6:$A$423,B56,'Rankings'!$E$6:$E$423,"&lt;="&amp;F56)</x:f>
        <x:v>1</x:v>
      </x:c>
      <x:c r="I56" s="2" t="n">
        <x:f>G56-SUMIFS('Rankings'!$I$6:$I$423,'Rankings'!$A$6:$A$423,B56,'Rankings'!$E$6:$E$423,"&lt;="&amp;F56)</x:f>
        <x:v>0</x:v>
      </x:c>
      <x:c r="J56" s="2" t="n">
        <x:f>SUMIFS('Ratings'!$H$6:$H$1387,'Ratings'!$B$6:$B$1387,C56)</x:f>
        <x:v>17</x:v>
      </x:c>
      <x:c r="K56" s="15" t="n">
        <x:f>IF(I56&gt;0,"Unknown",H56/F56)</x:f>
        <x:v>1</x:v>
      </x:c>
      <x:c r="L56" s="15" t="n">
        <x:f>IF(J56=0,"N/A",H56/J56)</x:f>
        <x:v>0.058823529411764705</x:v>
      </x:c>
      <x:c r="M56" s="14" t="n">
        <x:f>SUMIFS('Rankings'!$L$6:$L$423,'Rankings'!$A$6:$A$423,B56,'Rankings'!$E$6:$E$423,"&lt;="&amp;F56)</x:f>
        <x:v>7</x:v>
      </x:c>
      <x:c r="N56" s="14" t="n">
        <x:f>SUMIFS('Ideal ranking'!$H$6:$H$365,'Ideal ranking'!$A$6:$A$365,C56,'Ideal ranking'!$B$6:$B$365,"&lt;="&amp;F56)</x:f>
        <x:v>7</x:v>
      </x:c>
      <x:c r="O56" s="14" t="n">
        <x:f>IF(I56&gt;0,"Unknown",IF(N56=0,"N/A",M56/N56))</x:f>
        <x:v>1</x:v>
      </x:c>
      <x:c r="P56" s="15" t="n">
        <x:f>IF(G56=0,"N/A",IF(I56&gt;0,"Unknown",H56/G56))</x:f>
        <x:v>1</x:v>
      </x:c>
      <x:c r="Q56" s="2" t="n">
        <x:f>F56-G56</x:f>
        <x:v>0</x:v>
      </x:c>
    </x:row>
    <x:row r="57" ht="22" customHeight="1">
      <x:c r="A57" s="2" t="str">
        <x:v>S06-T01|2</x:v>
      </x:c>
      <x:c r="B57" s="2" t="str">
        <x:v>S06-T01</x:v>
      </x:c>
      <x:c r="C57" s="2" t="str">
        <x:v>S06</x:v>
      </x:c>
      <x:c r="D57" s="2" t="str">
        <x:v>Retained</x:v>
      </x:c>
      <x:c r="E57" s="2" t="n">
        <x:v>1</x:v>
      </x:c>
      <x:c r="F57" s="2" t="n">
        <x:v>2</x:v>
      </x:c>
      <x:c r="G57" s="2" t="n">
        <x:f>COUNTIFS('Rankings'!$A$6:$A$423,B57,'Rankings'!$E$6:$E$423,"&lt;="&amp;F57)</x:f>
        <x:v>2</x:v>
      </x:c>
      <x:c r="H57" s="2" t="n">
        <x:f>SUMIFS('Rankings'!$J$6:$J$423,'Rankings'!$A$6:$A$423,B57,'Rankings'!$E$6:$E$423,"&lt;="&amp;F57)</x:f>
        <x:v>2</x:v>
      </x:c>
      <x:c r="I57" s="2" t="n">
        <x:f>G57-SUMIFS('Rankings'!$I$6:$I$423,'Rankings'!$A$6:$A$423,B57,'Rankings'!$E$6:$E$423,"&lt;="&amp;F57)</x:f>
        <x:v>0</x:v>
      </x:c>
      <x:c r="J57" s="2" t="n">
        <x:f>SUMIFS('Ratings'!$H$6:$H$1387,'Ratings'!$B$6:$B$1387,C57)</x:f>
        <x:v>17</x:v>
      </x:c>
      <x:c r="K57" s="15" t="n">
        <x:f>IF(I57&gt;0,"Unknown",H57/F57)</x:f>
        <x:v>1</x:v>
      </x:c>
      <x:c r="L57" s="15" t="n">
        <x:f>IF(J57=0,"N/A",H57/J57)</x:f>
        <x:v>0.11764705882352941</x:v>
      </x:c>
      <x:c r="M57" s="14" t="n">
        <x:f>SUMIFS('Rankings'!$L$6:$L$423,'Rankings'!$A$6:$A$423,B57,'Rankings'!$E$6:$E$423,"&lt;="&amp;F57)</x:f>
        <x:v>11.416508275000202</x:v>
      </x:c>
      <x:c r="N57" s="14" t="n">
        <x:f>SUMIFS('Ideal ranking'!$H$6:$H$365,'Ideal ranking'!$A$6:$A$365,C57,'Ideal ranking'!$B$6:$B$365,"&lt;="&amp;F57)</x:f>
        <x:v>11.416508275000202</x:v>
      </x:c>
      <x:c r="O57" s="14" t="n">
        <x:f>IF(I57&gt;0,"Unknown",IF(N57=0,"N/A",M57/N57))</x:f>
        <x:v>1</x:v>
      </x:c>
      <x:c r="P57" s="15" t="n">
        <x:f>IF(G57=0,"N/A",IF(I57&gt;0,"Unknown",H57/G57))</x:f>
        <x:v>1</x:v>
      </x:c>
      <x:c r="Q57" s="2" t="n">
        <x:f>F57-G57</x:f>
        <x:v>0</x:v>
      </x:c>
    </x:row>
    <x:row r="58" ht="22" customHeight="1">
      <x:c r="A58" s="2" t="str">
        <x:v>S06-T01|3</x:v>
      </x:c>
      <x:c r="B58" s="2" t="str">
        <x:v>S06-T01</x:v>
      </x:c>
      <x:c r="C58" s="2" t="str">
        <x:v>S06</x:v>
      </x:c>
      <x:c r="D58" s="2" t="str">
        <x:v>Retained</x:v>
      </x:c>
      <x:c r="E58" s="2" t="n">
        <x:v>1</x:v>
      </x:c>
      <x:c r="F58" s="2" t="n">
        <x:v>3</x:v>
      </x:c>
      <x:c r="G58" s="2" t="n">
        <x:f>COUNTIFS('Rankings'!$A$6:$A$423,B58,'Rankings'!$E$6:$E$423,"&lt;="&amp;F58)</x:f>
        <x:v>3</x:v>
      </x:c>
      <x:c r="H58" s="2" t="n">
        <x:f>SUMIFS('Rankings'!$J$6:$J$423,'Rankings'!$A$6:$A$423,B58,'Rankings'!$E$6:$E$423,"&lt;="&amp;F58)</x:f>
        <x:v>3</x:v>
      </x:c>
      <x:c r="I58" s="2" t="n">
        <x:f>G58-SUMIFS('Rankings'!$I$6:$I$423,'Rankings'!$A$6:$A$423,B58,'Rankings'!$E$6:$E$423,"&lt;="&amp;F58)</x:f>
        <x:v>0</x:v>
      </x:c>
      <x:c r="J58" s="2" t="n">
        <x:f>SUMIFS('Ratings'!$H$6:$H$1387,'Ratings'!$B$6:$B$1387,C58)</x:f>
        <x:v>17</x:v>
      </x:c>
      <x:c r="K58" s="15" t="n">
        <x:f>IF(I58&gt;0,"Unknown",H58/F58)</x:f>
        <x:v>1</x:v>
      </x:c>
      <x:c r="L58" s="15" t="n">
        <x:f>IF(J58=0,"N/A",H58/J58)</x:f>
        <x:v>0.17647058823529413</x:v>
      </x:c>
      <x:c r="M58" s="14" t="n">
        <x:f>SUMIFS('Rankings'!$L$6:$L$423,'Rankings'!$A$6:$A$423,B58,'Rankings'!$E$6:$E$423,"&lt;="&amp;F58)</x:f>
        <x:v>14.916508275000202</x:v>
      </x:c>
      <x:c r="N58" s="14" t="n">
        <x:f>SUMIFS('Ideal ranking'!$H$6:$H$365,'Ideal ranking'!$A$6:$A$365,C58,'Ideal ranking'!$B$6:$B$365,"&lt;="&amp;F58)</x:f>
        <x:v>14.916508275000202</x:v>
      </x:c>
      <x:c r="O58" s="14" t="n">
        <x:f>IF(I58&gt;0,"Unknown",IF(N58=0,"N/A",M58/N58))</x:f>
        <x:v>1</x:v>
      </x:c>
      <x:c r="P58" s="15" t="n">
        <x:f>IF(G58=0,"N/A",IF(I58&gt;0,"Unknown",H58/G58))</x:f>
        <x:v>1</x:v>
      </x:c>
      <x:c r="Q58" s="2" t="n">
        <x:f>F58-G58</x:f>
        <x:v>0</x:v>
      </x:c>
    </x:row>
    <x:row r="59" ht="22" customHeight="1">
      <x:c r="A59" s="2" t="str">
        <x:v>S06-T01|4</x:v>
      </x:c>
      <x:c r="B59" s="2" t="str">
        <x:v>S06-T01</x:v>
      </x:c>
      <x:c r="C59" s="2" t="str">
        <x:v>S06</x:v>
      </x:c>
      <x:c r="D59" s="2" t="str">
        <x:v>Retained</x:v>
      </x:c>
      <x:c r="E59" s="2" t="n">
        <x:v>1</x:v>
      </x:c>
      <x:c r="F59" s="2" t="n">
        <x:v>4</x:v>
      </x:c>
      <x:c r="G59" s="2" t="n">
        <x:f>COUNTIFS('Rankings'!$A$6:$A$423,B59,'Rankings'!$E$6:$E$423,"&lt;="&amp;F59)</x:f>
        <x:v>4</x:v>
      </x:c>
      <x:c r="H59" s="2" t="n">
        <x:f>SUMIFS('Rankings'!$J$6:$J$423,'Rankings'!$A$6:$A$423,B59,'Rankings'!$E$6:$E$423,"&lt;="&amp;F59)</x:f>
        <x:v>4</x:v>
      </x:c>
      <x:c r="I59" s="2" t="n">
        <x:f>G59-SUMIFS('Rankings'!$I$6:$I$423,'Rankings'!$A$6:$A$423,B59,'Rankings'!$E$6:$E$423,"&lt;="&amp;F59)</x:f>
        <x:v>0</x:v>
      </x:c>
      <x:c r="J59" s="2" t="n">
        <x:f>SUMIFS('Ratings'!$H$6:$H$1387,'Ratings'!$B$6:$B$1387,C59)</x:f>
        <x:v>17</x:v>
      </x:c>
      <x:c r="K59" s="15" t="n">
        <x:f>IF(I59&gt;0,"Unknown",H59/F59)</x:f>
        <x:v>1</x:v>
      </x:c>
      <x:c r="L59" s="15" t="n">
        <x:f>IF(J59=0,"N/A",H59/J59)</x:f>
        <x:v>0.23529411764705882</x:v>
      </x:c>
      <x:c r="M59" s="14" t="n">
        <x:f>SUMIFS('Rankings'!$L$6:$L$423,'Rankings'!$A$6:$A$423,B59,'Rankings'!$E$6:$E$423,"&lt;="&amp;F59)</x:f>
        <x:v>17.931244181513954</x:v>
      </x:c>
      <x:c r="N59" s="14" t="n">
        <x:f>SUMIFS('Ideal ranking'!$H$6:$H$365,'Ideal ranking'!$A$6:$A$365,C59,'Ideal ranking'!$B$6:$B$365,"&lt;="&amp;F59)</x:f>
        <x:v>17.931244181513954</x:v>
      </x:c>
      <x:c r="O59" s="14" t="n">
        <x:f>IF(I59&gt;0,"Unknown",IF(N59=0,"N/A",M59/N59))</x:f>
        <x:v>1</x:v>
      </x:c>
      <x:c r="P59" s="15" t="n">
        <x:f>IF(G59=0,"N/A",IF(I59&gt;0,"Unknown",H59/G59))</x:f>
        <x:v>1</x:v>
      </x:c>
      <x:c r="Q59" s="2" t="n">
        <x:f>F59-G59</x:f>
        <x:v>0</x:v>
      </x:c>
    </x:row>
    <x:row r="60" ht="22" customHeight="1">
      <x:c r="A60" s="2" t="str">
        <x:v>S06-T01|5</x:v>
      </x:c>
      <x:c r="B60" s="2" t="str">
        <x:v>S06-T01</x:v>
      </x:c>
      <x:c r="C60" s="2" t="str">
        <x:v>S06</x:v>
      </x:c>
      <x:c r="D60" s="2" t="str">
        <x:v>Retained</x:v>
      </x:c>
      <x:c r="E60" s="2" t="n">
        <x:v>1</x:v>
      </x:c>
      <x:c r="F60" s="2" t="n">
        <x:v>5</x:v>
      </x:c>
      <x:c r="G60" s="2" t="n">
        <x:f>COUNTIFS('Rankings'!$A$6:$A$423,B60,'Rankings'!$E$6:$E$423,"&lt;="&amp;F60)</x:f>
        <x:v>5</x:v>
      </x:c>
      <x:c r="H60" s="2" t="n">
        <x:f>SUMIFS('Rankings'!$J$6:$J$423,'Rankings'!$A$6:$A$423,B60,'Rankings'!$E$6:$E$423,"&lt;="&amp;F60)</x:f>
        <x:v>5</x:v>
      </x:c>
      <x:c r="I60" s="2" t="n">
        <x:f>G60-SUMIFS('Rankings'!$I$6:$I$423,'Rankings'!$A$6:$A$423,B60,'Rankings'!$E$6:$E$423,"&lt;="&amp;F60)</x:f>
        <x:v>0</x:v>
      </x:c>
      <x:c r="J60" s="2" t="n">
        <x:f>SUMIFS('Ratings'!$H$6:$H$1387,'Ratings'!$B$6:$B$1387,C60)</x:f>
        <x:v>17</x:v>
      </x:c>
      <x:c r="K60" s="15" t="n">
        <x:f>IF(I60&gt;0,"Unknown",H60/F60)</x:f>
        <x:v>1</x:v>
      </x:c>
      <x:c r="L60" s="15" t="n">
        <x:f>IF(J60=0,"N/A",H60/J60)</x:f>
        <x:v>0.29411764705882354</x:v>
      </x:c>
      <x:c r="M60" s="14" t="n">
        <x:f>SUMIFS('Rankings'!$L$6:$L$423,'Rankings'!$A$6:$A$423,B60,'Rankings'!$E$6:$E$423,"&lt;="&amp;F60)</x:f>
        <x:v>20.639213832155747</x:v>
      </x:c>
      <x:c r="N60" s="14" t="n">
        <x:f>SUMIFS('Ideal ranking'!$H$6:$H$365,'Ideal ranking'!$A$6:$A$365,C60,'Ideal ranking'!$B$6:$B$365,"&lt;="&amp;F60)</x:f>
        <x:v>20.639213832155747</x:v>
      </x:c>
      <x:c r="O60" s="14" t="n">
        <x:f>IF(I60&gt;0,"Unknown",IF(N60=0,"N/A",M60/N60))</x:f>
        <x:v>1</x:v>
      </x:c>
      <x:c r="P60" s="15" t="n">
        <x:f>IF(G60=0,"N/A",IF(I60&gt;0,"Unknown",H60/G60))</x:f>
        <x:v>1</x:v>
      </x:c>
      <x:c r="Q60" s="2" t="n">
        <x:f>F60-G60</x:f>
        <x:v>0</x:v>
      </x:c>
    </x:row>
    <x:row r="61" ht="22" customHeight="1">
      <x:c r="A61" s="2" t="str">
        <x:v>S06-T01|6</x:v>
      </x:c>
      <x:c r="B61" s="2" t="str">
        <x:v>S06-T01</x:v>
      </x:c>
      <x:c r="C61" s="2" t="str">
        <x:v>S06</x:v>
      </x:c>
      <x:c r="D61" s="2" t="str">
        <x:v>Retained</x:v>
      </x:c>
      <x:c r="E61" s="2" t="n">
        <x:v>1</x:v>
      </x:c>
      <x:c r="F61" s="2" t="n">
        <x:v>6</x:v>
      </x:c>
      <x:c r="G61" s="2" t="n">
        <x:f>COUNTIFS('Rankings'!$A$6:$A$423,B61,'Rankings'!$E$6:$E$423,"&lt;="&amp;F61)</x:f>
        <x:v>6</x:v>
      </x:c>
      <x:c r="H61" s="2" t="n">
        <x:f>SUMIFS('Rankings'!$J$6:$J$423,'Rankings'!$A$6:$A$423,B61,'Rankings'!$E$6:$E$423,"&lt;="&amp;F61)</x:f>
        <x:v>6</x:v>
      </x:c>
      <x:c r="I61" s="2" t="n">
        <x:f>G61-SUMIFS('Rankings'!$I$6:$I$423,'Rankings'!$A$6:$A$423,B61,'Rankings'!$E$6:$E$423,"&lt;="&amp;F61)</x:f>
        <x:v>0</x:v>
      </x:c>
      <x:c r="J61" s="2" t="n">
        <x:f>SUMIFS('Ratings'!$H$6:$H$1387,'Ratings'!$B$6:$B$1387,C61)</x:f>
        <x:v>17</x:v>
      </x:c>
      <x:c r="K61" s="15" t="n">
        <x:f>IF(I61&gt;0,"Unknown",H61/F61)</x:f>
        <x:v>1</x:v>
      </x:c>
      <x:c r="L61" s="15" t="n">
        <x:f>IF(J61=0,"N/A",H61/J61)</x:f>
        <x:v>0.35294117647058826</x:v>
      </x:c>
      <x:c r="M61" s="14" t="n">
        <x:f>SUMIFS('Rankings'!$L$6:$L$423,'Rankings'!$A$6:$A$423,B61,'Rankings'!$E$6:$E$423,"&lt;="&amp;F61)</x:f>
        <x:v>23.132664141911903</x:v>
      </x:c>
      <x:c r="N61" s="14" t="n">
        <x:f>SUMIFS('Ideal ranking'!$H$6:$H$365,'Ideal ranking'!$A$6:$A$365,C61,'Ideal ranking'!$B$6:$B$365,"&lt;="&amp;F61)</x:f>
        <x:v>23.132664141911903</x:v>
      </x:c>
      <x:c r="O61" s="14" t="n">
        <x:f>IF(I61&gt;0,"Unknown",IF(N61=0,"N/A",M61/N61))</x:f>
        <x:v>1</x:v>
      </x:c>
      <x:c r="P61" s="15" t="n">
        <x:f>IF(G61=0,"N/A",IF(I61&gt;0,"Unknown",H61/G61))</x:f>
        <x:v>1</x:v>
      </x:c>
      <x:c r="Q61" s="2" t="n">
        <x:f>F61-G61</x:f>
        <x:v>0</x:v>
      </x:c>
    </x:row>
    <x:row r="62" ht="22" customHeight="1">
      <x:c r="A62" s="2" t="str">
        <x:v>S06-T01|7</x:v>
      </x:c>
      <x:c r="B62" s="2" t="str">
        <x:v>S06-T01</x:v>
      </x:c>
      <x:c r="C62" s="2" t="str">
        <x:v>S06</x:v>
      </x:c>
      <x:c r="D62" s="2" t="str">
        <x:v>Retained</x:v>
      </x:c>
      <x:c r="E62" s="2" t="n">
        <x:v>1</x:v>
      </x:c>
      <x:c r="F62" s="2" t="n">
        <x:v>7</x:v>
      </x:c>
      <x:c r="G62" s="2" t="n">
        <x:f>COUNTIFS('Rankings'!$A$6:$A$423,B62,'Rankings'!$E$6:$E$423,"&lt;="&amp;F62)</x:f>
        <x:v>7</x:v>
      </x:c>
      <x:c r="H62" s="2" t="n">
        <x:f>SUMIFS('Rankings'!$J$6:$J$423,'Rankings'!$A$6:$A$423,B62,'Rankings'!$E$6:$E$423,"&lt;="&amp;F62)</x:f>
        <x:v>7</x:v>
      </x:c>
      <x:c r="I62" s="2" t="n">
        <x:f>G62-SUMIFS('Rankings'!$I$6:$I$423,'Rankings'!$A$6:$A$423,B62,'Rankings'!$E$6:$E$423,"&lt;="&amp;F62)</x:f>
        <x:v>0</x:v>
      </x:c>
      <x:c r="J62" s="2" t="n">
        <x:f>SUMIFS('Ratings'!$H$6:$H$1387,'Ratings'!$B$6:$B$1387,C62)</x:f>
        <x:v>17</x:v>
      </x:c>
      <x:c r="K62" s="15" t="n">
        <x:f>IF(I62&gt;0,"Unknown",H62/F62)</x:f>
        <x:v>1</x:v>
      </x:c>
      <x:c r="L62" s="15" t="n">
        <x:f>IF(J62=0,"N/A",H62/J62)</x:f>
        <x:v>0.4117647058823529</x:v>
      </x:c>
      <x:c r="M62" s="14" t="n">
        <x:f>SUMIFS('Rankings'!$L$6:$L$423,'Rankings'!$A$6:$A$423,B62,'Rankings'!$E$6:$E$423,"&lt;="&amp;F62)</x:f>
        <x:v>25.465997475245235</x:v>
      </x:c>
      <x:c r="N62" s="14" t="n">
        <x:f>SUMIFS('Ideal ranking'!$H$6:$H$365,'Ideal ranking'!$A$6:$A$365,C62,'Ideal ranking'!$B$6:$B$365,"&lt;="&amp;F62)</x:f>
        <x:v>25.465997475245235</x:v>
      </x:c>
      <x:c r="O62" s="14" t="n">
        <x:f>IF(I62&gt;0,"Unknown",IF(N62=0,"N/A",M62/N62))</x:f>
        <x:v>1</x:v>
      </x:c>
      <x:c r="P62" s="15" t="n">
        <x:f>IF(G62=0,"N/A",IF(I62&gt;0,"Unknown",H62/G62))</x:f>
        <x:v>1</x:v>
      </x:c>
      <x:c r="Q62" s="2" t="n">
        <x:f>F62-G62</x:f>
        <x:v>0</x:v>
      </x:c>
    </x:row>
    <x:row r="63" ht="22" customHeight="1">
      <x:c r="A63" s="2" t="str">
        <x:v>S06-T01|8</x:v>
      </x:c>
      <x:c r="B63" s="2" t="str">
        <x:v>S06-T01</x:v>
      </x:c>
      <x:c r="C63" s="2" t="str">
        <x:v>S06</x:v>
      </x:c>
      <x:c r="D63" s="2" t="str">
        <x:v>Retained</x:v>
      </x:c>
      <x:c r="E63" s="2" t="n">
        <x:v>1</x:v>
      </x:c>
      <x:c r="F63" s="2" t="n">
        <x:v>8</x:v>
      </x:c>
      <x:c r="G63" s="2" t="n">
        <x:f>COUNTIFS('Rankings'!$A$6:$A$423,B63,'Rankings'!$E$6:$E$423,"&lt;="&amp;F63)</x:f>
        <x:v>8</x:v>
      </x:c>
      <x:c r="H63" s="2" t="n">
        <x:f>SUMIFS('Rankings'!$J$6:$J$423,'Rankings'!$A$6:$A$423,B63,'Rankings'!$E$6:$E$423,"&lt;="&amp;F63)</x:f>
        <x:v>8</x:v>
      </x:c>
      <x:c r="I63" s="2" t="n">
        <x:f>G63-SUMIFS('Rankings'!$I$6:$I$423,'Rankings'!$A$6:$A$423,B63,'Rankings'!$E$6:$E$423,"&lt;="&amp;F63)</x:f>
        <x:v>0</x:v>
      </x:c>
      <x:c r="J63" s="2" t="n">
        <x:f>SUMIFS('Ratings'!$H$6:$H$1387,'Ratings'!$B$6:$B$1387,C63)</x:f>
        <x:v>17</x:v>
      </x:c>
      <x:c r="K63" s="15" t="n">
        <x:f>IF(I63&gt;0,"Unknown",H63/F63)</x:f>
        <x:v>1</x:v>
      </x:c>
      <x:c r="L63" s="15" t="n">
        <x:f>IF(J63=0,"N/A",H63/J63)</x:f>
        <x:v>0.47058823529411764</x:v>
      </x:c>
      <x:c r="M63" s="14" t="n">
        <x:f>SUMIFS('Rankings'!$L$6:$L$423,'Rankings'!$A$6:$A$423,B63,'Rankings'!$E$6:$E$423,"&lt;="&amp;F63)</x:f>
        <x:v>27.674251612745337</x:v>
      </x:c>
      <x:c r="N63" s="14" t="n">
        <x:f>SUMIFS('Ideal ranking'!$H$6:$H$365,'Ideal ranking'!$A$6:$A$365,C63,'Ideal ranking'!$B$6:$B$365,"&lt;="&amp;F63)</x:f>
        <x:v>27.674251612745337</x:v>
      </x:c>
      <x:c r="O63" s="14" t="n">
        <x:f>IF(I63&gt;0,"Unknown",IF(N63=0,"N/A",M63/N63))</x:f>
        <x:v>1</x:v>
      </x:c>
      <x:c r="P63" s="15" t="n">
        <x:f>IF(G63=0,"N/A",IF(I63&gt;0,"Unknown",H63/G63))</x:f>
        <x:v>1</x:v>
      </x:c>
      <x:c r="Q63" s="2" t="n">
        <x:f>F63-G63</x:f>
        <x:v>0</x:v>
      </x:c>
    </x:row>
    <x:row r="64" ht="22" customHeight="1">
      <x:c r="A64" s="2" t="str">
        <x:v>S06-T01|9</x:v>
      </x:c>
      <x:c r="B64" s="2" t="str">
        <x:v>S06-T01</x:v>
      </x:c>
      <x:c r="C64" s="2" t="str">
        <x:v>S06</x:v>
      </x:c>
      <x:c r="D64" s="2" t="str">
        <x:v>Retained</x:v>
      </x:c>
      <x:c r="E64" s="2" t="n">
        <x:v>1</x:v>
      </x:c>
      <x:c r="F64" s="2" t="n">
        <x:v>9</x:v>
      </x:c>
      <x:c r="G64" s="2" t="n">
        <x:f>COUNTIFS('Rankings'!$A$6:$A$423,B64,'Rankings'!$E$6:$E$423,"&lt;="&amp;F64)</x:f>
        <x:v>9</x:v>
      </x:c>
      <x:c r="H64" s="2" t="n">
        <x:f>SUMIFS('Rankings'!$J$6:$J$423,'Rankings'!$A$6:$A$423,B64,'Rankings'!$E$6:$E$423,"&lt;="&amp;F64)</x:f>
        <x:v>9</x:v>
      </x:c>
      <x:c r="I64" s="2" t="n">
        <x:f>G64-SUMIFS('Rankings'!$I$6:$I$423,'Rankings'!$A$6:$A$423,B64,'Rankings'!$E$6:$E$423,"&lt;="&amp;F64)</x:f>
        <x:v>0</x:v>
      </x:c>
      <x:c r="J64" s="2" t="n">
        <x:f>SUMIFS('Ratings'!$H$6:$H$1387,'Ratings'!$B$6:$B$1387,C64)</x:f>
        <x:v>17</x:v>
      </x:c>
      <x:c r="K64" s="15" t="n">
        <x:f>IF(I64&gt;0,"Unknown",H64/F64)</x:f>
        <x:v>1</x:v>
      </x:c>
      <x:c r="L64" s="15" t="n">
        <x:f>IF(J64=0,"N/A",H64/J64)</x:f>
        <x:v>0.5294117647058824</x:v>
      </x:c>
      <x:c r="M64" s="14" t="n">
        <x:f>SUMIFS('Rankings'!$L$6:$L$423,'Rankings'!$A$6:$A$423,B64,'Rankings'!$E$6:$E$423,"&lt;="&amp;F64)</x:f>
        <x:v>28.57734159973728</x:v>
      </x:c>
      <x:c r="N64" s="14" t="n">
        <x:f>SUMIFS('Ideal ranking'!$H$6:$H$365,'Ideal ranking'!$A$6:$A$365,C64,'Ideal ranking'!$B$6:$B$365,"&lt;="&amp;F64)</x:f>
        <x:v>28.57734159973728</x:v>
      </x:c>
      <x:c r="O64" s="14" t="n">
        <x:f>IF(I64&gt;0,"Unknown",IF(N64=0,"N/A",M64/N64))</x:f>
        <x:v>1</x:v>
      </x:c>
      <x:c r="P64" s="15" t="n">
        <x:f>IF(G64=0,"N/A",IF(I64&gt;0,"Unknown",H64/G64))</x:f>
        <x:v>1</x:v>
      </x:c>
      <x:c r="Q64" s="2" t="n">
        <x:f>F64-G64</x:f>
        <x:v>0</x:v>
      </x:c>
    </x:row>
    <x:row r="65" ht="22" customHeight="1">
      <x:c r="A65" s="2" t="str">
        <x:v>S06-T01|10</x:v>
      </x:c>
      <x:c r="B65" s="2" t="str">
        <x:v>S06-T01</x:v>
      </x:c>
      <x:c r="C65" s="2" t="str">
        <x:v>S06</x:v>
      </x:c>
      <x:c r="D65" s="2" t="str">
        <x:v>Retained</x:v>
      </x:c>
      <x:c r="E65" s="2" t="n">
        <x:v>1</x:v>
      </x:c>
      <x:c r="F65" s="2" t="n">
        <x:v>10</x:v>
      </x:c>
      <x:c r="G65" s="2" t="n">
        <x:f>COUNTIFS('Rankings'!$A$6:$A$423,B65,'Rankings'!$E$6:$E$423,"&lt;="&amp;F65)</x:f>
        <x:v>10</x:v>
      </x:c>
      <x:c r="H65" s="2" t="n">
        <x:f>SUMIFS('Rankings'!$J$6:$J$423,'Rankings'!$A$6:$A$423,B65,'Rankings'!$E$6:$E$423,"&lt;="&amp;F65)</x:f>
        <x:v>10</x:v>
      </x:c>
      <x:c r="I65" s="2" t="n">
        <x:f>G65-SUMIFS('Rankings'!$I$6:$I$423,'Rankings'!$A$6:$A$423,B65,'Rankings'!$E$6:$E$423,"&lt;="&amp;F65)</x:f>
        <x:v>0</x:v>
      </x:c>
      <x:c r="J65" s="2" t="n">
        <x:f>SUMIFS('Ratings'!$H$6:$H$1387,'Ratings'!$B$6:$B$1387,C65)</x:f>
        <x:v>17</x:v>
      </x:c>
      <x:c r="K65" s="15" t="n">
        <x:f>IF(I65&gt;0,"Unknown",H65/F65)</x:f>
        <x:v>1</x:v>
      </x:c>
      <x:c r="L65" s="15" t="n">
        <x:f>IF(J65=0,"N/A",H65/J65)</x:f>
        <x:v>0.5882352941176471</x:v>
      </x:c>
      <x:c r="M65" s="14" t="n">
        <x:f>SUMIFS('Rankings'!$L$6:$L$423,'Rankings'!$A$6:$A$423,B65,'Rankings'!$E$6:$E$423,"&lt;="&amp;F65)</x:f>
        <x:v>29.444536078690945</x:v>
      </x:c>
      <x:c r="N65" s="14" t="n">
        <x:f>SUMIFS('Ideal ranking'!$H$6:$H$365,'Ideal ranking'!$A$6:$A$365,C65,'Ideal ranking'!$B$6:$B$365,"&lt;="&amp;F65)</x:f>
        <x:v>29.444536078690945</x:v>
      </x:c>
      <x:c r="O65" s="14" t="n">
        <x:f>IF(I65&gt;0,"Unknown",IF(N65=0,"N/A",M65/N65))</x:f>
        <x:v>1</x:v>
      </x:c>
      <x:c r="P65" s="15" t="n">
        <x:f>IF(G65=0,"N/A",IF(I65&gt;0,"Unknown",H65/G65))</x:f>
        <x:v>1</x:v>
      </x:c>
      <x:c r="Q65" s="2" t="n">
        <x:f>F65-G65</x:f>
        <x:v>0</x:v>
      </x:c>
    </x:row>
    <x:row r="66" ht="22" customHeight="1">
      <x:c r="A66" s="2" t="str">
        <x:v>S07-T01|1</x:v>
      </x:c>
      <x:c r="B66" s="2" t="str">
        <x:v>S07-T01</x:v>
      </x:c>
      <x:c r="C66" s="2" t="str">
        <x:v>S07</x:v>
      </x:c>
      <x:c r="D66" s="2" t="str">
        <x:v>Retained</x:v>
      </x:c>
      <x:c r="E66" s="2" t="n">
        <x:v>1</x:v>
      </x:c>
      <x:c r="F66" s="2" t="n">
        <x:v>1</x:v>
      </x:c>
      <x:c r="G66" s="2" t="n">
        <x:f>COUNTIFS('Rankings'!$A$6:$A$423,B66,'Rankings'!$E$6:$E$423,"&lt;="&amp;F66)</x:f>
        <x:v>1</x:v>
      </x:c>
      <x:c r="H66" s="2" t="n">
        <x:f>SUMIFS('Rankings'!$J$6:$J$423,'Rankings'!$A$6:$A$423,B66,'Rankings'!$E$6:$E$423,"&lt;="&amp;F66)</x:f>
        <x:v>1</x:v>
      </x:c>
      <x:c r="I66" s="2" t="n">
        <x:f>G66-SUMIFS('Rankings'!$I$6:$I$423,'Rankings'!$A$6:$A$423,B66,'Rankings'!$E$6:$E$423,"&lt;="&amp;F66)</x:f>
        <x:v>0</x:v>
      </x:c>
      <x:c r="J66" s="2" t="n">
        <x:f>SUMIFS('Ratings'!$H$6:$H$1387,'Ratings'!$B$6:$B$1387,C66)</x:f>
        <x:v>17</x:v>
      </x:c>
      <x:c r="K66" s="15" t="n">
        <x:f>IF(I66&gt;0,"Unknown",H66/F66)</x:f>
        <x:v>1</x:v>
      </x:c>
      <x:c r="L66" s="15" t="n">
        <x:f>IF(J66=0,"N/A",H66/J66)</x:f>
        <x:v>0.058823529411764705</x:v>
      </x:c>
      <x:c r="M66" s="14" t="n">
        <x:f>SUMIFS('Rankings'!$L$6:$L$423,'Rankings'!$A$6:$A$423,B66,'Rankings'!$E$6:$E$423,"&lt;="&amp;F66)</x:f>
        <x:v>7</x:v>
      </x:c>
      <x:c r="N66" s="14" t="n">
        <x:f>SUMIFS('Ideal ranking'!$H$6:$H$365,'Ideal ranking'!$A$6:$A$365,C66,'Ideal ranking'!$B$6:$B$365,"&lt;="&amp;F66)</x:f>
        <x:v>7</x:v>
      </x:c>
      <x:c r="O66" s="14" t="n">
        <x:f>IF(I66&gt;0,"Unknown",IF(N66=0,"N/A",M66/N66))</x:f>
        <x:v>1</x:v>
      </x:c>
      <x:c r="P66" s="15" t="n">
        <x:f>IF(G66=0,"N/A",IF(I66&gt;0,"Unknown",H66/G66))</x:f>
        <x:v>1</x:v>
      </x:c>
      <x:c r="Q66" s="2" t="n">
        <x:f>F66-G66</x:f>
        <x:v>0</x:v>
      </x:c>
    </x:row>
    <x:row r="67" ht="22" customHeight="1">
      <x:c r="A67" s="2" t="str">
        <x:v>S07-T01|2</x:v>
      </x:c>
      <x:c r="B67" s="2" t="str">
        <x:v>S07-T01</x:v>
      </x:c>
      <x:c r="C67" s="2" t="str">
        <x:v>S07</x:v>
      </x:c>
      <x:c r="D67" s="2" t="str">
        <x:v>Retained</x:v>
      </x:c>
      <x:c r="E67" s="2" t="n">
        <x:v>1</x:v>
      </x:c>
      <x:c r="F67" s="2" t="n">
        <x:v>2</x:v>
      </x:c>
      <x:c r="G67" s="2" t="n">
        <x:f>COUNTIFS('Rankings'!$A$6:$A$423,B67,'Rankings'!$E$6:$E$423,"&lt;="&amp;F67)</x:f>
        <x:v>2</x:v>
      </x:c>
      <x:c r="H67" s="2" t="n">
        <x:f>SUMIFS('Rankings'!$J$6:$J$423,'Rankings'!$A$6:$A$423,B67,'Rankings'!$E$6:$E$423,"&lt;="&amp;F67)</x:f>
        <x:v>2</x:v>
      </x:c>
      <x:c r="I67" s="2" t="n">
        <x:f>G67-SUMIFS('Rankings'!$I$6:$I$423,'Rankings'!$A$6:$A$423,B67,'Rankings'!$E$6:$E$423,"&lt;="&amp;F67)</x:f>
        <x:v>0</x:v>
      </x:c>
      <x:c r="J67" s="2" t="n">
        <x:f>SUMIFS('Ratings'!$H$6:$H$1387,'Ratings'!$B$6:$B$1387,C67)</x:f>
        <x:v>17</x:v>
      </x:c>
      <x:c r="K67" s="15" t="n">
        <x:f>IF(I67&gt;0,"Unknown",H67/F67)</x:f>
        <x:v>1</x:v>
      </x:c>
      <x:c r="L67" s="15" t="n">
        <x:f>IF(J67=0,"N/A",H67/J67)</x:f>
        <x:v>0.11764705882352941</x:v>
      </x:c>
      <x:c r="M67" s="14" t="n">
        <x:f>SUMIFS('Rankings'!$L$6:$L$423,'Rankings'!$A$6:$A$423,B67,'Rankings'!$E$6:$E$423,"&lt;="&amp;F67)</x:f>
        <x:v>11.416508275000202</x:v>
      </x:c>
      <x:c r="N67" s="14" t="n">
        <x:f>SUMIFS('Ideal ranking'!$H$6:$H$365,'Ideal ranking'!$A$6:$A$365,C67,'Ideal ranking'!$B$6:$B$365,"&lt;="&amp;F67)</x:f>
        <x:v>11.416508275000202</x:v>
      </x:c>
      <x:c r="O67" s="14" t="n">
        <x:f>IF(I67&gt;0,"Unknown",IF(N67=0,"N/A",M67/N67))</x:f>
        <x:v>1</x:v>
      </x:c>
      <x:c r="P67" s="15" t="n">
        <x:f>IF(G67=0,"N/A",IF(I67&gt;0,"Unknown",H67/G67))</x:f>
        <x:v>1</x:v>
      </x:c>
      <x:c r="Q67" s="2" t="n">
        <x:f>F67-G67</x:f>
        <x:v>0</x:v>
      </x:c>
    </x:row>
    <x:row r="68" ht="22" customHeight="1">
      <x:c r="A68" s="2" t="str">
        <x:v>S07-T01|3</x:v>
      </x:c>
      <x:c r="B68" s="2" t="str">
        <x:v>S07-T01</x:v>
      </x:c>
      <x:c r="C68" s="2" t="str">
        <x:v>S07</x:v>
      </x:c>
      <x:c r="D68" s="2" t="str">
        <x:v>Retained</x:v>
      </x:c>
      <x:c r="E68" s="2" t="n">
        <x:v>1</x:v>
      </x:c>
      <x:c r="F68" s="2" t="n">
        <x:v>3</x:v>
      </x:c>
      <x:c r="G68" s="2" t="n">
        <x:f>COUNTIFS('Rankings'!$A$6:$A$423,B68,'Rankings'!$E$6:$E$423,"&lt;="&amp;F68)</x:f>
        <x:v>3</x:v>
      </x:c>
      <x:c r="H68" s="2" t="n">
        <x:f>SUMIFS('Rankings'!$J$6:$J$423,'Rankings'!$A$6:$A$423,B68,'Rankings'!$E$6:$E$423,"&lt;="&amp;F68)</x:f>
        <x:v>3</x:v>
      </x:c>
      <x:c r="I68" s="2" t="n">
        <x:f>G68-SUMIFS('Rankings'!$I$6:$I$423,'Rankings'!$A$6:$A$423,B68,'Rankings'!$E$6:$E$423,"&lt;="&amp;F68)</x:f>
        <x:v>0</x:v>
      </x:c>
      <x:c r="J68" s="2" t="n">
        <x:f>SUMIFS('Ratings'!$H$6:$H$1387,'Ratings'!$B$6:$B$1387,C68)</x:f>
        <x:v>17</x:v>
      </x:c>
      <x:c r="K68" s="15" t="n">
        <x:f>IF(I68&gt;0,"Unknown",H68/F68)</x:f>
        <x:v>1</x:v>
      </x:c>
      <x:c r="L68" s="15" t="n">
        <x:f>IF(J68=0,"N/A",H68/J68)</x:f>
        <x:v>0.17647058823529413</x:v>
      </x:c>
      <x:c r="M68" s="14" t="n">
        <x:f>SUMIFS('Rankings'!$L$6:$L$423,'Rankings'!$A$6:$A$423,B68,'Rankings'!$E$6:$E$423,"&lt;="&amp;F68)</x:f>
        <x:v>14.916508275000202</x:v>
      </x:c>
      <x:c r="N68" s="14" t="n">
        <x:f>SUMIFS('Ideal ranking'!$H$6:$H$365,'Ideal ranking'!$A$6:$A$365,C68,'Ideal ranking'!$B$6:$B$365,"&lt;="&amp;F68)</x:f>
        <x:v>14.916508275000202</x:v>
      </x:c>
      <x:c r="O68" s="14" t="n">
        <x:f>IF(I68&gt;0,"Unknown",IF(N68=0,"N/A",M68/N68))</x:f>
        <x:v>1</x:v>
      </x:c>
      <x:c r="P68" s="15" t="n">
        <x:f>IF(G68=0,"N/A",IF(I68&gt;0,"Unknown",H68/G68))</x:f>
        <x:v>1</x:v>
      </x:c>
      <x:c r="Q68" s="2" t="n">
        <x:f>F68-G68</x:f>
        <x:v>0</x:v>
      </x:c>
    </x:row>
    <x:row r="69" ht="22" customHeight="1">
      <x:c r="A69" s="2" t="str">
        <x:v>S07-T01|4</x:v>
      </x:c>
      <x:c r="B69" s="2" t="str">
        <x:v>S07-T01</x:v>
      </x:c>
      <x:c r="C69" s="2" t="str">
        <x:v>S07</x:v>
      </x:c>
      <x:c r="D69" s="2" t="str">
        <x:v>Retained</x:v>
      </x:c>
      <x:c r="E69" s="2" t="n">
        <x:v>1</x:v>
      </x:c>
      <x:c r="F69" s="2" t="n">
        <x:v>4</x:v>
      </x:c>
      <x:c r="G69" s="2" t="n">
        <x:f>COUNTIFS('Rankings'!$A$6:$A$423,B69,'Rankings'!$E$6:$E$423,"&lt;="&amp;F69)</x:f>
        <x:v>4</x:v>
      </x:c>
      <x:c r="H69" s="2" t="n">
        <x:f>SUMIFS('Rankings'!$J$6:$J$423,'Rankings'!$A$6:$A$423,B69,'Rankings'!$E$6:$E$423,"&lt;="&amp;F69)</x:f>
        <x:v>4</x:v>
      </x:c>
      <x:c r="I69" s="2" t="n">
        <x:f>G69-SUMIFS('Rankings'!$I$6:$I$423,'Rankings'!$A$6:$A$423,B69,'Rankings'!$E$6:$E$423,"&lt;="&amp;F69)</x:f>
        <x:v>0</x:v>
      </x:c>
      <x:c r="J69" s="2" t="n">
        <x:f>SUMIFS('Ratings'!$H$6:$H$1387,'Ratings'!$B$6:$B$1387,C69)</x:f>
        <x:v>17</x:v>
      </x:c>
      <x:c r="K69" s="15" t="n">
        <x:f>IF(I69&gt;0,"Unknown",H69/F69)</x:f>
        <x:v>1</x:v>
      </x:c>
      <x:c r="L69" s="15" t="n">
        <x:f>IF(J69=0,"N/A",H69/J69)</x:f>
        <x:v>0.23529411764705882</x:v>
      </x:c>
      <x:c r="M69" s="14" t="n">
        <x:f>SUMIFS('Rankings'!$L$6:$L$423,'Rankings'!$A$6:$A$423,B69,'Rankings'!$E$6:$E$423,"&lt;="&amp;F69)</x:f>
        <x:v>17.931244181513954</x:v>
      </x:c>
      <x:c r="N69" s="14" t="n">
        <x:f>SUMIFS('Ideal ranking'!$H$6:$H$365,'Ideal ranking'!$A$6:$A$365,C69,'Ideal ranking'!$B$6:$B$365,"&lt;="&amp;F69)</x:f>
        <x:v>17.931244181513954</x:v>
      </x:c>
      <x:c r="O69" s="14" t="n">
        <x:f>IF(I69&gt;0,"Unknown",IF(N69=0,"N/A",M69/N69))</x:f>
        <x:v>1</x:v>
      </x:c>
      <x:c r="P69" s="15" t="n">
        <x:f>IF(G69=0,"N/A",IF(I69&gt;0,"Unknown",H69/G69))</x:f>
        <x:v>1</x:v>
      </x:c>
      <x:c r="Q69" s="2" t="n">
        <x:f>F69-G69</x:f>
        <x:v>0</x:v>
      </x:c>
    </x:row>
    <x:row r="70" ht="22" customHeight="1">
      <x:c r="A70" s="2" t="str">
        <x:v>S07-T01|5</x:v>
      </x:c>
      <x:c r="B70" s="2" t="str">
        <x:v>S07-T01</x:v>
      </x:c>
      <x:c r="C70" s="2" t="str">
        <x:v>S07</x:v>
      </x:c>
      <x:c r="D70" s="2" t="str">
        <x:v>Retained</x:v>
      </x:c>
      <x:c r="E70" s="2" t="n">
        <x:v>1</x:v>
      </x:c>
      <x:c r="F70" s="2" t="n">
        <x:v>5</x:v>
      </x:c>
      <x:c r="G70" s="2" t="n">
        <x:f>COUNTIFS('Rankings'!$A$6:$A$423,B70,'Rankings'!$E$6:$E$423,"&lt;="&amp;F70)</x:f>
        <x:v>5</x:v>
      </x:c>
      <x:c r="H70" s="2" t="n">
        <x:f>SUMIFS('Rankings'!$J$6:$J$423,'Rankings'!$A$6:$A$423,B70,'Rankings'!$E$6:$E$423,"&lt;="&amp;F70)</x:f>
        <x:v>5</x:v>
      </x:c>
      <x:c r="I70" s="2" t="n">
        <x:f>G70-SUMIFS('Rankings'!$I$6:$I$423,'Rankings'!$A$6:$A$423,B70,'Rankings'!$E$6:$E$423,"&lt;="&amp;F70)</x:f>
        <x:v>0</x:v>
      </x:c>
      <x:c r="J70" s="2" t="n">
        <x:f>SUMIFS('Ratings'!$H$6:$H$1387,'Ratings'!$B$6:$B$1387,C70)</x:f>
        <x:v>17</x:v>
      </x:c>
      <x:c r="K70" s="15" t="n">
        <x:f>IF(I70&gt;0,"Unknown",H70/F70)</x:f>
        <x:v>1</x:v>
      </x:c>
      <x:c r="L70" s="15" t="n">
        <x:f>IF(J70=0,"N/A",H70/J70)</x:f>
        <x:v>0.29411764705882354</x:v>
      </x:c>
      <x:c r="M70" s="14" t="n">
        <x:f>SUMIFS('Rankings'!$L$6:$L$423,'Rankings'!$A$6:$A$423,B70,'Rankings'!$E$6:$E$423,"&lt;="&amp;F70)</x:f>
        <x:v>19.09180260321758</x:v>
      </x:c>
      <x:c r="N70" s="14" t="n">
        <x:f>SUMIFS('Ideal ranking'!$H$6:$H$365,'Ideal ranking'!$A$6:$A$365,C70,'Ideal ranking'!$B$6:$B$365,"&lt;="&amp;F70)</x:f>
        <x:v>19.09180260321758</x:v>
      </x:c>
      <x:c r="O70" s="14" t="n">
        <x:f>IF(I70&gt;0,"Unknown",IF(N70=0,"N/A",M70/N70))</x:f>
        <x:v>1</x:v>
      </x:c>
      <x:c r="P70" s="15" t="n">
        <x:f>IF(G70=0,"N/A",IF(I70&gt;0,"Unknown",H70/G70))</x:f>
        <x:v>1</x:v>
      </x:c>
      <x:c r="Q70" s="2" t="n">
        <x:f>F70-G70</x:f>
        <x:v>0</x:v>
      </x:c>
    </x:row>
    <x:row r="71" ht="22" customHeight="1">
      <x:c r="A71" s="2" t="str">
        <x:v>S07-T01|6</x:v>
      </x:c>
      <x:c r="B71" s="2" t="str">
        <x:v>S07-T01</x:v>
      </x:c>
      <x:c r="C71" s="2" t="str">
        <x:v>S07</x:v>
      </x:c>
      <x:c r="D71" s="2" t="str">
        <x:v>Retained</x:v>
      </x:c>
      <x:c r="E71" s="2" t="n">
        <x:v>1</x:v>
      </x:c>
      <x:c r="F71" s="2" t="n">
        <x:v>6</x:v>
      </x:c>
      <x:c r="G71" s="2" t="n">
        <x:f>COUNTIFS('Rankings'!$A$6:$A$423,B71,'Rankings'!$E$6:$E$423,"&lt;="&amp;F71)</x:f>
        <x:v>6</x:v>
      </x:c>
      <x:c r="H71" s="2" t="n">
        <x:f>SUMIFS('Rankings'!$J$6:$J$423,'Rankings'!$A$6:$A$423,B71,'Rankings'!$E$6:$E$423,"&lt;="&amp;F71)</x:f>
        <x:v>6</x:v>
      </x:c>
      <x:c r="I71" s="2" t="n">
        <x:f>G71-SUMIFS('Rankings'!$I$6:$I$423,'Rankings'!$A$6:$A$423,B71,'Rankings'!$E$6:$E$423,"&lt;="&amp;F71)</x:f>
        <x:v>0</x:v>
      </x:c>
      <x:c r="J71" s="2" t="n">
        <x:f>SUMIFS('Ratings'!$H$6:$H$1387,'Ratings'!$B$6:$B$1387,C71)</x:f>
        <x:v>17</x:v>
      </x:c>
      <x:c r="K71" s="15" t="n">
        <x:f>IF(I71&gt;0,"Unknown",H71/F71)</x:f>
        <x:v>1</x:v>
      </x:c>
      <x:c r="L71" s="15" t="n">
        <x:f>IF(J71=0,"N/A",H71/J71)</x:f>
        <x:v>0.35294117647058826</x:v>
      </x:c>
      <x:c r="M71" s="14" t="n">
        <x:f>SUMIFS('Rankings'!$L$6:$L$423,'Rankings'!$A$6:$A$423,B71,'Rankings'!$E$6:$E$423,"&lt;="&amp;F71)</x:f>
        <x:v>20.160424164541645</x:v>
      </x:c>
      <x:c r="N71" s="14" t="n">
        <x:f>SUMIFS('Ideal ranking'!$H$6:$H$365,'Ideal ranking'!$A$6:$A$365,C71,'Ideal ranking'!$B$6:$B$365,"&lt;="&amp;F71)</x:f>
        <x:v>20.160424164541645</x:v>
      </x:c>
      <x:c r="O71" s="14" t="n">
        <x:f>IF(I71&gt;0,"Unknown",IF(N71=0,"N/A",M71/N71))</x:f>
        <x:v>1</x:v>
      </x:c>
      <x:c r="P71" s="15" t="n">
        <x:f>IF(G71=0,"N/A",IF(I71&gt;0,"Unknown",H71/G71))</x:f>
        <x:v>1</x:v>
      </x:c>
      <x:c r="Q71" s="2" t="n">
        <x:f>F71-G71</x:f>
        <x:v>0</x:v>
      </x:c>
    </x:row>
    <x:row r="72" ht="22" customHeight="1">
      <x:c r="A72" s="2" t="str">
        <x:v>S07-T01|7</x:v>
      </x:c>
      <x:c r="B72" s="2" t="str">
        <x:v>S07-T01</x:v>
      </x:c>
      <x:c r="C72" s="2" t="str">
        <x:v>S07</x:v>
      </x:c>
      <x:c r="D72" s="2" t="str">
        <x:v>Retained</x:v>
      </x:c>
      <x:c r="E72" s="2" t="n">
        <x:v>1</x:v>
      </x:c>
      <x:c r="F72" s="2" t="n">
        <x:v>7</x:v>
      </x:c>
      <x:c r="G72" s="2" t="n">
        <x:f>COUNTIFS('Rankings'!$A$6:$A$423,B72,'Rankings'!$E$6:$E$423,"&lt;="&amp;F72)</x:f>
        <x:v>7</x:v>
      </x:c>
      <x:c r="H72" s="2" t="n">
        <x:f>SUMIFS('Rankings'!$J$6:$J$423,'Rankings'!$A$6:$A$423,B72,'Rankings'!$E$6:$E$423,"&lt;="&amp;F72)</x:f>
        <x:v>7</x:v>
      </x:c>
      <x:c r="I72" s="2" t="n">
        <x:f>G72-SUMIFS('Rankings'!$I$6:$I$423,'Rankings'!$A$6:$A$423,B72,'Rankings'!$E$6:$E$423,"&lt;="&amp;F72)</x:f>
        <x:v>0</x:v>
      </x:c>
      <x:c r="J72" s="2" t="n">
        <x:f>SUMIFS('Ratings'!$H$6:$H$1387,'Ratings'!$B$6:$B$1387,C72)</x:f>
        <x:v>17</x:v>
      </x:c>
      <x:c r="K72" s="15" t="n">
        <x:f>IF(I72&gt;0,"Unknown",H72/F72)</x:f>
        <x:v>1</x:v>
      </x:c>
      <x:c r="L72" s="15" t="n">
        <x:f>IF(J72=0,"N/A",H72/J72)</x:f>
        <x:v>0.4117647058823529</x:v>
      </x:c>
      <x:c r="M72" s="14" t="n">
        <x:f>SUMIFS('Rankings'!$L$6:$L$423,'Rankings'!$A$6:$A$423,B72,'Rankings'!$E$6:$E$423,"&lt;="&amp;F72)</x:f>
        <x:v>21.160424164541645</x:v>
      </x:c>
      <x:c r="N72" s="14" t="n">
        <x:f>SUMIFS('Ideal ranking'!$H$6:$H$365,'Ideal ranking'!$A$6:$A$365,C72,'Ideal ranking'!$B$6:$B$365,"&lt;="&amp;F72)</x:f>
        <x:v>21.160424164541645</x:v>
      </x:c>
      <x:c r="O72" s="14" t="n">
        <x:f>IF(I72&gt;0,"Unknown",IF(N72=0,"N/A",M72/N72))</x:f>
        <x:v>1</x:v>
      </x:c>
      <x:c r="P72" s="15" t="n">
        <x:f>IF(G72=0,"N/A",IF(I72&gt;0,"Unknown",H72/G72))</x:f>
        <x:v>1</x:v>
      </x:c>
      <x:c r="Q72" s="2" t="n">
        <x:f>F72-G72</x:f>
        <x:v>0</x:v>
      </x:c>
    </x:row>
    <x:row r="73" ht="22" customHeight="1">
      <x:c r="A73" s="2" t="str">
        <x:v>S07-T01|8</x:v>
      </x:c>
      <x:c r="B73" s="2" t="str">
        <x:v>S07-T01</x:v>
      </x:c>
      <x:c r="C73" s="2" t="str">
        <x:v>S07</x:v>
      </x:c>
      <x:c r="D73" s="2" t="str">
        <x:v>Retained</x:v>
      </x:c>
      <x:c r="E73" s="2" t="n">
        <x:v>1</x:v>
      </x:c>
      <x:c r="F73" s="2" t="n">
        <x:v>8</x:v>
      </x:c>
      <x:c r="G73" s="2" t="n">
        <x:f>COUNTIFS('Rankings'!$A$6:$A$423,B73,'Rankings'!$E$6:$E$423,"&lt;="&amp;F73)</x:f>
        <x:v>8</x:v>
      </x:c>
      <x:c r="H73" s="2" t="n">
        <x:f>SUMIFS('Rankings'!$J$6:$J$423,'Rankings'!$A$6:$A$423,B73,'Rankings'!$E$6:$E$423,"&lt;="&amp;F73)</x:f>
        <x:v>8</x:v>
      </x:c>
      <x:c r="I73" s="2" t="n">
        <x:f>G73-SUMIFS('Rankings'!$I$6:$I$423,'Rankings'!$A$6:$A$423,B73,'Rankings'!$E$6:$E$423,"&lt;="&amp;F73)</x:f>
        <x:v>0</x:v>
      </x:c>
      <x:c r="J73" s="2" t="n">
        <x:f>SUMIFS('Ratings'!$H$6:$H$1387,'Ratings'!$B$6:$B$1387,C73)</x:f>
        <x:v>17</x:v>
      </x:c>
      <x:c r="K73" s="15" t="n">
        <x:f>IF(I73&gt;0,"Unknown",H73/F73)</x:f>
        <x:v>1</x:v>
      </x:c>
      <x:c r="L73" s="15" t="n">
        <x:f>IF(J73=0,"N/A",H73/J73)</x:f>
        <x:v>0.47058823529411764</x:v>
      </x:c>
      <x:c r="M73" s="14" t="n">
        <x:f>SUMIFS('Rankings'!$L$6:$L$423,'Rankings'!$A$6:$A$423,B73,'Rankings'!$E$6:$E$423,"&lt;="&amp;F73)</x:f>
        <x:v>22.10681879489883</x:v>
      </x:c>
      <x:c r="N73" s="14" t="n">
        <x:f>SUMIFS('Ideal ranking'!$H$6:$H$365,'Ideal ranking'!$A$6:$A$365,C73,'Ideal ranking'!$B$6:$B$365,"&lt;="&amp;F73)</x:f>
        <x:v>22.10681879489883</x:v>
      </x:c>
      <x:c r="O73" s="14" t="n">
        <x:f>IF(I73&gt;0,"Unknown",IF(N73=0,"N/A",M73/N73))</x:f>
        <x:v>1</x:v>
      </x:c>
      <x:c r="P73" s="15" t="n">
        <x:f>IF(G73=0,"N/A",IF(I73&gt;0,"Unknown",H73/G73))</x:f>
        <x:v>1</x:v>
      </x:c>
      <x:c r="Q73" s="2" t="n">
        <x:f>F73-G73</x:f>
        <x:v>0</x:v>
      </x:c>
    </x:row>
    <x:row r="74" ht="22" customHeight="1">
      <x:c r="A74" s="2" t="str">
        <x:v>S07-T01|9</x:v>
      </x:c>
      <x:c r="B74" s="2" t="str">
        <x:v>S07-T01</x:v>
      </x:c>
      <x:c r="C74" s="2" t="str">
        <x:v>S07</x:v>
      </x:c>
      <x:c r="D74" s="2" t="str">
        <x:v>Retained</x:v>
      </x:c>
      <x:c r="E74" s="2" t="n">
        <x:v>1</x:v>
      </x:c>
      <x:c r="F74" s="2" t="n">
        <x:v>9</x:v>
      </x:c>
      <x:c r="G74" s="2" t="n">
        <x:f>COUNTIFS('Rankings'!$A$6:$A$423,B74,'Rankings'!$E$6:$E$423,"&lt;="&amp;F74)</x:f>
        <x:v>9</x:v>
      </x:c>
      <x:c r="H74" s="2" t="n">
        <x:f>SUMIFS('Rankings'!$J$6:$J$423,'Rankings'!$A$6:$A$423,B74,'Rankings'!$E$6:$E$423,"&lt;="&amp;F74)</x:f>
        <x:v>9</x:v>
      </x:c>
      <x:c r="I74" s="2" t="n">
        <x:f>G74-SUMIFS('Rankings'!$I$6:$I$423,'Rankings'!$A$6:$A$423,B74,'Rankings'!$E$6:$E$423,"&lt;="&amp;F74)</x:f>
        <x:v>0</x:v>
      </x:c>
      <x:c r="J74" s="2" t="n">
        <x:f>SUMIFS('Ratings'!$H$6:$H$1387,'Ratings'!$B$6:$B$1387,C74)</x:f>
        <x:v>17</x:v>
      </x:c>
      <x:c r="K74" s="15" t="n">
        <x:f>IF(I74&gt;0,"Unknown",H74/F74)</x:f>
        <x:v>1</x:v>
      </x:c>
      <x:c r="L74" s="15" t="n">
        <x:f>IF(J74=0,"N/A",H74/J74)</x:f>
        <x:v>0.5294117647058824</x:v>
      </x:c>
      <x:c r="M74" s="14" t="n">
        <x:f>SUMIFS('Rankings'!$L$6:$L$423,'Rankings'!$A$6:$A$423,B74,'Rankings'!$E$6:$E$423,"&lt;="&amp;F74)</x:f>
        <x:v>23.009908781890775</x:v>
      </x:c>
      <x:c r="N74" s="14" t="n">
        <x:f>SUMIFS('Ideal ranking'!$H$6:$H$365,'Ideal ranking'!$A$6:$A$365,C74,'Ideal ranking'!$B$6:$B$365,"&lt;="&amp;F74)</x:f>
        <x:v>23.009908781890775</x:v>
      </x:c>
      <x:c r="O74" s="14" t="n">
        <x:f>IF(I74&gt;0,"Unknown",IF(N74=0,"N/A",M74/N74))</x:f>
        <x:v>1</x:v>
      </x:c>
      <x:c r="P74" s="15" t="n">
        <x:f>IF(G74=0,"N/A",IF(I74&gt;0,"Unknown",H74/G74))</x:f>
        <x:v>1</x:v>
      </x:c>
      <x:c r="Q74" s="2" t="n">
        <x:f>F74-G74</x:f>
        <x:v>0</x:v>
      </x:c>
    </x:row>
    <x:row r="75" ht="22" customHeight="1">
      <x:c r="A75" s="2" t="str">
        <x:v>S07-T01|10</x:v>
      </x:c>
      <x:c r="B75" s="2" t="str">
        <x:v>S07-T01</x:v>
      </x:c>
      <x:c r="C75" s="2" t="str">
        <x:v>S07</x:v>
      </x:c>
      <x:c r="D75" s="2" t="str">
        <x:v>Retained</x:v>
      </x:c>
      <x:c r="E75" s="2" t="n">
        <x:v>1</x:v>
      </x:c>
      <x:c r="F75" s="2" t="n">
        <x:v>10</x:v>
      </x:c>
      <x:c r="G75" s="2" t="n">
        <x:f>COUNTIFS('Rankings'!$A$6:$A$423,B75,'Rankings'!$E$6:$E$423,"&lt;="&amp;F75)</x:f>
        <x:v>10</x:v>
      </x:c>
      <x:c r="H75" s="2" t="n">
        <x:f>SUMIFS('Rankings'!$J$6:$J$423,'Rankings'!$A$6:$A$423,B75,'Rankings'!$E$6:$E$423,"&lt;="&amp;F75)</x:f>
        <x:v>10</x:v>
      </x:c>
      <x:c r="I75" s="2" t="n">
        <x:f>G75-SUMIFS('Rankings'!$I$6:$I$423,'Rankings'!$A$6:$A$423,B75,'Rankings'!$E$6:$E$423,"&lt;="&amp;F75)</x:f>
        <x:v>0</x:v>
      </x:c>
      <x:c r="J75" s="2" t="n">
        <x:f>SUMIFS('Ratings'!$H$6:$H$1387,'Ratings'!$B$6:$B$1387,C75)</x:f>
        <x:v>17</x:v>
      </x:c>
      <x:c r="K75" s="15" t="n">
        <x:f>IF(I75&gt;0,"Unknown",H75/F75)</x:f>
        <x:v>1</x:v>
      </x:c>
      <x:c r="L75" s="15" t="n">
        <x:f>IF(J75=0,"N/A",H75/J75)</x:f>
        <x:v>0.5882352941176471</x:v>
      </x:c>
      <x:c r="M75" s="14" t="n">
        <x:f>SUMIFS('Rankings'!$L$6:$L$423,'Rankings'!$A$6:$A$423,B75,'Rankings'!$E$6:$E$423,"&lt;="&amp;F75)</x:f>
        <x:v>23.87710326084444</x:v>
      </x:c>
      <x:c r="N75" s="14" t="n">
        <x:f>SUMIFS('Ideal ranking'!$H$6:$H$365,'Ideal ranking'!$A$6:$A$365,C75,'Ideal ranking'!$B$6:$B$365,"&lt;="&amp;F75)</x:f>
        <x:v>23.87710326084444</x:v>
      </x:c>
      <x:c r="O75" s="14" t="n">
        <x:f>IF(I75&gt;0,"Unknown",IF(N75=0,"N/A",M75/N75))</x:f>
        <x:v>1</x:v>
      </x:c>
      <x:c r="P75" s="15" t="n">
        <x:f>IF(G75=0,"N/A",IF(I75&gt;0,"Unknown",H75/G75))</x:f>
        <x:v>1</x:v>
      </x:c>
      <x:c r="Q75" s="2" t="n">
        <x:f>F75-G75</x:f>
        <x:v>0</x:v>
      </x:c>
    </x:row>
    <x:row r="76" ht="22" customHeight="1">
      <x:c r="A76" s="2" t="str">
        <x:v>S08-T01|1</x:v>
      </x:c>
      <x:c r="B76" s="2" t="str">
        <x:v>S08-T01</x:v>
      </x:c>
      <x:c r="C76" s="2" t="str">
        <x:v>S08</x:v>
      </x:c>
      <x:c r="D76" s="2" t="str">
        <x:v>Retained</x:v>
      </x:c>
      <x:c r="E76" s="2" t="n">
        <x:v>1</x:v>
      </x:c>
      <x:c r="F76" s="2" t="n">
        <x:v>1</x:v>
      </x:c>
      <x:c r="G76" s="2" t="n">
        <x:f>COUNTIFS('Rankings'!$A$6:$A$423,B76,'Rankings'!$E$6:$E$423,"&lt;="&amp;F76)</x:f>
        <x:v>1</x:v>
      </x:c>
      <x:c r="H76" s="2" t="n">
        <x:f>SUMIFS('Rankings'!$J$6:$J$423,'Rankings'!$A$6:$A$423,B76,'Rankings'!$E$6:$E$423,"&lt;="&amp;F76)</x:f>
        <x:v>1</x:v>
      </x:c>
      <x:c r="I76" s="2" t="n">
        <x:f>G76-SUMIFS('Rankings'!$I$6:$I$423,'Rankings'!$A$6:$A$423,B76,'Rankings'!$E$6:$E$423,"&lt;="&amp;F76)</x:f>
        <x:v>0</x:v>
      </x:c>
      <x:c r="J76" s="2" t="n">
        <x:f>SUMIFS('Ratings'!$H$6:$H$1387,'Ratings'!$B$6:$B$1387,C76)</x:f>
        <x:v>12</x:v>
      </x:c>
      <x:c r="K76" s="15" t="n">
        <x:f>IF(I76&gt;0,"Unknown",H76/F76)</x:f>
        <x:v>1</x:v>
      </x:c>
      <x:c r="L76" s="15" t="n">
        <x:f>IF(J76=0,"N/A",H76/J76)</x:f>
        <x:v>0.08333333333333333</x:v>
      </x:c>
      <x:c r="M76" s="14" t="n">
        <x:f>SUMIFS('Rankings'!$L$6:$L$423,'Rankings'!$A$6:$A$423,B76,'Rankings'!$E$6:$E$423,"&lt;="&amp;F76)</x:f>
        <x:v>7</x:v>
      </x:c>
      <x:c r="N76" s="14" t="n">
        <x:f>SUMIFS('Ideal ranking'!$H$6:$H$365,'Ideal ranking'!$A$6:$A$365,C76,'Ideal ranking'!$B$6:$B$365,"&lt;="&amp;F76)</x:f>
        <x:v>7</x:v>
      </x:c>
      <x:c r="O76" s="14" t="n">
        <x:f>IF(I76&gt;0,"Unknown",IF(N76=0,"N/A",M76/N76))</x:f>
        <x:v>1</x:v>
      </x:c>
      <x:c r="P76" s="15" t="n">
        <x:f>IF(G76=0,"N/A",IF(I76&gt;0,"Unknown",H76/G76))</x:f>
        <x:v>1</x:v>
      </x:c>
      <x:c r="Q76" s="2" t="n">
        <x:f>F76-G76</x:f>
        <x:v>0</x:v>
      </x:c>
    </x:row>
    <x:row r="77" ht="22" customHeight="1">
      <x:c r="A77" s="2" t="str">
        <x:v>S08-T01|2</x:v>
      </x:c>
      <x:c r="B77" s="2" t="str">
        <x:v>S08-T01</x:v>
      </x:c>
      <x:c r="C77" s="2" t="str">
        <x:v>S08</x:v>
      </x:c>
      <x:c r="D77" s="2" t="str">
        <x:v>Retained</x:v>
      </x:c>
      <x:c r="E77" s="2" t="n">
        <x:v>1</x:v>
      </x:c>
      <x:c r="F77" s="2" t="n">
        <x:v>2</x:v>
      </x:c>
      <x:c r="G77" s="2" t="n">
        <x:f>COUNTIFS('Rankings'!$A$6:$A$423,B77,'Rankings'!$E$6:$E$423,"&lt;="&amp;F77)</x:f>
        <x:v>2</x:v>
      </x:c>
      <x:c r="H77" s="2" t="n">
        <x:f>SUMIFS('Rankings'!$J$6:$J$423,'Rankings'!$A$6:$A$423,B77,'Rankings'!$E$6:$E$423,"&lt;="&amp;F77)</x:f>
        <x:v>2</x:v>
      </x:c>
      <x:c r="I77" s="2" t="n">
        <x:f>G77-SUMIFS('Rankings'!$I$6:$I$423,'Rankings'!$A$6:$A$423,B77,'Rankings'!$E$6:$E$423,"&lt;="&amp;F77)</x:f>
        <x:v>0</x:v>
      </x:c>
      <x:c r="J77" s="2" t="n">
        <x:f>SUMIFS('Ratings'!$H$6:$H$1387,'Ratings'!$B$6:$B$1387,C77)</x:f>
        <x:v>12</x:v>
      </x:c>
      <x:c r="K77" s="15" t="n">
        <x:f>IF(I77&gt;0,"Unknown",H77/F77)</x:f>
        <x:v>1</x:v>
      </x:c>
      <x:c r="L77" s="15" t="n">
        <x:f>IF(J77=0,"N/A",H77/J77)</x:f>
        <x:v>0.16666666666666666</x:v>
      </x:c>
      <x:c r="M77" s="14" t="n">
        <x:f>SUMIFS('Rankings'!$L$6:$L$423,'Rankings'!$A$6:$A$423,B77,'Rankings'!$E$6:$E$423,"&lt;="&amp;F77)</x:f>
        <x:v>8.892789260714373</x:v>
      </x:c>
      <x:c r="N77" s="14" t="n">
        <x:f>SUMIFS('Ideal ranking'!$H$6:$H$365,'Ideal ranking'!$A$6:$A$365,C77,'Ideal ranking'!$B$6:$B$365,"&lt;="&amp;F77)</x:f>
        <x:v>8.892789260714373</x:v>
      </x:c>
      <x:c r="O77" s="14" t="n">
        <x:f>IF(I77&gt;0,"Unknown",IF(N77=0,"N/A",M77/N77))</x:f>
        <x:v>1</x:v>
      </x:c>
      <x:c r="P77" s="15" t="n">
        <x:f>IF(G77=0,"N/A",IF(I77&gt;0,"Unknown",H77/G77))</x:f>
        <x:v>1</x:v>
      </x:c>
      <x:c r="Q77" s="2" t="n">
        <x:f>F77-G77</x:f>
        <x:v>0</x:v>
      </x:c>
    </x:row>
    <x:row r="78" ht="22" customHeight="1">
      <x:c r="A78" s="2" t="str">
        <x:v>S08-T01|3</x:v>
      </x:c>
      <x:c r="B78" s="2" t="str">
        <x:v>S08-T01</x:v>
      </x:c>
      <x:c r="C78" s="2" t="str">
        <x:v>S08</x:v>
      </x:c>
      <x:c r="D78" s="2" t="str">
        <x:v>Retained</x:v>
      </x:c>
      <x:c r="E78" s="2" t="n">
        <x:v>1</x:v>
      </x:c>
      <x:c r="F78" s="2" t="n">
        <x:v>3</x:v>
      </x:c>
      <x:c r="G78" s="2" t="n">
        <x:f>COUNTIFS('Rankings'!$A$6:$A$423,B78,'Rankings'!$E$6:$E$423,"&lt;="&amp;F78)</x:f>
        <x:v>3</x:v>
      </x:c>
      <x:c r="H78" s="2" t="n">
        <x:f>SUMIFS('Rankings'!$J$6:$J$423,'Rankings'!$A$6:$A$423,B78,'Rankings'!$E$6:$E$423,"&lt;="&amp;F78)</x:f>
        <x:v>3</x:v>
      </x:c>
      <x:c r="I78" s="2" t="n">
        <x:f>G78-SUMIFS('Rankings'!$I$6:$I$423,'Rankings'!$A$6:$A$423,B78,'Rankings'!$E$6:$E$423,"&lt;="&amp;F78)</x:f>
        <x:v>0</x:v>
      </x:c>
      <x:c r="J78" s="2" t="n">
        <x:f>SUMIFS('Ratings'!$H$6:$H$1387,'Ratings'!$B$6:$B$1387,C78)</x:f>
        <x:v>12</x:v>
      </x:c>
      <x:c r="K78" s="15" t="n">
        <x:f>IF(I78&gt;0,"Unknown",H78/F78)</x:f>
        <x:v>1</x:v>
      </x:c>
      <x:c r="L78" s="15" t="n">
        <x:f>IF(J78=0,"N/A",H78/J78)</x:f>
        <x:v>0.25</x:v>
      </x:c>
      <x:c r="M78" s="14" t="n">
        <x:f>SUMIFS('Rankings'!$L$6:$L$423,'Rankings'!$A$6:$A$423,B78,'Rankings'!$E$6:$E$423,"&lt;="&amp;F78)</x:f>
        <x:v>10.392789260714373</x:v>
      </x:c>
      <x:c r="N78" s="14" t="n">
        <x:f>SUMIFS('Ideal ranking'!$H$6:$H$365,'Ideal ranking'!$A$6:$A$365,C78,'Ideal ranking'!$B$6:$B$365,"&lt;="&amp;F78)</x:f>
        <x:v>10.392789260714373</x:v>
      </x:c>
      <x:c r="O78" s="14" t="n">
        <x:f>IF(I78&gt;0,"Unknown",IF(N78=0,"N/A",M78/N78))</x:f>
        <x:v>1</x:v>
      </x:c>
      <x:c r="P78" s="15" t="n">
        <x:f>IF(G78=0,"N/A",IF(I78&gt;0,"Unknown",H78/G78))</x:f>
        <x:v>1</x:v>
      </x:c>
      <x:c r="Q78" s="2" t="n">
        <x:f>F78-G78</x:f>
        <x:v>0</x:v>
      </x:c>
    </x:row>
    <x:row r="79" ht="22" customHeight="1">
      <x:c r="A79" s="2" t="str">
        <x:v>S08-T01|4</x:v>
      </x:c>
      <x:c r="B79" s="2" t="str">
        <x:v>S08-T01</x:v>
      </x:c>
      <x:c r="C79" s="2" t="str">
        <x:v>S08</x:v>
      </x:c>
      <x:c r="D79" s="2" t="str">
        <x:v>Retained</x:v>
      </x:c>
      <x:c r="E79" s="2" t="n">
        <x:v>1</x:v>
      </x:c>
      <x:c r="F79" s="2" t="n">
        <x:v>4</x:v>
      </x:c>
      <x:c r="G79" s="2" t="n">
        <x:f>COUNTIFS('Rankings'!$A$6:$A$423,B79,'Rankings'!$E$6:$E$423,"&lt;="&amp;F79)</x:f>
        <x:v>4</x:v>
      </x:c>
      <x:c r="H79" s="2" t="n">
        <x:f>SUMIFS('Rankings'!$J$6:$J$423,'Rankings'!$A$6:$A$423,B79,'Rankings'!$E$6:$E$423,"&lt;="&amp;F79)</x:f>
        <x:v>4</x:v>
      </x:c>
      <x:c r="I79" s="2" t="n">
        <x:f>G79-SUMIFS('Rankings'!$I$6:$I$423,'Rankings'!$A$6:$A$423,B79,'Rankings'!$E$6:$E$423,"&lt;="&amp;F79)</x:f>
        <x:v>0</x:v>
      </x:c>
      <x:c r="J79" s="2" t="n">
        <x:f>SUMIFS('Ratings'!$H$6:$H$1387,'Ratings'!$B$6:$B$1387,C79)</x:f>
        <x:v>12</x:v>
      </x:c>
      <x:c r="K79" s="15" t="n">
        <x:f>IF(I79&gt;0,"Unknown",H79/F79)</x:f>
        <x:v>1</x:v>
      </x:c>
      <x:c r="L79" s="15" t="n">
        <x:f>IF(J79=0,"N/A",H79/J79)</x:f>
        <x:v>0.3333333333333333</x:v>
      </x:c>
      <x:c r="M79" s="14" t="n">
        <x:f>SUMIFS('Rankings'!$L$6:$L$423,'Rankings'!$A$6:$A$423,B79,'Rankings'!$E$6:$E$423,"&lt;="&amp;F79)</x:f>
        <x:v>11.684818934934553</x:v>
      </x:c>
      <x:c r="N79" s="14" t="n">
        <x:f>SUMIFS('Ideal ranking'!$H$6:$H$365,'Ideal ranking'!$A$6:$A$365,C79,'Ideal ranking'!$B$6:$B$365,"&lt;="&amp;F79)</x:f>
        <x:v>11.684818934934553</x:v>
      </x:c>
      <x:c r="O79" s="14" t="n">
        <x:f>IF(I79&gt;0,"Unknown",IF(N79=0,"N/A",M79/N79))</x:f>
        <x:v>1</x:v>
      </x:c>
      <x:c r="P79" s="15" t="n">
        <x:f>IF(G79=0,"N/A",IF(I79&gt;0,"Unknown",H79/G79))</x:f>
        <x:v>1</x:v>
      </x:c>
      <x:c r="Q79" s="2" t="n">
        <x:f>F79-G79</x:f>
        <x:v>0</x:v>
      </x:c>
    </x:row>
    <x:row r="80" ht="22" customHeight="1">
      <x:c r="A80" s="2" t="str">
        <x:v>S08-T01|5</x:v>
      </x:c>
      <x:c r="B80" s="2" t="str">
        <x:v>S08-T01</x:v>
      </x:c>
      <x:c r="C80" s="2" t="str">
        <x:v>S08</x:v>
      </x:c>
      <x:c r="D80" s="2" t="str">
        <x:v>Retained</x:v>
      </x:c>
      <x:c r="E80" s="2" t="n">
        <x:v>1</x:v>
      </x:c>
      <x:c r="F80" s="2" t="n">
        <x:v>5</x:v>
      </x:c>
      <x:c r="G80" s="2" t="n">
        <x:f>COUNTIFS('Rankings'!$A$6:$A$423,B80,'Rankings'!$E$6:$E$423,"&lt;="&amp;F80)</x:f>
        <x:v>5</x:v>
      </x:c>
      <x:c r="H80" s="2" t="n">
        <x:f>SUMIFS('Rankings'!$J$6:$J$423,'Rankings'!$A$6:$A$423,B80,'Rankings'!$E$6:$E$423,"&lt;="&amp;F80)</x:f>
        <x:v>5</x:v>
      </x:c>
      <x:c r="I80" s="2" t="n">
        <x:f>G80-SUMIFS('Rankings'!$I$6:$I$423,'Rankings'!$A$6:$A$423,B80,'Rankings'!$E$6:$E$423,"&lt;="&amp;F80)</x:f>
        <x:v>0</x:v>
      </x:c>
      <x:c r="J80" s="2" t="n">
        <x:f>SUMIFS('Ratings'!$H$6:$H$1387,'Ratings'!$B$6:$B$1387,C80)</x:f>
        <x:v>12</x:v>
      </x:c>
      <x:c r="K80" s="15" t="n">
        <x:f>IF(I80&gt;0,"Unknown",H80/F80)</x:f>
        <x:v>1</x:v>
      </x:c>
      <x:c r="L80" s="15" t="n">
        <x:f>IF(J80=0,"N/A",H80/J80)</x:f>
        <x:v>0.4166666666666667</x:v>
      </x:c>
      <x:c r="M80" s="14" t="n">
        <x:f>SUMIFS('Rankings'!$L$6:$L$423,'Rankings'!$A$6:$A$423,B80,'Rankings'!$E$6:$E$423,"&lt;="&amp;F80)</x:f>
        <x:v>12.845377356638178</x:v>
      </x:c>
      <x:c r="N80" s="14" t="n">
        <x:f>SUMIFS('Ideal ranking'!$H$6:$H$365,'Ideal ranking'!$A$6:$A$365,C80,'Ideal ranking'!$B$6:$B$365,"&lt;="&amp;F80)</x:f>
        <x:v>12.845377356638178</x:v>
      </x:c>
      <x:c r="O80" s="14" t="n">
        <x:f>IF(I80&gt;0,"Unknown",IF(N80=0,"N/A",M80/N80))</x:f>
        <x:v>1</x:v>
      </x:c>
      <x:c r="P80" s="15" t="n">
        <x:f>IF(G80=0,"N/A",IF(I80&gt;0,"Unknown",H80/G80))</x:f>
        <x:v>1</x:v>
      </x:c>
      <x:c r="Q80" s="2" t="n">
        <x:f>F80-G80</x:f>
        <x:v>0</x:v>
      </x:c>
    </x:row>
    <x:row r="81" ht="22" customHeight="1">
      <x:c r="A81" s="2" t="str">
        <x:v>S08-T01|6</x:v>
      </x:c>
      <x:c r="B81" s="2" t="str">
        <x:v>S08-T01</x:v>
      </x:c>
      <x:c r="C81" s="2" t="str">
        <x:v>S08</x:v>
      </x:c>
      <x:c r="D81" s="2" t="str">
        <x:v>Retained</x:v>
      </x:c>
      <x:c r="E81" s="2" t="n">
        <x:v>1</x:v>
      </x:c>
      <x:c r="F81" s="2" t="n">
        <x:v>6</x:v>
      </x:c>
      <x:c r="G81" s="2" t="n">
        <x:f>COUNTIFS('Rankings'!$A$6:$A$423,B81,'Rankings'!$E$6:$E$423,"&lt;="&amp;F81)</x:f>
        <x:v>6</x:v>
      </x:c>
      <x:c r="H81" s="2" t="n">
        <x:f>SUMIFS('Rankings'!$J$6:$J$423,'Rankings'!$A$6:$A$423,B81,'Rankings'!$E$6:$E$423,"&lt;="&amp;F81)</x:f>
        <x:v>5</x:v>
      </x:c>
      <x:c r="I81" s="2" t="n">
        <x:f>G81-SUMIFS('Rankings'!$I$6:$I$423,'Rankings'!$A$6:$A$423,B81,'Rankings'!$E$6:$E$423,"&lt;="&amp;F81)</x:f>
        <x:v>0</x:v>
      </x:c>
      <x:c r="J81" s="2" t="n">
        <x:f>SUMIFS('Ratings'!$H$6:$H$1387,'Ratings'!$B$6:$B$1387,C81)</x:f>
        <x:v>12</x:v>
      </x:c>
      <x:c r="K81" s="15" t="n">
        <x:f>IF(I81&gt;0,"Unknown",H81/F81)</x:f>
        <x:v>0.8333333333333334</x:v>
      </x:c>
      <x:c r="L81" s="15" t="n">
        <x:f>IF(J81=0,"N/A",H81/J81)</x:f>
        <x:v>0.4166666666666667</x:v>
      </x:c>
      <x:c r="M81" s="14" t="n">
        <x:f>SUMIFS('Rankings'!$L$6:$L$423,'Rankings'!$A$6:$A$423,B81,'Rankings'!$E$6:$E$423,"&lt;="&amp;F81)</x:f>
        <x:v>13.2015845437462</x:v>
      </x:c>
      <x:c r="N81" s="14" t="n">
        <x:f>SUMIFS('Ideal ranking'!$H$6:$H$365,'Ideal ranking'!$A$6:$A$365,C81,'Ideal ranking'!$B$6:$B$365,"&lt;="&amp;F81)</x:f>
        <x:v>13.913998917962244</x:v>
      </x:c>
      <x:c r="O81" s="14" t="n">
        <x:f>IF(I81&gt;0,"Unknown",IF(N81=0,"N/A",M81/N81))</x:f>
        <x:v>0.9487987329583335</x:v>
      </x:c>
      <x:c r="P81" s="15" t="n">
        <x:f>IF(G81=0,"N/A",IF(I81&gt;0,"Unknown",H81/G81))</x:f>
        <x:v>0.8333333333333334</x:v>
      </x:c>
      <x:c r="Q81" s="2" t="n">
        <x:f>F81-G81</x:f>
        <x:v>0</x:v>
      </x:c>
    </x:row>
    <x:row r="82" ht="22" customHeight="1">
      <x:c r="A82" s="2" t="str">
        <x:v>S08-T01|7</x:v>
      </x:c>
      <x:c r="B82" s="2" t="str">
        <x:v>S08-T01</x:v>
      </x:c>
      <x:c r="C82" s="2" t="str">
        <x:v>S08</x:v>
      </x:c>
      <x:c r="D82" s="2" t="str">
        <x:v>Retained</x:v>
      </x:c>
      <x:c r="E82" s="2" t="n">
        <x:v>1</x:v>
      </x:c>
      <x:c r="F82" s="2" t="n">
        <x:v>7</x:v>
      </x:c>
      <x:c r="G82" s="2" t="n">
        <x:f>COUNTIFS('Rankings'!$A$6:$A$423,B82,'Rankings'!$E$6:$E$423,"&lt;="&amp;F82)</x:f>
        <x:v>7</x:v>
      </x:c>
      <x:c r="H82" s="2" t="n">
        <x:f>SUMIFS('Rankings'!$J$6:$J$423,'Rankings'!$A$6:$A$423,B82,'Rankings'!$E$6:$E$423,"&lt;="&amp;F82)</x:f>
        <x:v>5</x:v>
      </x:c>
      <x:c r="I82" s="2" t="n">
        <x:f>G82-SUMIFS('Rankings'!$I$6:$I$423,'Rankings'!$A$6:$A$423,B82,'Rankings'!$E$6:$E$423,"&lt;="&amp;F82)</x:f>
        <x:v>0</x:v>
      </x:c>
      <x:c r="J82" s="2" t="n">
        <x:f>SUMIFS('Ratings'!$H$6:$H$1387,'Ratings'!$B$6:$B$1387,C82)</x:f>
        <x:v>12</x:v>
      </x:c>
      <x:c r="K82" s="15" t="n">
        <x:f>IF(I82&gt;0,"Unknown",H82/F82)</x:f>
        <x:v>0.7142857142857143</x:v>
      </x:c>
      <x:c r="L82" s="15" t="n">
        <x:f>IF(J82=0,"N/A",H82/J82)</x:f>
        <x:v>0.4166666666666667</x:v>
      </x:c>
      <x:c r="M82" s="14" t="n">
        <x:f>SUMIFS('Rankings'!$L$6:$L$423,'Rankings'!$A$6:$A$423,B82,'Rankings'!$E$6:$E$423,"&lt;="&amp;F82)</x:f>
        <x:v>13.534917877079534</x:v>
      </x:c>
      <x:c r="N82" s="14" t="n">
        <x:f>SUMIFS('Ideal ranking'!$H$6:$H$365,'Ideal ranking'!$A$6:$A$365,C82,'Ideal ranking'!$B$6:$B$365,"&lt;="&amp;F82)</x:f>
        <x:v>14.913998917962244</x:v>
      </x:c>
      <x:c r="O82" s="14" t="n">
        <x:f>IF(I82&gt;0,"Unknown",IF(N82=0,"N/A",M82/N82))</x:f>
        <x:v>0.9075311022571042</x:v>
      </x:c>
      <x:c r="P82" s="15" t="n">
        <x:f>IF(G82=0,"N/A",IF(I82&gt;0,"Unknown",H82/G82))</x:f>
        <x:v>0.7142857142857143</x:v>
      </x:c>
      <x:c r="Q82" s="2" t="n">
        <x:f>F82-G82</x:f>
        <x:v>0</x:v>
      </x:c>
    </x:row>
    <x:row r="83" ht="22" customHeight="1">
      <x:c r="A83" s="2" t="str">
        <x:v>S08-T01|8</x:v>
      </x:c>
      <x:c r="B83" s="2" t="str">
        <x:v>S08-T01</x:v>
      </x:c>
      <x:c r="C83" s="2" t="str">
        <x:v>S08</x:v>
      </x:c>
      <x:c r="D83" s="2" t="str">
        <x:v>Retained</x:v>
      </x:c>
      <x:c r="E83" s="2" t="n">
        <x:v>1</x:v>
      </x:c>
      <x:c r="F83" s="2" t="n">
        <x:v>8</x:v>
      </x:c>
      <x:c r="G83" s="2" t="n">
        <x:f>COUNTIFS('Rankings'!$A$6:$A$423,B83,'Rankings'!$E$6:$E$423,"&lt;="&amp;F83)</x:f>
        <x:v>8</x:v>
      </x:c>
      <x:c r="H83" s="2" t="n">
        <x:f>SUMIFS('Rankings'!$J$6:$J$423,'Rankings'!$A$6:$A$423,B83,'Rankings'!$E$6:$E$423,"&lt;="&amp;F83)</x:f>
        <x:v>5</x:v>
      </x:c>
      <x:c r="I83" s="2" t="n">
        <x:f>G83-SUMIFS('Rankings'!$I$6:$I$423,'Rankings'!$A$6:$A$423,B83,'Rankings'!$E$6:$E$423,"&lt;="&amp;F83)</x:f>
        <x:v>0</x:v>
      </x:c>
      <x:c r="J83" s="2" t="n">
        <x:f>SUMIFS('Ratings'!$H$6:$H$1387,'Ratings'!$B$6:$B$1387,C83)</x:f>
        <x:v>12</x:v>
      </x:c>
      <x:c r="K83" s="15" t="n">
        <x:f>IF(I83&gt;0,"Unknown",H83/F83)</x:f>
        <x:v>0.625</x:v>
      </x:c>
      <x:c r="L83" s="15" t="n">
        <x:f>IF(J83=0,"N/A",H83/J83)</x:f>
        <x:v>0.4166666666666667</x:v>
      </x:c>
      <x:c r="M83" s="14" t="n">
        <x:f>SUMIFS('Rankings'!$L$6:$L$423,'Rankings'!$A$6:$A$423,B83,'Rankings'!$E$6:$E$423,"&lt;="&amp;F83)</x:f>
        <x:v>13.850382753865263</x:v>
      </x:c>
      <x:c r="N83" s="14" t="n">
        <x:f>SUMIFS('Ideal ranking'!$H$6:$H$365,'Ideal ranking'!$A$6:$A$365,C83,'Ideal ranking'!$B$6:$B$365,"&lt;="&amp;F83)</x:f>
        <x:v>15.860393548319431</x:v>
      </x:c>
      <x:c r="O83" s="14" t="n">
        <x:f>IF(I83&gt;0,"Unknown",IF(N83=0,"N/A",M83/N83))</x:f>
        <x:v>0.8732685422760428</x:v>
      </x:c>
      <x:c r="P83" s="15" t="n">
        <x:f>IF(G83=0,"N/A",IF(I83&gt;0,"Unknown",H83/G83))</x:f>
        <x:v>0.625</x:v>
      </x:c>
      <x:c r="Q83" s="2" t="n">
        <x:f>F83-G83</x:f>
        <x:v>0</x:v>
      </x:c>
    </x:row>
    <x:row r="84" ht="22" customHeight="1">
      <x:c r="A84" s="2" t="str">
        <x:v>S08-T01|9</x:v>
      </x:c>
      <x:c r="B84" s="2" t="str">
        <x:v>S08-T01</x:v>
      </x:c>
      <x:c r="C84" s="2" t="str">
        <x:v>S08</x:v>
      </x:c>
      <x:c r="D84" s="2" t="str">
        <x:v>Retained</x:v>
      </x:c>
      <x:c r="E84" s="2" t="n">
        <x:v>1</x:v>
      </x:c>
      <x:c r="F84" s="2" t="n">
        <x:v>9</x:v>
      </x:c>
      <x:c r="G84" s="2" t="n">
        <x:f>COUNTIFS('Rankings'!$A$6:$A$423,B84,'Rankings'!$E$6:$E$423,"&lt;="&amp;F84)</x:f>
        <x:v>9</x:v>
      </x:c>
      <x:c r="H84" s="2" t="n">
        <x:f>SUMIFS('Rankings'!$J$6:$J$423,'Rankings'!$A$6:$A$423,B84,'Rankings'!$E$6:$E$423,"&lt;="&amp;F84)</x:f>
        <x:v>5</x:v>
      </x:c>
      <x:c r="I84" s="2" t="n">
        <x:f>G84-SUMIFS('Rankings'!$I$6:$I$423,'Rankings'!$A$6:$A$423,B84,'Rankings'!$E$6:$E$423,"&lt;="&amp;F84)</x:f>
        <x:v>0</x:v>
      </x:c>
      <x:c r="J84" s="2" t="n">
        <x:f>SUMIFS('Ratings'!$H$6:$H$1387,'Ratings'!$B$6:$B$1387,C84)</x:f>
        <x:v>12</x:v>
      </x:c>
      <x:c r="K84" s="15" t="n">
        <x:f>IF(I84&gt;0,"Unknown",H84/F84)</x:f>
        <x:v>0.5555555555555556</x:v>
      </x:c>
      <x:c r="L84" s="15" t="n">
        <x:f>IF(J84=0,"N/A",H84/J84)</x:f>
        <x:v>0.4166666666666667</x:v>
      </x:c>
      <x:c r="M84" s="14" t="n">
        <x:f>SUMIFS('Rankings'!$L$6:$L$423,'Rankings'!$A$6:$A$423,B84,'Rankings'!$E$6:$E$423,"&lt;="&amp;F84)</x:f>
        <x:v>14.151412749529245</x:v>
      </x:c>
      <x:c r="N84" s="14" t="n">
        <x:f>SUMIFS('Ideal ranking'!$H$6:$H$365,'Ideal ranking'!$A$6:$A$365,C84,'Ideal ranking'!$B$6:$B$365,"&lt;="&amp;F84)</x:f>
        <x:v>16.763483535311373</x:v>
      </x:c>
      <x:c r="O84" s="14" t="n">
        <x:f>IF(I84&gt;0,"Unknown",IF(N84=0,"N/A",M84/N84))</x:f>
        <x:v>0.844180907847707</x:v>
      </x:c>
      <x:c r="P84" s="15" t="n">
        <x:f>IF(G84=0,"N/A",IF(I84&gt;0,"Unknown",H84/G84))</x:f>
        <x:v>0.5555555555555556</x:v>
      </x:c>
      <x:c r="Q84" s="2" t="n">
        <x:f>F84-G84</x:f>
        <x:v>0</x:v>
      </x:c>
    </x:row>
    <x:row r="85" ht="22" customHeight="1">
      <x:c r="A85" s="2" t="str">
        <x:v>S08-T01|10</x:v>
      </x:c>
      <x:c r="B85" s="2" t="str">
        <x:v>S08-T01</x:v>
      </x:c>
      <x:c r="C85" s="2" t="str">
        <x:v>S08</x:v>
      </x:c>
      <x:c r="D85" s="2" t="str">
        <x:v>Retained</x:v>
      </x:c>
      <x:c r="E85" s="2" t="n">
        <x:v>1</x:v>
      </x:c>
      <x:c r="F85" s="2" t="n">
        <x:v>10</x:v>
      </x:c>
      <x:c r="G85" s="2" t="n">
        <x:f>COUNTIFS('Rankings'!$A$6:$A$423,B85,'Rankings'!$E$6:$E$423,"&lt;="&amp;F85)</x:f>
        <x:v>10</x:v>
      </x:c>
      <x:c r="H85" s="2" t="n">
        <x:f>SUMIFS('Rankings'!$J$6:$J$423,'Rankings'!$A$6:$A$423,B85,'Rankings'!$E$6:$E$423,"&lt;="&amp;F85)</x:f>
        <x:v>5</x:v>
      </x:c>
      <x:c r="I85" s="2" t="n">
        <x:f>G85-SUMIFS('Rankings'!$I$6:$I$423,'Rankings'!$A$6:$A$423,B85,'Rankings'!$E$6:$E$423,"&lt;="&amp;F85)</x:f>
        <x:v>0</x:v>
      </x:c>
      <x:c r="J85" s="2" t="n">
        <x:f>SUMIFS('Ratings'!$H$6:$H$1387,'Ratings'!$B$6:$B$1387,C85)</x:f>
        <x:v>12</x:v>
      </x:c>
      <x:c r="K85" s="15" t="n">
        <x:f>IF(I85&gt;0,"Unknown",H85/F85)</x:f>
        <x:v>0.5</x:v>
      </x:c>
      <x:c r="L85" s="15" t="n">
        <x:f>IF(J85=0,"N/A",H85/J85)</x:f>
        <x:v>0.4166666666666667</x:v>
      </x:c>
      <x:c r="M85" s="14" t="n">
        <x:f>SUMIFS('Rankings'!$L$6:$L$423,'Rankings'!$A$6:$A$423,B85,'Rankings'!$E$6:$E$423,"&lt;="&amp;F85)</x:f>
        <x:v>14.440477575847133</x:v>
      </x:c>
      <x:c r="N85" s="14" t="n">
        <x:f>SUMIFS('Ideal ranking'!$H$6:$H$365,'Ideal ranking'!$A$6:$A$365,C85,'Ideal ranking'!$B$6:$B$365,"&lt;="&amp;F85)</x:f>
        <x:v>17.630678014265037</x:v>
      </x:c>
      <x:c r="O85" s="14" t="n">
        <x:f>IF(I85&gt;0,"Unknown",IF(N85=0,"N/A",M85/N85))</x:f>
        <x:v>0.8190540127931154</x:v>
      </x:c>
      <x:c r="P85" s="15" t="n">
        <x:f>IF(G85=0,"N/A",IF(I85&gt;0,"Unknown",H85/G85))</x:f>
        <x:v>0.5</x:v>
      </x:c>
      <x:c r="Q85" s="2" t="n">
        <x:f>F85-G85</x:f>
        <x:v>0</x:v>
      </x:c>
    </x:row>
    <x:row r="86" ht="22" customHeight="1">
      <x:c r="A86" s="2" t="str">
        <x:v>S09-T01|1</x:v>
      </x:c>
      <x:c r="B86" s="2" t="str">
        <x:v>S09-T01</x:v>
      </x:c>
      <x:c r="C86" s="2" t="str">
        <x:v>S09</x:v>
      </x:c>
      <x:c r="D86" s="2" t="str">
        <x:v>Retained</x:v>
      </x:c>
      <x:c r="E86" s="2" t="n">
        <x:v>1</x:v>
      </x:c>
      <x:c r="F86" s="2" t="n">
        <x:v>1</x:v>
      </x:c>
      <x:c r="G86" s="2" t="n">
        <x:f>COUNTIFS('Rankings'!$A$6:$A$423,B86,'Rankings'!$E$6:$E$423,"&lt;="&amp;F86)</x:f>
        <x:v>1</x:v>
      </x:c>
      <x:c r="H86" s="2" t="n">
        <x:f>SUMIFS('Rankings'!$J$6:$J$423,'Rankings'!$A$6:$A$423,B86,'Rankings'!$E$6:$E$423,"&lt;="&amp;F86)</x:f>
        <x:v>1</x:v>
      </x:c>
      <x:c r="I86" s="2" t="n">
        <x:f>G86-SUMIFS('Rankings'!$I$6:$I$423,'Rankings'!$A$6:$A$423,B86,'Rankings'!$E$6:$E$423,"&lt;="&amp;F86)</x:f>
        <x:v>0</x:v>
      </x:c>
      <x:c r="J86" s="2" t="n">
        <x:f>SUMIFS('Ratings'!$H$6:$H$1387,'Ratings'!$B$6:$B$1387,C86)</x:f>
        <x:v>20</x:v>
      </x:c>
      <x:c r="K86" s="15" t="n">
        <x:f>IF(I86&gt;0,"Unknown",H86/F86)</x:f>
        <x:v>1</x:v>
      </x:c>
      <x:c r="L86" s="15" t="n">
        <x:f>IF(J86=0,"N/A",H86/J86)</x:f>
        <x:v>0.05</x:v>
      </x:c>
      <x:c r="M86" s="14" t="n">
        <x:f>SUMIFS('Rankings'!$L$6:$L$423,'Rankings'!$A$6:$A$423,B86,'Rankings'!$E$6:$E$423,"&lt;="&amp;F86)</x:f>
        <x:v>7</x:v>
      </x:c>
      <x:c r="N86" s="14" t="n">
        <x:f>SUMIFS('Ideal ranking'!$H$6:$H$365,'Ideal ranking'!$A$6:$A$365,C86,'Ideal ranking'!$B$6:$B$365,"&lt;="&amp;F86)</x:f>
        <x:v>7</x:v>
      </x:c>
      <x:c r="O86" s="14" t="n">
        <x:f>IF(I86&gt;0,"Unknown",IF(N86=0,"N/A",M86/N86))</x:f>
        <x:v>1</x:v>
      </x:c>
      <x:c r="P86" s="15" t="n">
        <x:f>IF(G86=0,"N/A",IF(I86&gt;0,"Unknown",H86/G86))</x:f>
        <x:v>1</x:v>
      </x:c>
      <x:c r="Q86" s="2" t="n">
        <x:f>F86-G86</x:f>
        <x:v>0</x:v>
      </x:c>
    </x:row>
    <x:row r="87" ht="22" customHeight="1">
      <x:c r="A87" s="2" t="str">
        <x:v>S09-T01|2</x:v>
      </x:c>
      <x:c r="B87" s="2" t="str">
        <x:v>S09-T01</x:v>
      </x:c>
      <x:c r="C87" s="2" t="str">
        <x:v>S09</x:v>
      </x:c>
      <x:c r="D87" s="2" t="str">
        <x:v>Retained</x:v>
      </x:c>
      <x:c r="E87" s="2" t="n">
        <x:v>1</x:v>
      </x:c>
      <x:c r="F87" s="2" t="n">
        <x:v>2</x:v>
      </x:c>
      <x:c r="G87" s="2" t="n">
        <x:f>COUNTIFS('Rankings'!$A$6:$A$423,B87,'Rankings'!$E$6:$E$423,"&lt;="&amp;F87)</x:f>
        <x:v>2</x:v>
      </x:c>
      <x:c r="H87" s="2" t="n">
        <x:f>SUMIFS('Rankings'!$J$6:$J$423,'Rankings'!$A$6:$A$423,B87,'Rankings'!$E$6:$E$423,"&lt;="&amp;F87)</x:f>
        <x:v>2</x:v>
      </x:c>
      <x:c r="I87" s="2" t="n">
        <x:f>G87-SUMIFS('Rankings'!$I$6:$I$423,'Rankings'!$A$6:$A$423,B87,'Rankings'!$E$6:$E$423,"&lt;="&amp;F87)</x:f>
        <x:v>0</x:v>
      </x:c>
      <x:c r="J87" s="2" t="n">
        <x:f>SUMIFS('Ratings'!$H$6:$H$1387,'Ratings'!$B$6:$B$1387,C87)</x:f>
        <x:v>20</x:v>
      </x:c>
      <x:c r="K87" s="15" t="n">
        <x:f>IF(I87&gt;0,"Unknown",H87/F87)</x:f>
        <x:v>1</x:v>
      </x:c>
      <x:c r="L87" s="15" t="n">
        <x:f>IF(J87=0,"N/A",H87/J87)</x:f>
        <x:v>0.1</x:v>
      </x:c>
      <x:c r="M87" s="14" t="n">
        <x:f>SUMIFS('Rankings'!$L$6:$L$423,'Rankings'!$A$6:$A$423,B87,'Rankings'!$E$6:$E$423,"&lt;="&amp;F87)</x:f>
        <x:v>11.416508275000202</x:v>
      </x:c>
      <x:c r="N87" s="14" t="n">
        <x:f>SUMIFS('Ideal ranking'!$H$6:$H$365,'Ideal ranking'!$A$6:$A$365,C87,'Ideal ranking'!$B$6:$B$365,"&lt;="&amp;F87)</x:f>
        <x:v>11.416508275000202</x:v>
      </x:c>
      <x:c r="O87" s="14" t="n">
        <x:f>IF(I87&gt;0,"Unknown",IF(N87=0,"N/A",M87/N87))</x:f>
        <x:v>1</x:v>
      </x:c>
      <x:c r="P87" s="15" t="n">
        <x:f>IF(G87=0,"N/A",IF(I87&gt;0,"Unknown",H87/G87))</x:f>
        <x:v>1</x:v>
      </x:c>
      <x:c r="Q87" s="2" t="n">
        <x:f>F87-G87</x:f>
        <x:v>0</x:v>
      </x:c>
    </x:row>
    <x:row r="88" ht="22" customHeight="1">
      <x:c r="A88" s="2" t="str">
        <x:v>S09-T01|3</x:v>
      </x:c>
      <x:c r="B88" s="2" t="str">
        <x:v>S09-T01</x:v>
      </x:c>
      <x:c r="C88" s="2" t="str">
        <x:v>S09</x:v>
      </x:c>
      <x:c r="D88" s="2" t="str">
        <x:v>Retained</x:v>
      </x:c>
      <x:c r="E88" s="2" t="n">
        <x:v>1</x:v>
      </x:c>
      <x:c r="F88" s="2" t="n">
        <x:v>3</x:v>
      </x:c>
      <x:c r="G88" s="2" t="n">
        <x:f>COUNTIFS('Rankings'!$A$6:$A$423,B88,'Rankings'!$E$6:$E$423,"&lt;="&amp;F88)</x:f>
        <x:v>3</x:v>
      </x:c>
      <x:c r="H88" s="2" t="n">
        <x:f>SUMIFS('Rankings'!$J$6:$J$423,'Rankings'!$A$6:$A$423,B88,'Rankings'!$E$6:$E$423,"&lt;="&amp;F88)</x:f>
        <x:v>3</x:v>
      </x:c>
      <x:c r="I88" s="2" t="n">
        <x:f>G88-SUMIFS('Rankings'!$I$6:$I$423,'Rankings'!$A$6:$A$423,B88,'Rankings'!$E$6:$E$423,"&lt;="&amp;F88)</x:f>
        <x:v>0</x:v>
      </x:c>
      <x:c r="J88" s="2" t="n">
        <x:f>SUMIFS('Ratings'!$H$6:$H$1387,'Ratings'!$B$6:$B$1387,C88)</x:f>
        <x:v>20</x:v>
      </x:c>
      <x:c r="K88" s="15" t="n">
        <x:f>IF(I88&gt;0,"Unknown",H88/F88)</x:f>
        <x:v>1</x:v>
      </x:c>
      <x:c r="L88" s="15" t="n">
        <x:f>IF(J88=0,"N/A",H88/J88)</x:f>
        <x:v>0.15</x:v>
      </x:c>
      <x:c r="M88" s="14" t="n">
        <x:f>SUMIFS('Rankings'!$L$6:$L$423,'Rankings'!$A$6:$A$423,B88,'Rankings'!$E$6:$E$423,"&lt;="&amp;F88)</x:f>
        <x:v>14.916508275000202</x:v>
      </x:c>
      <x:c r="N88" s="14" t="n">
        <x:f>SUMIFS('Ideal ranking'!$H$6:$H$365,'Ideal ranking'!$A$6:$A$365,C88,'Ideal ranking'!$B$6:$B$365,"&lt;="&amp;F88)</x:f>
        <x:v>14.916508275000202</x:v>
      </x:c>
      <x:c r="O88" s="14" t="n">
        <x:f>IF(I88&gt;0,"Unknown",IF(N88=0,"N/A",M88/N88))</x:f>
        <x:v>1</x:v>
      </x:c>
      <x:c r="P88" s="15" t="n">
        <x:f>IF(G88=0,"N/A",IF(I88&gt;0,"Unknown",H88/G88))</x:f>
        <x:v>1</x:v>
      </x:c>
      <x:c r="Q88" s="2" t="n">
        <x:f>F88-G88</x:f>
        <x:v>0</x:v>
      </x:c>
    </x:row>
    <x:row r="89" ht="22" customHeight="1">
      <x:c r="A89" s="2" t="str">
        <x:v>S09-T01|4</x:v>
      </x:c>
      <x:c r="B89" s="2" t="str">
        <x:v>S09-T01</x:v>
      </x:c>
      <x:c r="C89" s="2" t="str">
        <x:v>S09</x:v>
      </x:c>
      <x:c r="D89" s="2" t="str">
        <x:v>Retained</x:v>
      </x:c>
      <x:c r="E89" s="2" t="n">
        <x:v>1</x:v>
      </x:c>
      <x:c r="F89" s="2" t="n">
        <x:v>4</x:v>
      </x:c>
      <x:c r="G89" s="2" t="n">
        <x:f>COUNTIFS('Rankings'!$A$6:$A$423,B89,'Rankings'!$E$6:$E$423,"&lt;="&amp;F89)</x:f>
        <x:v>4</x:v>
      </x:c>
      <x:c r="H89" s="2" t="n">
        <x:f>SUMIFS('Rankings'!$J$6:$J$423,'Rankings'!$A$6:$A$423,B89,'Rankings'!$E$6:$E$423,"&lt;="&amp;F89)</x:f>
        <x:v>4</x:v>
      </x:c>
      <x:c r="I89" s="2" t="n">
        <x:f>G89-SUMIFS('Rankings'!$I$6:$I$423,'Rankings'!$A$6:$A$423,B89,'Rankings'!$E$6:$E$423,"&lt;="&amp;F89)</x:f>
        <x:v>0</x:v>
      </x:c>
      <x:c r="J89" s="2" t="n">
        <x:f>SUMIFS('Ratings'!$H$6:$H$1387,'Ratings'!$B$6:$B$1387,C89)</x:f>
        <x:v>20</x:v>
      </x:c>
      <x:c r="K89" s="15" t="n">
        <x:f>IF(I89&gt;0,"Unknown",H89/F89)</x:f>
        <x:v>1</x:v>
      </x:c>
      <x:c r="L89" s="15" t="n">
        <x:f>IF(J89=0,"N/A",H89/J89)</x:f>
        <x:v>0.2</x:v>
      </x:c>
      <x:c r="M89" s="14" t="n">
        <x:f>SUMIFS('Rankings'!$L$6:$L$423,'Rankings'!$A$6:$A$423,B89,'Rankings'!$E$6:$E$423,"&lt;="&amp;F89)</x:f>
        <x:v>17.931244181513954</x:v>
      </x:c>
      <x:c r="N89" s="14" t="n">
        <x:f>SUMIFS('Ideal ranking'!$H$6:$H$365,'Ideal ranking'!$A$6:$A$365,C89,'Ideal ranking'!$B$6:$B$365,"&lt;="&amp;F89)</x:f>
        <x:v>17.931244181513954</x:v>
      </x:c>
      <x:c r="O89" s="14" t="n">
        <x:f>IF(I89&gt;0,"Unknown",IF(N89=0,"N/A",M89/N89))</x:f>
        <x:v>1</x:v>
      </x:c>
      <x:c r="P89" s="15" t="n">
        <x:f>IF(G89=0,"N/A",IF(I89&gt;0,"Unknown",H89/G89))</x:f>
        <x:v>1</x:v>
      </x:c>
      <x:c r="Q89" s="2" t="n">
        <x:f>F89-G89</x:f>
        <x:v>0</x:v>
      </x:c>
    </x:row>
    <x:row r="90" ht="22" customHeight="1">
      <x:c r="A90" s="2" t="str">
        <x:v>S09-T01|5</x:v>
      </x:c>
      <x:c r="B90" s="2" t="str">
        <x:v>S09-T01</x:v>
      </x:c>
      <x:c r="C90" s="2" t="str">
        <x:v>S09</x:v>
      </x:c>
      <x:c r="D90" s="2" t="str">
        <x:v>Retained</x:v>
      </x:c>
      <x:c r="E90" s="2" t="n">
        <x:v>1</x:v>
      </x:c>
      <x:c r="F90" s="2" t="n">
        <x:v>5</x:v>
      </x:c>
      <x:c r="G90" s="2" t="n">
        <x:f>COUNTIFS('Rankings'!$A$6:$A$423,B90,'Rankings'!$E$6:$E$423,"&lt;="&amp;F90)</x:f>
        <x:v>5</x:v>
      </x:c>
      <x:c r="H90" s="2" t="n">
        <x:f>SUMIFS('Rankings'!$J$6:$J$423,'Rankings'!$A$6:$A$423,B90,'Rankings'!$E$6:$E$423,"&lt;="&amp;F90)</x:f>
        <x:v>5</x:v>
      </x:c>
      <x:c r="I90" s="2" t="n">
        <x:f>G90-SUMIFS('Rankings'!$I$6:$I$423,'Rankings'!$A$6:$A$423,B90,'Rankings'!$E$6:$E$423,"&lt;="&amp;F90)</x:f>
        <x:v>0</x:v>
      </x:c>
      <x:c r="J90" s="2" t="n">
        <x:f>SUMIFS('Ratings'!$H$6:$H$1387,'Ratings'!$B$6:$B$1387,C90)</x:f>
        <x:v>20</x:v>
      </x:c>
      <x:c r="K90" s="15" t="n">
        <x:f>IF(I90&gt;0,"Unknown",H90/F90)</x:f>
        <x:v>1</x:v>
      </x:c>
      <x:c r="L90" s="15" t="n">
        <x:f>IF(J90=0,"N/A",H90/J90)</x:f>
        <x:v>0.25</x:v>
      </x:c>
      <x:c r="M90" s="14" t="n">
        <x:f>SUMIFS('Rankings'!$L$6:$L$423,'Rankings'!$A$6:$A$423,B90,'Rankings'!$E$6:$E$423,"&lt;="&amp;F90)</x:f>
        <x:v>20.639213832155747</x:v>
      </x:c>
      <x:c r="N90" s="14" t="n">
        <x:f>SUMIFS('Ideal ranking'!$H$6:$H$365,'Ideal ranking'!$A$6:$A$365,C90,'Ideal ranking'!$B$6:$B$365,"&lt;="&amp;F90)</x:f>
        <x:v>20.639213832155747</x:v>
      </x:c>
      <x:c r="O90" s="14" t="n">
        <x:f>IF(I90&gt;0,"Unknown",IF(N90=0,"N/A",M90/N90))</x:f>
        <x:v>1</x:v>
      </x:c>
      <x:c r="P90" s="15" t="n">
        <x:f>IF(G90=0,"N/A",IF(I90&gt;0,"Unknown",H90/G90))</x:f>
        <x:v>1</x:v>
      </x:c>
      <x:c r="Q90" s="2" t="n">
        <x:f>F90-G90</x:f>
        <x:v>0</x:v>
      </x:c>
    </x:row>
    <x:row r="91" ht="22" customHeight="1">
      <x:c r="A91" s="2" t="str">
        <x:v>S09-T01|6</x:v>
      </x:c>
      <x:c r="B91" s="2" t="str">
        <x:v>S09-T01</x:v>
      </x:c>
      <x:c r="C91" s="2" t="str">
        <x:v>S09</x:v>
      </x:c>
      <x:c r="D91" s="2" t="str">
        <x:v>Retained</x:v>
      </x:c>
      <x:c r="E91" s="2" t="n">
        <x:v>1</x:v>
      </x:c>
      <x:c r="F91" s="2" t="n">
        <x:v>6</x:v>
      </x:c>
      <x:c r="G91" s="2" t="n">
        <x:f>COUNTIFS('Rankings'!$A$6:$A$423,B91,'Rankings'!$E$6:$E$423,"&lt;="&amp;F91)</x:f>
        <x:v>6</x:v>
      </x:c>
      <x:c r="H91" s="2" t="n">
        <x:f>SUMIFS('Rankings'!$J$6:$J$423,'Rankings'!$A$6:$A$423,B91,'Rankings'!$E$6:$E$423,"&lt;="&amp;F91)</x:f>
        <x:v>6</x:v>
      </x:c>
      <x:c r="I91" s="2" t="n">
        <x:f>G91-SUMIFS('Rankings'!$I$6:$I$423,'Rankings'!$A$6:$A$423,B91,'Rankings'!$E$6:$E$423,"&lt;="&amp;F91)</x:f>
        <x:v>0</x:v>
      </x:c>
      <x:c r="J91" s="2" t="n">
        <x:f>SUMIFS('Ratings'!$H$6:$H$1387,'Ratings'!$B$6:$B$1387,C91)</x:f>
        <x:v>20</x:v>
      </x:c>
      <x:c r="K91" s="15" t="n">
        <x:f>IF(I91&gt;0,"Unknown",H91/F91)</x:f>
        <x:v>1</x:v>
      </x:c>
      <x:c r="L91" s="15" t="n">
        <x:f>IF(J91=0,"N/A",H91/J91)</x:f>
        <x:v>0.3</x:v>
      </x:c>
      <x:c r="M91" s="14" t="n">
        <x:f>SUMIFS('Rankings'!$L$6:$L$423,'Rankings'!$A$6:$A$423,B91,'Rankings'!$E$6:$E$423,"&lt;="&amp;F91)</x:f>
        <x:v>21.70783539347981</x:v>
      </x:c>
      <x:c r="N91" s="14" t="n">
        <x:f>SUMIFS('Ideal ranking'!$H$6:$H$365,'Ideal ranking'!$A$6:$A$365,C91,'Ideal ranking'!$B$6:$B$365,"&lt;="&amp;F91)</x:f>
        <x:v>23.132664141911903</x:v>
      </x:c>
      <x:c r="O91" s="14" t="n">
        <x:f>IF(I91&gt;0,"Unknown",IF(N91=0,"N/A",M91/N91))</x:f>
        <x:v>0.9384061974145651</x:v>
      </x:c>
      <x:c r="P91" s="15" t="n">
        <x:f>IF(G91=0,"N/A",IF(I91&gt;0,"Unknown",H91/G91))</x:f>
        <x:v>1</x:v>
      </x:c>
      <x:c r="Q91" s="2" t="n">
        <x:f>F91-G91</x:f>
        <x:v>0</x:v>
      </x:c>
    </x:row>
    <x:row r="92" ht="22" customHeight="1">
      <x:c r="A92" s="2" t="str">
        <x:v>S09-T01|7</x:v>
      </x:c>
      <x:c r="B92" s="2" t="str">
        <x:v>S09-T01</x:v>
      </x:c>
      <x:c r="C92" s="2" t="str">
        <x:v>S09</x:v>
      </x:c>
      <x:c r="D92" s="2" t="str">
        <x:v>Retained</x:v>
      </x:c>
      <x:c r="E92" s="2" t="n">
        <x:v>1</x:v>
      </x:c>
      <x:c r="F92" s="2" t="n">
        <x:v>7</x:v>
      </x:c>
      <x:c r="G92" s="2" t="n">
        <x:f>COUNTIFS('Rankings'!$A$6:$A$423,B92,'Rankings'!$E$6:$E$423,"&lt;="&amp;F92)</x:f>
        <x:v>7</x:v>
      </x:c>
      <x:c r="H92" s="2" t="n">
        <x:f>SUMIFS('Rankings'!$J$6:$J$423,'Rankings'!$A$6:$A$423,B92,'Rankings'!$E$6:$E$423,"&lt;="&amp;F92)</x:f>
        <x:v>7</x:v>
      </x:c>
      <x:c r="I92" s="2" t="n">
        <x:f>G92-SUMIFS('Rankings'!$I$6:$I$423,'Rankings'!$A$6:$A$423,B92,'Rankings'!$E$6:$E$423,"&lt;="&amp;F92)</x:f>
        <x:v>0</x:v>
      </x:c>
      <x:c r="J92" s="2" t="n">
        <x:f>SUMIFS('Ratings'!$H$6:$H$1387,'Ratings'!$B$6:$B$1387,C92)</x:f>
        <x:v>20</x:v>
      </x:c>
      <x:c r="K92" s="15" t="n">
        <x:f>IF(I92&gt;0,"Unknown",H92/F92)</x:f>
        <x:v>1</x:v>
      </x:c>
      <x:c r="L92" s="15" t="n">
        <x:f>IF(J92=0,"N/A",H92/J92)</x:f>
        <x:v>0.35</x:v>
      </x:c>
      <x:c r="M92" s="14" t="n">
        <x:f>SUMIFS('Rankings'!$L$6:$L$423,'Rankings'!$A$6:$A$423,B92,'Rankings'!$E$6:$E$423,"&lt;="&amp;F92)</x:f>
        <x:v>22.70783539347981</x:v>
      </x:c>
      <x:c r="N92" s="14" t="n">
        <x:f>SUMIFS('Ideal ranking'!$H$6:$H$365,'Ideal ranking'!$A$6:$A$365,C92,'Ideal ranking'!$B$6:$B$365,"&lt;="&amp;F92)</x:f>
        <x:v>25.465997475245235</x:v>
      </x:c>
      <x:c r="O92" s="14" t="n">
        <x:f>IF(I92&gt;0,"Unknown",IF(N92=0,"N/A",M92/N92))</x:f>
        <x:v>0.8916923601972963</x:v>
      </x:c>
      <x:c r="P92" s="15" t="n">
        <x:f>IF(G92=0,"N/A",IF(I92&gt;0,"Unknown",H92/G92))</x:f>
        <x:v>1</x:v>
      </x:c>
      <x:c r="Q92" s="2" t="n">
        <x:f>F92-G92</x:f>
        <x:v>0</x:v>
      </x:c>
    </x:row>
    <x:row r="93" ht="22" customHeight="1">
      <x:c r="A93" s="2" t="str">
        <x:v>S09-T01|8</x:v>
      </x:c>
      <x:c r="B93" s="2" t="str">
        <x:v>S09-T01</x:v>
      </x:c>
      <x:c r="C93" s="2" t="str">
        <x:v>S09</x:v>
      </x:c>
      <x:c r="D93" s="2" t="str">
        <x:v>Retained</x:v>
      </x:c>
      <x:c r="E93" s="2" t="n">
        <x:v>1</x:v>
      </x:c>
      <x:c r="F93" s="2" t="n">
        <x:v>8</x:v>
      </x:c>
      <x:c r="G93" s="2" t="n">
        <x:f>COUNTIFS('Rankings'!$A$6:$A$423,B93,'Rankings'!$E$6:$E$423,"&lt;="&amp;F93)</x:f>
        <x:v>8</x:v>
      </x:c>
      <x:c r="H93" s="2" t="n">
        <x:f>SUMIFS('Rankings'!$J$6:$J$423,'Rankings'!$A$6:$A$423,B93,'Rankings'!$E$6:$E$423,"&lt;="&amp;F93)</x:f>
        <x:v>8</x:v>
      </x:c>
      <x:c r="I93" s="2" t="n">
        <x:f>G93-SUMIFS('Rankings'!$I$6:$I$423,'Rankings'!$A$6:$A$423,B93,'Rankings'!$E$6:$E$423,"&lt;="&amp;F93)</x:f>
        <x:v>0</x:v>
      </x:c>
      <x:c r="J93" s="2" t="n">
        <x:f>SUMIFS('Ratings'!$H$6:$H$1387,'Ratings'!$B$6:$B$1387,C93)</x:f>
        <x:v>20</x:v>
      </x:c>
      <x:c r="K93" s="15" t="n">
        <x:f>IF(I93&gt;0,"Unknown",H93/F93)</x:f>
        <x:v>1</x:v>
      </x:c>
      <x:c r="L93" s="15" t="n">
        <x:f>IF(J93=0,"N/A",H93/J93)</x:f>
        <x:v>0.4</x:v>
      </x:c>
      <x:c r="M93" s="14" t="n">
        <x:f>SUMIFS('Rankings'!$L$6:$L$423,'Rankings'!$A$6:$A$423,B93,'Rankings'!$E$6:$E$423,"&lt;="&amp;F93)</x:f>
        <x:v>23.654230023837</x:v>
      </x:c>
      <x:c r="N93" s="14" t="n">
        <x:f>SUMIFS('Ideal ranking'!$H$6:$H$365,'Ideal ranking'!$A$6:$A$365,C93,'Ideal ranking'!$B$6:$B$365,"&lt;="&amp;F93)</x:f>
        <x:v>27.674251612745337</x:v>
      </x:c>
      <x:c r="O93" s="14" t="n">
        <x:f>IF(I93&gt;0,"Unknown",IF(N93=0,"N/A",M93/N93))</x:f>
        <x:v>0.854737839159599</x:v>
      </x:c>
      <x:c r="P93" s="15" t="n">
        <x:f>IF(G93=0,"N/A",IF(I93&gt;0,"Unknown",H93/G93))</x:f>
        <x:v>1</x:v>
      </x:c>
      <x:c r="Q93" s="2" t="n">
        <x:f>F93-G93</x:f>
        <x:v>0</x:v>
      </x:c>
    </x:row>
    <x:row r="94" ht="22" customHeight="1">
      <x:c r="A94" s="2" t="str">
        <x:v>S09-T01|9</x:v>
      </x:c>
      <x:c r="B94" s="2" t="str">
        <x:v>S09-T01</x:v>
      </x:c>
      <x:c r="C94" s="2" t="str">
        <x:v>S09</x:v>
      </x:c>
      <x:c r="D94" s="2" t="str">
        <x:v>Retained</x:v>
      </x:c>
      <x:c r="E94" s="2" t="n">
        <x:v>1</x:v>
      </x:c>
      <x:c r="F94" s="2" t="n">
        <x:v>9</x:v>
      </x:c>
      <x:c r="G94" s="2" t="n">
        <x:f>COUNTIFS('Rankings'!$A$6:$A$423,B94,'Rankings'!$E$6:$E$423,"&lt;="&amp;F94)</x:f>
        <x:v>9</x:v>
      </x:c>
      <x:c r="H94" s="2" t="n">
        <x:f>SUMIFS('Rankings'!$J$6:$J$423,'Rankings'!$A$6:$A$423,B94,'Rankings'!$E$6:$E$423,"&lt;="&amp;F94)</x:f>
        <x:v>9</x:v>
      </x:c>
      <x:c r="I94" s="2" t="n">
        <x:f>G94-SUMIFS('Rankings'!$I$6:$I$423,'Rankings'!$A$6:$A$423,B94,'Rankings'!$E$6:$E$423,"&lt;="&amp;F94)</x:f>
        <x:v>0</x:v>
      </x:c>
      <x:c r="J94" s="2" t="n">
        <x:f>SUMIFS('Ratings'!$H$6:$H$1387,'Ratings'!$B$6:$B$1387,C94)</x:f>
        <x:v>20</x:v>
      </x:c>
      <x:c r="K94" s="15" t="n">
        <x:f>IF(I94&gt;0,"Unknown",H94/F94)</x:f>
        <x:v>1</x:v>
      </x:c>
      <x:c r="L94" s="15" t="n">
        <x:f>IF(J94=0,"N/A",H94/J94)</x:f>
        <x:v>0.45</x:v>
      </x:c>
      <x:c r="M94" s="14" t="n">
        <x:f>SUMIFS('Rankings'!$L$6:$L$423,'Rankings'!$A$6:$A$423,B94,'Rankings'!$E$6:$E$423,"&lt;="&amp;F94)</x:f>
        <x:v>24.557320010828942</x:v>
      </x:c>
      <x:c r="N94" s="14" t="n">
        <x:f>SUMIFS('Ideal ranking'!$H$6:$H$365,'Ideal ranking'!$A$6:$A$365,C94,'Ideal ranking'!$B$6:$B$365,"&lt;="&amp;F94)</x:f>
        <x:v>29.781461582393206</x:v>
      </x:c>
      <x:c r="O94" s="14" t="n">
        <x:f>IF(I94&gt;0,"Unknown",IF(N94=0,"N/A",M94/N94))</x:f>
        <x:v>0.8245841105846606</x:v>
      </x:c>
      <x:c r="P94" s="15" t="n">
        <x:f>IF(G94=0,"N/A",IF(I94&gt;0,"Unknown",H94/G94))</x:f>
        <x:v>1</x:v>
      </x:c>
      <x:c r="Q94" s="2" t="n">
        <x:f>F94-G94</x:f>
        <x:v>0</x:v>
      </x:c>
    </x:row>
    <x:row r="95" ht="22" customHeight="1">
      <x:c r="A95" s="2" t="str">
        <x:v>S09-T01|10</x:v>
      </x:c>
      <x:c r="B95" s="2" t="str">
        <x:v>S09-T01</x:v>
      </x:c>
      <x:c r="C95" s="2" t="str">
        <x:v>S09</x:v>
      </x:c>
      <x:c r="D95" s="2" t="str">
        <x:v>Retained</x:v>
      </x:c>
      <x:c r="E95" s="2" t="n">
        <x:v>1</x:v>
      </x:c>
      <x:c r="F95" s="2" t="n">
        <x:v>10</x:v>
      </x:c>
      <x:c r="G95" s="2" t="n">
        <x:f>COUNTIFS('Rankings'!$A$6:$A$423,B95,'Rankings'!$E$6:$E$423,"&lt;="&amp;F95)</x:f>
        <x:v>10</x:v>
      </x:c>
      <x:c r="H95" s="2" t="n">
        <x:f>SUMIFS('Rankings'!$J$6:$J$423,'Rankings'!$A$6:$A$423,B95,'Rankings'!$E$6:$E$423,"&lt;="&amp;F95)</x:f>
        <x:v>10</x:v>
      </x:c>
      <x:c r="I95" s="2" t="n">
        <x:f>G95-SUMIFS('Rankings'!$I$6:$I$423,'Rankings'!$A$6:$A$423,B95,'Rankings'!$E$6:$E$423,"&lt;="&amp;F95)</x:f>
        <x:v>0</x:v>
      </x:c>
      <x:c r="J95" s="2" t="n">
        <x:f>SUMIFS('Ratings'!$H$6:$H$1387,'Ratings'!$B$6:$B$1387,C95)</x:f>
        <x:v>20</x:v>
      </x:c>
      <x:c r="K95" s="15" t="n">
        <x:f>IF(I95&gt;0,"Unknown",H95/F95)</x:f>
        <x:v>1</x:v>
      </x:c>
      <x:c r="L95" s="15" t="n">
        <x:f>IF(J95=0,"N/A",H95/J95)</x:f>
        <x:v>0.5</x:v>
      </x:c>
      <x:c r="M95" s="14" t="n">
        <x:f>SUMIFS('Rankings'!$L$6:$L$423,'Rankings'!$A$6:$A$423,B95,'Rankings'!$E$6:$E$423,"&lt;="&amp;F95)</x:f>
        <x:v>25.424514489782606</x:v>
      </x:c>
      <x:c r="N95" s="14" t="n">
        <x:f>SUMIFS('Ideal ranking'!$H$6:$H$365,'Ideal ranking'!$A$6:$A$365,C95,'Ideal ranking'!$B$6:$B$365,"&lt;="&amp;F95)</x:f>
        <x:v>31.80491536661842</x:v>
      </x:c>
      <x:c r="O95" s="14" t="n">
        <x:f>IF(I95&gt;0,"Unknown",IF(N95=0,"N/A",M95/N95))</x:f>
        <x:v>0.7993894716181981</x:v>
      </x:c>
      <x:c r="P95" s="15" t="n">
        <x:f>IF(G95=0,"N/A",IF(I95&gt;0,"Unknown",H95/G95))</x:f>
        <x:v>1</x:v>
      </x:c>
      <x:c r="Q95" s="2" t="n">
        <x:f>F95-G95</x:f>
        <x:v>0</x:v>
      </x:c>
    </x:row>
    <x:row r="96" ht="22" customHeight="1">
      <x:c r="A96" s="2" t="str">
        <x:v>S10-T01|1</x:v>
      </x:c>
      <x:c r="B96" s="2" t="str">
        <x:v>S10-T01</x:v>
      </x:c>
      <x:c r="C96" s="2" t="str">
        <x:v>S10</x:v>
      </x:c>
      <x:c r="D96" s="2" t="str">
        <x:v>Retained</x:v>
      </x:c>
      <x:c r="E96" s="2" t="n">
        <x:v>1</x:v>
      </x:c>
      <x:c r="F96" s="2" t="n">
        <x:v>1</x:v>
      </x:c>
      <x:c r="G96" s="2" t="n">
        <x:f>COUNTIFS('Rankings'!$A$6:$A$423,B96,'Rankings'!$E$6:$E$423,"&lt;="&amp;F96)</x:f>
        <x:v>1</x:v>
      </x:c>
      <x:c r="H96" s="2" t="n">
        <x:f>SUMIFS('Rankings'!$J$6:$J$423,'Rankings'!$A$6:$A$423,B96,'Rankings'!$E$6:$E$423,"&lt;="&amp;F96)</x:f>
        <x:v>1</x:v>
      </x:c>
      <x:c r="I96" s="2" t="n">
        <x:f>G96-SUMIFS('Rankings'!$I$6:$I$423,'Rankings'!$A$6:$A$423,B96,'Rankings'!$E$6:$E$423,"&lt;="&amp;F96)</x:f>
        <x:v>0</x:v>
      </x:c>
      <x:c r="J96" s="2" t="n">
        <x:f>SUMIFS('Ratings'!$H$6:$H$1387,'Ratings'!$B$6:$B$1387,C96)</x:f>
        <x:v>18</x:v>
      </x:c>
      <x:c r="K96" s="15" t="n">
        <x:f>IF(I96&gt;0,"Unknown",H96/F96)</x:f>
        <x:v>1</x:v>
      </x:c>
      <x:c r="L96" s="15" t="n">
        <x:f>IF(J96=0,"N/A",H96/J96)</x:f>
        <x:v>0.05555555555555555</x:v>
      </x:c>
      <x:c r="M96" s="14" t="n">
        <x:f>SUMIFS('Rankings'!$L$6:$L$423,'Rankings'!$A$6:$A$423,B96,'Rankings'!$E$6:$E$423,"&lt;="&amp;F96)</x:f>
        <x:v>7</x:v>
      </x:c>
      <x:c r="N96" s="14" t="n">
        <x:f>SUMIFS('Ideal ranking'!$H$6:$H$365,'Ideal ranking'!$A$6:$A$365,C96,'Ideal ranking'!$B$6:$B$365,"&lt;="&amp;F96)</x:f>
        <x:v>7</x:v>
      </x:c>
      <x:c r="O96" s="14" t="n">
        <x:f>IF(I96&gt;0,"Unknown",IF(N96=0,"N/A",M96/N96))</x:f>
        <x:v>1</x:v>
      </x:c>
      <x:c r="P96" s="15" t="n">
        <x:f>IF(G96=0,"N/A",IF(I96&gt;0,"Unknown",H96/G96))</x:f>
        <x:v>1</x:v>
      </x:c>
      <x:c r="Q96" s="2" t="n">
        <x:f>F96-G96</x:f>
        <x:v>0</x:v>
      </x:c>
    </x:row>
    <x:row r="97" ht="22" customHeight="1">
      <x:c r="A97" s="2" t="str">
        <x:v>S10-T01|2</x:v>
      </x:c>
      <x:c r="B97" s="2" t="str">
        <x:v>S10-T01</x:v>
      </x:c>
      <x:c r="C97" s="2" t="str">
        <x:v>S10</x:v>
      </x:c>
      <x:c r="D97" s="2" t="str">
        <x:v>Retained</x:v>
      </x:c>
      <x:c r="E97" s="2" t="n">
        <x:v>1</x:v>
      </x:c>
      <x:c r="F97" s="2" t="n">
        <x:v>2</x:v>
      </x:c>
      <x:c r="G97" s="2" t="n">
        <x:f>COUNTIFS('Rankings'!$A$6:$A$423,B97,'Rankings'!$E$6:$E$423,"&lt;="&amp;F97)</x:f>
        <x:v>2</x:v>
      </x:c>
      <x:c r="H97" s="2" t="n">
        <x:f>SUMIFS('Rankings'!$J$6:$J$423,'Rankings'!$A$6:$A$423,B97,'Rankings'!$E$6:$E$423,"&lt;="&amp;F97)</x:f>
        <x:v>2</x:v>
      </x:c>
      <x:c r="I97" s="2" t="n">
        <x:f>G97-SUMIFS('Rankings'!$I$6:$I$423,'Rankings'!$A$6:$A$423,B97,'Rankings'!$E$6:$E$423,"&lt;="&amp;F97)</x:f>
        <x:v>0</x:v>
      </x:c>
      <x:c r="J97" s="2" t="n">
        <x:f>SUMIFS('Ratings'!$H$6:$H$1387,'Ratings'!$B$6:$B$1387,C97)</x:f>
        <x:v>18</x:v>
      </x:c>
      <x:c r="K97" s="15" t="n">
        <x:f>IF(I97&gt;0,"Unknown",H97/F97)</x:f>
        <x:v>1</x:v>
      </x:c>
      <x:c r="L97" s="15" t="n">
        <x:f>IF(J97=0,"N/A",H97/J97)</x:f>
        <x:v>0.1111111111111111</x:v>
      </x:c>
      <x:c r="M97" s="14" t="n">
        <x:f>SUMIFS('Rankings'!$L$6:$L$423,'Rankings'!$A$6:$A$423,B97,'Rankings'!$E$6:$E$423,"&lt;="&amp;F97)</x:f>
        <x:v>11.416508275000202</x:v>
      </x:c>
      <x:c r="N97" s="14" t="n">
        <x:f>SUMIFS('Ideal ranking'!$H$6:$H$365,'Ideal ranking'!$A$6:$A$365,C97,'Ideal ranking'!$B$6:$B$365,"&lt;="&amp;F97)</x:f>
        <x:v>11.416508275000202</x:v>
      </x:c>
      <x:c r="O97" s="14" t="n">
        <x:f>IF(I97&gt;0,"Unknown",IF(N97=0,"N/A",M97/N97))</x:f>
        <x:v>1</x:v>
      </x:c>
      <x:c r="P97" s="15" t="n">
        <x:f>IF(G97=0,"N/A",IF(I97&gt;0,"Unknown",H97/G97))</x:f>
        <x:v>1</x:v>
      </x:c>
      <x:c r="Q97" s="2" t="n">
        <x:f>F97-G97</x:f>
        <x:v>0</x:v>
      </x:c>
    </x:row>
    <x:row r="98" ht="22" customHeight="1">
      <x:c r="A98" s="2" t="str">
        <x:v>S10-T01|3</x:v>
      </x:c>
      <x:c r="B98" s="2" t="str">
        <x:v>S10-T01</x:v>
      </x:c>
      <x:c r="C98" s="2" t="str">
        <x:v>S10</x:v>
      </x:c>
      <x:c r="D98" s="2" t="str">
        <x:v>Retained</x:v>
      </x:c>
      <x:c r="E98" s="2" t="n">
        <x:v>1</x:v>
      </x:c>
      <x:c r="F98" s="2" t="n">
        <x:v>3</x:v>
      </x:c>
      <x:c r="G98" s="2" t="n">
        <x:f>COUNTIFS('Rankings'!$A$6:$A$423,B98,'Rankings'!$E$6:$E$423,"&lt;="&amp;F98)</x:f>
        <x:v>3</x:v>
      </x:c>
      <x:c r="H98" s="2" t="n">
        <x:f>SUMIFS('Rankings'!$J$6:$J$423,'Rankings'!$A$6:$A$423,B98,'Rankings'!$E$6:$E$423,"&lt;="&amp;F98)</x:f>
        <x:v>3</x:v>
      </x:c>
      <x:c r="I98" s="2" t="n">
        <x:f>G98-SUMIFS('Rankings'!$I$6:$I$423,'Rankings'!$A$6:$A$423,B98,'Rankings'!$E$6:$E$423,"&lt;="&amp;F98)</x:f>
        <x:v>0</x:v>
      </x:c>
      <x:c r="J98" s="2" t="n">
        <x:f>SUMIFS('Ratings'!$H$6:$H$1387,'Ratings'!$B$6:$B$1387,C98)</x:f>
        <x:v>18</x:v>
      </x:c>
      <x:c r="K98" s="15" t="n">
        <x:f>IF(I98&gt;0,"Unknown",H98/F98)</x:f>
        <x:v>1</x:v>
      </x:c>
      <x:c r="L98" s="15" t="n">
        <x:f>IF(J98=0,"N/A",H98/J98)</x:f>
        <x:v>0.16666666666666666</x:v>
      </x:c>
      <x:c r="M98" s="14" t="n">
        <x:f>SUMIFS('Rankings'!$L$6:$L$423,'Rankings'!$A$6:$A$423,B98,'Rankings'!$E$6:$E$423,"&lt;="&amp;F98)</x:f>
        <x:v>14.916508275000202</x:v>
      </x:c>
      <x:c r="N98" s="14" t="n">
        <x:f>SUMIFS('Ideal ranking'!$H$6:$H$365,'Ideal ranking'!$A$6:$A$365,C98,'Ideal ranking'!$B$6:$B$365,"&lt;="&amp;F98)</x:f>
        <x:v>14.916508275000202</x:v>
      </x:c>
      <x:c r="O98" s="14" t="n">
        <x:f>IF(I98&gt;0,"Unknown",IF(N98=0,"N/A",M98/N98))</x:f>
        <x:v>1</x:v>
      </x:c>
      <x:c r="P98" s="15" t="n">
        <x:f>IF(G98=0,"N/A",IF(I98&gt;0,"Unknown",H98/G98))</x:f>
        <x:v>1</x:v>
      </x:c>
      <x:c r="Q98" s="2" t="n">
        <x:f>F98-G98</x:f>
        <x:v>0</x:v>
      </x:c>
    </x:row>
    <x:row r="99" ht="22" customHeight="1">
      <x:c r="A99" s="2" t="str">
        <x:v>S10-T01|4</x:v>
      </x:c>
      <x:c r="B99" s="2" t="str">
        <x:v>S10-T01</x:v>
      </x:c>
      <x:c r="C99" s="2" t="str">
        <x:v>S10</x:v>
      </x:c>
      <x:c r="D99" s="2" t="str">
        <x:v>Retained</x:v>
      </x:c>
      <x:c r="E99" s="2" t="n">
        <x:v>1</x:v>
      </x:c>
      <x:c r="F99" s="2" t="n">
        <x:v>4</x:v>
      </x:c>
      <x:c r="G99" s="2" t="n">
        <x:f>COUNTIFS('Rankings'!$A$6:$A$423,B99,'Rankings'!$E$6:$E$423,"&lt;="&amp;F99)</x:f>
        <x:v>4</x:v>
      </x:c>
      <x:c r="H99" s="2" t="n">
        <x:f>SUMIFS('Rankings'!$J$6:$J$423,'Rankings'!$A$6:$A$423,B99,'Rankings'!$E$6:$E$423,"&lt;="&amp;F99)</x:f>
        <x:v>4</x:v>
      </x:c>
      <x:c r="I99" s="2" t="n">
        <x:f>G99-SUMIFS('Rankings'!$I$6:$I$423,'Rankings'!$A$6:$A$423,B99,'Rankings'!$E$6:$E$423,"&lt;="&amp;F99)</x:f>
        <x:v>0</x:v>
      </x:c>
      <x:c r="J99" s="2" t="n">
        <x:f>SUMIFS('Ratings'!$H$6:$H$1387,'Ratings'!$B$6:$B$1387,C99)</x:f>
        <x:v>18</x:v>
      </x:c>
      <x:c r="K99" s="15" t="n">
        <x:f>IF(I99&gt;0,"Unknown",H99/F99)</x:f>
        <x:v>1</x:v>
      </x:c>
      <x:c r="L99" s="15" t="n">
        <x:f>IF(J99=0,"N/A",H99/J99)</x:f>
        <x:v>0.2222222222222222</x:v>
      </x:c>
      <x:c r="M99" s="14" t="n">
        <x:f>SUMIFS('Rankings'!$L$6:$L$423,'Rankings'!$A$6:$A$423,B99,'Rankings'!$E$6:$E$423,"&lt;="&amp;F99)</x:f>
        <x:v>17.931244181513954</x:v>
      </x:c>
      <x:c r="N99" s="14" t="n">
        <x:f>SUMIFS('Ideal ranking'!$H$6:$H$365,'Ideal ranking'!$A$6:$A$365,C99,'Ideal ranking'!$B$6:$B$365,"&lt;="&amp;F99)</x:f>
        <x:v>17.931244181513954</x:v>
      </x:c>
      <x:c r="O99" s="14" t="n">
        <x:f>IF(I99&gt;0,"Unknown",IF(N99=0,"N/A",M99/N99))</x:f>
        <x:v>1</x:v>
      </x:c>
      <x:c r="P99" s="15" t="n">
        <x:f>IF(G99=0,"N/A",IF(I99&gt;0,"Unknown",H99/G99))</x:f>
        <x:v>1</x:v>
      </x:c>
      <x:c r="Q99" s="2" t="n">
        <x:f>F99-G99</x:f>
        <x:v>0</x:v>
      </x:c>
    </x:row>
    <x:row r="100" ht="22" customHeight="1">
      <x:c r="A100" s="2" t="str">
        <x:v>S10-T01|5</x:v>
      </x:c>
      <x:c r="B100" s="2" t="str">
        <x:v>S10-T01</x:v>
      </x:c>
      <x:c r="C100" s="2" t="str">
        <x:v>S10</x:v>
      </x:c>
      <x:c r="D100" s="2" t="str">
        <x:v>Retained</x:v>
      </x:c>
      <x:c r="E100" s="2" t="n">
        <x:v>1</x:v>
      </x:c>
      <x:c r="F100" s="2" t="n">
        <x:v>5</x:v>
      </x:c>
      <x:c r="G100" s="2" t="n">
        <x:f>COUNTIFS('Rankings'!$A$6:$A$423,B100,'Rankings'!$E$6:$E$423,"&lt;="&amp;F100)</x:f>
        <x:v>5</x:v>
      </x:c>
      <x:c r="H100" s="2" t="n">
        <x:f>SUMIFS('Rankings'!$J$6:$J$423,'Rankings'!$A$6:$A$423,B100,'Rankings'!$E$6:$E$423,"&lt;="&amp;F100)</x:f>
        <x:v>5</x:v>
      </x:c>
      <x:c r="I100" s="2" t="n">
        <x:f>G100-SUMIFS('Rankings'!$I$6:$I$423,'Rankings'!$A$6:$A$423,B100,'Rankings'!$E$6:$E$423,"&lt;="&amp;F100)</x:f>
        <x:v>0</x:v>
      </x:c>
      <x:c r="J100" s="2" t="n">
        <x:f>SUMIFS('Ratings'!$H$6:$H$1387,'Ratings'!$B$6:$B$1387,C100)</x:f>
        <x:v>18</x:v>
      </x:c>
      <x:c r="K100" s="15" t="n">
        <x:f>IF(I100&gt;0,"Unknown",H100/F100)</x:f>
        <x:v>1</x:v>
      </x:c>
      <x:c r="L100" s="15" t="n">
        <x:f>IF(J100=0,"N/A",H100/J100)</x:f>
        <x:v>0.2777777777777778</x:v>
      </x:c>
      <x:c r="M100" s="14" t="n">
        <x:f>SUMIFS('Rankings'!$L$6:$L$423,'Rankings'!$A$6:$A$423,B100,'Rankings'!$E$6:$E$423,"&lt;="&amp;F100)</x:f>
        <x:v>20.639213832155747</x:v>
      </x:c>
      <x:c r="N100" s="14" t="n">
        <x:f>SUMIFS('Ideal ranking'!$H$6:$H$365,'Ideal ranking'!$A$6:$A$365,C100,'Ideal ranking'!$B$6:$B$365,"&lt;="&amp;F100)</x:f>
        <x:v>20.639213832155747</x:v>
      </x:c>
      <x:c r="O100" s="14" t="n">
        <x:f>IF(I100&gt;0,"Unknown",IF(N100=0,"N/A",M100/N100))</x:f>
        <x:v>1</x:v>
      </x:c>
      <x:c r="P100" s="15" t="n">
        <x:f>IF(G100=0,"N/A",IF(I100&gt;0,"Unknown",H100/G100))</x:f>
        <x:v>1</x:v>
      </x:c>
      <x:c r="Q100" s="2" t="n">
        <x:f>F100-G100</x:f>
        <x:v>0</x:v>
      </x:c>
    </x:row>
    <x:row r="101" ht="22" customHeight="1">
      <x:c r="A101" s="2" t="str">
        <x:v>S10-T01|6</x:v>
      </x:c>
      <x:c r="B101" s="2" t="str">
        <x:v>S10-T01</x:v>
      </x:c>
      <x:c r="C101" s="2" t="str">
        <x:v>S10</x:v>
      </x:c>
      <x:c r="D101" s="2" t="str">
        <x:v>Retained</x:v>
      </x:c>
      <x:c r="E101" s="2" t="n">
        <x:v>1</x:v>
      </x:c>
      <x:c r="F101" s="2" t="n">
        <x:v>6</x:v>
      </x:c>
      <x:c r="G101" s="2" t="n">
        <x:f>COUNTIFS('Rankings'!$A$6:$A$423,B101,'Rankings'!$E$6:$E$423,"&lt;="&amp;F101)</x:f>
        <x:v>6</x:v>
      </x:c>
      <x:c r="H101" s="2" t="n">
        <x:f>SUMIFS('Rankings'!$J$6:$J$423,'Rankings'!$A$6:$A$423,B101,'Rankings'!$E$6:$E$423,"&lt;="&amp;F101)</x:f>
        <x:v>6</x:v>
      </x:c>
      <x:c r="I101" s="2" t="n">
        <x:f>G101-SUMIFS('Rankings'!$I$6:$I$423,'Rankings'!$A$6:$A$423,B101,'Rankings'!$E$6:$E$423,"&lt;="&amp;F101)</x:f>
        <x:v>0</x:v>
      </x:c>
      <x:c r="J101" s="2" t="n">
        <x:f>SUMIFS('Ratings'!$H$6:$H$1387,'Ratings'!$B$6:$B$1387,C101)</x:f>
        <x:v>18</x:v>
      </x:c>
      <x:c r="K101" s="15" t="n">
        <x:f>IF(I101&gt;0,"Unknown",H101/F101)</x:f>
        <x:v>1</x:v>
      </x:c>
      <x:c r="L101" s="15" t="n">
        <x:f>IF(J101=0,"N/A",H101/J101)</x:f>
        <x:v>0.3333333333333333</x:v>
      </x:c>
      <x:c r="M101" s="14" t="n">
        <x:f>SUMIFS('Rankings'!$L$6:$L$423,'Rankings'!$A$6:$A$423,B101,'Rankings'!$E$6:$E$423,"&lt;="&amp;F101)</x:f>
        <x:v>23.132664141911903</x:v>
      </x:c>
      <x:c r="N101" s="14" t="n">
        <x:f>SUMIFS('Ideal ranking'!$H$6:$H$365,'Ideal ranking'!$A$6:$A$365,C101,'Ideal ranking'!$B$6:$B$365,"&lt;="&amp;F101)</x:f>
        <x:v>23.132664141911903</x:v>
      </x:c>
      <x:c r="O101" s="14" t="n">
        <x:f>IF(I101&gt;0,"Unknown",IF(N101=0,"N/A",M101/N101))</x:f>
        <x:v>1</x:v>
      </x:c>
      <x:c r="P101" s="15" t="n">
        <x:f>IF(G101=0,"N/A",IF(I101&gt;0,"Unknown",H101/G101))</x:f>
        <x:v>1</x:v>
      </x:c>
      <x:c r="Q101" s="2" t="n">
        <x:f>F101-G101</x:f>
        <x:v>0</x:v>
      </x:c>
    </x:row>
    <x:row r="102" ht="22" customHeight="1">
      <x:c r="A102" s="2" t="str">
        <x:v>S10-T01|7</x:v>
      </x:c>
      <x:c r="B102" s="2" t="str">
        <x:v>S10-T01</x:v>
      </x:c>
      <x:c r="C102" s="2" t="str">
        <x:v>S10</x:v>
      </x:c>
      <x:c r="D102" s="2" t="str">
        <x:v>Retained</x:v>
      </x:c>
      <x:c r="E102" s="2" t="n">
        <x:v>1</x:v>
      </x:c>
      <x:c r="F102" s="2" t="n">
        <x:v>7</x:v>
      </x:c>
      <x:c r="G102" s="2" t="n">
        <x:f>COUNTIFS('Rankings'!$A$6:$A$423,B102,'Rankings'!$E$6:$E$423,"&lt;="&amp;F102)</x:f>
        <x:v>7</x:v>
      </x:c>
      <x:c r="H102" s="2" t="n">
        <x:f>SUMIFS('Rankings'!$J$6:$J$423,'Rankings'!$A$6:$A$423,B102,'Rankings'!$E$6:$E$423,"&lt;="&amp;F102)</x:f>
        <x:v>7</x:v>
      </x:c>
      <x:c r="I102" s="2" t="n">
        <x:f>G102-SUMIFS('Rankings'!$I$6:$I$423,'Rankings'!$A$6:$A$423,B102,'Rankings'!$E$6:$E$423,"&lt;="&amp;F102)</x:f>
        <x:v>0</x:v>
      </x:c>
      <x:c r="J102" s="2" t="n">
        <x:f>SUMIFS('Ratings'!$H$6:$H$1387,'Ratings'!$B$6:$B$1387,C102)</x:f>
        <x:v>18</x:v>
      </x:c>
      <x:c r="K102" s="15" t="n">
        <x:f>IF(I102&gt;0,"Unknown",H102/F102)</x:f>
        <x:v>1</x:v>
      </x:c>
      <x:c r="L102" s="15" t="n">
        <x:f>IF(J102=0,"N/A",H102/J102)</x:f>
        <x:v>0.3888888888888889</x:v>
      </x:c>
      <x:c r="M102" s="14" t="n">
        <x:f>SUMIFS('Rankings'!$L$6:$L$423,'Rankings'!$A$6:$A$423,B102,'Rankings'!$E$6:$E$423,"&lt;="&amp;F102)</x:f>
        <x:v>25.465997475245235</x:v>
      </x:c>
      <x:c r="N102" s="14" t="n">
        <x:f>SUMIFS('Ideal ranking'!$H$6:$H$365,'Ideal ranking'!$A$6:$A$365,C102,'Ideal ranking'!$B$6:$B$365,"&lt;="&amp;F102)</x:f>
        <x:v>25.465997475245235</x:v>
      </x:c>
      <x:c r="O102" s="14" t="n">
        <x:f>IF(I102&gt;0,"Unknown",IF(N102=0,"N/A",M102/N102))</x:f>
        <x:v>1</x:v>
      </x:c>
      <x:c r="P102" s="15" t="n">
        <x:f>IF(G102=0,"N/A",IF(I102&gt;0,"Unknown",H102/G102))</x:f>
        <x:v>1</x:v>
      </x:c>
      <x:c r="Q102" s="2" t="n">
        <x:f>F102-G102</x:f>
        <x:v>0</x:v>
      </x:c>
    </x:row>
    <x:row r="103" ht="22" customHeight="1">
      <x:c r="A103" s="2" t="str">
        <x:v>S10-T01|8</x:v>
      </x:c>
      <x:c r="B103" s="2" t="str">
        <x:v>S10-T01</x:v>
      </x:c>
      <x:c r="C103" s="2" t="str">
        <x:v>S10</x:v>
      </x:c>
      <x:c r="D103" s="2" t="str">
        <x:v>Retained</x:v>
      </x:c>
      <x:c r="E103" s="2" t="n">
        <x:v>1</x:v>
      </x:c>
      <x:c r="F103" s="2" t="n">
        <x:v>8</x:v>
      </x:c>
      <x:c r="G103" s="2" t="n">
        <x:f>COUNTIFS('Rankings'!$A$6:$A$423,B103,'Rankings'!$E$6:$E$423,"&lt;="&amp;F103)</x:f>
        <x:v>8</x:v>
      </x:c>
      <x:c r="H103" s="2" t="n">
        <x:f>SUMIFS('Rankings'!$J$6:$J$423,'Rankings'!$A$6:$A$423,B103,'Rankings'!$E$6:$E$423,"&lt;="&amp;F103)</x:f>
        <x:v>8</x:v>
      </x:c>
      <x:c r="I103" s="2" t="n">
        <x:f>G103-SUMIFS('Rankings'!$I$6:$I$423,'Rankings'!$A$6:$A$423,B103,'Rankings'!$E$6:$E$423,"&lt;="&amp;F103)</x:f>
        <x:v>0</x:v>
      </x:c>
      <x:c r="J103" s="2" t="n">
        <x:f>SUMIFS('Ratings'!$H$6:$H$1387,'Ratings'!$B$6:$B$1387,C103)</x:f>
        <x:v>18</x:v>
      </x:c>
      <x:c r="K103" s="15" t="n">
        <x:f>IF(I103&gt;0,"Unknown",H103/F103)</x:f>
        <x:v>1</x:v>
      </x:c>
      <x:c r="L103" s="15" t="n">
        <x:f>IF(J103=0,"N/A",H103/J103)</x:f>
        <x:v>0.4444444444444444</x:v>
      </x:c>
      <x:c r="M103" s="14" t="n">
        <x:f>SUMIFS('Rankings'!$L$6:$L$423,'Rankings'!$A$6:$A$423,B103,'Rankings'!$E$6:$E$423,"&lt;="&amp;F103)</x:f>
        <x:v>27.674251612745337</x:v>
      </x:c>
      <x:c r="N103" s="14" t="n">
        <x:f>SUMIFS('Ideal ranking'!$H$6:$H$365,'Ideal ranking'!$A$6:$A$365,C103,'Ideal ranking'!$B$6:$B$365,"&lt;="&amp;F103)</x:f>
        <x:v>27.674251612745337</x:v>
      </x:c>
      <x:c r="O103" s="14" t="n">
        <x:f>IF(I103&gt;0,"Unknown",IF(N103=0,"N/A",M103/N103))</x:f>
        <x:v>1</x:v>
      </x:c>
      <x:c r="P103" s="15" t="n">
        <x:f>IF(G103=0,"N/A",IF(I103&gt;0,"Unknown",H103/G103))</x:f>
        <x:v>1</x:v>
      </x:c>
      <x:c r="Q103" s="2" t="n">
        <x:f>F103-G103</x:f>
        <x:v>0</x:v>
      </x:c>
    </x:row>
    <x:row r="104" ht="22" customHeight="1">
      <x:c r="A104" s="2" t="str">
        <x:v>S10-T01|9</x:v>
      </x:c>
      <x:c r="B104" s="2" t="str">
        <x:v>S10-T01</x:v>
      </x:c>
      <x:c r="C104" s="2" t="str">
        <x:v>S10</x:v>
      </x:c>
      <x:c r="D104" s="2" t="str">
        <x:v>Retained</x:v>
      </x:c>
      <x:c r="E104" s="2" t="n">
        <x:v>1</x:v>
      </x:c>
      <x:c r="F104" s="2" t="n">
        <x:v>9</x:v>
      </x:c>
      <x:c r="G104" s="2" t="n">
        <x:f>COUNTIFS('Rankings'!$A$6:$A$423,B104,'Rankings'!$E$6:$E$423,"&lt;="&amp;F104)</x:f>
        <x:v>9</x:v>
      </x:c>
      <x:c r="H104" s="2" t="n">
        <x:f>SUMIFS('Rankings'!$J$6:$J$423,'Rankings'!$A$6:$A$423,B104,'Rankings'!$E$6:$E$423,"&lt;="&amp;F104)</x:f>
        <x:v>9</x:v>
      </x:c>
      <x:c r="I104" s="2" t="n">
        <x:f>G104-SUMIFS('Rankings'!$I$6:$I$423,'Rankings'!$A$6:$A$423,B104,'Rankings'!$E$6:$E$423,"&lt;="&amp;F104)</x:f>
        <x:v>0</x:v>
      </x:c>
      <x:c r="J104" s="2" t="n">
        <x:f>SUMIFS('Ratings'!$H$6:$H$1387,'Ratings'!$B$6:$B$1387,C104)</x:f>
        <x:v>18</x:v>
      </x:c>
      <x:c r="K104" s="15" t="n">
        <x:f>IF(I104&gt;0,"Unknown",H104/F104)</x:f>
        <x:v>1</x:v>
      </x:c>
      <x:c r="L104" s="15" t="n">
        <x:f>IF(J104=0,"N/A",H104/J104)</x:f>
        <x:v>0.5</x:v>
      </x:c>
      <x:c r="M104" s="14" t="n">
        <x:f>SUMIFS('Rankings'!$L$6:$L$423,'Rankings'!$A$6:$A$423,B104,'Rankings'!$E$6:$E$423,"&lt;="&amp;F104)</x:f>
        <x:v>28.57734159973728</x:v>
      </x:c>
      <x:c r="N104" s="14" t="n">
        <x:f>SUMIFS('Ideal ranking'!$H$6:$H$365,'Ideal ranking'!$A$6:$A$365,C104,'Ideal ranking'!$B$6:$B$365,"&lt;="&amp;F104)</x:f>
        <x:v>28.57734159973728</x:v>
      </x:c>
      <x:c r="O104" s="14" t="n">
        <x:f>IF(I104&gt;0,"Unknown",IF(N104=0,"N/A",M104/N104))</x:f>
        <x:v>1</x:v>
      </x:c>
      <x:c r="P104" s="15" t="n">
        <x:f>IF(G104=0,"N/A",IF(I104&gt;0,"Unknown",H104/G104))</x:f>
        <x:v>1</x:v>
      </x:c>
      <x:c r="Q104" s="2" t="n">
        <x:f>F104-G104</x:f>
        <x:v>0</x:v>
      </x:c>
    </x:row>
    <x:row r="105" ht="22" customHeight="1">
      <x:c r="A105" s="2" t="str">
        <x:v>S10-T01|10</x:v>
      </x:c>
      <x:c r="B105" s="2" t="str">
        <x:v>S10-T01</x:v>
      </x:c>
      <x:c r="C105" s="2" t="str">
        <x:v>S10</x:v>
      </x:c>
      <x:c r="D105" s="2" t="str">
        <x:v>Retained</x:v>
      </x:c>
      <x:c r="E105" s="2" t="n">
        <x:v>1</x:v>
      </x:c>
      <x:c r="F105" s="2" t="n">
        <x:v>10</x:v>
      </x:c>
      <x:c r="G105" s="2" t="n">
        <x:f>COUNTIFS('Rankings'!$A$6:$A$423,B105,'Rankings'!$E$6:$E$423,"&lt;="&amp;F105)</x:f>
        <x:v>10</x:v>
      </x:c>
      <x:c r="H105" s="2" t="n">
        <x:f>SUMIFS('Rankings'!$J$6:$J$423,'Rankings'!$A$6:$A$423,B105,'Rankings'!$E$6:$E$423,"&lt;="&amp;F105)</x:f>
        <x:v>10</x:v>
      </x:c>
      <x:c r="I105" s="2" t="n">
        <x:f>G105-SUMIFS('Rankings'!$I$6:$I$423,'Rankings'!$A$6:$A$423,B105,'Rankings'!$E$6:$E$423,"&lt;="&amp;F105)</x:f>
        <x:v>0</x:v>
      </x:c>
      <x:c r="J105" s="2" t="n">
        <x:f>SUMIFS('Ratings'!$H$6:$H$1387,'Ratings'!$B$6:$B$1387,C105)</x:f>
        <x:v>18</x:v>
      </x:c>
      <x:c r="K105" s="15" t="n">
        <x:f>IF(I105&gt;0,"Unknown",H105/F105)</x:f>
        <x:v>1</x:v>
      </x:c>
      <x:c r="L105" s="15" t="n">
        <x:f>IF(J105=0,"N/A",H105/J105)</x:f>
        <x:v>0.5555555555555556</x:v>
      </x:c>
      <x:c r="M105" s="14" t="n">
        <x:f>SUMIFS('Rankings'!$L$6:$L$423,'Rankings'!$A$6:$A$423,B105,'Rankings'!$E$6:$E$423,"&lt;="&amp;F105)</x:f>
        <x:v>29.444536078690945</x:v>
      </x:c>
      <x:c r="N105" s="14" t="n">
        <x:f>SUMIFS('Ideal ranking'!$H$6:$H$365,'Ideal ranking'!$A$6:$A$365,C105,'Ideal ranking'!$B$6:$B$365,"&lt;="&amp;F105)</x:f>
        <x:v>29.444536078690945</x:v>
      </x:c>
      <x:c r="O105" s="14" t="n">
        <x:f>IF(I105&gt;0,"Unknown",IF(N105=0,"N/A",M105/N105))</x:f>
        <x:v>1</x:v>
      </x:c>
      <x:c r="P105" s="15" t="n">
        <x:f>IF(G105=0,"N/A",IF(I105&gt;0,"Unknown",H105/G105))</x:f>
        <x:v>1</x:v>
      </x:c>
      <x:c r="Q105" s="2" t="n">
        <x:f>F105-G105</x:f>
        <x:v>0</x:v>
      </x:c>
    </x:row>
    <x:row r="106" ht="22" customHeight="1">
      <x:c r="A106" s="2" t="str">
        <x:v>S11-T01|1</x:v>
      </x:c>
      <x:c r="B106" s="2" t="str">
        <x:v>S11-T01</x:v>
      </x:c>
      <x:c r="C106" s="2" t="str">
        <x:v>S11</x:v>
      </x:c>
      <x:c r="D106" s="2" t="str">
        <x:v>Retained</x:v>
      </x:c>
      <x:c r="E106" s="2" t="n">
        <x:v>1</x:v>
      </x:c>
      <x:c r="F106" s="2" t="n">
        <x:v>1</x:v>
      </x:c>
      <x:c r="G106" s="2" t="n">
        <x:f>COUNTIFS('Rankings'!$A$6:$A$423,B106,'Rankings'!$E$6:$E$423,"&lt;="&amp;F106)</x:f>
        <x:v>1</x:v>
      </x:c>
      <x:c r="H106" s="2" t="n">
        <x:f>SUMIFS('Rankings'!$J$6:$J$423,'Rankings'!$A$6:$A$423,B106,'Rankings'!$E$6:$E$423,"&lt;="&amp;F106)</x:f>
        <x:v>1</x:v>
      </x:c>
      <x:c r="I106" s="2" t="n">
        <x:f>G106-SUMIFS('Rankings'!$I$6:$I$423,'Rankings'!$A$6:$A$423,B106,'Rankings'!$E$6:$E$423,"&lt;="&amp;F106)</x:f>
        <x:v>0</x:v>
      </x:c>
      <x:c r="J106" s="2" t="n">
        <x:f>SUMIFS('Ratings'!$H$6:$H$1387,'Ratings'!$B$6:$B$1387,C106)</x:f>
        <x:v>13</x:v>
      </x:c>
      <x:c r="K106" s="15" t="n">
        <x:f>IF(I106&gt;0,"Unknown",H106/F106)</x:f>
        <x:v>1</x:v>
      </x:c>
      <x:c r="L106" s="15" t="n">
        <x:f>IF(J106=0,"N/A",H106/J106)</x:f>
        <x:v>0.07692307692307693</x:v>
      </x:c>
      <x:c r="M106" s="14" t="n">
        <x:f>SUMIFS('Rankings'!$L$6:$L$423,'Rankings'!$A$6:$A$423,B106,'Rankings'!$E$6:$E$423,"&lt;="&amp;F106)</x:f>
        <x:v>7</x:v>
      </x:c>
      <x:c r="N106" s="14" t="n">
        <x:f>SUMIFS('Ideal ranking'!$H$6:$H$365,'Ideal ranking'!$A$6:$A$365,C106,'Ideal ranking'!$B$6:$B$365,"&lt;="&amp;F106)</x:f>
        <x:v>7</x:v>
      </x:c>
      <x:c r="O106" s="14" t="n">
        <x:f>IF(I106&gt;0,"Unknown",IF(N106=0,"N/A",M106/N106))</x:f>
        <x:v>1</x:v>
      </x:c>
      <x:c r="P106" s="15" t="n">
        <x:f>IF(G106=0,"N/A",IF(I106&gt;0,"Unknown",H106/G106))</x:f>
        <x:v>1</x:v>
      </x:c>
      <x:c r="Q106" s="2" t="n">
        <x:f>F106-G106</x:f>
        <x:v>0</x:v>
      </x:c>
    </x:row>
    <x:row r="107" ht="22" customHeight="1">
      <x:c r="A107" s="2" t="str">
        <x:v>S11-T01|2</x:v>
      </x:c>
      <x:c r="B107" s="2" t="str">
        <x:v>S11-T01</x:v>
      </x:c>
      <x:c r="C107" s="2" t="str">
        <x:v>S11</x:v>
      </x:c>
      <x:c r="D107" s="2" t="str">
        <x:v>Retained</x:v>
      </x:c>
      <x:c r="E107" s="2" t="n">
        <x:v>1</x:v>
      </x:c>
      <x:c r="F107" s="2" t="n">
        <x:v>2</x:v>
      </x:c>
      <x:c r="G107" s="2" t="n">
        <x:f>COUNTIFS('Rankings'!$A$6:$A$423,B107,'Rankings'!$E$6:$E$423,"&lt;="&amp;F107)</x:f>
        <x:v>2</x:v>
      </x:c>
      <x:c r="H107" s="2" t="n">
        <x:f>SUMIFS('Rankings'!$J$6:$J$423,'Rankings'!$A$6:$A$423,B107,'Rankings'!$E$6:$E$423,"&lt;="&amp;F107)</x:f>
        <x:v>2</x:v>
      </x:c>
      <x:c r="I107" s="2" t="n">
        <x:f>G107-SUMIFS('Rankings'!$I$6:$I$423,'Rankings'!$A$6:$A$423,B107,'Rankings'!$E$6:$E$423,"&lt;="&amp;F107)</x:f>
        <x:v>0</x:v>
      </x:c>
      <x:c r="J107" s="2" t="n">
        <x:f>SUMIFS('Ratings'!$H$6:$H$1387,'Ratings'!$B$6:$B$1387,C107)</x:f>
        <x:v>13</x:v>
      </x:c>
      <x:c r="K107" s="15" t="n">
        <x:f>IF(I107&gt;0,"Unknown",H107/F107)</x:f>
        <x:v>1</x:v>
      </x:c>
      <x:c r="L107" s="15" t="n">
        <x:f>IF(J107=0,"N/A",H107/J107)</x:f>
        <x:v>0.15384615384615385</x:v>
      </x:c>
      <x:c r="M107" s="14" t="n">
        <x:f>SUMIFS('Rankings'!$L$6:$L$423,'Rankings'!$A$6:$A$423,B107,'Rankings'!$E$6:$E$423,"&lt;="&amp;F107)</x:f>
        <x:v>11.416508275000202</x:v>
      </x:c>
      <x:c r="N107" s="14" t="n">
        <x:f>SUMIFS('Ideal ranking'!$H$6:$H$365,'Ideal ranking'!$A$6:$A$365,C107,'Ideal ranking'!$B$6:$B$365,"&lt;="&amp;F107)</x:f>
        <x:v>11.416508275000202</x:v>
      </x:c>
      <x:c r="O107" s="14" t="n">
        <x:f>IF(I107&gt;0,"Unknown",IF(N107=0,"N/A",M107/N107))</x:f>
        <x:v>1</x:v>
      </x:c>
      <x:c r="P107" s="15" t="n">
        <x:f>IF(G107=0,"N/A",IF(I107&gt;0,"Unknown",H107/G107))</x:f>
        <x:v>1</x:v>
      </x:c>
      <x:c r="Q107" s="2" t="n">
        <x:f>F107-G107</x:f>
        <x:v>0</x:v>
      </x:c>
    </x:row>
    <x:row r="108" ht="22" customHeight="1">
      <x:c r="A108" s="2" t="str">
        <x:v>S11-T01|3</x:v>
      </x:c>
      <x:c r="B108" s="2" t="str">
        <x:v>S11-T01</x:v>
      </x:c>
      <x:c r="C108" s="2" t="str">
        <x:v>S11</x:v>
      </x:c>
      <x:c r="D108" s="2" t="str">
        <x:v>Retained</x:v>
      </x:c>
      <x:c r="E108" s="2" t="n">
        <x:v>1</x:v>
      </x:c>
      <x:c r="F108" s="2" t="n">
        <x:v>3</x:v>
      </x:c>
      <x:c r="G108" s="2" t="n">
        <x:f>COUNTIFS('Rankings'!$A$6:$A$423,B108,'Rankings'!$E$6:$E$423,"&lt;="&amp;F108)</x:f>
        <x:v>3</x:v>
      </x:c>
      <x:c r="H108" s="2" t="n">
        <x:f>SUMIFS('Rankings'!$J$6:$J$423,'Rankings'!$A$6:$A$423,B108,'Rankings'!$E$6:$E$423,"&lt;="&amp;F108)</x:f>
        <x:v>3</x:v>
      </x:c>
      <x:c r="I108" s="2" t="n">
        <x:f>G108-SUMIFS('Rankings'!$I$6:$I$423,'Rankings'!$A$6:$A$423,B108,'Rankings'!$E$6:$E$423,"&lt;="&amp;F108)</x:f>
        <x:v>0</x:v>
      </x:c>
      <x:c r="J108" s="2" t="n">
        <x:f>SUMIFS('Ratings'!$H$6:$H$1387,'Ratings'!$B$6:$B$1387,C108)</x:f>
        <x:v>13</x:v>
      </x:c>
      <x:c r="K108" s="15" t="n">
        <x:f>IF(I108&gt;0,"Unknown",H108/F108)</x:f>
        <x:v>1</x:v>
      </x:c>
      <x:c r="L108" s="15" t="n">
        <x:f>IF(J108=0,"N/A",H108/J108)</x:f>
        <x:v>0.23076923076923078</x:v>
      </x:c>
      <x:c r="M108" s="14" t="n">
        <x:f>SUMIFS('Rankings'!$L$6:$L$423,'Rankings'!$A$6:$A$423,B108,'Rankings'!$E$6:$E$423,"&lt;="&amp;F108)</x:f>
        <x:v>14.916508275000202</x:v>
      </x:c>
      <x:c r="N108" s="14" t="n">
        <x:f>SUMIFS('Ideal ranking'!$H$6:$H$365,'Ideal ranking'!$A$6:$A$365,C108,'Ideal ranking'!$B$6:$B$365,"&lt;="&amp;F108)</x:f>
        <x:v>14.916508275000202</x:v>
      </x:c>
      <x:c r="O108" s="14" t="n">
        <x:f>IF(I108&gt;0,"Unknown",IF(N108=0,"N/A",M108/N108))</x:f>
        <x:v>1</x:v>
      </x:c>
      <x:c r="P108" s="15" t="n">
        <x:f>IF(G108=0,"N/A",IF(I108&gt;0,"Unknown",H108/G108))</x:f>
        <x:v>1</x:v>
      </x:c>
      <x:c r="Q108" s="2" t="n">
        <x:f>F108-G108</x:f>
        <x:v>0</x:v>
      </x:c>
    </x:row>
    <x:row r="109" ht="22" customHeight="1">
      <x:c r="A109" s="2" t="str">
        <x:v>S11-T01|4</x:v>
      </x:c>
      <x:c r="B109" s="2" t="str">
        <x:v>S11-T01</x:v>
      </x:c>
      <x:c r="C109" s="2" t="str">
        <x:v>S11</x:v>
      </x:c>
      <x:c r="D109" s="2" t="str">
        <x:v>Retained</x:v>
      </x:c>
      <x:c r="E109" s="2" t="n">
        <x:v>1</x:v>
      </x:c>
      <x:c r="F109" s="2" t="n">
        <x:v>4</x:v>
      </x:c>
      <x:c r="G109" s="2" t="n">
        <x:f>COUNTIFS('Rankings'!$A$6:$A$423,B109,'Rankings'!$E$6:$E$423,"&lt;="&amp;F109)</x:f>
        <x:v>4</x:v>
      </x:c>
      <x:c r="H109" s="2" t="n">
        <x:f>SUMIFS('Rankings'!$J$6:$J$423,'Rankings'!$A$6:$A$423,B109,'Rankings'!$E$6:$E$423,"&lt;="&amp;F109)</x:f>
        <x:v>4</x:v>
      </x:c>
      <x:c r="I109" s="2" t="n">
        <x:f>G109-SUMIFS('Rankings'!$I$6:$I$423,'Rankings'!$A$6:$A$423,B109,'Rankings'!$E$6:$E$423,"&lt;="&amp;F109)</x:f>
        <x:v>0</x:v>
      </x:c>
      <x:c r="J109" s="2" t="n">
        <x:f>SUMIFS('Ratings'!$H$6:$H$1387,'Ratings'!$B$6:$B$1387,C109)</x:f>
        <x:v>13</x:v>
      </x:c>
      <x:c r="K109" s="15" t="n">
        <x:f>IF(I109&gt;0,"Unknown",H109/F109)</x:f>
        <x:v>1</x:v>
      </x:c>
      <x:c r="L109" s="15" t="n">
        <x:f>IF(J109=0,"N/A",H109/J109)</x:f>
        <x:v>0.3076923076923077</x:v>
      </x:c>
      <x:c r="M109" s="14" t="n">
        <x:f>SUMIFS('Rankings'!$L$6:$L$423,'Rankings'!$A$6:$A$423,B109,'Rankings'!$E$6:$E$423,"&lt;="&amp;F109)</x:f>
        <x:v>17.931244181513954</x:v>
      </x:c>
      <x:c r="N109" s="14" t="n">
        <x:f>SUMIFS('Ideal ranking'!$H$6:$H$365,'Ideal ranking'!$A$6:$A$365,C109,'Ideal ranking'!$B$6:$B$365,"&lt;="&amp;F109)</x:f>
        <x:v>17.931244181513954</x:v>
      </x:c>
      <x:c r="O109" s="14" t="n">
        <x:f>IF(I109&gt;0,"Unknown",IF(N109=0,"N/A",M109/N109))</x:f>
        <x:v>1</x:v>
      </x:c>
      <x:c r="P109" s="15" t="n">
        <x:f>IF(G109=0,"N/A",IF(I109&gt;0,"Unknown",H109/G109))</x:f>
        <x:v>1</x:v>
      </x:c>
      <x:c r="Q109" s="2" t="n">
        <x:f>F109-G109</x:f>
        <x:v>0</x:v>
      </x:c>
    </x:row>
    <x:row r="110" ht="22" customHeight="1">
      <x:c r="A110" s="2" t="str">
        <x:v>S11-T01|5</x:v>
      </x:c>
      <x:c r="B110" s="2" t="str">
        <x:v>S11-T01</x:v>
      </x:c>
      <x:c r="C110" s="2" t="str">
        <x:v>S11</x:v>
      </x:c>
      <x:c r="D110" s="2" t="str">
        <x:v>Retained</x:v>
      </x:c>
      <x:c r="E110" s="2" t="n">
        <x:v>1</x:v>
      </x:c>
      <x:c r="F110" s="2" t="n">
        <x:v>5</x:v>
      </x:c>
      <x:c r="G110" s="2" t="n">
        <x:f>COUNTIFS('Rankings'!$A$6:$A$423,B110,'Rankings'!$E$6:$E$423,"&lt;="&amp;F110)</x:f>
        <x:v>5</x:v>
      </x:c>
      <x:c r="H110" s="2" t="n">
        <x:f>SUMIFS('Rankings'!$J$6:$J$423,'Rankings'!$A$6:$A$423,B110,'Rankings'!$E$6:$E$423,"&lt;="&amp;F110)</x:f>
        <x:v>5</x:v>
      </x:c>
      <x:c r="I110" s="2" t="n">
        <x:f>G110-SUMIFS('Rankings'!$I$6:$I$423,'Rankings'!$A$6:$A$423,B110,'Rankings'!$E$6:$E$423,"&lt;="&amp;F110)</x:f>
        <x:v>0</x:v>
      </x:c>
      <x:c r="J110" s="2" t="n">
        <x:f>SUMIFS('Ratings'!$H$6:$H$1387,'Ratings'!$B$6:$B$1387,C110)</x:f>
        <x:v>13</x:v>
      </x:c>
      <x:c r="K110" s="15" t="n">
        <x:f>IF(I110&gt;0,"Unknown",H110/F110)</x:f>
        <x:v>1</x:v>
      </x:c>
      <x:c r="L110" s="15" t="n">
        <x:f>IF(J110=0,"N/A",H110/J110)</x:f>
        <x:v>0.38461538461538464</x:v>
      </x:c>
      <x:c r="M110" s="14" t="n">
        <x:f>SUMIFS('Rankings'!$L$6:$L$423,'Rankings'!$A$6:$A$423,B110,'Rankings'!$E$6:$E$423,"&lt;="&amp;F110)</x:f>
        <x:v>20.639213832155747</x:v>
      </x:c>
      <x:c r="N110" s="14" t="n">
        <x:f>SUMIFS('Ideal ranking'!$H$6:$H$365,'Ideal ranking'!$A$6:$A$365,C110,'Ideal ranking'!$B$6:$B$365,"&lt;="&amp;F110)</x:f>
        <x:v>20.639213832155747</x:v>
      </x:c>
      <x:c r="O110" s="14" t="n">
        <x:f>IF(I110&gt;0,"Unknown",IF(N110=0,"N/A",M110/N110))</x:f>
        <x:v>1</x:v>
      </x:c>
      <x:c r="P110" s="15" t="n">
        <x:f>IF(G110=0,"N/A",IF(I110&gt;0,"Unknown",H110/G110))</x:f>
        <x:v>1</x:v>
      </x:c>
      <x:c r="Q110" s="2" t="n">
        <x:f>F110-G110</x:f>
        <x:v>0</x:v>
      </x:c>
    </x:row>
    <x:row r="111" ht="22" customHeight="1">
      <x:c r="A111" s="2" t="str">
        <x:v>S11-T01|6</x:v>
      </x:c>
      <x:c r="B111" s="2" t="str">
        <x:v>S11-T01</x:v>
      </x:c>
      <x:c r="C111" s="2" t="str">
        <x:v>S11</x:v>
      </x:c>
      <x:c r="D111" s="2" t="str">
        <x:v>Retained</x:v>
      </x:c>
      <x:c r="E111" s="2" t="n">
        <x:v>1</x:v>
      </x:c>
      <x:c r="F111" s="2" t="n">
        <x:v>6</x:v>
      </x:c>
      <x:c r="G111" s="2" t="n">
        <x:f>COUNTIFS('Rankings'!$A$6:$A$423,B111,'Rankings'!$E$6:$E$423,"&lt;="&amp;F111)</x:f>
        <x:v>6</x:v>
      </x:c>
      <x:c r="H111" s="2" t="n">
        <x:f>SUMIFS('Rankings'!$J$6:$J$423,'Rankings'!$A$6:$A$423,B111,'Rankings'!$E$6:$E$423,"&lt;="&amp;F111)</x:f>
        <x:v>6</x:v>
      </x:c>
      <x:c r="I111" s="2" t="n">
        <x:f>G111-SUMIFS('Rankings'!$I$6:$I$423,'Rankings'!$A$6:$A$423,B111,'Rankings'!$E$6:$E$423,"&lt;="&amp;F111)</x:f>
        <x:v>0</x:v>
      </x:c>
      <x:c r="J111" s="2" t="n">
        <x:f>SUMIFS('Ratings'!$H$6:$H$1387,'Ratings'!$B$6:$B$1387,C111)</x:f>
        <x:v>13</x:v>
      </x:c>
      <x:c r="K111" s="15" t="n">
        <x:f>IF(I111&gt;0,"Unknown",H111/F111)</x:f>
        <x:v>1</x:v>
      </x:c>
      <x:c r="L111" s="15" t="n">
        <x:f>IF(J111=0,"N/A",H111/J111)</x:f>
        <x:v>0.46153846153846156</x:v>
      </x:c>
      <x:c r="M111" s="14" t="n">
        <x:f>SUMIFS('Rankings'!$L$6:$L$423,'Rankings'!$A$6:$A$423,B111,'Rankings'!$E$6:$E$423,"&lt;="&amp;F111)</x:f>
        <x:v>21.70783539347981</x:v>
      </x:c>
      <x:c r="N111" s="14" t="n">
        <x:f>SUMIFS('Ideal ranking'!$H$6:$H$365,'Ideal ranking'!$A$6:$A$365,C111,'Ideal ranking'!$B$6:$B$365,"&lt;="&amp;F111)</x:f>
        <x:v>21.70783539347981</x:v>
      </x:c>
      <x:c r="O111" s="14" t="n">
        <x:f>IF(I111&gt;0,"Unknown",IF(N111=0,"N/A",M111/N111))</x:f>
        <x:v>1</x:v>
      </x:c>
      <x:c r="P111" s="15" t="n">
        <x:f>IF(G111=0,"N/A",IF(I111&gt;0,"Unknown",H111/G111))</x:f>
        <x:v>1</x:v>
      </x:c>
      <x:c r="Q111" s="2" t="n">
        <x:f>F111-G111</x:f>
        <x:v>0</x:v>
      </x:c>
    </x:row>
    <x:row r="112" ht="22" customHeight="1">
      <x:c r="A112" s="2" t="str">
        <x:v>S11-T01|7</x:v>
      </x:c>
      <x:c r="B112" s="2" t="str">
        <x:v>S11-T01</x:v>
      </x:c>
      <x:c r="C112" s="2" t="str">
        <x:v>S11</x:v>
      </x:c>
      <x:c r="D112" s="2" t="str">
        <x:v>Retained</x:v>
      </x:c>
      <x:c r="E112" s="2" t="n">
        <x:v>1</x:v>
      </x:c>
      <x:c r="F112" s="2" t="n">
        <x:v>7</x:v>
      </x:c>
      <x:c r="G112" s="2" t="n">
        <x:f>COUNTIFS('Rankings'!$A$6:$A$423,B112,'Rankings'!$E$6:$E$423,"&lt;="&amp;F112)</x:f>
        <x:v>7</x:v>
      </x:c>
      <x:c r="H112" s="2" t="n">
        <x:f>SUMIFS('Rankings'!$J$6:$J$423,'Rankings'!$A$6:$A$423,B112,'Rankings'!$E$6:$E$423,"&lt;="&amp;F112)</x:f>
        <x:v>7</x:v>
      </x:c>
      <x:c r="I112" s="2" t="n">
        <x:f>G112-SUMIFS('Rankings'!$I$6:$I$423,'Rankings'!$A$6:$A$423,B112,'Rankings'!$E$6:$E$423,"&lt;="&amp;F112)</x:f>
        <x:v>0</x:v>
      </x:c>
      <x:c r="J112" s="2" t="n">
        <x:f>SUMIFS('Ratings'!$H$6:$H$1387,'Ratings'!$B$6:$B$1387,C112)</x:f>
        <x:v>13</x:v>
      </x:c>
      <x:c r="K112" s="15" t="n">
        <x:f>IF(I112&gt;0,"Unknown",H112/F112)</x:f>
        <x:v>1</x:v>
      </x:c>
      <x:c r="L112" s="15" t="n">
        <x:f>IF(J112=0,"N/A",H112/J112)</x:f>
        <x:v>0.5384615384615384</x:v>
      </x:c>
      <x:c r="M112" s="14" t="n">
        <x:f>SUMIFS('Rankings'!$L$6:$L$423,'Rankings'!$A$6:$A$423,B112,'Rankings'!$E$6:$E$423,"&lt;="&amp;F112)</x:f>
        <x:v>22.70783539347981</x:v>
      </x:c>
      <x:c r="N112" s="14" t="n">
        <x:f>SUMIFS('Ideal ranking'!$H$6:$H$365,'Ideal ranking'!$A$6:$A$365,C112,'Ideal ranking'!$B$6:$B$365,"&lt;="&amp;F112)</x:f>
        <x:v>22.70783539347981</x:v>
      </x:c>
      <x:c r="O112" s="14" t="n">
        <x:f>IF(I112&gt;0,"Unknown",IF(N112=0,"N/A",M112/N112))</x:f>
        <x:v>1</x:v>
      </x:c>
      <x:c r="P112" s="15" t="n">
        <x:f>IF(G112=0,"N/A",IF(I112&gt;0,"Unknown",H112/G112))</x:f>
        <x:v>1</x:v>
      </x:c>
      <x:c r="Q112" s="2" t="n">
        <x:f>F112-G112</x:f>
        <x:v>0</x:v>
      </x:c>
    </x:row>
    <x:row r="113" ht="22" customHeight="1">
      <x:c r="A113" s="2" t="str">
        <x:v>S11-T01|8</x:v>
      </x:c>
      <x:c r="B113" s="2" t="str">
        <x:v>S11-T01</x:v>
      </x:c>
      <x:c r="C113" s="2" t="str">
        <x:v>S11</x:v>
      </x:c>
      <x:c r="D113" s="2" t="str">
        <x:v>Retained</x:v>
      </x:c>
      <x:c r="E113" s="2" t="n">
        <x:v>1</x:v>
      </x:c>
      <x:c r="F113" s="2" t="n">
        <x:v>8</x:v>
      </x:c>
      <x:c r="G113" s="2" t="n">
        <x:f>COUNTIFS('Rankings'!$A$6:$A$423,B113,'Rankings'!$E$6:$E$423,"&lt;="&amp;F113)</x:f>
        <x:v>8</x:v>
      </x:c>
      <x:c r="H113" s="2" t="n">
        <x:f>SUMIFS('Rankings'!$J$6:$J$423,'Rankings'!$A$6:$A$423,B113,'Rankings'!$E$6:$E$423,"&lt;="&amp;F113)</x:f>
        <x:v>8</x:v>
      </x:c>
      <x:c r="I113" s="2" t="n">
        <x:f>G113-SUMIFS('Rankings'!$I$6:$I$423,'Rankings'!$A$6:$A$423,B113,'Rankings'!$E$6:$E$423,"&lt;="&amp;F113)</x:f>
        <x:v>0</x:v>
      </x:c>
      <x:c r="J113" s="2" t="n">
        <x:f>SUMIFS('Ratings'!$H$6:$H$1387,'Ratings'!$B$6:$B$1387,C113)</x:f>
        <x:v>13</x:v>
      </x:c>
      <x:c r="K113" s="15" t="n">
        <x:f>IF(I113&gt;0,"Unknown",H113/F113)</x:f>
        <x:v>1</x:v>
      </x:c>
      <x:c r="L113" s="15" t="n">
        <x:f>IF(J113=0,"N/A",H113/J113)</x:f>
        <x:v>0.6153846153846154</x:v>
      </x:c>
      <x:c r="M113" s="14" t="n">
        <x:f>SUMIFS('Rankings'!$L$6:$L$423,'Rankings'!$A$6:$A$423,B113,'Rankings'!$E$6:$E$423,"&lt;="&amp;F113)</x:f>
        <x:v>23.654230023837</x:v>
      </x:c>
      <x:c r="N113" s="14" t="n">
        <x:f>SUMIFS('Ideal ranking'!$H$6:$H$365,'Ideal ranking'!$A$6:$A$365,C113,'Ideal ranking'!$B$6:$B$365,"&lt;="&amp;F113)</x:f>
        <x:v>23.654230023837</x:v>
      </x:c>
      <x:c r="O113" s="14" t="n">
        <x:f>IF(I113&gt;0,"Unknown",IF(N113=0,"N/A",M113/N113))</x:f>
        <x:v>1</x:v>
      </x:c>
      <x:c r="P113" s="15" t="n">
        <x:f>IF(G113=0,"N/A",IF(I113&gt;0,"Unknown",H113/G113))</x:f>
        <x:v>1</x:v>
      </x:c>
      <x:c r="Q113" s="2" t="n">
        <x:f>F113-G113</x:f>
        <x:v>0</x:v>
      </x:c>
    </x:row>
    <x:row r="114" ht="22" customHeight="1">
      <x:c r="A114" s="2" t="str">
        <x:v>S11-T01|9</x:v>
      </x:c>
      <x:c r="B114" s="2" t="str">
        <x:v>S11-T01</x:v>
      </x:c>
      <x:c r="C114" s="2" t="str">
        <x:v>S11</x:v>
      </x:c>
      <x:c r="D114" s="2" t="str">
        <x:v>Retained</x:v>
      </x:c>
      <x:c r="E114" s="2" t="n">
        <x:v>1</x:v>
      </x:c>
      <x:c r="F114" s="2" t="n">
        <x:v>9</x:v>
      </x:c>
      <x:c r="G114" s="2" t="n">
        <x:f>COUNTIFS('Rankings'!$A$6:$A$423,B114,'Rankings'!$E$6:$E$423,"&lt;="&amp;F114)</x:f>
        <x:v>9</x:v>
      </x:c>
      <x:c r="H114" s="2" t="n">
        <x:f>SUMIFS('Rankings'!$J$6:$J$423,'Rankings'!$A$6:$A$423,B114,'Rankings'!$E$6:$E$423,"&lt;="&amp;F114)</x:f>
        <x:v>9</x:v>
      </x:c>
      <x:c r="I114" s="2" t="n">
        <x:f>G114-SUMIFS('Rankings'!$I$6:$I$423,'Rankings'!$A$6:$A$423,B114,'Rankings'!$E$6:$E$423,"&lt;="&amp;F114)</x:f>
        <x:v>0</x:v>
      </x:c>
      <x:c r="J114" s="2" t="n">
        <x:f>SUMIFS('Ratings'!$H$6:$H$1387,'Ratings'!$B$6:$B$1387,C114)</x:f>
        <x:v>13</x:v>
      </x:c>
      <x:c r="K114" s="15" t="n">
        <x:f>IF(I114&gt;0,"Unknown",H114/F114)</x:f>
        <x:v>1</x:v>
      </x:c>
      <x:c r="L114" s="15" t="n">
        <x:f>IF(J114=0,"N/A",H114/J114)</x:f>
        <x:v>0.6923076923076923</x:v>
      </x:c>
      <x:c r="M114" s="14" t="n">
        <x:f>SUMIFS('Rankings'!$L$6:$L$423,'Rankings'!$A$6:$A$423,B114,'Rankings'!$E$6:$E$423,"&lt;="&amp;F114)</x:f>
        <x:v>24.557320010828942</x:v>
      </x:c>
      <x:c r="N114" s="14" t="n">
        <x:f>SUMIFS('Ideal ranking'!$H$6:$H$365,'Ideal ranking'!$A$6:$A$365,C114,'Ideal ranking'!$B$6:$B$365,"&lt;="&amp;F114)</x:f>
        <x:v>24.557320010828942</x:v>
      </x:c>
      <x:c r="O114" s="14" t="n">
        <x:f>IF(I114&gt;0,"Unknown",IF(N114=0,"N/A",M114/N114))</x:f>
        <x:v>1</x:v>
      </x:c>
      <x:c r="P114" s="15" t="n">
        <x:f>IF(G114=0,"N/A",IF(I114&gt;0,"Unknown",H114/G114))</x:f>
        <x:v>1</x:v>
      </x:c>
      <x:c r="Q114" s="2" t="n">
        <x:f>F114-G114</x:f>
        <x:v>0</x:v>
      </x:c>
    </x:row>
    <x:row r="115" ht="22" customHeight="1">
      <x:c r="A115" s="2" t="str">
        <x:v>S11-T01|10</x:v>
      </x:c>
      <x:c r="B115" s="2" t="str">
        <x:v>S11-T01</x:v>
      </x:c>
      <x:c r="C115" s="2" t="str">
        <x:v>S11</x:v>
      </x:c>
      <x:c r="D115" s="2" t="str">
        <x:v>Retained</x:v>
      </x:c>
      <x:c r="E115" s="2" t="n">
        <x:v>1</x:v>
      </x:c>
      <x:c r="F115" s="2" t="n">
        <x:v>10</x:v>
      </x:c>
      <x:c r="G115" s="2" t="n">
        <x:f>COUNTIFS('Rankings'!$A$6:$A$423,B115,'Rankings'!$E$6:$E$423,"&lt;="&amp;F115)</x:f>
        <x:v>10</x:v>
      </x:c>
      <x:c r="H115" s="2" t="n">
        <x:f>SUMIFS('Rankings'!$J$6:$J$423,'Rankings'!$A$6:$A$423,B115,'Rankings'!$E$6:$E$423,"&lt;="&amp;F115)</x:f>
        <x:v>10</x:v>
      </x:c>
      <x:c r="I115" s="2" t="n">
        <x:f>G115-SUMIFS('Rankings'!$I$6:$I$423,'Rankings'!$A$6:$A$423,B115,'Rankings'!$E$6:$E$423,"&lt;="&amp;F115)</x:f>
        <x:v>0</x:v>
      </x:c>
      <x:c r="J115" s="2" t="n">
        <x:f>SUMIFS('Ratings'!$H$6:$H$1387,'Ratings'!$B$6:$B$1387,C115)</x:f>
        <x:v>13</x:v>
      </x:c>
      <x:c r="K115" s="15" t="n">
        <x:f>IF(I115&gt;0,"Unknown",H115/F115)</x:f>
        <x:v>1</x:v>
      </x:c>
      <x:c r="L115" s="15" t="n">
        <x:f>IF(J115=0,"N/A",H115/J115)</x:f>
        <x:v>0.7692307692307693</x:v>
      </x:c>
      <x:c r="M115" s="14" t="n">
        <x:f>SUMIFS('Rankings'!$L$6:$L$423,'Rankings'!$A$6:$A$423,B115,'Rankings'!$E$6:$E$423,"&lt;="&amp;F115)</x:f>
        <x:v>25.424514489782606</x:v>
      </x:c>
      <x:c r="N115" s="14" t="n">
        <x:f>SUMIFS('Ideal ranking'!$H$6:$H$365,'Ideal ranking'!$A$6:$A$365,C115,'Ideal ranking'!$B$6:$B$365,"&lt;="&amp;F115)</x:f>
        <x:v>25.424514489782606</x:v>
      </x:c>
      <x:c r="O115" s="14" t="n">
        <x:f>IF(I115&gt;0,"Unknown",IF(N115=0,"N/A",M115/N115))</x:f>
        <x:v>1</x:v>
      </x:c>
      <x:c r="P115" s="15" t="n">
        <x:f>IF(G115=0,"N/A",IF(I115&gt;0,"Unknown",H115/G115))</x:f>
        <x:v>1</x:v>
      </x:c>
      <x:c r="Q115" s="2" t="n">
        <x:f>F115-G115</x:f>
        <x:v>0</x:v>
      </x:c>
    </x:row>
    <x:row r="116" ht="22" customHeight="1">
      <x:c r="A116" s="2" t="str">
        <x:v>S12-T01|1</x:v>
      </x:c>
      <x:c r="B116" s="2" t="str">
        <x:v>S12-T01</x:v>
      </x:c>
      <x:c r="C116" s="2" t="str">
        <x:v>S12</x:v>
      </x:c>
      <x:c r="D116" s="2" t="str">
        <x:v>Retained</x:v>
      </x:c>
      <x:c r="E116" s="2" t="n">
        <x:v>1</x:v>
      </x:c>
      <x:c r="F116" s="2" t="n">
        <x:v>1</x:v>
      </x:c>
      <x:c r="G116" s="2" t="n">
        <x:f>COUNTIFS('Rankings'!$A$6:$A$423,B116,'Rankings'!$E$6:$E$423,"&lt;="&amp;F116)</x:f>
        <x:v>1</x:v>
      </x:c>
      <x:c r="H116" s="2" t="n">
        <x:f>SUMIFS('Rankings'!$J$6:$J$423,'Rankings'!$A$6:$A$423,B116,'Rankings'!$E$6:$E$423,"&lt;="&amp;F116)</x:f>
        <x:v>1</x:v>
      </x:c>
      <x:c r="I116" s="2" t="n">
        <x:f>G116-SUMIFS('Rankings'!$I$6:$I$423,'Rankings'!$A$6:$A$423,B116,'Rankings'!$E$6:$E$423,"&lt;="&amp;F116)</x:f>
        <x:v>0</x:v>
      </x:c>
      <x:c r="J116" s="2" t="n">
        <x:f>SUMIFS('Ratings'!$H$6:$H$1387,'Ratings'!$B$6:$B$1387,C116)</x:f>
        <x:v>15</x:v>
      </x:c>
      <x:c r="K116" s="15" t="n">
        <x:f>IF(I116&gt;0,"Unknown",H116/F116)</x:f>
        <x:v>1</x:v>
      </x:c>
      <x:c r="L116" s="15" t="n">
        <x:f>IF(J116=0,"N/A",H116/J116)</x:f>
        <x:v>0.06666666666666667</x:v>
      </x:c>
      <x:c r="M116" s="14" t="n">
        <x:f>SUMIFS('Rankings'!$L$6:$L$423,'Rankings'!$A$6:$A$423,B116,'Rankings'!$E$6:$E$423,"&lt;="&amp;F116)</x:f>
        <x:v>7</x:v>
      </x:c>
      <x:c r="N116" s="14" t="n">
        <x:f>SUMIFS('Ideal ranking'!$H$6:$H$365,'Ideal ranking'!$A$6:$A$365,C116,'Ideal ranking'!$B$6:$B$365,"&lt;="&amp;F116)</x:f>
        <x:v>7</x:v>
      </x:c>
      <x:c r="O116" s="14" t="n">
        <x:f>IF(I116&gt;0,"Unknown",IF(N116=0,"N/A",M116/N116))</x:f>
        <x:v>1</x:v>
      </x:c>
      <x:c r="P116" s="15" t="n">
        <x:f>IF(G116=0,"N/A",IF(I116&gt;0,"Unknown",H116/G116))</x:f>
        <x:v>1</x:v>
      </x:c>
      <x:c r="Q116" s="2" t="n">
        <x:f>F116-G116</x:f>
        <x:v>0</x:v>
      </x:c>
    </x:row>
    <x:row r="117" ht="22" customHeight="1">
      <x:c r="A117" s="2" t="str">
        <x:v>S12-T01|2</x:v>
      </x:c>
      <x:c r="B117" s="2" t="str">
        <x:v>S12-T01</x:v>
      </x:c>
      <x:c r="C117" s="2" t="str">
        <x:v>S12</x:v>
      </x:c>
      <x:c r="D117" s="2" t="str">
        <x:v>Retained</x:v>
      </x:c>
      <x:c r="E117" s="2" t="n">
        <x:v>1</x:v>
      </x:c>
      <x:c r="F117" s="2" t="n">
        <x:v>2</x:v>
      </x:c>
      <x:c r="G117" s="2" t="n">
        <x:f>COUNTIFS('Rankings'!$A$6:$A$423,B117,'Rankings'!$E$6:$E$423,"&lt;="&amp;F117)</x:f>
        <x:v>2</x:v>
      </x:c>
      <x:c r="H117" s="2" t="n">
        <x:f>SUMIFS('Rankings'!$J$6:$J$423,'Rankings'!$A$6:$A$423,B117,'Rankings'!$E$6:$E$423,"&lt;="&amp;F117)</x:f>
        <x:v>2</x:v>
      </x:c>
      <x:c r="I117" s="2" t="n">
        <x:f>G117-SUMIFS('Rankings'!$I$6:$I$423,'Rankings'!$A$6:$A$423,B117,'Rankings'!$E$6:$E$423,"&lt;="&amp;F117)</x:f>
        <x:v>0</x:v>
      </x:c>
      <x:c r="J117" s="2" t="n">
        <x:f>SUMIFS('Ratings'!$H$6:$H$1387,'Ratings'!$B$6:$B$1387,C117)</x:f>
        <x:v>15</x:v>
      </x:c>
      <x:c r="K117" s="15" t="n">
        <x:f>IF(I117&gt;0,"Unknown",H117/F117)</x:f>
        <x:v>1</x:v>
      </x:c>
      <x:c r="L117" s="15" t="n">
        <x:f>IF(J117=0,"N/A",H117/J117)</x:f>
        <x:v>0.13333333333333333</x:v>
      </x:c>
      <x:c r="M117" s="14" t="n">
        <x:f>SUMIFS('Rankings'!$L$6:$L$423,'Rankings'!$A$6:$A$423,B117,'Rankings'!$E$6:$E$423,"&lt;="&amp;F117)</x:f>
        <x:v>11.416508275000202</x:v>
      </x:c>
      <x:c r="N117" s="14" t="n">
        <x:f>SUMIFS('Ideal ranking'!$H$6:$H$365,'Ideal ranking'!$A$6:$A$365,C117,'Ideal ranking'!$B$6:$B$365,"&lt;="&amp;F117)</x:f>
        <x:v>11.416508275000202</x:v>
      </x:c>
      <x:c r="O117" s="14" t="n">
        <x:f>IF(I117&gt;0,"Unknown",IF(N117=0,"N/A",M117/N117))</x:f>
        <x:v>1</x:v>
      </x:c>
      <x:c r="P117" s="15" t="n">
        <x:f>IF(G117=0,"N/A",IF(I117&gt;0,"Unknown",H117/G117))</x:f>
        <x:v>1</x:v>
      </x:c>
      <x:c r="Q117" s="2" t="n">
        <x:f>F117-G117</x:f>
        <x:v>0</x:v>
      </x:c>
    </x:row>
    <x:row r="118" ht="22" customHeight="1">
      <x:c r="A118" s="2" t="str">
        <x:v>S12-T01|3</x:v>
      </x:c>
      <x:c r="B118" s="2" t="str">
        <x:v>S12-T01</x:v>
      </x:c>
      <x:c r="C118" s="2" t="str">
        <x:v>S12</x:v>
      </x:c>
      <x:c r="D118" s="2" t="str">
        <x:v>Retained</x:v>
      </x:c>
      <x:c r="E118" s="2" t="n">
        <x:v>1</x:v>
      </x:c>
      <x:c r="F118" s="2" t="n">
        <x:v>3</x:v>
      </x:c>
      <x:c r="G118" s="2" t="n">
        <x:f>COUNTIFS('Rankings'!$A$6:$A$423,B118,'Rankings'!$E$6:$E$423,"&lt;="&amp;F118)</x:f>
        <x:v>3</x:v>
      </x:c>
      <x:c r="H118" s="2" t="n">
        <x:f>SUMIFS('Rankings'!$J$6:$J$423,'Rankings'!$A$6:$A$423,B118,'Rankings'!$E$6:$E$423,"&lt;="&amp;F118)</x:f>
        <x:v>3</x:v>
      </x:c>
      <x:c r="I118" s="2" t="n">
        <x:f>G118-SUMIFS('Rankings'!$I$6:$I$423,'Rankings'!$A$6:$A$423,B118,'Rankings'!$E$6:$E$423,"&lt;="&amp;F118)</x:f>
        <x:v>0</x:v>
      </x:c>
      <x:c r="J118" s="2" t="n">
        <x:f>SUMIFS('Ratings'!$H$6:$H$1387,'Ratings'!$B$6:$B$1387,C118)</x:f>
        <x:v>15</x:v>
      </x:c>
      <x:c r="K118" s="15" t="n">
        <x:f>IF(I118&gt;0,"Unknown",H118/F118)</x:f>
        <x:v>1</x:v>
      </x:c>
      <x:c r="L118" s="15" t="n">
        <x:f>IF(J118=0,"N/A",H118/J118)</x:f>
        <x:v>0.2</x:v>
      </x:c>
      <x:c r="M118" s="14" t="n">
        <x:f>SUMIFS('Rankings'!$L$6:$L$423,'Rankings'!$A$6:$A$423,B118,'Rankings'!$E$6:$E$423,"&lt;="&amp;F118)</x:f>
        <x:v>14.916508275000202</x:v>
      </x:c>
      <x:c r="N118" s="14" t="n">
        <x:f>SUMIFS('Ideal ranking'!$H$6:$H$365,'Ideal ranking'!$A$6:$A$365,C118,'Ideal ranking'!$B$6:$B$365,"&lt;="&amp;F118)</x:f>
        <x:v>14.916508275000202</x:v>
      </x:c>
      <x:c r="O118" s="14" t="n">
        <x:f>IF(I118&gt;0,"Unknown",IF(N118=0,"N/A",M118/N118))</x:f>
        <x:v>1</x:v>
      </x:c>
      <x:c r="P118" s="15" t="n">
        <x:f>IF(G118=0,"N/A",IF(I118&gt;0,"Unknown",H118/G118))</x:f>
        <x:v>1</x:v>
      </x:c>
      <x:c r="Q118" s="2" t="n">
        <x:f>F118-G118</x:f>
        <x:v>0</x:v>
      </x:c>
    </x:row>
    <x:row r="119" ht="22" customHeight="1">
      <x:c r="A119" s="2" t="str">
        <x:v>S12-T01|4</x:v>
      </x:c>
      <x:c r="B119" s="2" t="str">
        <x:v>S12-T01</x:v>
      </x:c>
      <x:c r="C119" s="2" t="str">
        <x:v>S12</x:v>
      </x:c>
      <x:c r="D119" s="2" t="str">
        <x:v>Retained</x:v>
      </x:c>
      <x:c r="E119" s="2" t="n">
        <x:v>1</x:v>
      </x:c>
      <x:c r="F119" s="2" t="n">
        <x:v>4</x:v>
      </x:c>
      <x:c r="G119" s="2" t="n">
        <x:f>COUNTIFS('Rankings'!$A$6:$A$423,B119,'Rankings'!$E$6:$E$423,"&lt;="&amp;F119)</x:f>
        <x:v>4</x:v>
      </x:c>
      <x:c r="H119" s="2" t="n">
        <x:f>SUMIFS('Rankings'!$J$6:$J$423,'Rankings'!$A$6:$A$423,B119,'Rankings'!$E$6:$E$423,"&lt;="&amp;F119)</x:f>
        <x:v>4</x:v>
      </x:c>
      <x:c r="I119" s="2" t="n">
        <x:f>G119-SUMIFS('Rankings'!$I$6:$I$423,'Rankings'!$A$6:$A$423,B119,'Rankings'!$E$6:$E$423,"&lt;="&amp;F119)</x:f>
        <x:v>0</x:v>
      </x:c>
      <x:c r="J119" s="2" t="n">
        <x:f>SUMIFS('Ratings'!$H$6:$H$1387,'Ratings'!$B$6:$B$1387,C119)</x:f>
        <x:v>15</x:v>
      </x:c>
      <x:c r="K119" s="15" t="n">
        <x:f>IF(I119&gt;0,"Unknown",H119/F119)</x:f>
        <x:v>1</x:v>
      </x:c>
      <x:c r="L119" s="15" t="n">
        <x:f>IF(J119=0,"N/A",H119/J119)</x:f>
        <x:v>0.26666666666666666</x:v>
      </x:c>
      <x:c r="M119" s="14" t="n">
        <x:f>SUMIFS('Rankings'!$L$6:$L$423,'Rankings'!$A$6:$A$423,B119,'Rankings'!$E$6:$E$423,"&lt;="&amp;F119)</x:f>
        <x:v>17.931244181513954</x:v>
      </x:c>
      <x:c r="N119" s="14" t="n">
        <x:f>SUMIFS('Ideal ranking'!$H$6:$H$365,'Ideal ranking'!$A$6:$A$365,C119,'Ideal ranking'!$B$6:$B$365,"&lt;="&amp;F119)</x:f>
        <x:v>17.931244181513954</x:v>
      </x:c>
      <x:c r="O119" s="14" t="n">
        <x:f>IF(I119&gt;0,"Unknown",IF(N119=0,"N/A",M119/N119))</x:f>
        <x:v>1</x:v>
      </x:c>
      <x:c r="P119" s="15" t="n">
        <x:f>IF(G119=0,"N/A",IF(I119&gt;0,"Unknown",H119/G119))</x:f>
        <x:v>1</x:v>
      </x:c>
      <x:c r="Q119" s="2" t="n">
        <x:f>F119-G119</x:f>
        <x:v>0</x:v>
      </x:c>
    </x:row>
    <x:row r="120" ht="22" customHeight="1">
      <x:c r="A120" s="2" t="str">
        <x:v>S12-T01|5</x:v>
      </x:c>
      <x:c r="B120" s="2" t="str">
        <x:v>S12-T01</x:v>
      </x:c>
      <x:c r="C120" s="2" t="str">
        <x:v>S12</x:v>
      </x:c>
      <x:c r="D120" s="2" t="str">
        <x:v>Retained</x:v>
      </x:c>
      <x:c r="E120" s="2" t="n">
        <x:v>1</x:v>
      </x:c>
      <x:c r="F120" s="2" t="n">
        <x:v>5</x:v>
      </x:c>
      <x:c r="G120" s="2" t="n">
        <x:f>COUNTIFS('Rankings'!$A$6:$A$423,B120,'Rankings'!$E$6:$E$423,"&lt;="&amp;F120)</x:f>
        <x:v>5</x:v>
      </x:c>
      <x:c r="H120" s="2" t="n">
        <x:f>SUMIFS('Rankings'!$J$6:$J$423,'Rankings'!$A$6:$A$423,B120,'Rankings'!$E$6:$E$423,"&lt;="&amp;F120)</x:f>
        <x:v>5</x:v>
      </x:c>
      <x:c r="I120" s="2" t="n">
        <x:f>G120-SUMIFS('Rankings'!$I$6:$I$423,'Rankings'!$A$6:$A$423,B120,'Rankings'!$E$6:$E$423,"&lt;="&amp;F120)</x:f>
        <x:v>0</x:v>
      </x:c>
      <x:c r="J120" s="2" t="n">
        <x:f>SUMIFS('Ratings'!$H$6:$H$1387,'Ratings'!$B$6:$B$1387,C120)</x:f>
        <x:v>15</x:v>
      </x:c>
      <x:c r="K120" s="15" t="n">
        <x:f>IF(I120&gt;0,"Unknown",H120/F120)</x:f>
        <x:v>1</x:v>
      </x:c>
      <x:c r="L120" s="15" t="n">
        <x:f>IF(J120=0,"N/A",H120/J120)</x:f>
        <x:v>0.3333333333333333</x:v>
      </x:c>
      <x:c r="M120" s="14" t="n">
        <x:f>SUMIFS('Rankings'!$L$6:$L$423,'Rankings'!$A$6:$A$423,B120,'Rankings'!$E$6:$E$423,"&lt;="&amp;F120)</x:f>
        <x:v>20.639213832155747</x:v>
      </x:c>
      <x:c r="N120" s="14" t="n">
        <x:f>SUMIFS('Ideal ranking'!$H$6:$H$365,'Ideal ranking'!$A$6:$A$365,C120,'Ideal ranking'!$B$6:$B$365,"&lt;="&amp;F120)</x:f>
        <x:v>20.639213832155747</x:v>
      </x:c>
      <x:c r="O120" s="14" t="n">
        <x:f>IF(I120&gt;0,"Unknown",IF(N120=0,"N/A",M120/N120))</x:f>
        <x:v>1</x:v>
      </x:c>
      <x:c r="P120" s="15" t="n">
        <x:f>IF(G120=0,"N/A",IF(I120&gt;0,"Unknown",H120/G120))</x:f>
        <x:v>1</x:v>
      </x:c>
      <x:c r="Q120" s="2" t="n">
        <x:f>F120-G120</x:f>
        <x:v>0</x:v>
      </x:c>
    </x:row>
    <x:row r="121" ht="22" customHeight="1">
      <x:c r="A121" s="2" t="str">
        <x:v>S12-T01|6</x:v>
      </x:c>
      <x:c r="B121" s="2" t="str">
        <x:v>S12-T01</x:v>
      </x:c>
      <x:c r="C121" s="2" t="str">
        <x:v>S12</x:v>
      </x:c>
      <x:c r="D121" s="2" t="str">
        <x:v>Retained</x:v>
      </x:c>
      <x:c r="E121" s="2" t="n">
        <x:v>1</x:v>
      </x:c>
      <x:c r="F121" s="2" t="n">
        <x:v>6</x:v>
      </x:c>
      <x:c r="G121" s="2" t="n">
        <x:f>COUNTIFS('Rankings'!$A$6:$A$423,B121,'Rankings'!$E$6:$E$423,"&lt;="&amp;F121)</x:f>
        <x:v>6</x:v>
      </x:c>
      <x:c r="H121" s="2" t="n">
        <x:f>SUMIFS('Rankings'!$J$6:$J$423,'Rankings'!$A$6:$A$423,B121,'Rankings'!$E$6:$E$423,"&lt;="&amp;F121)</x:f>
        <x:v>6</x:v>
      </x:c>
      <x:c r="I121" s="2" t="n">
        <x:f>G121-SUMIFS('Rankings'!$I$6:$I$423,'Rankings'!$A$6:$A$423,B121,'Rankings'!$E$6:$E$423,"&lt;="&amp;F121)</x:f>
        <x:v>0</x:v>
      </x:c>
      <x:c r="J121" s="2" t="n">
        <x:f>SUMIFS('Ratings'!$H$6:$H$1387,'Ratings'!$B$6:$B$1387,C121)</x:f>
        <x:v>15</x:v>
      </x:c>
      <x:c r="K121" s="15" t="n">
        <x:f>IF(I121&gt;0,"Unknown",H121/F121)</x:f>
        <x:v>1</x:v>
      </x:c>
      <x:c r="L121" s="15" t="n">
        <x:f>IF(J121=0,"N/A",H121/J121)</x:f>
        <x:v>0.4</x:v>
      </x:c>
      <x:c r="M121" s="14" t="n">
        <x:f>SUMIFS('Rankings'!$L$6:$L$423,'Rankings'!$A$6:$A$423,B121,'Rankings'!$E$6:$E$423,"&lt;="&amp;F121)</x:f>
        <x:v>23.132664141911903</x:v>
      </x:c>
      <x:c r="N121" s="14" t="n">
        <x:f>SUMIFS('Ideal ranking'!$H$6:$H$365,'Ideal ranking'!$A$6:$A$365,C121,'Ideal ranking'!$B$6:$B$365,"&lt;="&amp;F121)</x:f>
        <x:v>23.132664141911903</x:v>
      </x:c>
      <x:c r="O121" s="14" t="n">
        <x:f>IF(I121&gt;0,"Unknown",IF(N121=0,"N/A",M121/N121))</x:f>
        <x:v>1</x:v>
      </x:c>
      <x:c r="P121" s="15" t="n">
        <x:f>IF(G121=0,"N/A",IF(I121&gt;0,"Unknown",H121/G121))</x:f>
        <x:v>1</x:v>
      </x:c>
      <x:c r="Q121" s="2" t="n">
        <x:f>F121-G121</x:f>
        <x:v>0</x:v>
      </x:c>
    </x:row>
    <x:row r="122" ht="22" customHeight="1">
      <x:c r="A122" s="2" t="str">
        <x:v>S12-T01|7</x:v>
      </x:c>
      <x:c r="B122" s="2" t="str">
        <x:v>S12-T01</x:v>
      </x:c>
      <x:c r="C122" s="2" t="str">
        <x:v>S12</x:v>
      </x:c>
      <x:c r="D122" s="2" t="str">
        <x:v>Retained</x:v>
      </x:c>
      <x:c r="E122" s="2" t="n">
        <x:v>1</x:v>
      </x:c>
      <x:c r="F122" s="2" t="n">
        <x:v>7</x:v>
      </x:c>
      <x:c r="G122" s="2" t="n">
        <x:f>COUNTIFS('Rankings'!$A$6:$A$423,B122,'Rankings'!$E$6:$E$423,"&lt;="&amp;F122)</x:f>
        <x:v>7</x:v>
      </x:c>
      <x:c r="H122" s="2" t="n">
        <x:f>SUMIFS('Rankings'!$J$6:$J$423,'Rankings'!$A$6:$A$423,B122,'Rankings'!$E$6:$E$423,"&lt;="&amp;F122)</x:f>
        <x:v>7</x:v>
      </x:c>
      <x:c r="I122" s="2" t="n">
        <x:f>G122-SUMIFS('Rankings'!$I$6:$I$423,'Rankings'!$A$6:$A$423,B122,'Rankings'!$E$6:$E$423,"&lt;="&amp;F122)</x:f>
        <x:v>0</x:v>
      </x:c>
      <x:c r="J122" s="2" t="n">
        <x:f>SUMIFS('Ratings'!$H$6:$H$1387,'Ratings'!$B$6:$B$1387,C122)</x:f>
        <x:v>15</x:v>
      </x:c>
      <x:c r="K122" s="15" t="n">
        <x:f>IF(I122&gt;0,"Unknown",H122/F122)</x:f>
        <x:v>1</x:v>
      </x:c>
      <x:c r="L122" s="15" t="n">
        <x:f>IF(J122=0,"N/A",H122/J122)</x:f>
        <x:v>0.4666666666666667</x:v>
      </x:c>
      <x:c r="M122" s="14" t="n">
        <x:f>SUMIFS('Rankings'!$L$6:$L$423,'Rankings'!$A$6:$A$423,B122,'Rankings'!$E$6:$E$423,"&lt;="&amp;F122)</x:f>
        <x:v>25.465997475245235</x:v>
      </x:c>
      <x:c r="N122" s="14" t="n">
        <x:f>SUMIFS('Ideal ranking'!$H$6:$H$365,'Ideal ranking'!$A$6:$A$365,C122,'Ideal ranking'!$B$6:$B$365,"&lt;="&amp;F122)</x:f>
        <x:v>25.465997475245235</x:v>
      </x:c>
      <x:c r="O122" s="14" t="n">
        <x:f>IF(I122&gt;0,"Unknown",IF(N122=0,"N/A",M122/N122))</x:f>
        <x:v>1</x:v>
      </x:c>
      <x:c r="P122" s="15" t="n">
        <x:f>IF(G122=0,"N/A",IF(I122&gt;0,"Unknown",H122/G122))</x:f>
        <x:v>1</x:v>
      </x:c>
      <x:c r="Q122" s="2" t="n">
        <x:f>F122-G122</x:f>
        <x:v>0</x:v>
      </x:c>
    </x:row>
    <x:row r="123" ht="22" customHeight="1">
      <x:c r="A123" s="2" t="str">
        <x:v>S12-T01|8</x:v>
      </x:c>
      <x:c r="B123" s="2" t="str">
        <x:v>S12-T01</x:v>
      </x:c>
      <x:c r="C123" s="2" t="str">
        <x:v>S12</x:v>
      </x:c>
      <x:c r="D123" s="2" t="str">
        <x:v>Retained</x:v>
      </x:c>
      <x:c r="E123" s="2" t="n">
        <x:v>1</x:v>
      </x:c>
      <x:c r="F123" s="2" t="n">
        <x:v>8</x:v>
      </x:c>
      <x:c r="G123" s="2" t="n">
        <x:f>COUNTIFS('Rankings'!$A$6:$A$423,B123,'Rankings'!$E$6:$E$423,"&lt;="&amp;F123)</x:f>
        <x:v>8</x:v>
      </x:c>
      <x:c r="H123" s="2" t="n">
        <x:f>SUMIFS('Rankings'!$J$6:$J$423,'Rankings'!$A$6:$A$423,B123,'Rankings'!$E$6:$E$423,"&lt;="&amp;F123)</x:f>
        <x:v>8</x:v>
      </x:c>
      <x:c r="I123" s="2" t="n">
        <x:f>G123-SUMIFS('Rankings'!$I$6:$I$423,'Rankings'!$A$6:$A$423,B123,'Rankings'!$E$6:$E$423,"&lt;="&amp;F123)</x:f>
        <x:v>0</x:v>
      </x:c>
      <x:c r="J123" s="2" t="n">
        <x:f>SUMIFS('Ratings'!$H$6:$H$1387,'Ratings'!$B$6:$B$1387,C123)</x:f>
        <x:v>15</x:v>
      </x:c>
      <x:c r="K123" s="15" t="n">
        <x:f>IF(I123&gt;0,"Unknown",H123/F123)</x:f>
        <x:v>1</x:v>
      </x:c>
      <x:c r="L123" s="15" t="n">
        <x:f>IF(J123=0,"N/A",H123/J123)</x:f>
        <x:v>0.5333333333333333</x:v>
      </x:c>
      <x:c r="M123" s="14" t="n">
        <x:f>SUMIFS('Rankings'!$L$6:$L$423,'Rankings'!$A$6:$A$423,B123,'Rankings'!$E$6:$E$423,"&lt;="&amp;F123)</x:f>
        <x:v>27.674251612745337</x:v>
      </x:c>
      <x:c r="N123" s="14" t="n">
        <x:f>SUMIFS('Ideal ranking'!$H$6:$H$365,'Ideal ranking'!$A$6:$A$365,C123,'Ideal ranking'!$B$6:$B$365,"&lt;="&amp;F123)</x:f>
        <x:v>27.674251612745337</x:v>
      </x:c>
      <x:c r="O123" s="14" t="n">
        <x:f>IF(I123&gt;0,"Unknown",IF(N123=0,"N/A",M123/N123))</x:f>
        <x:v>1</x:v>
      </x:c>
      <x:c r="P123" s="15" t="n">
        <x:f>IF(G123=0,"N/A",IF(I123&gt;0,"Unknown",H123/G123))</x:f>
        <x:v>1</x:v>
      </x:c>
      <x:c r="Q123" s="2" t="n">
        <x:f>F123-G123</x:f>
        <x:v>0</x:v>
      </x:c>
    </x:row>
    <x:row r="124" ht="22" customHeight="1">
      <x:c r="A124" s="2" t="str">
        <x:v>S12-T01|9</x:v>
      </x:c>
      <x:c r="B124" s="2" t="str">
        <x:v>S12-T01</x:v>
      </x:c>
      <x:c r="C124" s="2" t="str">
        <x:v>S12</x:v>
      </x:c>
      <x:c r="D124" s="2" t="str">
        <x:v>Retained</x:v>
      </x:c>
      <x:c r="E124" s="2" t="n">
        <x:v>1</x:v>
      </x:c>
      <x:c r="F124" s="2" t="n">
        <x:v>9</x:v>
      </x:c>
      <x:c r="G124" s="2" t="n">
        <x:f>COUNTIFS('Rankings'!$A$6:$A$423,B124,'Rankings'!$E$6:$E$423,"&lt;="&amp;F124)</x:f>
        <x:v>9</x:v>
      </x:c>
      <x:c r="H124" s="2" t="n">
        <x:f>SUMIFS('Rankings'!$J$6:$J$423,'Rankings'!$A$6:$A$423,B124,'Rankings'!$E$6:$E$423,"&lt;="&amp;F124)</x:f>
        <x:v>9</x:v>
      </x:c>
      <x:c r="I124" s="2" t="n">
        <x:f>G124-SUMIFS('Rankings'!$I$6:$I$423,'Rankings'!$A$6:$A$423,B124,'Rankings'!$E$6:$E$423,"&lt;="&amp;F124)</x:f>
        <x:v>0</x:v>
      </x:c>
      <x:c r="J124" s="2" t="n">
        <x:f>SUMIFS('Ratings'!$H$6:$H$1387,'Ratings'!$B$6:$B$1387,C124)</x:f>
        <x:v>15</x:v>
      </x:c>
      <x:c r="K124" s="15" t="n">
        <x:f>IF(I124&gt;0,"Unknown",H124/F124)</x:f>
        <x:v>1</x:v>
      </x:c>
      <x:c r="L124" s="15" t="n">
        <x:f>IF(J124=0,"N/A",H124/J124)</x:f>
        <x:v>0.6</x:v>
      </x:c>
      <x:c r="M124" s="14" t="n">
        <x:f>SUMIFS('Rankings'!$L$6:$L$423,'Rankings'!$A$6:$A$423,B124,'Rankings'!$E$6:$E$423,"&lt;="&amp;F124)</x:f>
        <x:v>29.781461582393206</x:v>
      </x:c>
      <x:c r="N124" s="14" t="n">
        <x:f>SUMIFS('Ideal ranking'!$H$6:$H$365,'Ideal ranking'!$A$6:$A$365,C124,'Ideal ranking'!$B$6:$B$365,"&lt;="&amp;F124)</x:f>
        <x:v>29.781461582393206</x:v>
      </x:c>
      <x:c r="O124" s="14" t="n">
        <x:f>IF(I124&gt;0,"Unknown",IF(N124=0,"N/A",M124/N124))</x:f>
        <x:v>1</x:v>
      </x:c>
      <x:c r="P124" s="15" t="n">
        <x:f>IF(G124=0,"N/A",IF(I124&gt;0,"Unknown",H124/G124))</x:f>
        <x:v>1</x:v>
      </x:c>
      <x:c r="Q124" s="2" t="n">
        <x:f>F124-G124</x:f>
        <x:v>0</x:v>
      </x:c>
    </x:row>
    <x:row r="125" ht="22" customHeight="1">
      <x:c r="A125" s="2" t="str">
        <x:v>S12-T01|10</x:v>
      </x:c>
      <x:c r="B125" s="2" t="str">
        <x:v>S12-T01</x:v>
      </x:c>
      <x:c r="C125" s="2" t="str">
        <x:v>S12</x:v>
      </x:c>
      <x:c r="D125" s="2" t="str">
        <x:v>Retained</x:v>
      </x:c>
      <x:c r="E125" s="2" t="n">
        <x:v>1</x:v>
      </x:c>
      <x:c r="F125" s="2" t="n">
        <x:v>10</x:v>
      </x:c>
      <x:c r="G125" s="2" t="n">
        <x:f>COUNTIFS('Rankings'!$A$6:$A$423,B125,'Rankings'!$E$6:$E$423,"&lt;="&amp;F125)</x:f>
        <x:v>10</x:v>
      </x:c>
      <x:c r="H125" s="2" t="n">
        <x:f>SUMIFS('Rankings'!$J$6:$J$423,'Rankings'!$A$6:$A$423,B125,'Rankings'!$E$6:$E$423,"&lt;="&amp;F125)</x:f>
        <x:v>10</x:v>
      </x:c>
      <x:c r="I125" s="2" t="n">
        <x:f>G125-SUMIFS('Rankings'!$I$6:$I$423,'Rankings'!$A$6:$A$423,B125,'Rankings'!$E$6:$E$423,"&lt;="&amp;F125)</x:f>
        <x:v>0</x:v>
      </x:c>
      <x:c r="J125" s="2" t="n">
        <x:f>SUMIFS('Ratings'!$H$6:$H$1387,'Ratings'!$B$6:$B$1387,C125)</x:f>
        <x:v>15</x:v>
      </x:c>
      <x:c r="K125" s="15" t="n">
        <x:f>IF(I125&gt;0,"Unknown",H125/F125)</x:f>
        <x:v>1</x:v>
      </x:c>
      <x:c r="L125" s="15" t="n">
        <x:f>IF(J125=0,"N/A",H125/J125)</x:f>
        <x:v>0.6666666666666666</x:v>
      </x:c>
      <x:c r="M125" s="14" t="n">
        <x:f>SUMIFS('Rankings'!$L$6:$L$423,'Rankings'!$A$6:$A$423,B125,'Rankings'!$E$6:$E$423,"&lt;="&amp;F125)</x:f>
        <x:v>30.64865606134687</x:v>
      </x:c>
      <x:c r="N125" s="14" t="n">
        <x:f>SUMIFS('Ideal ranking'!$H$6:$H$365,'Ideal ranking'!$A$6:$A$365,C125,'Ideal ranking'!$B$6:$B$365,"&lt;="&amp;F125)</x:f>
        <x:v>31.80491536661842</x:v>
      </x:c>
      <x:c r="O125" s="14" t="n">
        <x:f>IF(I125&gt;0,"Unknown",IF(N125=0,"N/A",M125/N125))</x:f>
        <x:v>0.9636452638863133</x:v>
      </x:c>
      <x:c r="P125" s="15" t="n">
        <x:f>IF(G125=0,"N/A",IF(I125&gt;0,"Unknown",H125/G125))</x:f>
        <x:v>1</x:v>
      </x:c>
      <x:c r="Q125" s="2" t="n">
        <x:f>F125-G125</x:f>
        <x:v>0</x:v>
      </x:c>
    </x:row>
    <x:row r="126" ht="22" customHeight="1">
      <x:c r="A126" s="2" t="str">
        <x:v>S13-T01|1</x:v>
      </x:c>
      <x:c r="B126" s="2" t="str">
        <x:v>S13-T01</x:v>
      </x:c>
      <x:c r="C126" s="2" t="str">
        <x:v>S13</x:v>
      </x:c>
      <x:c r="D126" s="2" t="str">
        <x:v>Retained</x:v>
      </x:c>
      <x:c r="E126" s="2" t="n">
        <x:v>1</x:v>
      </x:c>
      <x:c r="F126" s="2" t="n">
        <x:v>1</x:v>
      </x:c>
      <x:c r="G126" s="2" t="n">
        <x:f>COUNTIFS('Rankings'!$A$6:$A$423,B126,'Rankings'!$E$6:$E$423,"&lt;="&amp;F126)</x:f>
        <x:v>1</x:v>
      </x:c>
      <x:c r="H126" s="2" t="n">
        <x:f>SUMIFS('Rankings'!$J$6:$J$423,'Rankings'!$A$6:$A$423,B126,'Rankings'!$E$6:$E$423,"&lt;="&amp;F126)</x:f>
        <x:v>1</x:v>
      </x:c>
      <x:c r="I126" s="2" t="n">
        <x:f>G126-SUMIFS('Rankings'!$I$6:$I$423,'Rankings'!$A$6:$A$423,B126,'Rankings'!$E$6:$E$423,"&lt;="&amp;F126)</x:f>
        <x:v>0</x:v>
      </x:c>
      <x:c r="J126" s="2" t="n">
        <x:f>SUMIFS('Ratings'!$H$6:$H$1387,'Ratings'!$B$6:$B$1387,C126)</x:f>
        <x:v>15</x:v>
      </x:c>
      <x:c r="K126" s="15" t="n">
        <x:f>IF(I126&gt;0,"Unknown",H126/F126)</x:f>
        <x:v>1</x:v>
      </x:c>
      <x:c r="L126" s="15" t="n">
        <x:f>IF(J126=0,"N/A",H126/J126)</x:f>
        <x:v>0.06666666666666667</x:v>
      </x:c>
      <x:c r="M126" s="14" t="n">
        <x:f>SUMIFS('Rankings'!$L$6:$L$423,'Rankings'!$A$6:$A$423,B126,'Rankings'!$E$6:$E$423,"&lt;="&amp;F126)</x:f>
        <x:v>7</x:v>
      </x:c>
      <x:c r="N126" s="14" t="n">
        <x:f>SUMIFS('Ideal ranking'!$H$6:$H$365,'Ideal ranking'!$A$6:$A$365,C126,'Ideal ranking'!$B$6:$B$365,"&lt;="&amp;F126)</x:f>
        <x:v>7</x:v>
      </x:c>
      <x:c r="O126" s="14" t="n">
        <x:f>IF(I126&gt;0,"Unknown",IF(N126=0,"N/A",M126/N126))</x:f>
        <x:v>1</x:v>
      </x:c>
      <x:c r="P126" s="15" t="n">
        <x:f>IF(G126=0,"N/A",IF(I126&gt;0,"Unknown",H126/G126))</x:f>
        <x:v>1</x:v>
      </x:c>
      <x:c r="Q126" s="2" t="n">
        <x:f>F126-G126</x:f>
        <x:v>0</x:v>
      </x:c>
    </x:row>
    <x:row r="127" ht="22" customHeight="1">
      <x:c r="A127" s="2" t="str">
        <x:v>S13-T01|2</x:v>
      </x:c>
      <x:c r="B127" s="2" t="str">
        <x:v>S13-T01</x:v>
      </x:c>
      <x:c r="C127" s="2" t="str">
        <x:v>S13</x:v>
      </x:c>
      <x:c r="D127" s="2" t="str">
        <x:v>Retained</x:v>
      </x:c>
      <x:c r="E127" s="2" t="n">
        <x:v>1</x:v>
      </x:c>
      <x:c r="F127" s="2" t="n">
        <x:v>2</x:v>
      </x:c>
      <x:c r="G127" s="2" t="n">
        <x:f>COUNTIFS('Rankings'!$A$6:$A$423,B127,'Rankings'!$E$6:$E$423,"&lt;="&amp;F127)</x:f>
        <x:v>2</x:v>
      </x:c>
      <x:c r="H127" s="2" t="n">
        <x:f>SUMIFS('Rankings'!$J$6:$J$423,'Rankings'!$A$6:$A$423,B127,'Rankings'!$E$6:$E$423,"&lt;="&amp;F127)</x:f>
        <x:v>2</x:v>
      </x:c>
      <x:c r="I127" s="2" t="n">
        <x:f>G127-SUMIFS('Rankings'!$I$6:$I$423,'Rankings'!$A$6:$A$423,B127,'Rankings'!$E$6:$E$423,"&lt;="&amp;F127)</x:f>
        <x:v>0</x:v>
      </x:c>
      <x:c r="J127" s="2" t="n">
        <x:f>SUMIFS('Ratings'!$H$6:$H$1387,'Ratings'!$B$6:$B$1387,C127)</x:f>
        <x:v>15</x:v>
      </x:c>
      <x:c r="K127" s="15" t="n">
        <x:f>IF(I127&gt;0,"Unknown",H127/F127)</x:f>
        <x:v>1</x:v>
      </x:c>
      <x:c r="L127" s="15" t="n">
        <x:f>IF(J127=0,"N/A",H127/J127)</x:f>
        <x:v>0.13333333333333333</x:v>
      </x:c>
      <x:c r="M127" s="14" t="n">
        <x:f>SUMIFS('Rankings'!$L$6:$L$423,'Rankings'!$A$6:$A$423,B127,'Rankings'!$E$6:$E$423,"&lt;="&amp;F127)</x:f>
        <x:v>11.416508275000202</x:v>
      </x:c>
      <x:c r="N127" s="14" t="n">
        <x:f>SUMIFS('Ideal ranking'!$H$6:$H$365,'Ideal ranking'!$A$6:$A$365,C127,'Ideal ranking'!$B$6:$B$365,"&lt;="&amp;F127)</x:f>
        <x:v>11.416508275000202</x:v>
      </x:c>
      <x:c r="O127" s="14" t="n">
        <x:f>IF(I127&gt;0,"Unknown",IF(N127=0,"N/A",M127/N127))</x:f>
        <x:v>1</x:v>
      </x:c>
      <x:c r="P127" s="15" t="n">
        <x:f>IF(G127=0,"N/A",IF(I127&gt;0,"Unknown",H127/G127))</x:f>
        <x:v>1</x:v>
      </x:c>
      <x:c r="Q127" s="2" t="n">
        <x:f>F127-G127</x:f>
        <x:v>0</x:v>
      </x:c>
    </x:row>
    <x:row r="128" ht="22" customHeight="1">
      <x:c r="A128" s="2" t="str">
        <x:v>S13-T01|3</x:v>
      </x:c>
      <x:c r="B128" s="2" t="str">
        <x:v>S13-T01</x:v>
      </x:c>
      <x:c r="C128" s="2" t="str">
        <x:v>S13</x:v>
      </x:c>
      <x:c r="D128" s="2" t="str">
        <x:v>Retained</x:v>
      </x:c>
      <x:c r="E128" s="2" t="n">
        <x:v>1</x:v>
      </x:c>
      <x:c r="F128" s="2" t="n">
        <x:v>3</x:v>
      </x:c>
      <x:c r="G128" s="2" t="n">
        <x:f>COUNTIFS('Rankings'!$A$6:$A$423,B128,'Rankings'!$E$6:$E$423,"&lt;="&amp;F128)</x:f>
        <x:v>3</x:v>
      </x:c>
      <x:c r="H128" s="2" t="n">
        <x:f>SUMIFS('Rankings'!$J$6:$J$423,'Rankings'!$A$6:$A$423,B128,'Rankings'!$E$6:$E$423,"&lt;="&amp;F128)</x:f>
        <x:v>3</x:v>
      </x:c>
      <x:c r="I128" s="2" t="n">
        <x:f>G128-SUMIFS('Rankings'!$I$6:$I$423,'Rankings'!$A$6:$A$423,B128,'Rankings'!$E$6:$E$423,"&lt;="&amp;F128)</x:f>
        <x:v>0</x:v>
      </x:c>
      <x:c r="J128" s="2" t="n">
        <x:f>SUMIFS('Ratings'!$H$6:$H$1387,'Ratings'!$B$6:$B$1387,C128)</x:f>
        <x:v>15</x:v>
      </x:c>
      <x:c r="K128" s="15" t="n">
        <x:f>IF(I128&gt;0,"Unknown",H128/F128)</x:f>
        <x:v>1</x:v>
      </x:c>
      <x:c r="L128" s="15" t="n">
        <x:f>IF(J128=0,"N/A",H128/J128)</x:f>
        <x:v>0.2</x:v>
      </x:c>
      <x:c r="M128" s="14" t="n">
        <x:f>SUMIFS('Rankings'!$L$6:$L$423,'Rankings'!$A$6:$A$423,B128,'Rankings'!$E$6:$E$423,"&lt;="&amp;F128)</x:f>
        <x:v>12.916508275000202</x:v>
      </x:c>
      <x:c r="N128" s="14" t="n">
        <x:f>SUMIFS('Ideal ranking'!$H$6:$H$365,'Ideal ranking'!$A$6:$A$365,C128,'Ideal ranking'!$B$6:$B$365,"&lt;="&amp;F128)</x:f>
        <x:v>14.916508275000202</x:v>
      </x:c>
      <x:c r="O128" s="14" t="n">
        <x:f>IF(I128&gt;0,"Unknown",IF(N128=0,"N/A",M128/N128))</x:f>
        <x:v>0.8659203639934981</x:v>
      </x:c>
      <x:c r="P128" s="15" t="n">
        <x:f>IF(G128=0,"N/A",IF(I128&gt;0,"Unknown",H128/G128))</x:f>
        <x:v>1</x:v>
      </x:c>
      <x:c r="Q128" s="2" t="n">
        <x:f>F128-G128</x:f>
        <x:v>0</x:v>
      </x:c>
    </x:row>
    <x:row r="129" ht="22" customHeight="1">
      <x:c r="A129" s="2" t="str">
        <x:v>S13-T01|4</x:v>
      </x:c>
      <x:c r="B129" s="2" t="str">
        <x:v>S13-T01</x:v>
      </x:c>
      <x:c r="C129" s="2" t="str">
        <x:v>S13</x:v>
      </x:c>
      <x:c r="D129" s="2" t="str">
        <x:v>Retained</x:v>
      </x:c>
      <x:c r="E129" s="2" t="n">
        <x:v>1</x:v>
      </x:c>
      <x:c r="F129" s="2" t="n">
        <x:v>4</x:v>
      </x:c>
      <x:c r="G129" s="2" t="n">
        <x:f>COUNTIFS('Rankings'!$A$6:$A$423,B129,'Rankings'!$E$6:$E$423,"&lt;="&amp;F129)</x:f>
        <x:v>4</x:v>
      </x:c>
      <x:c r="H129" s="2" t="n">
        <x:f>SUMIFS('Rankings'!$J$6:$J$423,'Rankings'!$A$6:$A$423,B129,'Rankings'!$E$6:$E$423,"&lt;="&amp;F129)</x:f>
        <x:v>4</x:v>
      </x:c>
      <x:c r="I129" s="2" t="n">
        <x:f>G129-SUMIFS('Rankings'!$I$6:$I$423,'Rankings'!$A$6:$A$423,B129,'Rankings'!$E$6:$E$423,"&lt;="&amp;F129)</x:f>
        <x:v>0</x:v>
      </x:c>
      <x:c r="J129" s="2" t="n">
        <x:f>SUMIFS('Ratings'!$H$6:$H$1387,'Ratings'!$B$6:$B$1387,C129)</x:f>
        <x:v>15</x:v>
      </x:c>
      <x:c r="K129" s="15" t="n">
        <x:f>IF(I129&gt;0,"Unknown",H129/F129)</x:f>
        <x:v>1</x:v>
      </x:c>
      <x:c r="L129" s="15" t="n">
        <x:f>IF(J129=0,"N/A",H129/J129)</x:f>
        <x:v>0.26666666666666666</x:v>
      </x:c>
      <x:c r="M129" s="14" t="n">
        <x:f>SUMIFS('Rankings'!$L$6:$L$423,'Rankings'!$A$6:$A$423,B129,'Rankings'!$E$6:$E$423,"&lt;="&amp;F129)</x:f>
        <x:v>15.931244181513954</x:v>
      </x:c>
      <x:c r="N129" s="14" t="n">
        <x:f>SUMIFS('Ideal ranking'!$H$6:$H$365,'Ideal ranking'!$A$6:$A$365,C129,'Ideal ranking'!$B$6:$B$365,"&lt;="&amp;F129)</x:f>
        <x:v>17.931244181513954</x:v>
      </x:c>
      <x:c r="O129" s="14" t="n">
        <x:f>IF(I129&gt;0,"Unknown",IF(N129=0,"N/A",M129/N129))</x:f>
        <x:v>0.8884628428593995</x:v>
      </x:c>
      <x:c r="P129" s="15" t="n">
        <x:f>IF(G129=0,"N/A",IF(I129&gt;0,"Unknown",H129/G129))</x:f>
        <x:v>1</x:v>
      </x:c>
      <x:c r="Q129" s="2" t="n">
        <x:f>F129-G129</x:f>
        <x:v>0</x:v>
      </x:c>
    </x:row>
    <x:row r="130" ht="22" customHeight="1">
      <x:c r="A130" s="2" t="str">
        <x:v>S13-T01|5</x:v>
      </x:c>
      <x:c r="B130" s="2" t="str">
        <x:v>S13-T01</x:v>
      </x:c>
      <x:c r="C130" s="2" t="str">
        <x:v>S13</x:v>
      </x:c>
      <x:c r="D130" s="2" t="str">
        <x:v>Retained</x:v>
      </x:c>
      <x:c r="E130" s="2" t="n">
        <x:v>1</x:v>
      </x:c>
      <x:c r="F130" s="2" t="n">
        <x:v>5</x:v>
      </x:c>
      <x:c r="G130" s="2" t="n">
        <x:f>COUNTIFS('Rankings'!$A$6:$A$423,B130,'Rankings'!$E$6:$E$423,"&lt;="&amp;F130)</x:f>
        <x:v>5</x:v>
      </x:c>
      <x:c r="H130" s="2" t="n">
        <x:f>SUMIFS('Rankings'!$J$6:$J$423,'Rankings'!$A$6:$A$423,B130,'Rankings'!$E$6:$E$423,"&lt;="&amp;F130)</x:f>
        <x:v>5</x:v>
      </x:c>
      <x:c r="I130" s="2" t="n">
        <x:f>G130-SUMIFS('Rankings'!$I$6:$I$423,'Rankings'!$A$6:$A$423,B130,'Rankings'!$E$6:$E$423,"&lt;="&amp;F130)</x:f>
        <x:v>0</x:v>
      </x:c>
      <x:c r="J130" s="2" t="n">
        <x:f>SUMIFS('Ratings'!$H$6:$H$1387,'Ratings'!$B$6:$B$1387,C130)</x:f>
        <x:v>15</x:v>
      </x:c>
      <x:c r="K130" s="15" t="n">
        <x:f>IF(I130&gt;0,"Unknown",H130/F130)</x:f>
        <x:v>1</x:v>
      </x:c>
      <x:c r="L130" s="15" t="n">
        <x:f>IF(J130=0,"N/A",H130/J130)</x:f>
        <x:v>0.3333333333333333</x:v>
      </x:c>
      <x:c r="M130" s="14" t="n">
        <x:f>SUMIFS('Rankings'!$L$6:$L$423,'Rankings'!$A$6:$A$423,B130,'Rankings'!$E$6:$E$423,"&lt;="&amp;F130)</x:f>
        <x:v>18.639213832155747</x:v>
      </x:c>
      <x:c r="N130" s="14" t="n">
        <x:f>SUMIFS('Ideal ranking'!$H$6:$H$365,'Ideal ranking'!$A$6:$A$365,C130,'Ideal ranking'!$B$6:$B$365,"&lt;="&amp;F130)</x:f>
        <x:v>20.639213832155747</x:v>
      </x:c>
      <x:c r="O130" s="14" t="n">
        <x:f>IF(I130&gt;0,"Unknown",IF(N130=0,"N/A",M130/N130))</x:f>
        <x:v>0.9030970842075382</x:v>
      </x:c>
      <x:c r="P130" s="15" t="n">
        <x:f>IF(G130=0,"N/A",IF(I130&gt;0,"Unknown",H130/G130))</x:f>
        <x:v>1</x:v>
      </x:c>
      <x:c r="Q130" s="2" t="n">
        <x:f>F130-G130</x:f>
        <x:v>0</x:v>
      </x:c>
    </x:row>
    <x:row r="131" ht="22" customHeight="1">
      <x:c r="A131" s="2" t="str">
        <x:v>S13-T01|6</x:v>
      </x:c>
      <x:c r="B131" s="2" t="str">
        <x:v>S13-T01</x:v>
      </x:c>
      <x:c r="C131" s="2" t="str">
        <x:v>S13</x:v>
      </x:c>
      <x:c r="D131" s="2" t="str">
        <x:v>Retained</x:v>
      </x:c>
      <x:c r="E131" s="2" t="n">
        <x:v>1</x:v>
      </x:c>
      <x:c r="F131" s="2" t="n">
        <x:v>6</x:v>
      </x:c>
      <x:c r="G131" s="2" t="n">
        <x:f>COUNTIFS('Rankings'!$A$6:$A$423,B131,'Rankings'!$E$6:$E$423,"&lt;="&amp;F131)</x:f>
        <x:v>6</x:v>
      </x:c>
      <x:c r="H131" s="2" t="n">
        <x:f>SUMIFS('Rankings'!$J$6:$J$423,'Rankings'!$A$6:$A$423,B131,'Rankings'!$E$6:$E$423,"&lt;="&amp;F131)</x:f>
        <x:v>6</x:v>
      </x:c>
      <x:c r="I131" s="2" t="n">
        <x:f>G131-SUMIFS('Rankings'!$I$6:$I$423,'Rankings'!$A$6:$A$423,B131,'Rankings'!$E$6:$E$423,"&lt;="&amp;F131)</x:f>
        <x:v>0</x:v>
      </x:c>
      <x:c r="J131" s="2" t="n">
        <x:f>SUMIFS('Ratings'!$H$6:$H$1387,'Ratings'!$B$6:$B$1387,C131)</x:f>
        <x:v>15</x:v>
      </x:c>
      <x:c r="K131" s="15" t="n">
        <x:f>IF(I131&gt;0,"Unknown",H131/F131)</x:f>
        <x:v>1</x:v>
      </x:c>
      <x:c r="L131" s="15" t="n">
        <x:f>IF(J131=0,"N/A",H131/J131)</x:f>
        <x:v>0.4</x:v>
      </x:c>
      <x:c r="M131" s="14" t="n">
        <x:f>SUMIFS('Rankings'!$L$6:$L$423,'Rankings'!$A$6:$A$423,B131,'Rankings'!$E$6:$E$423,"&lt;="&amp;F131)</x:f>
        <x:v>19.70783539347981</x:v>
      </x:c>
      <x:c r="N131" s="14" t="n">
        <x:f>SUMIFS('Ideal ranking'!$H$6:$H$365,'Ideal ranking'!$A$6:$A$365,C131,'Ideal ranking'!$B$6:$B$365,"&lt;="&amp;F131)</x:f>
        <x:v>23.132664141911903</x:v>
      </x:c>
      <x:c r="O131" s="14" t="n">
        <x:f>IF(I131&gt;0,"Unknown",IF(N131=0,"N/A",M131/N131))</x:f>
        <x:v>0.8519483649863326</x:v>
      </x:c>
      <x:c r="P131" s="15" t="n">
        <x:f>IF(G131=0,"N/A",IF(I131&gt;0,"Unknown",H131/G131))</x:f>
        <x:v>1</x:v>
      </x:c>
      <x:c r="Q131" s="2" t="n">
        <x:f>F131-G131</x:f>
        <x:v>0</x:v>
      </x:c>
    </x:row>
    <x:row r="132" ht="22" customHeight="1">
      <x:c r="A132" s="2" t="str">
        <x:v>S13-T01|7</x:v>
      </x:c>
      <x:c r="B132" s="2" t="str">
        <x:v>S13-T01</x:v>
      </x:c>
      <x:c r="C132" s="2" t="str">
        <x:v>S13</x:v>
      </x:c>
      <x:c r="D132" s="2" t="str">
        <x:v>Retained</x:v>
      </x:c>
      <x:c r="E132" s="2" t="n">
        <x:v>1</x:v>
      </x:c>
      <x:c r="F132" s="2" t="n">
        <x:v>7</x:v>
      </x:c>
      <x:c r="G132" s="2" t="n">
        <x:f>COUNTIFS('Rankings'!$A$6:$A$423,B132,'Rankings'!$E$6:$E$423,"&lt;="&amp;F132)</x:f>
        <x:v>7</x:v>
      </x:c>
      <x:c r="H132" s="2" t="n">
        <x:f>SUMIFS('Rankings'!$J$6:$J$423,'Rankings'!$A$6:$A$423,B132,'Rankings'!$E$6:$E$423,"&lt;="&amp;F132)</x:f>
        <x:v>7</x:v>
      </x:c>
      <x:c r="I132" s="2" t="n">
        <x:f>G132-SUMIFS('Rankings'!$I$6:$I$423,'Rankings'!$A$6:$A$423,B132,'Rankings'!$E$6:$E$423,"&lt;="&amp;F132)</x:f>
        <x:v>0</x:v>
      </x:c>
      <x:c r="J132" s="2" t="n">
        <x:f>SUMIFS('Ratings'!$H$6:$H$1387,'Ratings'!$B$6:$B$1387,C132)</x:f>
        <x:v>15</x:v>
      </x:c>
      <x:c r="K132" s="15" t="n">
        <x:f>IF(I132&gt;0,"Unknown",H132/F132)</x:f>
        <x:v>1</x:v>
      </x:c>
      <x:c r="L132" s="15" t="n">
        <x:f>IF(J132=0,"N/A",H132/J132)</x:f>
        <x:v>0.4666666666666667</x:v>
      </x:c>
      <x:c r="M132" s="14" t="n">
        <x:f>SUMIFS('Rankings'!$L$6:$L$423,'Rankings'!$A$6:$A$423,B132,'Rankings'!$E$6:$E$423,"&lt;="&amp;F132)</x:f>
        <x:v>22.041168726813144</x:v>
      </x:c>
      <x:c r="N132" s="14" t="n">
        <x:f>SUMIFS('Ideal ranking'!$H$6:$H$365,'Ideal ranking'!$A$6:$A$365,C132,'Ideal ranking'!$B$6:$B$365,"&lt;="&amp;F132)</x:f>
        <x:v>24.132664141911903</x:v>
      </x:c>
      <x:c r="O132" s="14" t="n">
        <x:f>IF(I132&gt;0,"Unknown",IF(N132=0,"N/A",M132/N132))</x:f>
        <x:v>0.9133334221700621</x:v>
      </x:c>
      <x:c r="P132" s="15" t="n">
        <x:f>IF(G132=0,"N/A",IF(I132&gt;0,"Unknown",H132/G132))</x:f>
        <x:v>1</x:v>
      </x:c>
      <x:c r="Q132" s="2" t="n">
        <x:f>F132-G132</x:f>
        <x:v>0</x:v>
      </x:c>
    </x:row>
    <x:row r="133" ht="22" customHeight="1">
      <x:c r="A133" s="2" t="str">
        <x:v>S13-T01|8</x:v>
      </x:c>
      <x:c r="B133" s="2" t="str">
        <x:v>S13-T01</x:v>
      </x:c>
      <x:c r="C133" s="2" t="str">
        <x:v>S13</x:v>
      </x:c>
      <x:c r="D133" s="2" t="str">
        <x:v>Retained</x:v>
      </x:c>
      <x:c r="E133" s="2" t="n">
        <x:v>1</x:v>
      </x:c>
      <x:c r="F133" s="2" t="n">
        <x:v>8</x:v>
      </x:c>
      <x:c r="G133" s="2" t="n">
        <x:f>COUNTIFS('Rankings'!$A$6:$A$423,B133,'Rankings'!$E$6:$E$423,"&lt;="&amp;F133)</x:f>
        <x:v>8</x:v>
      </x:c>
      <x:c r="H133" s="2" t="n">
        <x:f>SUMIFS('Rankings'!$J$6:$J$423,'Rankings'!$A$6:$A$423,B133,'Rankings'!$E$6:$E$423,"&lt;="&amp;F133)</x:f>
        <x:v>8</x:v>
      </x:c>
      <x:c r="I133" s="2" t="n">
        <x:f>G133-SUMIFS('Rankings'!$I$6:$I$423,'Rankings'!$A$6:$A$423,B133,'Rankings'!$E$6:$E$423,"&lt;="&amp;F133)</x:f>
        <x:v>0</x:v>
      </x:c>
      <x:c r="J133" s="2" t="n">
        <x:f>SUMIFS('Ratings'!$H$6:$H$1387,'Ratings'!$B$6:$B$1387,C133)</x:f>
        <x:v>15</x:v>
      </x:c>
      <x:c r="K133" s="15" t="n">
        <x:f>IF(I133&gt;0,"Unknown",H133/F133)</x:f>
        <x:v>1</x:v>
      </x:c>
      <x:c r="L133" s="15" t="n">
        <x:f>IF(J133=0,"N/A",H133/J133)</x:f>
        <x:v>0.5333333333333333</x:v>
      </x:c>
      <x:c r="M133" s="14" t="n">
        <x:f>SUMIFS('Rankings'!$L$6:$L$423,'Rankings'!$A$6:$A$423,B133,'Rankings'!$E$6:$E$423,"&lt;="&amp;F133)</x:f>
        <x:v>22.98756335717033</x:v>
      </x:c>
      <x:c r="N133" s="14" t="n">
        <x:f>SUMIFS('Ideal ranking'!$H$6:$H$365,'Ideal ranking'!$A$6:$A$365,C133,'Ideal ranking'!$B$6:$B$365,"&lt;="&amp;F133)</x:f>
        <x:v>25.07905877226909</x:v>
      </x:c>
      <x:c r="O133" s="14" t="n">
        <x:f>IF(I133&gt;0,"Unknown",IF(N133=0,"N/A",M133/N133))</x:f>
        <x:v>0.9166039110920937</x:v>
      </x:c>
      <x:c r="P133" s="15" t="n">
        <x:f>IF(G133=0,"N/A",IF(I133&gt;0,"Unknown",H133/G133))</x:f>
        <x:v>1</x:v>
      </x:c>
      <x:c r="Q133" s="2" t="n">
        <x:f>F133-G133</x:f>
        <x:v>0</x:v>
      </x:c>
    </x:row>
    <x:row r="134" ht="22" customHeight="1">
      <x:c r="A134" s="2" t="str">
        <x:v>S13-T01|9</x:v>
      </x:c>
      <x:c r="B134" s="2" t="str">
        <x:v>S13-T01</x:v>
      </x:c>
      <x:c r="C134" s="2" t="str">
        <x:v>S13</x:v>
      </x:c>
      <x:c r="D134" s="2" t="str">
        <x:v>Retained</x:v>
      </x:c>
      <x:c r="E134" s="2" t="n">
        <x:v>1</x:v>
      </x:c>
      <x:c r="F134" s="2" t="n">
        <x:v>9</x:v>
      </x:c>
      <x:c r="G134" s="2" t="n">
        <x:f>COUNTIFS('Rankings'!$A$6:$A$423,B134,'Rankings'!$E$6:$E$423,"&lt;="&amp;F134)</x:f>
        <x:v>9</x:v>
      </x:c>
      <x:c r="H134" s="2" t="n">
        <x:f>SUMIFS('Rankings'!$J$6:$J$423,'Rankings'!$A$6:$A$423,B134,'Rankings'!$E$6:$E$423,"&lt;="&amp;F134)</x:f>
        <x:v>9</x:v>
      </x:c>
      <x:c r="I134" s="2" t="n">
        <x:f>G134-SUMIFS('Rankings'!$I$6:$I$423,'Rankings'!$A$6:$A$423,B134,'Rankings'!$E$6:$E$423,"&lt;="&amp;F134)</x:f>
        <x:v>0</x:v>
      </x:c>
      <x:c r="J134" s="2" t="n">
        <x:f>SUMIFS('Ratings'!$H$6:$H$1387,'Ratings'!$B$6:$B$1387,C134)</x:f>
        <x:v>15</x:v>
      </x:c>
      <x:c r="K134" s="15" t="n">
        <x:f>IF(I134&gt;0,"Unknown",H134/F134)</x:f>
        <x:v>1</x:v>
      </x:c>
      <x:c r="L134" s="15" t="n">
        <x:f>IF(J134=0,"N/A",H134/J134)</x:f>
        <x:v>0.6</x:v>
      </x:c>
      <x:c r="M134" s="14" t="n">
        <x:f>SUMIFS('Rankings'!$L$6:$L$423,'Rankings'!$A$6:$A$423,B134,'Rankings'!$E$6:$E$423,"&lt;="&amp;F134)</x:f>
        <x:v>23.890653344162274</x:v>
      </x:c>
      <x:c r="N134" s="14" t="n">
        <x:f>SUMIFS('Ideal ranking'!$H$6:$H$365,'Ideal ranking'!$A$6:$A$365,C134,'Ideal ranking'!$B$6:$B$365,"&lt;="&amp;F134)</x:f>
        <x:v>25.982148759261033</x:v>
      </x:c>
      <x:c r="O134" s="14" t="n">
        <x:f>IF(I134&gt;0,"Unknown",IF(N134=0,"N/A",M134/N134))</x:f>
        <x:v>0.9195026002476693</x:v>
      </x:c>
      <x:c r="P134" s="15" t="n">
        <x:f>IF(G134=0,"N/A",IF(I134&gt;0,"Unknown",H134/G134))</x:f>
        <x:v>1</x:v>
      </x:c>
      <x:c r="Q134" s="2" t="n">
        <x:f>F134-G134</x:f>
        <x:v>0</x:v>
      </x:c>
    </x:row>
    <x:row r="135" ht="22" customHeight="1">
      <x:c r="A135" s="2" t="str">
        <x:v>S13-T01|10</x:v>
      </x:c>
      <x:c r="B135" s="2" t="str">
        <x:v>S13-T01</x:v>
      </x:c>
      <x:c r="C135" s="2" t="str">
        <x:v>S13</x:v>
      </x:c>
      <x:c r="D135" s="2" t="str">
        <x:v>Retained</x:v>
      </x:c>
      <x:c r="E135" s="2" t="n">
        <x:v>1</x:v>
      </x:c>
      <x:c r="F135" s="2" t="n">
        <x:v>10</x:v>
      </x:c>
      <x:c r="G135" s="2" t="n">
        <x:f>COUNTIFS('Rankings'!$A$6:$A$423,B135,'Rankings'!$E$6:$E$423,"&lt;="&amp;F135)</x:f>
        <x:v>10</x:v>
      </x:c>
      <x:c r="H135" s="2" t="n">
        <x:f>SUMIFS('Rankings'!$J$6:$J$423,'Rankings'!$A$6:$A$423,B135,'Rankings'!$E$6:$E$423,"&lt;="&amp;F135)</x:f>
        <x:v>10</x:v>
      </x:c>
      <x:c r="I135" s="2" t="n">
        <x:f>G135-SUMIFS('Rankings'!$I$6:$I$423,'Rankings'!$A$6:$A$423,B135,'Rankings'!$E$6:$E$423,"&lt;="&amp;F135)</x:f>
        <x:v>0</x:v>
      </x:c>
      <x:c r="J135" s="2" t="n">
        <x:f>SUMIFS('Ratings'!$H$6:$H$1387,'Ratings'!$B$6:$B$1387,C135)</x:f>
        <x:v>15</x:v>
      </x:c>
      <x:c r="K135" s="15" t="n">
        <x:f>IF(I135&gt;0,"Unknown",H135/F135)</x:f>
        <x:v>1</x:v>
      </x:c>
      <x:c r="L135" s="15" t="n">
        <x:f>IF(J135=0,"N/A",H135/J135)</x:f>
        <x:v>0.6666666666666666</x:v>
      </x:c>
      <x:c r="M135" s="14" t="n">
        <x:f>SUMIFS('Rankings'!$L$6:$L$423,'Rankings'!$A$6:$A$423,B135,'Rankings'!$E$6:$E$423,"&lt;="&amp;F135)</x:f>
        <x:v>24.757847823115938</x:v>
      </x:c>
      <x:c r="N135" s="14" t="n">
        <x:f>SUMIFS('Ideal ranking'!$H$6:$H$365,'Ideal ranking'!$A$6:$A$365,C135,'Ideal ranking'!$B$6:$B$365,"&lt;="&amp;F135)</x:f>
        <x:v>26.849343238214697</x:v>
      </x:c>
      <x:c r="O135" s="14" t="n">
        <x:f>IF(I135&gt;0,"Unknown",IF(N135=0,"N/A",M135/N135))</x:f>
        <x:v>0.9221025484108702</x:v>
      </x:c>
      <x:c r="P135" s="15" t="n">
        <x:f>IF(G135=0,"N/A",IF(I135&gt;0,"Unknown",H135/G135))</x:f>
        <x:v>1</x:v>
      </x:c>
      <x:c r="Q135" s="2" t="n">
        <x:f>F135-G135</x:f>
        <x:v>0</x:v>
      </x:c>
    </x:row>
    <x:row r="136" ht="22" customHeight="1">
      <x:c r="A136" s="2" t="str">
        <x:v>S14-T01|1</x:v>
      </x:c>
      <x:c r="B136" s="2" t="str">
        <x:v>S14-T01</x:v>
      </x:c>
      <x:c r="C136" s="2" t="str">
        <x:v>S14</x:v>
      </x:c>
      <x:c r="D136" s="2" t="str">
        <x:v>Retained</x:v>
      </x:c>
      <x:c r="E136" s="2" t="n">
        <x:v>1</x:v>
      </x:c>
      <x:c r="F136" s="2" t="n">
        <x:v>1</x:v>
      </x:c>
      <x:c r="G136" s="2" t="n">
        <x:f>COUNTIFS('Rankings'!$A$6:$A$423,B136,'Rankings'!$E$6:$E$423,"&lt;="&amp;F136)</x:f>
        <x:v>1</x:v>
      </x:c>
      <x:c r="H136" s="2" t="n">
        <x:f>SUMIFS('Rankings'!$J$6:$J$423,'Rankings'!$A$6:$A$423,B136,'Rankings'!$E$6:$E$423,"&lt;="&amp;F136)</x:f>
        <x:v>1</x:v>
      </x:c>
      <x:c r="I136" s="2" t="n">
        <x:f>G136-SUMIFS('Rankings'!$I$6:$I$423,'Rankings'!$A$6:$A$423,B136,'Rankings'!$E$6:$E$423,"&lt;="&amp;F136)</x:f>
        <x:v>0</x:v>
      </x:c>
      <x:c r="J136" s="2" t="n">
        <x:f>SUMIFS('Ratings'!$H$6:$H$1387,'Ratings'!$B$6:$B$1387,C136)</x:f>
        <x:v>21</x:v>
      </x:c>
      <x:c r="K136" s="15" t="n">
        <x:f>IF(I136&gt;0,"Unknown",H136/F136)</x:f>
        <x:v>1</x:v>
      </x:c>
      <x:c r="L136" s="15" t="n">
        <x:f>IF(J136=0,"N/A",H136/J136)</x:f>
        <x:v>0.047619047619047616</x:v>
      </x:c>
      <x:c r="M136" s="14" t="n">
        <x:f>SUMIFS('Rankings'!$L$6:$L$423,'Rankings'!$A$6:$A$423,B136,'Rankings'!$E$6:$E$423,"&lt;="&amp;F136)</x:f>
        <x:v>7</x:v>
      </x:c>
      <x:c r="N136" s="14" t="n">
        <x:f>SUMIFS('Ideal ranking'!$H$6:$H$365,'Ideal ranking'!$A$6:$A$365,C136,'Ideal ranking'!$B$6:$B$365,"&lt;="&amp;F136)</x:f>
        <x:v>7</x:v>
      </x:c>
      <x:c r="O136" s="14" t="n">
        <x:f>IF(I136&gt;0,"Unknown",IF(N136=0,"N/A",M136/N136))</x:f>
        <x:v>1</x:v>
      </x:c>
      <x:c r="P136" s="15" t="n">
        <x:f>IF(G136=0,"N/A",IF(I136&gt;0,"Unknown",H136/G136))</x:f>
        <x:v>1</x:v>
      </x:c>
      <x:c r="Q136" s="2" t="n">
        <x:f>F136-G136</x:f>
        <x:v>0</x:v>
      </x:c>
    </x:row>
    <x:row r="137" ht="22" customHeight="1">
      <x:c r="A137" s="2" t="str">
        <x:v>S14-T01|2</x:v>
      </x:c>
      <x:c r="B137" s="2" t="str">
        <x:v>S14-T01</x:v>
      </x:c>
      <x:c r="C137" s="2" t="str">
        <x:v>S14</x:v>
      </x:c>
      <x:c r="D137" s="2" t="str">
        <x:v>Retained</x:v>
      </x:c>
      <x:c r="E137" s="2" t="n">
        <x:v>1</x:v>
      </x:c>
      <x:c r="F137" s="2" t="n">
        <x:v>2</x:v>
      </x:c>
      <x:c r="G137" s="2" t="n">
        <x:f>COUNTIFS('Rankings'!$A$6:$A$423,B137,'Rankings'!$E$6:$E$423,"&lt;="&amp;F137)</x:f>
        <x:v>2</x:v>
      </x:c>
      <x:c r="H137" s="2" t="n">
        <x:f>SUMIFS('Rankings'!$J$6:$J$423,'Rankings'!$A$6:$A$423,B137,'Rankings'!$E$6:$E$423,"&lt;="&amp;F137)</x:f>
        <x:v>2</x:v>
      </x:c>
      <x:c r="I137" s="2" t="n">
        <x:f>G137-SUMIFS('Rankings'!$I$6:$I$423,'Rankings'!$A$6:$A$423,B137,'Rankings'!$E$6:$E$423,"&lt;="&amp;F137)</x:f>
        <x:v>0</x:v>
      </x:c>
      <x:c r="J137" s="2" t="n">
        <x:f>SUMIFS('Ratings'!$H$6:$H$1387,'Ratings'!$B$6:$B$1387,C137)</x:f>
        <x:v>21</x:v>
      </x:c>
      <x:c r="K137" s="15" t="n">
        <x:f>IF(I137&gt;0,"Unknown",H137/F137)</x:f>
        <x:v>1</x:v>
      </x:c>
      <x:c r="L137" s="15" t="n">
        <x:f>IF(J137=0,"N/A",H137/J137)</x:f>
        <x:v>0.09523809523809523</x:v>
      </x:c>
      <x:c r="M137" s="14" t="n">
        <x:f>SUMIFS('Rankings'!$L$6:$L$423,'Rankings'!$A$6:$A$423,B137,'Rankings'!$E$6:$E$423,"&lt;="&amp;F137)</x:f>
        <x:v>8.892789260714373</x:v>
      </x:c>
      <x:c r="N137" s="14" t="n">
        <x:f>SUMIFS('Ideal ranking'!$H$6:$H$365,'Ideal ranking'!$A$6:$A$365,C137,'Ideal ranking'!$B$6:$B$365,"&lt;="&amp;F137)</x:f>
        <x:v>11.416508275000202</x:v>
      </x:c>
      <x:c r="O137" s="14" t="n">
        <x:f>IF(I137&gt;0,"Unknown",IF(N137=0,"N/A",M137/N137))</x:f>
        <x:v>0.7789412530088334</x:v>
      </x:c>
      <x:c r="P137" s="15" t="n">
        <x:f>IF(G137=0,"N/A",IF(I137&gt;0,"Unknown",H137/G137))</x:f>
        <x:v>1</x:v>
      </x:c>
      <x:c r="Q137" s="2" t="n">
        <x:f>F137-G137</x:f>
        <x:v>0</x:v>
      </x:c>
    </x:row>
    <x:row r="138" ht="22" customHeight="1">
      <x:c r="A138" s="2" t="str">
        <x:v>S14-T01|3</x:v>
      </x:c>
      <x:c r="B138" s="2" t="str">
        <x:v>S14-T01</x:v>
      </x:c>
      <x:c r="C138" s="2" t="str">
        <x:v>S14</x:v>
      </x:c>
      <x:c r="D138" s="2" t="str">
        <x:v>Retained</x:v>
      </x:c>
      <x:c r="E138" s="2" t="n">
        <x:v>1</x:v>
      </x:c>
      <x:c r="F138" s="2" t="n">
        <x:v>3</x:v>
      </x:c>
      <x:c r="G138" s="2" t="n">
        <x:f>COUNTIFS('Rankings'!$A$6:$A$423,B138,'Rankings'!$E$6:$E$423,"&lt;="&amp;F138)</x:f>
        <x:v>3</x:v>
      </x:c>
      <x:c r="H138" s="2" t="n">
        <x:f>SUMIFS('Rankings'!$J$6:$J$423,'Rankings'!$A$6:$A$423,B138,'Rankings'!$E$6:$E$423,"&lt;="&amp;F138)</x:f>
        <x:v>3</x:v>
      </x:c>
      <x:c r="I138" s="2" t="n">
        <x:f>G138-SUMIFS('Rankings'!$I$6:$I$423,'Rankings'!$A$6:$A$423,B138,'Rankings'!$E$6:$E$423,"&lt;="&amp;F138)</x:f>
        <x:v>0</x:v>
      </x:c>
      <x:c r="J138" s="2" t="n">
        <x:f>SUMIFS('Ratings'!$H$6:$H$1387,'Ratings'!$B$6:$B$1387,C138)</x:f>
        <x:v>21</x:v>
      </x:c>
      <x:c r="K138" s="15" t="n">
        <x:f>IF(I138&gt;0,"Unknown",H138/F138)</x:f>
        <x:v>1</x:v>
      </x:c>
      <x:c r="L138" s="15" t="n">
        <x:f>IF(J138=0,"N/A",H138/J138)</x:f>
        <x:v>0.14285714285714285</x:v>
      </x:c>
      <x:c r="M138" s="14" t="n">
        <x:f>SUMIFS('Rankings'!$L$6:$L$423,'Rankings'!$A$6:$A$423,B138,'Rankings'!$E$6:$E$423,"&lt;="&amp;F138)</x:f>
        <x:v>12.392789260714373</x:v>
      </x:c>
      <x:c r="N138" s="14" t="n">
        <x:f>SUMIFS('Ideal ranking'!$H$6:$H$365,'Ideal ranking'!$A$6:$A$365,C138,'Ideal ranking'!$B$6:$B$365,"&lt;="&amp;F138)</x:f>
        <x:v>14.916508275000202</x:v>
      </x:c>
      <x:c r="O138" s="14" t="n">
        <x:f>IF(I138&gt;0,"Unknown",IF(N138=0,"N/A",M138/N138))</x:f>
        <x:v>0.8308103365909342</x:v>
      </x:c>
      <x:c r="P138" s="15" t="n">
        <x:f>IF(G138=0,"N/A",IF(I138&gt;0,"Unknown",H138/G138))</x:f>
        <x:v>1</x:v>
      </x:c>
      <x:c r="Q138" s="2" t="n">
        <x:f>F138-G138</x:f>
        <x:v>0</x:v>
      </x:c>
    </x:row>
    <x:row r="139" ht="22" customHeight="1">
      <x:c r="A139" s="2" t="str">
        <x:v>S14-T01|4</x:v>
      </x:c>
      <x:c r="B139" s="2" t="str">
        <x:v>S14-T01</x:v>
      </x:c>
      <x:c r="C139" s="2" t="str">
        <x:v>S14</x:v>
      </x:c>
      <x:c r="D139" s="2" t="str">
        <x:v>Retained</x:v>
      </x:c>
      <x:c r="E139" s="2" t="n">
        <x:v>1</x:v>
      </x:c>
      <x:c r="F139" s="2" t="n">
        <x:v>4</x:v>
      </x:c>
      <x:c r="G139" s="2" t="n">
        <x:f>COUNTIFS('Rankings'!$A$6:$A$423,B139,'Rankings'!$E$6:$E$423,"&lt;="&amp;F139)</x:f>
        <x:v>4</x:v>
      </x:c>
      <x:c r="H139" s="2" t="n">
        <x:f>SUMIFS('Rankings'!$J$6:$J$423,'Rankings'!$A$6:$A$423,B139,'Rankings'!$E$6:$E$423,"&lt;="&amp;F139)</x:f>
        <x:v>4</x:v>
      </x:c>
      <x:c r="I139" s="2" t="n">
        <x:f>G139-SUMIFS('Rankings'!$I$6:$I$423,'Rankings'!$A$6:$A$423,B139,'Rankings'!$E$6:$E$423,"&lt;="&amp;F139)</x:f>
        <x:v>0</x:v>
      </x:c>
      <x:c r="J139" s="2" t="n">
        <x:f>SUMIFS('Ratings'!$H$6:$H$1387,'Ratings'!$B$6:$B$1387,C139)</x:f>
        <x:v>21</x:v>
      </x:c>
      <x:c r="K139" s="15" t="n">
        <x:f>IF(I139&gt;0,"Unknown",H139/F139)</x:f>
        <x:v>1</x:v>
      </x:c>
      <x:c r="L139" s="15" t="n">
        <x:f>IF(J139=0,"N/A",H139/J139)</x:f>
        <x:v>0.19047619047619047</x:v>
      </x:c>
      <x:c r="M139" s="14" t="n">
        <x:f>SUMIFS('Rankings'!$L$6:$L$423,'Rankings'!$A$6:$A$423,B139,'Rankings'!$E$6:$E$423,"&lt;="&amp;F139)</x:f>
        <x:v>13.684818934934553</x:v>
      </x:c>
      <x:c r="N139" s="14" t="n">
        <x:f>SUMIFS('Ideal ranking'!$H$6:$H$365,'Ideal ranking'!$A$6:$A$365,C139,'Ideal ranking'!$B$6:$B$365,"&lt;="&amp;F139)</x:f>
        <x:v>17.931244181513954</x:v>
      </x:c>
      <x:c r="O139" s="14" t="n">
        <x:f>IF(I139&gt;0,"Unknown",IF(N139=0,"N/A",M139/N139))</x:f>
        <x:v>0.7631828999932301</x:v>
      </x:c>
      <x:c r="P139" s="15" t="n">
        <x:f>IF(G139=0,"N/A",IF(I139&gt;0,"Unknown",H139/G139))</x:f>
        <x:v>1</x:v>
      </x:c>
      <x:c r="Q139" s="2" t="n">
        <x:f>F139-G139</x:f>
        <x:v>0</x:v>
      </x:c>
    </x:row>
    <x:row r="140" ht="22" customHeight="1">
      <x:c r="A140" s="2" t="str">
        <x:v>S14-T01|5</x:v>
      </x:c>
      <x:c r="B140" s="2" t="str">
        <x:v>S14-T01</x:v>
      </x:c>
      <x:c r="C140" s="2" t="str">
        <x:v>S14</x:v>
      </x:c>
      <x:c r="D140" s="2" t="str">
        <x:v>Retained</x:v>
      </x:c>
      <x:c r="E140" s="2" t="n">
        <x:v>1</x:v>
      </x:c>
      <x:c r="F140" s="2" t="n">
        <x:v>5</x:v>
      </x:c>
      <x:c r="G140" s="2" t="n">
        <x:f>COUNTIFS('Rankings'!$A$6:$A$423,B140,'Rankings'!$E$6:$E$423,"&lt;="&amp;F140)</x:f>
        <x:v>5</x:v>
      </x:c>
      <x:c r="H140" s="2" t="n">
        <x:f>SUMIFS('Rankings'!$J$6:$J$423,'Rankings'!$A$6:$A$423,B140,'Rankings'!$E$6:$E$423,"&lt;="&amp;F140)</x:f>
        <x:v>5</x:v>
      </x:c>
      <x:c r="I140" s="2" t="n">
        <x:f>G140-SUMIFS('Rankings'!$I$6:$I$423,'Rankings'!$A$6:$A$423,B140,'Rankings'!$E$6:$E$423,"&lt;="&amp;F140)</x:f>
        <x:v>0</x:v>
      </x:c>
      <x:c r="J140" s="2" t="n">
        <x:f>SUMIFS('Ratings'!$H$6:$H$1387,'Ratings'!$B$6:$B$1387,C140)</x:f>
        <x:v>21</x:v>
      </x:c>
      <x:c r="K140" s="15" t="n">
        <x:f>IF(I140&gt;0,"Unknown",H140/F140)</x:f>
        <x:v>1</x:v>
      </x:c>
      <x:c r="L140" s="15" t="n">
        <x:f>IF(J140=0,"N/A",H140/J140)</x:f>
        <x:v>0.23809523809523808</x:v>
      </x:c>
      <x:c r="M140" s="14" t="n">
        <x:f>SUMIFS('Rankings'!$L$6:$L$423,'Rankings'!$A$6:$A$423,B140,'Rankings'!$E$6:$E$423,"&lt;="&amp;F140)</x:f>
        <x:v>14.845377356638178</x:v>
      </x:c>
      <x:c r="N140" s="14" t="n">
        <x:f>SUMIFS('Ideal ranking'!$H$6:$H$365,'Ideal ranking'!$A$6:$A$365,C140,'Ideal ranking'!$B$6:$B$365,"&lt;="&amp;F140)</x:f>
        <x:v>20.639213832155747</x:v>
      </x:c>
      <x:c r="O140" s="14" t="n">
        <x:f>IF(I140&gt;0,"Unknown",IF(N140=0,"N/A",M140/N140))</x:f>
        <x:v>0.7192801759488139</x:v>
      </x:c>
      <x:c r="P140" s="15" t="n">
        <x:f>IF(G140=0,"N/A",IF(I140&gt;0,"Unknown",H140/G140))</x:f>
        <x:v>1</x:v>
      </x:c>
      <x:c r="Q140" s="2" t="n">
        <x:f>F140-G140</x:f>
        <x:v>0</x:v>
      </x:c>
    </x:row>
    <x:row r="141" ht="22" customHeight="1">
      <x:c r="A141" s="2" t="str">
        <x:v>S14-T01|6</x:v>
      </x:c>
      <x:c r="B141" s="2" t="str">
        <x:v>S14-T01</x:v>
      </x:c>
      <x:c r="C141" s="2" t="str">
        <x:v>S14</x:v>
      </x:c>
      <x:c r="D141" s="2" t="str">
        <x:v>Retained</x:v>
      </x:c>
      <x:c r="E141" s="2" t="n">
        <x:v>1</x:v>
      </x:c>
      <x:c r="F141" s="2" t="n">
        <x:v>6</x:v>
      </x:c>
      <x:c r="G141" s="2" t="n">
        <x:f>COUNTIFS('Rankings'!$A$6:$A$423,B141,'Rankings'!$E$6:$E$423,"&lt;="&amp;F141)</x:f>
        <x:v>6</x:v>
      </x:c>
      <x:c r="H141" s="2" t="n">
        <x:f>SUMIFS('Rankings'!$J$6:$J$423,'Rankings'!$A$6:$A$423,B141,'Rankings'!$E$6:$E$423,"&lt;="&amp;F141)</x:f>
        <x:v>6</x:v>
      </x:c>
      <x:c r="I141" s="2" t="n">
        <x:f>G141-SUMIFS('Rankings'!$I$6:$I$423,'Rankings'!$A$6:$A$423,B141,'Rankings'!$E$6:$E$423,"&lt;="&amp;F141)</x:f>
        <x:v>0</x:v>
      </x:c>
      <x:c r="J141" s="2" t="n">
        <x:f>SUMIFS('Ratings'!$H$6:$H$1387,'Ratings'!$B$6:$B$1387,C141)</x:f>
        <x:v>21</x:v>
      </x:c>
      <x:c r="K141" s="15" t="n">
        <x:f>IF(I141&gt;0,"Unknown",H141/F141)</x:f>
        <x:v>1</x:v>
      </x:c>
      <x:c r="L141" s="15" t="n">
        <x:f>IF(J141=0,"N/A",H141/J141)</x:f>
        <x:v>0.2857142857142857</x:v>
      </x:c>
      <x:c r="M141" s="14" t="n">
        <x:f>SUMIFS('Rankings'!$L$6:$L$423,'Rankings'!$A$6:$A$423,B141,'Rankings'!$E$6:$E$423,"&lt;="&amp;F141)</x:f>
        <x:v>15.913998917962244</x:v>
      </x:c>
      <x:c r="N141" s="14" t="n">
        <x:f>SUMIFS('Ideal ranking'!$H$6:$H$365,'Ideal ranking'!$A$6:$A$365,C141,'Ideal ranking'!$B$6:$B$365,"&lt;="&amp;F141)</x:f>
        <x:v>23.132664141911903</x:v>
      </x:c>
      <x:c r="O141" s="14" t="n">
        <x:f>IF(I141&gt;0,"Unknown",IF(N141=0,"N/A",M141/N141))</x:f>
        <x:v>0.6879449258561258</x:v>
      </x:c>
      <x:c r="P141" s="15" t="n">
        <x:f>IF(G141=0,"N/A",IF(I141&gt;0,"Unknown",H141/G141))</x:f>
        <x:v>1</x:v>
      </x:c>
      <x:c r="Q141" s="2" t="n">
        <x:f>F141-G141</x:f>
        <x:v>0</x:v>
      </x:c>
    </x:row>
    <x:row r="142" ht="22" customHeight="1">
      <x:c r="A142" s="2" t="str">
        <x:v>S14-T01|7</x:v>
      </x:c>
      <x:c r="B142" s="2" t="str">
        <x:v>S14-T01</x:v>
      </x:c>
      <x:c r="C142" s="2" t="str">
        <x:v>S14</x:v>
      </x:c>
      <x:c r="D142" s="2" t="str">
        <x:v>Retained</x:v>
      </x:c>
      <x:c r="E142" s="2" t="n">
        <x:v>1</x:v>
      </x:c>
      <x:c r="F142" s="2" t="n">
        <x:v>7</x:v>
      </x:c>
      <x:c r="G142" s="2" t="n">
        <x:f>COUNTIFS('Rankings'!$A$6:$A$423,B142,'Rankings'!$E$6:$E$423,"&lt;="&amp;F142)</x:f>
        <x:v>7</x:v>
      </x:c>
      <x:c r="H142" s="2" t="n">
        <x:f>SUMIFS('Rankings'!$J$6:$J$423,'Rankings'!$A$6:$A$423,B142,'Rankings'!$E$6:$E$423,"&lt;="&amp;F142)</x:f>
        <x:v>7</x:v>
      </x:c>
      <x:c r="I142" s="2" t="n">
        <x:f>G142-SUMIFS('Rankings'!$I$6:$I$423,'Rankings'!$A$6:$A$423,B142,'Rankings'!$E$6:$E$423,"&lt;="&amp;F142)</x:f>
        <x:v>0</x:v>
      </x:c>
      <x:c r="J142" s="2" t="n">
        <x:f>SUMIFS('Ratings'!$H$6:$H$1387,'Ratings'!$B$6:$B$1387,C142)</x:f>
        <x:v>21</x:v>
      </x:c>
      <x:c r="K142" s="15" t="n">
        <x:f>IF(I142&gt;0,"Unknown",H142/F142)</x:f>
        <x:v>1</x:v>
      </x:c>
      <x:c r="L142" s="15" t="n">
        <x:f>IF(J142=0,"N/A",H142/J142)</x:f>
        <x:v>0.3333333333333333</x:v>
      </x:c>
      <x:c r="M142" s="14" t="n">
        <x:f>SUMIFS('Rankings'!$L$6:$L$423,'Rankings'!$A$6:$A$423,B142,'Rankings'!$E$6:$E$423,"&lt;="&amp;F142)</x:f>
        <x:v>16.913998917962246</x:v>
      </x:c>
      <x:c r="N142" s="14" t="n">
        <x:f>SUMIFS('Ideal ranking'!$H$6:$H$365,'Ideal ranking'!$A$6:$A$365,C142,'Ideal ranking'!$B$6:$B$365,"&lt;="&amp;F142)</x:f>
        <x:v>25.465997475245235</x:v>
      </x:c>
      <x:c r="O142" s="14" t="n">
        <x:f>IF(I142&gt;0,"Unknown",IF(N142=0,"N/A",M142/N142))</x:f>
        <x:v>0.6641797139265352</x:v>
      </x:c>
      <x:c r="P142" s="15" t="n">
        <x:f>IF(G142=0,"N/A",IF(I142&gt;0,"Unknown",H142/G142))</x:f>
        <x:v>1</x:v>
      </x:c>
      <x:c r="Q142" s="2" t="n">
        <x:f>F142-G142</x:f>
        <x:v>0</x:v>
      </x:c>
    </x:row>
    <x:row r="143" ht="22" customHeight="1">
      <x:c r="A143" s="2" t="str">
        <x:v>S14-T01|8</x:v>
      </x:c>
      <x:c r="B143" s="2" t="str">
        <x:v>S14-T01</x:v>
      </x:c>
      <x:c r="C143" s="2" t="str">
        <x:v>S14</x:v>
      </x:c>
      <x:c r="D143" s="2" t="str">
        <x:v>Retained</x:v>
      </x:c>
      <x:c r="E143" s="2" t="n">
        <x:v>1</x:v>
      </x:c>
      <x:c r="F143" s="2" t="n">
        <x:v>8</x:v>
      </x:c>
      <x:c r="G143" s="2" t="n">
        <x:f>COUNTIFS('Rankings'!$A$6:$A$423,B143,'Rankings'!$E$6:$E$423,"&lt;="&amp;F143)</x:f>
        <x:v>8</x:v>
      </x:c>
      <x:c r="H143" s="2" t="n">
        <x:f>SUMIFS('Rankings'!$J$6:$J$423,'Rankings'!$A$6:$A$423,B143,'Rankings'!$E$6:$E$423,"&lt;="&amp;F143)</x:f>
        <x:v>8</x:v>
      </x:c>
      <x:c r="I143" s="2" t="n">
        <x:f>G143-SUMIFS('Rankings'!$I$6:$I$423,'Rankings'!$A$6:$A$423,B143,'Rankings'!$E$6:$E$423,"&lt;="&amp;F143)</x:f>
        <x:v>0</x:v>
      </x:c>
      <x:c r="J143" s="2" t="n">
        <x:f>SUMIFS('Ratings'!$H$6:$H$1387,'Ratings'!$B$6:$B$1387,C143)</x:f>
        <x:v>21</x:v>
      </x:c>
      <x:c r="K143" s="15" t="n">
        <x:f>IF(I143&gt;0,"Unknown",H143/F143)</x:f>
        <x:v>1</x:v>
      </x:c>
      <x:c r="L143" s="15" t="n">
        <x:f>IF(J143=0,"N/A",H143/J143)</x:f>
        <x:v>0.38095238095238093</x:v>
      </x:c>
      <x:c r="M143" s="14" t="n">
        <x:f>SUMIFS('Rankings'!$L$6:$L$423,'Rankings'!$A$6:$A$423,B143,'Rankings'!$E$6:$E$423,"&lt;="&amp;F143)</x:f>
        <x:v>17.860393548319433</x:v>
      </x:c>
      <x:c r="N143" s="14" t="n">
        <x:f>SUMIFS('Ideal ranking'!$H$6:$H$365,'Ideal ranking'!$A$6:$A$365,C143,'Ideal ranking'!$B$6:$B$365,"&lt;="&amp;F143)</x:f>
        <x:v>27.674251612745337</x:v>
      </x:c>
      <x:c r="O143" s="14" t="n">
        <x:f>IF(I143&gt;0,"Unknown",IF(N143=0,"N/A",M143/N143))</x:f>
        <x:v>0.6453794595151348</x:v>
      </x:c>
      <x:c r="P143" s="15" t="n">
        <x:f>IF(G143=0,"N/A",IF(I143&gt;0,"Unknown",H143/G143))</x:f>
        <x:v>1</x:v>
      </x:c>
      <x:c r="Q143" s="2" t="n">
        <x:f>F143-G143</x:f>
        <x:v>0</x:v>
      </x:c>
    </x:row>
    <x:row r="144" ht="22" customHeight="1">
      <x:c r="A144" s="2" t="str">
        <x:v>S14-T01|9</x:v>
      </x:c>
      <x:c r="B144" s="2" t="str">
        <x:v>S14-T01</x:v>
      </x:c>
      <x:c r="C144" s="2" t="str">
        <x:v>S14</x:v>
      </x:c>
      <x:c r="D144" s="2" t="str">
        <x:v>Retained</x:v>
      </x:c>
      <x:c r="E144" s="2" t="n">
        <x:v>1</x:v>
      </x:c>
      <x:c r="F144" s="2" t="n">
        <x:v>9</x:v>
      </x:c>
      <x:c r="G144" s="2" t="n">
        <x:f>COUNTIFS('Rankings'!$A$6:$A$423,B144,'Rankings'!$E$6:$E$423,"&lt;="&amp;F144)</x:f>
        <x:v>9</x:v>
      </x:c>
      <x:c r="H144" s="2" t="n">
        <x:f>SUMIFS('Rankings'!$J$6:$J$423,'Rankings'!$A$6:$A$423,B144,'Rankings'!$E$6:$E$423,"&lt;="&amp;F144)</x:f>
        <x:v>9</x:v>
      </x:c>
      <x:c r="I144" s="2" t="n">
        <x:f>G144-SUMIFS('Rankings'!$I$6:$I$423,'Rankings'!$A$6:$A$423,B144,'Rankings'!$E$6:$E$423,"&lt;="&amp;F144)</x:f>
        <x:v>0</x:v>
      </x:c>
      <x:c r="J144" s="2" t="n">
        <x:f>SUMIFS('Ratings'!$H$6:$H$1387,'Ratings'!$B$6:$B$1387,C144)</x:f>
        <x:v>21</x:v>
      </x:c>
      <x:c r="K144" s="15" t="n">
        <x:f>IF(I144&gt;0,"Unknown",H144/F144)</x:f>
        <x:v>1</x:v>
      </x:c>
      <x:c r="L144" s="15" t="n">
        <x:f>IF(J144=0,"N/A",H144/J144)</x:f>
        <x:v>0.42857142857142855</x:v>
      </x:c>
      <x:c r="M144" s="14" t="n">
        <x:f>SUMIFS('Rankings'!$L$6:$L$423,'Rankings'!$A$6:$A$423,B144,'Rankings'!$E$6:$E$423,"&lt;="&amp;F144)</x:f>
        <x:v>18.763483535311376</x:v>
      </x:c>
      <x:c r="N144" s="14" t="n">
        <x:f>SUMIFS('Ideal ranking'!$H$6:$H$365,'Ideal ranking'!$A$6:$A$365,C144,'Ideal ranking'!$B$6:$B$365,"&lt;="&amp;F144)</x:f>
        <x:v>29.781461582393206</x:v>
      </x:c>
      <x:c r="O144" s="14" t="n">
        <x:f>IF(I144&gt;0,"Unknown",IF(N144=0,"N/A",M144/N144))</x:f>
        <x:v>0.6300390423552733</x:v>
      </x:c>
      <x:c r="P144" s="15" t="n">
        <x:f>IF(G144=0,"N/A",IF(I144&gt;0,"Unknown",H144/G144))</x:f>
        <x:v>1</x:v>
      </x:c>
      <x:c r="Q144" s="2" t="n">
        <x:f>F144-G144</x:f>
        <x:v>0</x:v>
      </x:c>
    </x:row>
    <x:row r="145" ht="22" customHeight="1">
      <x:c r="A145" s="2" t="str">
        <x:v>S14-T01|10</x:v>
      </x:c>
      <x:c r="B145" s="2" t="str">
        <x:v>S14-T01</x:v>
      </x:c>
      <x:c r="C145" s="2" t="str">
        <x:v>S14</x:v>
      </x:c>
      <x:c r="D145" s="2" t="str">
        <x:v>Retained</x:v>
      </x:c>
      <x:c r="E145" s="2" t="n">
        <x:v>1</x:v>
      </x:c>
      <x:c r="F145" s="2" t="n">
        <x:v>10</x:v>
      </x:c>
      <x:c r="G145" s="2" t="n">
        <x:f>COUNTIFS('Rankings'!$A$6:$A$423,B145,'Rankings'!$E$6:$E$423,"&lt;="&amp;F145)</x:f>
        <x:v>10</x:v>
      </x:c>
      <x:c r="H145" s="2" t="n">
        <x:f>SUMIFS('Rankings'!$J$6:$J$423,'Rankings'!$A$6:$A$423,B145,'Rankings'!$E$6:$E$423,"&lt;="&amp;F145)</x:f>
        <x:v>10</x:v>
      </x:c>
      <x:c r="I145" s="2" t="n">
        <x:f>G145-SUMIFS('Rankings'!$I$6:$I$423,'Rankings'!$A$6:$A$423,B145,'Rankings'!$E$6:$E$423,"&lt;="&amp;F145)</x:f>
        <x:v>0</x:v>
      </x:c>
      <x:c r="J145" s="2" t="n">
        <x:f>SUMIFS('Ratings'!$H$6:$H$1387,'Ratings'!$B$6:$B$1387,C145)</x:f>
        <x:v>21</x:v>
      </x:c>
      <x:c r="K145" s="15" t="n">
        <x:f>IF(I145&gt;0,"Unknown",H145/F145)</x:f>
        <x:v>1</x:v>
      </x:c>
      <x:c r="L145" s="15" t="n">
        <x:f>IF(J145=0,"N/A",H145/J145)</x:f>
        <x:v>0.47619047619047616</x:v>
      </x:c>
      <x:c r="M145" s="14" t="n">
        <x:f>SUMIFS('Rankings'!$L$6:$L$423,'Rankings'!$A$6:$A$423,B145,'Rankings'!$E$6:$E$423,"&lt;="&amp;F145)</x:f>
        <x:v>19.63067801426504</x:v>
      </x:c>
      <x:c r="N145" s="14" t="n">
        <x:f>SUMIFS('Ideal ranking'!$H$6:$H$365,'Ideal ranking'!$A$6:$A$365,C145,'Ideal ranking'!$B$6:$B$365,"&lt;="&amp;F145)</x:f>
        <x:v>30.64865606134687</x:v>
      </x:c>
      <x:c r="O145" s="14" t="n">
        <x:f>IF(I145&gt;0,"Unknown",IF(N145=0,"N/A",M145/N145))</x:f>
        <x:v>0.6405069760635488</x:v>
      </x:c>
      <x:c r="P145" s="15" t="n">
        <x:f>IF(G145=0,"N/A",IF(I145&gt;0,"Unknown",H145/G145))</x:f>
        <x:v>1</x:v>
      </x:c>
      <x:c r="Q145" s="2" t="n">
        <x:f>F145-G145</x:f>
        <x:v>0</x:v>
      </x:c>
    </x:row>
    <x:row r="146" ht="22" customHeight="1">
      <x:c r="A146" s="2" t="str">
        <x:v>S15-T01|1</x:v>
      </x:c>
      <x:c r="B146" s="2" t="str">
        <x:v>S15-T01</x:v>
      </x:c>
      <x:c r="C146" s="2" t="str">
        <x:v>S15</x:v>
      </x:c>
      <x:c r="D146" s="2" t="str">
        <x:v>Retained</x:v>
      </x:c>
      <x:c r="E146" s="2" t="n">
        <x:v>1</x:v>
      </x:c>
      <x:c r="F146" s="2" t="n">
        <x:v>1</x:v>
      </x:c>
      <x:c r="G146" s="2" t="n">
        <x:f>COUNTIFS('Rankings'!$A$6:$A$423,B146,'Rankings'!$E$6:$E$423,"&lt;="&amp;F146)</x:f>
        <x:v>1</x:v>
      </x:c>
      <x:c r="H146" s="2" t="n">
        <x:f>SUMIFS('Rankings'!$J$6:$J$423,'Rankings'!$A$6:$A$423,B146,'Rankings'!$E$6:$E$423,"&lt;="&amp;F146)</x:f>
        <x:v>1</x:v>
      </x:c>
      <x:c r="I146" s="2" t="n">
        <x:f>G146-SUMIFS('Rankings'!$I$6:$I$423,'Rankings'!$A$6:$A$423,B146,'Rankings'!$E$6:$E$423,"&lt;="&amp;F146)</x:f>
        <x:v>0</x:v>
      </x:c>
      <x:c r="J146" s="2" t="n">
        <x:f>SUMIFS('Ratings'!$H$6:$H$1387,'Ratings'!$B$6:$B$1387,C146)</x:f>
        <x:v>19</x:v>
      </x:c>
      <x:c r="K146" s="15" t="n">
        <x:f>IF(I146&gt;0,"Unknown",H146/F146)</x:f>
        <x:v>1</x:v>
      </x:c>
      <x:c r="L146" s="15" t="n">
        <x:f>IF(J146=0,"N/A",H146/J146)</x:f>
        <x:v>0.05263157894736842</x:v>
      </x:c>
      <x:c r="M146" s="14" t="n">
        <x:f>SUMIFS('Rankings'!$L$6:$L$423,'Rankings'!$A$6:$A$423,B146,'Rankings'!$E$6:$E$423,"&lt;="&amp;F146)</x:f>
        <x:v>7</x:v>
      </x:c>
      <x:c r="N146" s="14" t="n">
        <x:f>SUMIFS('Ideal ranking'!$H$6:$H$365,'Ideal ranking'!$A$6:$A$365,C146,'Ideal ranking'!$B$6:$B$365,"&lt;="&amp;F146)</x:f>
        <x:v>7</x:v>
      </x:c>
      <x:c r="O146" s="14" t="n">
        <x:f>IF(I146&gt;0,"Unknown",IF(N146=0,"N/A",M146/N146))</x:f>
        <x:v>1</x:v>
      </x:c>
      <x:c r="P146" s="15" t="n">
        <x:f>IF(G146=0,"N/A",IF(I146&gt;0,"Unknown",H146/G146))</x:f>
        <x:v>1</x:v>
      </x:c>
      <x:c r="Q146" s="2" t="n">
        <x:f>F146-G146</x:f>
        <x:v>0</x:v>
      </x:c>
    </x:row>
    <x:row r="147" ht="22" customHeight="1">
      <x:c r="A147" s="2" t="str">
        <x:v>S15-T01|2</x:v>
      </x:c>
      <x:c r="B147" s="2" t="str">
        <x:v>S15-T01</x:v>
      </x:c>
      <x:c r="C147" s="2" t="str">
        <x:v>S15</x:v>
      </x:c>
      <x:c r="D147" s="2" t="str">
        <x:v>Retained</x:v>
      </x:c>
      <x:c r="E147" s="2" t="n">
        <x:v>1</x:v>
      </x:c>
      <x:c r="F147" s="2" t="n">
        <x:v>2</x:v>
      </x:c>
      <x:c r="G147" s="2" t="n">
        <x:f>COUNTIFS('Rankings'!$A$6:$A$423,B147,'Rankings'!$E$6:$E$423,"&lt;="&amp;F147)</x:f>
        <x:v>2</x:v>
      </x:c>
      <x:c r="H147" s="2" t="n">
        <x:f>SUMIFS('Rankings'!$J$6:$J$423,'Rankings'!$A$6:$A$423,B147,'Rankings'!$E$6:$E$423,"&lt;="&amp;F147)</x:f>
        <x:v>2</x:v>
      </x:c>
      <x:c r="I147" s="2" t="n">
        <x:f>G147-SUMIFS('Rankings'!$I$6:$I$423,'Rankings'!$A$6:$A$423,B147,'Rankings'!$E$6:$E$423,"&lt;="&amp;F147)</x:f>
        <x:v>0</x:v>
      </x:c>
      <x:c r="J147" s="2" t="n">
        <x:f>SUMIFS('Ratings'!$H$6:$H$1387,'Ratings'!$B$6:$B$1387,C147)</x:f>
        <x:v>19</x:v>
      </x:c>
      <x:c r="K147" s="15" t="n">
        <x:f>IF(I147&gt;0,"Unknown",H147/F147)</x:f>
        <x:v>1</x:v>
      </x:c>
      <x:c r="L147" s="15" t="n">
        <x:f>IF(J147=0,"N/A",H147/J147)</x:f>
        <x:v>0.10526315789473684</x:v>
      </x:c>
      <x:c r="M147" s="14" t="n">
        <x:f>SUMIFS('Rankings'!$L$6:$L$423,'Rankings'!$A$6:$A$423,B147,'Rankings'!$E$6:$E$423,"&lt;="&amp;F147)</x:f>
        <x:v>11.416508275000202</x:v>
      </x:c>
      <x:c r="N147" s="14" t="n">
        <x:f>SUMIFS('Ideal ranking'!$H$6:$H$365,'Ideal ranking'!$A$6:$A$365,C147,'Ideal ranking'!$B$6:$B$365,"&lt;="&amp;F147)</x:f>
        <x:v>11.416508275000202</x:v>
      </x:c>
      <x:c r="O147" s="14" t="n">
        <x:f>IF(I147&gt;0,"Unknown",IF(N147=0,"N/A",M147/N147))</x:f>
        <x:v>1</x:v>
      </x:c>
      <x:c r="P147" s="15" t="n">
        <x:f>IF(G147=0,"N/A",IF(I147&gt;0,"Unknown",H147/G147))</x:f>
        <x:v>1</x:v>
      </x:c>
      <x:c r="Q147" s="2" t="n">
        <x:f>F147-G147</x:f>
        <x:v>0</x:v>
      </x:c>
    </x:row>
    <x:row r="148" ht="22" customHeight="1">
      <x:c r="A148" s="2" t="str">
        <x:v>S15-T01|3</x:v>
      </x:c>
      <x:c r="B148" s="2" t="str">
        <x:v>S15-T01</x:v>
      </x:c>
      <x:c r="C148" s="2" t="str">
        <x:v>S15</x:v>
      </x:c>
      <x:c r="D148" s="2" t="str">
        <x:v>Retained</x:v>
      </x:c>
      <x:c r="E148" s="2" t="n">
        <x:v>1</x:v>
      </x:c>
      <x:c r="F148" s="2" t="n">
        <x:v>3</x:v>
      </x:c>
      <x:c r="G148" s="2" t="n">
        <x:f>COUNTIFS('Rankings'!$A$6:$A$423,B148,'Rankings'!$E$6:$E$423,"&lt;="&amp;F148)</x:f>
        <x:v>3</x:v>
      </x:c>
      <x:c r="H148" s="2" t="n">
        <x:f>SUMIFS('Rankings'!$J$6:$J$423,'Rankings'!$A$6:$A$423,B148,'Rankings'!$E$6:$E$423,"&lt;="&amp;F148)</x:f>
        <x:v>3</x:v>
      </x:c>
      <x:c r="I148" s="2" t="n">
        <x:f>G148-SUMIFS('Rankings'!$I$6:$I$423,'Rankings'!$A$6:$A$423,B148,'Rankings'!$E$6:$E$423,"&lt;="&amp;F148)</x:f>
        <x:v>0</x:v>
      </x:c>
      <x:c r="J148" s="2" t="n">
        <x:f>SUMIFS('Ratings'!$H$6:$H$1387,'Ratings'!$B$6:$B$1387,C148)</x:f>
        <x:v>19</x:v>
      </x:c>
      <x:c r="K148" s="15" t="n">
        <x:f>IF(I148&gt;0,"Unknown",H148/F148)</x:f>
        <x:v>1</x:v>
      </x:c>
      <x:c r="L148" s="15" t="n">
        <x:f>IF(J148=0,"N/A",H148/J148)</x:f>
        <x:v>0.15789473684210525</x:v>
      </x:c>
      <x:c r="M148" s="14" t="n">
        <x:f>SUMIFS('Rankings'!$L$6:$L$423,'Rankings'!$A$6:$A$423,B148,'Rankings'!$E$6:$E$423,"&lt;="&amp;F148)</x:f>
        <x:v>14.916508275000202</x:v>
      </x:c>
      <x:c r="N148" s="14" t="n">
        <x:f>SUMIFS('Ideal ranking'!$H$6:$H$365,'Ideal ranking'!$A$6:$A$365,C148,'Ideal ranking'!$B$6:$B$365,"&lt;="&amp;F148)</x:f>
        <x:v>14.916508275000202</x:v>
      </x:c>
      <x:c r="O148" s="14" t="n">
        <x:f>IF(I148&gt;0,"Unknown",IF(N148=0,"N/A",M148/N148))</x:f>
        <x:v>1</x:v>
      </x:c>
      <x:c r="P148" s="15" t="n">
        <x:f>IF(G148=0,"N/A",IF(I148&gt;0,"Unknown",H148/G148))</x:f>
        <x:v>1</x:v>
      </x:c>
      <x:c r="Q148" s="2" t="n">
        <x:f>F148-G148</x:f>
        <x:v>0</x:v>
      </x:c>
    </x:row>
    <x:row r="149" ht="22" customHeight="1">
      <x:c r="A149" s="2" t="str">
        <x:v>S15-T01|4</x:v>
      </x:c>
      <x:c r="B149" s="2" t="str">
        <x:v>S15-T01</x:v>
      </x:c>
      <x:c r="C149" s="2" t="str">
        <x:v>S15</x:v>
      </x:c>
      <x:c r="D149" s="2" t="str">
        <x:v>Retained</x:v>
      </x:c>
      <x:c r="E149" s="2" t="n">
        <x:v>1</x:v>
      </x:c>
      <x:c r="F149" s="2" t="n">
        <x:v>4</x:v>
      </x:c>
      <x:c r="G149" s="2" t="n">
        <x:f>COUNTIFS('Rankings'!$A$6:$A$423,B149,'Rankings'!$E$6:$E$423,"&lt;="&amp;F149)</x:f>
        <x:v>4</x:v>
      </x:c>
      <x:c r="H149" s="2" t="n">
        <x:f>SUMIFS('Rankings'!$J$6:$J$423,'Rankings'!$A$6:$A$423,B149,'Rankings'!$E$6:$E$423,"&lt;="&amp;F149)</x:f>
        <x:v>4</x:v>
      </x:c>
      <x:c r="I149" s="2" t="n">
        <x:f>G149-SUMIFS('Rankings'!$I$6:$I$423,'Rankings'!$A$6:$A$423,B149,'Rankings'!$E$6:$E$423,"&lt;="&amp;F149)</x:f>
        <x:v>0</x:v>
      </x:c>
      <x:c r="J149" s="2" t="n">
        <x:f>SUMIFS('Ratings'!$H$6:$H$1387,'Ratings'!$B$6:$B$1387,C149)</x:f>
        <x:v>19</x:v>
      </x:c>
      <x:c r="K149" s="15" t="n">
        <x:f>IF(I149&gt;0,"Unknown",H149/F149)</x:f>
        <x:v>1</x:v>
      </x:c>
      <x:c r="L149" s="15" t="n">
        <x:f>IF(J149=0,"N/A",H149/J149)</x:f>
        <x:v>0.21052631578947367</x:v>
      </x:c>
      <x:c r="M149" s="14" t="n">
        <x:f>SUMIFS('Rankings'!$L$6:$L$423,'Rankings'!$A$6:$A$423,B149,'Rankings'!$E$6:$E$423,"&lt;="&amp;F149)</x:f>
        <x:v>17.931244181513954</x:v>
      </x:c>
      <x:c r="N149" s="14" t="n">
        <x:f>SUMIFS('Ideal ranking'!$H$6:$H$365,'Ideal ranking'!$A$6:$A$365,C149,'Ideal ranking'!$B$6:$B$365,"&lt;="&amp;F149)</x:f>
        <x:v>17.931244181513954</x:v>
      </x:c>
      <x:c r="O149" s="14" t="n">
        <x:f>IF(I149&gt;0,"Unknown",IF(N149=0,"N/A",M149/N149))</x:f>
        <x:v>1</x:v>
      </x:c>
      <x:c r="P149" s="15" t="n">
        <x:f>IF(G149=0,"N/A",IF(I149&gt;0,"Unknown",H149/G149))</x:f>
        <x:v>1</x:v>
      </x:c>
      <x:c r="Q149" s="2" t="n">
        <x:f>F149-G149</x:f>
        <x:v>0</x:v>
      </x:c>
    </x:row>
    <x:row r="150" ht="22" customHeight="1">
      <x:c r="A150" s="2" t="str">
        <x:v>S15-T01|5</x:v>
      </x:c>
      <x:c r="B150" s="2" t="str">
        <x:v>S15-T01</x:v>
      </x:c>
      <x:c r="C150" s="2" t="str">
        <x:v>S15</x:v>
      </x:c>
      <x:c r="D150" s="2" t="str">
        <x:v>Retained</x:v>
      </x:c>
      <x:c r="E150" s="2" t="n">
        <x:v>1</x:v>
      </x:c>
      <x:c r="F150" s="2" t="n">
        <x:v>5</x:v>
      </x:c>
      <x:c r="G150" s="2" t="n">
        <x:f>COUNTIFS('Rankings'!$A$6:$A$423,B150,'Rankings'!$E$6:$E$423,"&lt;="&amp;F150)</x:f>
        <x:v>5</x:v>
      </x:c>
      <x:c r="H150" s="2" t="n">
        <x:f>SUMIFS('Rankings'!$J$6:$J$423,'Rankings'!$A$6:$A$423,B150,'Rankings'!$E$6:$E$423,"&lt;="&amp;F150)</x:f>
        <x:v>5</x:v>
      </x:c>
      <x:c r="I150" s="2" t="n">
        <x:f>G150-SUMIFS('Rankings'!$I$6:$I$423,'Rankings'!$A$6:$A$423,B150,'Rankings'!$E$6:$E$423,"&lt;="&amp;F150)</x:f>
        <x:v>0</x:v>
      </x:c>
      <x:c r="J150" s="2" t="n">
        <x:f>SUMIFS('Ratings'!$H$6:$H$1387,'Ratings'!$B$6:$B$1387,C150)</x:f>
        <x:v>19</x:v>
      </x:c>
      <x:c r="K150" s="15" t="n">
        <x:f>IF(I150&gt;0,"Unknown",H150/F150)</x:f>
        <x:v>1</x:v>
      </x:c>
      <x:c r="L150" s="15" t="n">
        <x:f>IF(J150=0,"N/A",H150/J150)</x:f>
        <x:v>0.2631578947368421</x:v>
      </x:c>
      <x:c r="M150" s="14" t="n">
        <x:f>SUMIFS('Rankings'!$L$6:$L$423,'Rankings'!$A$6:$A$423,B150,'Rankings'!$E$6:$E$423,"&lt;="&amp;F150)</x:f>
        <x:v>20.639213832155747</x:v>
      </x:c>
      <x:c r="N150" s="14" t="n">
        <x:f>SUMIFS('Ideal ranking'!$H$6:$H$365,'Ideal ranking'!$A$6:$A$365,C150,'Ideal ranking'!$B$6:$B$365,"&lt;="&amp;F150)</x:f>
        <x:v>20.639213832155747</x:v>
      </x:c>
      <x:c r="O150" s="14" t="n">
        <x:f>IF(I150&gt;0,"Unknown",IF(N150=0,"N/A",M150/N150))</x:f>
        <x:v>1</x:v>
      </x:c>
      <x:c r="P150" s="15" t="n">
        <x:f>IF(G150=0,"N/A",IF(I150&gt;0,"Unknown",H150/G150))</x:f>
        <x:v>1</x:v>
      </x:c>
      <x:c r="Q150" s="2" t="n">
        <x:f>F150-G150</x:f>
        <x:v>0</x:v>
      </x:c>
    </x:row>
    <x:row r="151" ht="22" customHeight="1">
      <x:c r="A151" s="2" t="str">
        <x:v>S15-T01|6</x:v>
      </x:c>
      <x:c r="B151" s="2" t="str">
        <x:v>S15-T01</x:v>
      </x:c>
      <x:c r="C151" s="2" t="str">
        <x:v>S15</x:v>
      </x:c>
      <x:c r="D151" s="2" t="str">
        <x:v>Retained</x:v>
      </x:c>
      <x:c r="E151" s="2" t="n">
        <x:v>1</x:v>
      </x:c>
      <x:c r="F151" s="2" t="n">
        <x:v>6</x:v>
      </x:c>
      <x:c r="G151" s="2" t="n">
        <x:f>COUNTIFS('Rankings'!$A$6:$A$423,B151,'Rankings'!$E$6:$E$423,"&lt;="&amp;F151)</x:f>
        <x:v>6</x:v>
      </x:c>
      <x:c r="H151" s="2" t="n">
        <x:f>SUMIFS('Rankings'!$J$6:$J$423,'Rankings'!$A$6:$A$423,B151,'Rankings'!$E$6:$E$423,"&lt;="&amp;F151)</x:f>
        <x:v>6</x:v>
      </x:c>
      <x:c r="I151" s="2" t="n">
        <x:f>G151-SUMIFS('Rankings'!$I$6:$I$423,'Rankings'!$A$6:$A$423,B151,'Rankings'!$E$6:$E$423,"&lt;="&amp;F151)</x:f>
        <x:v>0</x:v>
      </x:c>
      <x:c r="J151" s="2" t="n">
        <x:f>SUMIFS('Ratings'!$H$6:$H$1387,'Ratings'!$B$6:$B$1387,C151)</x:f>
        <x:v>19</x:v>
      </x:c>
      <x:c r="K151" s="15" t="n">
        <x:f>IF(I151&gt;0,"Unknown",H151/F151)</x:f>
        <x:v>1</x:v>
      </x:c>
      <x:c r="L151" s="15" t="n">
        <x:f>IF(J151=0,"N/A",H151/J151)</x:f>
        <x:v>0.3157894736842105</x:v>
      </x:c>
      <x:c r="M151" s="14" t="n">
        <x:f>SUMIFS('Rankings'!$L$6:$L$423,'Rankings'!$A$6:$A$423,B151,'Rankings'!$E$6:$E$423,"&lt;="&amp;F151)</x:f>
        <x:v>23.132664141911903</x:v>
      </x:c>
      <x:c r="N151" s="14" t="n">
        <x:f>SUMIFS('Ideal ranking'!$H$6:$H$365,'Ideal ranking'!$A$6:$A$365,C151,'Ideal ranking'!$B$6:$B$365,"&lt;="&amp;F151)</x:f>
        <x:v>23.132664141911903</x:v>
      </x:c>
      <x:c r="O151" s="14" t="n">
        <x:f>IF(I151&gt;0,"Unknown",IF(N151=0,"N/A",M151/N151))</x:f>
        <x:v>1</x:v>
      </x:c>
      <x:c r="P151" s="15" t="n">
        <x:f>IF(G151=0,"N/A",IF(I151&gt;0,"Unknown",H151/G151))</x:f>
        <x:v>1</x:v>
      </x:c>
      <x:c r="Q151" s="2" t="n">
        <x:f>F151-G151</x:f>
        <x:v>0</x:v>
      </x:c>
    </x:row>
    <x:row r="152" ht="22" customHeight="1">
      <x:c r="A152" s="2" t="str">
        <x:v>S15-T01|7</x:v>
      </x:c>
      <x:c r="B152" s="2" t="str">
        <x:v>S15-T01</x:v>
      </x:c>
      <x:c r="C152" s="2" t="str">
        <x:v>S15</x:v>
      </x:c>
      <x:c r="D152" s="2" t="str">
        <x:v>Retained</x:v>
      </x:c>
      <x:c r="E152" s="2" t="n">
        <x:v>1</x:v>
      </x:c>
      <x:c r="F152" s="2" t="n">
        <x:v>7</x:v>
      </x:c>
      <x:c r="G152" s="2" t="n">
        <x:f>COUNTIFS('Rankings'!$A$6:$A$423,B152,'Rankings'!$E$6:$E$423,"&lt;="&amp;F152)</x:f>
        <x:v>7</x:v>
      </x:c>
      <x:c r="H152" s="2" t="n">
        <x:f>SUMIFS('Rankings'!$J$6:$J$423,'Rankings'!$A$6:$A$423,B152,'Rankings'!$E$6:$E$423,"&lt;="&amp;F152)</x:f>
        <x:v>7</x:v>
      </x:c>
      <x:c r="I152" s="2" t="n">
        <x:f>G152-SUMIFS('Rankings'!$I$6:$I$423,'Rankings'!$A$6:$A$423,B152,'Rankings'!$E$6:$E$423,"&lt;="&amp;F152)</x:f>
        <x:v>0</x:v>
      </x:c>
      <x:c r="J152" s="2" t="n">
        <x:f>SUMIFS('Ratings'!$H$6:$H$1387,'Ratings'!$B$6:$B$1387,C152)</x:f>
        <x:v>19</x:v>
      </x:c>
      <x:c r="K152" s="15" t="n">
        <x:f>IF(I152&gt;0,"Unknown",H152/F152)</x:f>
        <x:v>1</x:v>
      </x:c>
      <x:c r="L152" s="15" t="n">
        <x:f>IF(J152=0,"N/A",H152/J152)</x:f>
        <x:v>0.3684210526315789</x:v>
      </x:c>
      <x:c r="M152" s="14" t="n">
        <x:f>SUMIFS('Rankings'!$L$6:$L$423,'Rankings'!$A$6:$A$423,B152,'Rankings'!$E$6:$E$423,"&lt;="&amp;F152)</x:f>
        <x:v>24.132664141911903</x:v>
      </x:c>
      <x:c r="N152" s="14" t="n">
        <x:f>SUMIFS('Ideal ranking'!$H$6:$H$365,'Ideal ranking'!$A$6:$A$365,C152,'Ideal ranking'!$B$6:$B$365,"&lt;="&amp;F152)</x:f>
        <x:v>25.465997475245235</x:v>
      </x:c>
      <x:c r="O152" s="14" t="n">
        <x:f>IF(I152&gt;0,"Unknown",IF(N152=0,"N/A",M152/N152))</x:f>
        <x:v>0.9476426032544208</x:v>
      </x:c>
      <x:c r="P152" s="15" t="n">
        <x:f>IF(G152=0,"N/A",IF(I152&gt;0,"Unknown",H152/G152))</x:f>
        <x:v>1</x:v>
      </x:c>
      <x:c r="Q152" s="2" t="n">
        <x:f>F152-G152</x:f>
        <x:v>0</x:v>
      </x:c>
    </x:row>
    <x:row r="153" ht="22" customHeight="1">
      <x:c r="A153" s="2" t="str">
        <x:v>S15-T01|8</x:v>
      </x:c>
      <x:c r="B153" s="2" t="str">
        <x:v>S15-T01</x:v>
      </x:c>
      <x:c r="C153" s="2" t="str">
        <x:v>S15</x:v>
      </x:c>
      <x:c r="D153" s="2" t="str">
        <x:v>Retained</x:v>
      </x:c>
      <x:c r="E153" s="2" t="n">
        <x:v>1</x:v>
      </x:c>
      <x:c r="F153" s="2" t="n">
        <x:v>8</x:v>
      </x:c>
      <x:c r="G153" s="2" t="n">
        <x:f>COUNTIFS('Rankings'!$A$6:$A$423,B153,'Rankings'!$E$6:$E$423,"&lt;="&amp;F153)</x:f>
        <x:v>8</x:v>
      </x:c>
      <x:c r="H153" s="2" t="n">
        <x:f>SUMIFS('Rankings'!$J$6:$J$423,'Rankings'!$A$6:$A$423,B153,'Rankings'!$E$6:$E$423,"&lt;="&amp;F153)</x:f>
        <x:v>8</x:v>
      </x:c>
      <x:c r="I153" s="2" t="n">
        <x:f>G153-SUMIFS('Rankings'!$I$6:$I$423,'Rankings'!$A$6:$A$423,B153,'Rankings'!$E$6:$E$423,"&lt;="&amp;F153)</x:f>
        <x:v>0</x:v>
      </x:c>
      <x:c r="J153" s="2" t="n">
        <x:f>SUMIFS('Ratings'!$H$6:$H$1387,'Ratings'!$B$6:$B$1387,C153)</x:f>
        <x:v>19</x:v>
      </x:c>
      <x:c r="K153" s="15" t="n">
        <x:f>IF(I153&gt;0,"Unknown",H153/F153)</x:f>
        <x:v>1</x:v>
      </x:c>
      <x:c r="L153" s="15" t="n">
        <x:f>IF(J153=0,"N/A",H153/J153)</x:f>
        <x:v>0.42105263157894735</x:v>
      </x:c>
      <x:c r="M153" s="14" t="n">
        <x:f>SUMIFS('Rankings'!$L$6:$L$423,'Rankings'!$A$6:$A$423,B153,'Rankings'!$E$6:$E$423,"&lt;="&amp;F153)</x:f>
        <x:v>25.07905877226909</x:v>
      </x:c>
      <x:c r="N153" s="14" t="n">
        <x:f>SUMIFS('Ideal ranking'!$H$6:$H$365,'Ideal ranking'!$A$6:$A$365,C153,'Ideal ranking'!$B$6:$B$365,"&lt;="&amp;F153)</x:f>
        <x:v>27.674251612745337</x:v>
      </x:c>
      <x:c r="O153" s="14" t="n">
        <x:f>IF(I153&gt;0,"Unknown",IF(N153=0,"N/A",M153/N153))</x:f>
        <x:v>0.9062235583895235</x:v>
      </x:c>
      <x:c r="P153" s="15" t="n">
        <x:f>IF(G153=0,"N/A",IF(I153&gt;0,"Unknown",H153/G153))</x:f>
        <x:v>1</x:v>
      </x:c>
      <x:c r="Q153" s="2" t="n">
        <x:f>F153-G153</x:f>
        <x:v>0</x:v>
      </x:c>
    </x:row>
    <x:row r="154" ht="22" customHeight="1">
      <x:c r="A154" s="2" t="str">
        <x:v>S15-T01|9</x:v>
      </x:c>
      <x:c r="B154" s="2" t="str">
        <x:v>S15-T01</x:v>
      </x:c>
      <x:c r="C154" s="2" t="str">
        <x:v>S15</x:v>
      </x:c>
      <x:c r="D154" s="2" t="str">
        <x:v>Retained</x:v>
      </x:c>
      <x:c r="E154" s="2" t="n">
        <x:v>1</x:v>
      </x:c>
      <x:c r="F154" s="2" t="n">
        <x:v>9</x:v>
      </x:c>
      <x:c r="G154" s="2" t="n">
        <x:f>COUNTIFS('Rankings'!$A$6:$A$423,B154,'Rankings'!$E$6:$E$423,"&lt;="&amp;F154)</x:f>
        <x:v>9</x:v>
      </x:c>
      <x:c r="H154" s="2" t="n">
        <x:f>SUMIFS('Rankings'!$J$6:$J$423,'Rankings'!$A$6:$A$423,B154,'Rankings'!$E$6:$E$423,"&lt;="&amp;F154)</x:f>
        <x:v>9</x:v>
      </x:c>
      <x:c r="I154" s="2" t="n">
        <x:f>G154-SUMIFS('Rankings'!$I$6:$I$423,'Rankings'!$A$6:$A$423,B154,'Rankings'!$E$6:$E$423,"&lt;="&amp;F154)</x:f>
        <x:v>0</x:v>
      </x:c>
      <x:c r="J154" s="2" t="n">
        <x:f>SUMIFS('Ratings'!$H$6:$H$1387,'Ratings'!$B$6:$B$1387,C154)</x:f>
        <x:v>19</x:v>
      </x:c>
      <x:c r="K154" s="15" t="n">
        <x:f>IF(I154&gt;0,"Unknown",H154/F154)</x:f>
        <x:v>1</x:v>
      </x:c>
      <x:c r="L154" s="15" t="n">
        <x:f>IF(J154=0,"N/A",H154/J154)</x:f>
        <x:v>0.47368421052631576</x:v>
      </x:c>
      <x:c r="M154" s="14" t="n">
        <x:f>SUMIFS('Rankings'!$L$6:$L$423,'Rankings'!$A$6:$A$423,B154,'Rankings'!$E$6:$E$423,"&lt;="&amp;F154)</x:f>
        <x:v>25.982148759261033</x:v>
      </x:c>
      <x:c r="N154" s="14" t="n">
        <x:f>SUMIFS('Ideal ranking'!$H$6:$H$365,'Ideal ranking'!$A$6:$A$365,C154,'Ideal ranking'!$B$6:$B$365,"&lt;="&amp;F154)</x:f>
        <x:v>29.781461582393206</x:v>
      </x:c>
      <x:c r="O154" s="14" t="n">
        <x:f>IF(I154&gt;0,"Unknown",IF(N154=0,"N/A",M154/N154))</x:f>
        <x:v>0.8724269185841999</x:v>
      </x:c>
      <x:c r="P154" s="15" t="n">
        <x:f>IF(G154=0,"N/A",IF(I154&gt;0,"Unknown",H154/G154))</x:f>
        <x:v>1</x:v>
      </x:c>
      <x:c r="Q154" s="2" t="n">
        <x:f>F154-G154</x:f>
        <x:v>0</x:v>
      </x:c>
    </x:row>
    <x:row r="155" ht="22" customHeight="1">
      <x:c r="A155" s="2" t="str">
        <x:v>S15-T01|10</x:v>
      </x:c>
      <x:c r="B155" s="2" t="str">
        <x:v>S15-T01</x:v>
      </x:c>
      <x:c r="C155" s="2" t="str">
        <x:v>S15</x:v>
      </x:c>
      <x:c r="D155" s="2" t="str">
        <x:v>Retained</x:v>
      </x:c>
      <x:c r="E155" s="2" t="n">
        <x:v>1</x:v>
      </x:c>
      <x:c r="F155" s="2" t="n">
        <x:v>10</x:v>
      </x:c>
      <x:c r="G155" s="2" t="n">
        <x:f>COUNTIFS('Rankings'!$A$6:$A$423,B155,'Rankings'!$E$6:$E$423,"&lt;="&amp;F155)</x:f>
        <x:v>10</x:v>
      </x:c>
      <x:c r="H155" s="2" t="n">
        <x:f>SUMIFS('Rankings'!$J$6:$J$423,'Rankings'!$A$6:$A$423,B155,'Rankings'!$E$6:$E$423,"&lt;="&amp;F155)</x:f>
        <x:v>10</x:v>
      </x:c>
      <x:c r="I155" s="2" t="n">
        <x:f>G155-SUMIFS('Rankings'!$I$6:$I$423,'Rankings'!$A$6:$A$423,B155,'Rankings'!$E$6:$E$423,"&lt;="&amp;F155)</x:f>
        <x:v>0</x:v>
      </x:c>
      <x:c r="J155" s="2" t="n">
        <x:f>SUMIFS('Ratings'!$H$6:$H$1387,'Ratings'!$B$6:$B$1387,C155)</x:f>
        <x:v>19</x:v>
      </x:c>
      <x:c r="K155" s="15" t="n">
        <x:f>IF(I155&gt;0,"Unknown",H155/F155)</x:f>
        <x:v>1</x:v>
      </x:c>
      <x:c r="L155" s="15" t="n">
        <x:f>IF(J155=0,"N/A",H155/J155)</x:f>
        <x:v>0.5263157894736842</x:v>
      </x:c>
      <x:c r="M155" s="14" t="n">
        <x:f>SUMIFS('Rankings'!$L$6:$L$423,'Rankings'!$A$6:$A$423,B155,'Rankings'!$E$6:$E$423,"&lt;="&amp;F155)</x:f>
        <x:v>26.849343238214697</x:v>
      </x:c>
      <x:c r="N155" s="14" t="n">
        <x:f>SUMIFS('Ideal ranking'!$H$6:$H$365,'Ideal ranking'!$A$6:$A$365,C155,'Ideal ranking'!$B$6:$B$365,"&lt;="&amp;F155)</x:f>
        <x:v>31.80491536661842</x:v>
      </x:c>
      <x:c r="O155" s="14" t="n">
        <x:f>IF(I155&gt;0,"Unknown",IF(N155=0,"N/A",M155/N155))</x:f>
        <x:v>0.8441884824631555</x:v>
      </x:c>
      <x:c r="P155" s="15" t="n">
        <x:f>IF(G155=0,"N/A",IF(I155&gt;0,"Unknown",H155/G155))</x:f>
        <x:v>1</x:v>
      </x:c>
      <x:c r="Q155" s="2" t="n">
        <x:f>F155-G155</x:f>
        <x:v>0</x:v>
      </x:c>
    </x:row>
    <x:row r="156" ht="22" customHeight="1">
      <x:c r="A156" s="2" t="str">
        <x:v>S16-T01|1</x:v>
      </x:c>
      <x:c r="B156" s="2" t="str">
        <x:v>S16-T01</x:v>
      </x:c>
      <x:c r="C156" s="2" t="str">
        <x:v>S16</x:v>
      </x:c>
      <x:c r="D156" s="2" t="str">
        <x:v>Retained</x:v>
      </x:c>
      <x:c r="E156" s="2" t="n">
        <x:v>1</x:v>
      </x:c>
      <x:c r="F156" s="2" t="n">
        <x:v>1</x:v>
      </x:c>
      <x:c r="G156" s="2" t="n">
        <x:f>COUNTIFS('Rankings'!$A$6:$A$423,B156,'Rankings'!$E$6:$E$423,"&lt;="&amp;F156)</x:f>
        <x:v>1</x:v>
      </x:c>
      <x:c r="H156" s="2" t="n">
        <x:f>SUMIFS('Rankings'!$J$6:$J$423,'Rankings'!$A$6:$A$423,B156,'Rankings'!$E$6:$E$423,"&lt;="&amp;F156)</x:f>
        <x:v>1</x:v>
      </x:c>
      <x:c r="I156" s="2" t="n">
        <x:f>G156-SUMIFS('Rankings'!$I$6:$I$423,'Rankings'!$A$6:$A$423,B156,'Rankings'!$E$6:$E$423,"&lt;="&amp;F156)</x:f>
        <x:v>0</x:v>
      </x:c>
      <x:c r="J156" s="2" t="n">
        <x:f>SUMIFS('Ratings'!$H$6:$H$1387,'Ratings'!$B$6:$B$1387,C156)</x:f>
        <x:v>21</x:v>
      </x:c>
      <x:c r="K156" s="15" t="n">
        <x:f>IF(I156&gt;0,"Unknown",H156/F156)</x:f>
        <x:v>1</x:v>
      </x:c>
      <x:c r="L156" s="15" t="n">
        <x:f>IF(J156=0,"N/A",H156/J156)</x:f>
        <x:v>0.047619047619047616</x:v>
      </x:c>
      <x:c r="M156" s="14" t="n">
        <x:f>SUMIFS('Rankings'!$L$6:$L$423,'Rankings'!$A$6:$A$423,B156,'Rankings'!$E$6:$E$423,"&lt;="&amp;F156)</x:f>
        <x:v>7</x:v>
      </x:c>
      <x:c r="N156" s="14" t="n">
        <x:f>SUMIFS('Ideal ranking'!$H$6:$H$365,'Ideal ranking'!$A$6:$A$365,C156,'Ideal ranking'!$B$6:$B$365,"&lt;="&amp;F156)</x:f>
        <x:v>7</x:v>
      </x:c>
      <x:c r="O156" s="14" t="n">
        <x:f>IF(I156&gt;0,"Unknown",IF(N156=0,"N/A",M156/N156))</x:f>
        <x:v>1</x:v>
      </x:c>
      <x:c r="P156" s="15" t="n">
        <x:f>IF(G156=0,"N/A",IF(I156&gt;0,"Unknown",H156/G156))</x:f>
        <x:v>1</x:v>
      </x:c>
      <x:c r="Q156" s="2" t="n">
        <x:f>F156-G156</x:f>
        <x:v>0</x:v>
      </x:c>
    </x:row>
    <x:row r="157" ht="22" customHeight="1">
      <x:c r="A157" s="2" t="str">
        <x:v>S16-T01|2</x:v>
      </x:c>
      <x:c r="B157" s="2" t="str">
        <x:v>S16-T01</x:v>
      </x:c>
      <x:c r="C157" s="2" t="str">
        <x:v>S16</x:v>
      </x:c>
      <x:c r="D157" s="2" t="str">
        <x:v>Retained</x:v>
      </x:c>
      <x:c r="E157" s="2" t="n">
        <x:v>1</x:v>
      </x:c>
      <x:c r="F157" s="2" t="n">
        <x:v>2</x:v>
      </x:c>
      <x:c r="G157" s="2" t="n">
        <x:f>COUNTIFS('Rankings'!$A$6:$A$423,B157,'Rankings'!$E$6:$E$423,"&lt;="&amp;F157)</x:f>
        <x:v>2</x:v>
      </x:c>
      <x:c r="H157" s="2" t="n">
        <x:f>SUMIFS('Rankings'!$J$6:$J$423,'Rankings'!$A$6:$A$423,B157,'Rankings'!$E$6:$E$423,"&lt;="&amp;F157)</x:f>
        <x:v>2</x:v>
      </x:c>
      <x:c r="I157" s="2" t="n">
        <x:f>G157-SUMIFS('Rankings'!$I$6:$I$423,'Rankings'!$A$6:$A$423,B157,'Rankings'!$E$6:$E$423,"&lt;="&amp;F157)</x:f>
        <x:v>0</x:v>
      </x:c>
      <x:c r="J157" s="2" t="n">
        <x:f>SUMIFS('Ratings'!$H$6:$H$1387,'Ratings'!$B$6:$B$1387,C157)</x:f>
        <x:v>21</x:v>
      </x:c>
      <x:c r="K157" s="15" t="n">
        <x:f>IF(I157&gt;0,"Unknown",H157/F157)</x:f>
        <x:v>1</x:v>
      </x:c>
      <x:c r="L157" s="15" t="n">
        <x:f>IF(J157=0,"N/A",H157/J157)</x:f>
        <x:v>0.09523809523809523</x:v>
      </x:c>
      <x:c r="M157" s="14" t="n">
        <x:f>SUMIFS('Rankings'!$L$6:$L$423,'Rankings'!$A$6:$A$423,B157,'Rankings'!$E$6:$E$423,"&lt;="&amp;F157)</x:f>
        <x:v>11.416508275000202</x:v>
      </x:c>
      <x:c r="N157" s="14" t="n">
        <x:f>SUMIFS('Ideal ranking'!$H$6:$H$365,'Ideal ranking'!$A$6:$A$365,C157,'Ideal ranking'!$B$6:$B$365,"&lt;="&amp;F157)</x:f>
        <x:v>11.416508275000202</x:v>
      </x:c>
      <x:c r="O157" s="14" t="n">
        <x:f>IF(I157&gt;0,"Unknown",IF(N157=0,"N/A",M157/N157))</x:f>
        <x:v>1</x:v>
      </x:c>
      <x:c r="P157" s="15" t="n">
        <x:f>IF(G157=0,"N/A",IF(I157&gt;0,"Unknown",H157/G157))</x:f>
        <x:v>1</x:v>
      </x:c>
      <x:c r="Q157" s="2" t="n">
        <x:f>F157-G157</x:f>
        <x:v>0</x:v>
      </x:c>
    </x:row>
    <x:row r="158" ht="22" customHeight="1">
      <x:c r="A158" s="2" t="str">
        <x:v>S16-T01|3</x:v>
      </x:c>
      <x:c r="B158" s="2" t="str">
        <x:v>S16-T01</x:v>
      </x:c>
      <x:c r="C158" s="2" t="str">
        <x:v>S16</x:v>
      </x:c>
      <x:c r="D158" s="2" t="str">
        <x:v>Retained</x:v>
      </x:c>
      <x:c r="E158" s="2" t="n">
        <x:v>1</x:v>
      </x:c>
      <x:c r="F158" s="2" t="n">
        <x:v>3</x:v>
      </x:c>
      <x:c r="G158" s="2" t="n">
        <x:f>COUNTIFS('Rankings'!$A$6:$A$423,B158,'Rankings'!$E$6:$E$423,"&lt;="&amp;F158)</x:f>
        <x:v>3</x:v>
      </x:c>
      <x:c r="H158" s="2" t="n">
        <x:f>SUMIFS('Rankings'!$J$6:$J$423,'Rankings'!$A$6:$A$423,B158,'Rankings'!$E$6:$E$423,"&lt;="&amp;F158)</x:f>
        <x:v>3</x:v>
      </x:c>
      <x:c r="I158" s="2" t="n">
        <x:f>G158-SUMIFS('Rankings'!$I$6:$I$423,'Rankings'!$A$6:$A$423,B158,'Rankings'!$E$6:$E$423,"&lt;="&amp;F158)</x:f>
        <x:v>0</x:v>
      </x:c>
      <x:c r="J158" s="2" t="n">
        <x:f>SUMIFS('Ratings'!$H$6:$H$1387,'Ratings'!$B$6:$B$1387,C158)</x:f>
        <x:v>21</x:v>
      </x:c>
      <x:c r="K158" s="15" t="n">
        <x:f>IF(I158&gt;0,"Unknown",H158/F158)</x:f>
        <x:v>1</x:v>
      </x:c>
      <x:c r="L158" s="15" t="n">
        <x:f>IF(J158=0,"N/A",H158/J158)</x:f>
        <x:v>0.14285714285714285</x:v>
      </x:c>
      <x:c r="M158" s="14" t="n">
        <x:f>SUMIFS('Rankings'!$L$6:$L$423,'Rankings'!$A$6:$A$423,B158,'Rankings'!$E$6:$E$423,"&lt;="&amp;F158)</x:f>
        <x:v>14.916508275000202</x:v>
      </x:c>
      <x:c r="N158" s="14" t="n">
        <x:f>SUMIFS('Ideal ranking'!$H$6:$H$365,'Ideal ranking'!$A$6:$A$365,C158,'Ideal ranking'!$B$6:$B$365,"&lt;="&amp;F158)</x:f>
        <x:v>14.916508275000202</x:v>
      </x:c>
      <x:c r="O158" s="14" t="n">
        <x:f>IF(I158&gt;0,"Unknown",IF(N158=0,"N/A",M158/N158))</x:f>
        <x:v>1</x:v>
      </x:c>
      <x:c r="P158" s="15" t="n">
        <x:f>IF(G158=0,"N/A",IF(I158&gt;0,"Unknown",H158/G158))</x:f>
        <x:v>1</x:v>
      </x:c>
      <x:c r="Q158" s="2" t="n">
        <x:f>F158-G158</x:f>
        <x:v>0</x:v>
      </x:c>
    </x:row>
    <x:row r="159" ht="22" customHeight="1">
      <x:c r="A159" s="2" t="str">
        <x:v>S16-T01|4</x:v>
      </x:c>
      <x:c r="B159" s="2" t="str">
        <x:v>S16-T01</x:v>
      </x:c>
      <x:c r="C159" s="2" t="str">
        <x:v>S16</x:v>
      </x:c>
      <x:c r="D159" s="2" t="str">
        <x:v>Retained</x:v>
      </x:c>
      <x:c r="E159" s="2" t="n">
        <x:v>1</x:v>
      </x:c>
      <x:c r="F159" s="2" t="n">
        <x:v>4</x:v>
      </x:c>
      <x:c r="G159" s="2" t="n">
        <x:f>COUNTIFS('Rankings'!$A$6:$A$423,B159,'Rankings'!$E$6:$E$423,"&lt;="&amp;F159)</x:f>
        <x:v>4</x:v>
      </x:c>
      <x:c r="H159" s="2" t="n">
        <x:f>SUMIFS('Rankings'!$J$6:$J$423,'Rankings'!$A$6:$A$423,B159,'Rankings'!$E$6:$E$423,"&lt;="&amp;F159)</x:f>
        <x:v>4</x:v>
      </x:c>
      <x:c r="I159" s="2" t="n">
        <x:f>G159-SUMIFS('Rankings'!$I$6:$I$423,'Rankings'!$A$6:$A$423,B159,'Rankings'!$E$6:$E$423,"&lt;="&amp;F159)</x:f>
        <x:v>0</x:v>
      </x:c>
      <x:c r="J159" s="2" t="n">
        <x:f>SUMIFS('Ratings'!$H$6:$H$1387,'Ratings'!$B$6:$B$1387,C159)</x:f>
        <x:v>21</x:v>
      </x:c>
      <x:c r="K159" s="15" t="n">
        <x:f>IF(I159&gt;0,"Unknown",H159/F159)</x:f>
        <x:v>1</x:v>
      </x:c>
      <x:c r="L159" s="15" t="n">
        <x:f>IF(J159=0,"N/A",H159/J159)</x:f>
        <x:v>0.19047619047619047</x:v>
      </x:c>
      <x:c r="M159" s="14" t="n">
        <x:f>SUMIFS('Rankings'!$L$6:$L$423,'Rankings'!$A$6:$A$423,B159,'Rankings'!$E$6:$E$423,"&lt;="&amp;F159)</x:f>
        <x:v>17.931244181513954</x:v>
      </x:c>
      <x:c r="N159" s="14" t="n">
        <x:f>SUMIFS('Ideal ranking'!$H$6:$H$365,'Ideal ranking'!$A$6:$A$365,C159,'Ideal ranking'!$B$6:$B$365,"&lt;="&amp;F159)</x:f>
        <x:v>17.931244181513954</x:v>
      </x:c>
      <x:c r="O159" s="14" t="n">
        <x:f>IF(I159&gt;0,"Unknown",IF(N159=0,"N/A",M159/N159))</x:f>
        <x:v>1</x:v>
      </x:c>
      <x:c r="P159" s="15" t="n">
        <x:f>IF(G159=0,"N/A",IF(I159&gt;0,"Unknown",H159/G159))</x:f>
        <x:v>1</x:v>
      </x:c>
      <x:c r="Q159" s="2" t="n">
        <x:f>F159-G159</x:f>
        <x:v>0</x:v>
      </x:c>
    </x:row>
    <x:row r="160" ht="22" customHeight="1">
      <x:c r="A160" s="2" t="str">
        <x:v>S16-T01|5</x:v>
      </x:c>
      <x:c r="B160" s="2" t="str">
        <x:v>S16-T01</x:v>
      </x:c>
      <x:c r="C160" s="2" t="str">
        <x:v>S16</x:v>
      </x:c>
      <x:c r="D160" s="2" t="str">
        <x:v>Retained</x:v>
      </x:c>
      <x:c r="E160" s="2" t="n">
        <x:v>1</x:v>
      </x:c>
      <x:c r="F160" s="2" t="n">
        <x:v>5</x:v>
      </x:c>
      <x:c r="G160" s="2" t="n">
        <x:f>COUNTIFS('Rankings'!$A$6:$A$423,B160,'Rankings'!$E$6:$E$423,"&lt;="&amp;F160)</x:f>
        <x:v>5</x:v>
      </x:c>
      <x:c r="H160" s="2" t="n">
        <x:f>SUMIFS('Rankings'!$J$6:$J$423,'Rankings'!$A$6:$A$423,B160,'Rankings'!$E$6:$E$423,"&lt;="&amp;F160)</x:f>
        <x:v>5</x:v>
      </x:c>
      <x:c r="I160" s="2" t="n">
        <x:f>G160-SUMIFS('Rankings'!$I$6:$I$423,'Rankings'!$A$6:$A$423,B160,'Rankings'!$E$6:$E$423,"&lt;="&amp;F160)</x:f>
        <x:v>0</x:v>
      </x:c>
      <x:c r="J160" s="2" t="n">
        <x:f>SUMIFS('Ratings'!$H$6:$H$1387,'Ratings'!$B$6:$B$1387,C160)</x:f>
        <x:v>21</x:v>
      </x:c>
      <x:c r="K160" s="15" t="n">
        <x:f>IF(I160&gt;0,"Unknown",H160/F160)</x:f>
        <x:v>1</x:v>
      </x:c>
      <x:c r="L160" s="15" t="n">
        <x:f>IF(J160=0,"N/A",H160/J160)</x:f>
        <x:v>0.23809523809523808</x:v>
      </x:c>
      <x:c r="M160" s="14" t="n">
        <x:f>SUMIFS('Rankings'!$L$6:$L$423,'Rankings'!$A$6:$A$423,B160,'Rankings'!$E$6:$E$423,"&lt;="&amp;F160)</x:f>
        <x:v>20.639213832155747</x:v>
      </x:c>
      <x:c r="N160" s="14" t="n">
        <x:f>SUMIFS('Ideal ranking'!$H$6:$H$365,'Ideal ranking'!$A$6:$A$365,C160,'Ideal ranking'!$B$6:$B$365,"&lt;="&amp;F160)</x:f>
        <x:v>20.639213832155747</x:v>
      </x:c>
      <x:c r="O160" s="14" t="n">
        <x:f>IF(I160&gt;0,"Unknown",IF(N160=0,"N/A",M160/N160))</x:f>
        <x:v>1</x:v>
      </x:c>
      <x:c r="P160" s="15" t="n">
        <x:f>IF(G160=0,"N/A",IF(I160&gt;0,"Unknown",H160/G160))</x:f>
        <x:v>1</x:v>
      </x:c>
      <x:c r="Q160" s="2" t="n">
        <x:f>F160-G160</x:f>
        <x:v>0</x:v>
      </x:c>
    </x:row>
    <x:row r="161" ht="22" customHeight="1">
      <x:c r="A161" s="2" t="str">
        <x:v>S16-T01|6</x:v>
      </x:c>
      <x:c r="B161" s="2" t="str">
        <x:v>S16-T01</x:v>
      </x:c>
      <x:c r="C161" s="2" t="str">
        <x:v>S16</x:v>
      </x:c>
      <x:c r="D161" s="2" t="str">
        <x:v>Retained</x:v>
      </x:c>
      <x:c r="E161" s="2" t="n">
        <x:v>1</x:v>
      </x:c>
      <x:c r="F161" s="2" t="n">
        <x:v>6</x:v>
      </x:c>
      <x:c r="G161" s="2" t="n">
        <x:f>COUNTIFS('Rankings'!$A$6:$A$423,B161,'Rankings'!$E$6:$E$423,"&lt;="&amp;F161)</x:f>
        <x:v>6</x:v>
      </x:c>
      <x:c r="H161" s="2" t="n">
        <x:f>SUMIFS('Rankings'!$J$6:$J$423,'Rankings'!$A$6:$A$423,B161,'Rankings'!$E$6:$E$423,"&lt;="&amp;F161)</x:f>
        <x:v>6</x:v>
      </x:c>
      <x:c r="I161" s="2" t="n">
        <x:f>G161-SUMIFS('Rankings'!$I$6:$I$423,'Rankings'!$A$6:$A$423,B161,'Rankings'!$E$6:$E$423,"&lt;="&amp;F161)</x:f>
        <x:v>0</x:v>
      </x:c>
      <x:c r="J161" s="2" t="n">
        <x:f>SUMIFS('Ratings'!$H$6:$H$1387,'Ratings'!$B$6:$B$1387,C161)</x:f>
        <x:v>21</x:v>
      </x:c>
      <x:c r="K161" s="15" t="n">
        <x:f>IF(I161&gt;0,"Unknown",H161/F161)</x:f>
        <x:v>1</x:v>
      </x:c>
      <x:c r="L161" s="15" t="n">
        <x:f>IF(J161=0,"N/A",H161/J161)</x:f>
        <x:v>0.2857142857142857</x:v>
      </x:c>
      <x:c r="M161" s="14" t="n">
        <x:f>SUMIFS('Rankings'!$L$6:$L$423,'Rankings'!$A$6:$A$423,B161,'Rankings'!$E$6:$E$423,"&lt;="&amp;F161)</x:f>
        <x:v>23.132664141911903</x:v>
      </x:c>
      <x:c r="N161" s="14" t="n">
        <x:f>SUMIFS('Ideal ranking'!$H$6:$H$365,'Ideal ranking'!$A$6:$A$365,C161,'Ideal ranking'!$B$6:$B$365,"&lt;="&amp;F161)</x:f>
        <x:v>23.132664141911903</x:v>
      </x:c>
      <x:c r="O161" s="14" t="n">
        <x:f>IF(I161&gt;0,"Unknown",IF(N161=0,"N/A",M161/N161))</x:f>
        <x:v>1</x:v>
      </x:c>
      <x:c r="P161" s="15" t="n">
        <x:f>IF(G161=0,"N/A",IF(I161&gt;0,"Unknown",H161/G161))</x:f>
        <x:v>1</x:v>
      </x:c>
      <x:c r="Q161" s="2" t="n">
        <x:f>F161-G161</x:f>
        <x:v>0</x:v>
      </x:c>
    </x:row>
    <x:row r="162" ht="22" customHeight="1">
      <x:c r="A162" s="2" t="str">
        <x:v>S16-T01|7</x:v>
      </x:c>
      <x:c r="B162" s="2" t="str">
        <x:v>S16-T01</x:v>
      </x:c>
      <x:c r="C162" s="2" t="str">
        <x:v>S16</x:v>
      </x:c>
      <x:c r="D162" s="2" t="str">
        <x:v>Retained</x:v>
      </x:c>
      <x:c r="E162" s="2" t="n">
        <x:v>1</x:v>
      </x:c>
      <x:c r="F162" s="2" t="n">
        <x:v>7</x:v>
      </x:c>
      <x:c r="G162" s="2" t="n">
        <x:f>COUNTIFS('Rankings'!$A$6:$A$423,B162,'Rankings'!$E$6:$E$423,"&lt;="&amp;F162)</x:f>
        <x:v>7</x:v>
      </x:c>
      <x:c r="H162" s="2" t="n">
        <x:f>SUMIFS('Rankings'!$J$6:$J$423,'Rankings'!$A$6:$A$423,B162,'Rankings'!$E$6:$E$423,"&lt;="&amp;F162)</x:f>
        <x:v>7</x:v>
      </x:c>
      <x:c r="I162" s="2" t="n">
        <x:f>G162-SUMIFS('Rankings'!$I$6:$I$423,'Rankings'!$A$6:$A$423,B162,'Rankings'!$E$6:$E$423,"&lt;="&amp;F162)</x:f>
        <x:v>0</x:v>
      </x:c>
      <x:c r="J162" s="2" t="n">
        <x:f>SUMIFS('Ratings'!$H$6:$H$1387,'Ratings'!$B$6:$B$1387,C162)</x:f>
        <x:v>21</x:v>
      </x:c>
      <x:c r="K162" s="15" t="n">
        <x:f>IF(I162&gt;0,"Unknown",H162/F162)</x:f>
        <x:v>1</x:v>
      </x:c>
      <x:c r="L162" s="15" t="n">
        <x:f>IF(J162=0,"N/A",H162/J162)</x:f>
        <x:v>0.3333333333333333</x:v>
      </x:c>
      <x:c r="M162" s="14" t="n">
        <x:f>SUMIFS('Rankings'!$L$6:$L$423,'Rankings'!$A$6:$A$423,B162,'Rankings'!$E$6:$E$423,"&lt;="&amp;F162)</x:f>
        <x:v>25.465997475245235</x:v>
      </x:c>
      <x:c r="N162" s="14" t="n">
        <x:f>SUMIFS('Ideal ranking'!$H$6:$H$365,'Ideal ranking'!$A$6:$A$365,C162,'Ideal ranking'!$B$6:$B$365,"&lt;="&amp;F162)</x:f>
        <x:v>25.465997475245235</x:v>
      </x:c>
      <x:c r="O162" s="14" t="n">
        <x:f>IF(I162&gt;0,"Unknown",IF(N162=0,"N/A",M162/N162))</x:f>
        <x:v>1</x:v>
      </x:c>
      <x:c r="P162" s="15" t="n">
        <x:f>IF(G162=0,"N/A",IF(I162&gt;0,"Unknown",H162/G162))</x:f>
        <x:v>1</x:v>
      </x:c>
      <x:c r="Q162" s="2" t="n">
        <x:f>F162-G162</x:f>
        <x:v>0</x:v>
      </x:c>
    </x:row>
    <x:row r="163" ht="22" customHeight="1">
      <x:c r="A163" s="2" t="str">
        <x:v>S16-T01|8</x:v>
      </x:c>
      <x:c r="B163" s="2" t="str">
        <x:v>S16-T01</x:v>
      </x:c>
      <x:c r="C163" s="2" t="str">
        <x:v>S16</x:v>
      </x:c>
      <x:c r="D163" s="2" t="str">
        <x:v>Retained</x:v>
      </x:c>
      <x:c r="E163" s="2" t="n">
        <x:v>1</x:v>
      </x:c>
      <x:c r="F163" s="2" t="n">
        <x:v>8</x:v>
      </x:c>
      <x:c r="G163" s="2" t="n">
        <x:f>COUNTIFS('Rankings'!$A$6:$A$423,B163,'Rankings'!$E$6:$E$423,"&lt;="&amp;F163)</x:f>
        <x:v>8</x:v>
      </x:c>
      <x:c r="H163" s="2" t="n">
        <x:f>SUMIFS('Rankings'!$J$6:$J$423,'Rankings'!$A$6:$A$423,B163,'Rankings'!$E$6:$E$423,"&lt;="&amp;F163)</x:f>
        <x:v>8</x:v>
      </x:c>
      <x:c r="I163" s="2" t="n">
        <x:f>G163-SUMIFS('Rankings'!$I$6:$I$423,'Rankings'!$A$6:$A$423,B163,'Rankings'!$E$6:$E$423,"&lt;="&amp;F163)</x:f>
        <x:v>0</x:v>
      </x:c>
      <x:c r="J163" s="2" t="n">
        <x:f>SUMIFS('Ratings'!$H$6:$H$1387,'Ratings'!$B$6:$B$1387,C163)</x:f>
        <x:v>21</x:v>
      </x:c>
      <x:c r="K163" s="15" t="n">
        <x:f>IF(I163&gt;0,"Unknown",H163/F163)</x:f>
        <x:v>1</x:v>
      </x:c>
      <x:c r="L163" s="15" t="n">
        <x:f>IF(J163=0,"N/A",H163/J163)</x:f>
        <x:v>0.38095238095238093</x:v>
      </x:c>
      <x:c r="M163" s="14" t="n">
        <x:f>SUMIFS('Rankings'!$L$6:$L$423,'Rankings'!$A$6:$A$423,B163,'Rankings'!$E$6:$E$423,"&lt;="&amp;F163)</x:f>
        <x:v>26.41239210560242</x:v>
      </x:c>
      <x:c r="N163" s="14" t="n">
        <x:f>SUMIFS('Ideal ranking'!$H$6:$H$365,'Ideal ranking'!$A$6:$A$365,C163,'Ideal ranking'!$B$6:$B$365,"&lt;="&amp;F163)</x:f>
        <x:v>27.674251612745337</x:v>
      </x:c>
      <x:c r="O163" s="14" t="n">
        <x:f>IF(I163&gt;0,"Unknown",IF(N163=0,"N/A",M163/N163))</x:f>
        <x:v>0.9544031208214582</x:v>
      </x:c>
      <x:c r="P163" s="15" t="n">
        <x:f>IF(G163=0,"N/A",IF(I163&gt;0,"Unknown",H163/G163))</x:f>
        <x:v>1</x:v>
      </x:c>
      <x:c r="Q163" s="2" t="n">
        <x:f>F163-G163</x:f>
        <x:v>0</x:v>
      </x:c>
    </x:row>
    <x:row r="164" ht="22" customHeight="1">
      <x:c r="A164" s="2" t="str">
        <x:v>S16-T01|9</x:v>
      </x:c>
      <x:c r="B164" s="2" t="str">
        <x:v>S16-T01</x:v>
      </x:c>
      <x:c r="C164" s="2" t="str">
        <x:v>S16</x:v>
      </x:c>
      <x:c r="D164" s="2" t="str">
        <x:v>Retained</x:v>
      </x:c>
      <x:c r="E164" s="2" t="n">
        <x:v>1</x:v>
      </x:c>
      <x:c r="F164" s="2" t="n">
        <x:v>9</x:v>
      </x:c>
      <x:c r="G164" s="2" t="n">
        <x:f>COUNTIFS('Rankings'!$A$6:$A$423,B164,'Rankings'!$E$6:$E$423,"&lt;="&amp;F164)</x:f>
        <x:v>9</x:v>
      </x:c>
      <x:c r="H164" s="2" t="n">
        <x:f>SUMIFS('Rankings'!$J$6:$J$423,'Rankings'!$A$6:$A$423,B164,'Rankings'!$E$6:$E$423,"&lt;="&amp;F164)</x:f>
        <x:v>9</x:v>
      </x:c>
      <x:c r="I164" s="2" t="n">
        <x:f>G164-SUMIFS('Rankings'!$I$6:$I$423,'Rankings'!$A$6:$A$423,B164,'Rankings'!$E$6:$E$423,"&lt;="&amp;F164)</x:f>
        <x:v>0</x:v>
      </x:c>
      <x:c r="J164" s="2" t="n">
        <x:f>SUMIFS('Ratings'!$H$6:$H$1387,'Ratings'!$B$6:$B$1387,C164)</x:f>
        <x:v>21</x:v>
      </x:c>
      <x:c r="K164" s="15" t="n">
        <x:f>IF(I164&gt;0,"Unknown",H164/F164)</x:f>
        <x:v>1</x:v>
      </x:c>
      <x:c r="L164" s="15" t="n">
        <x:f>IF(J164=0,"N/A",H164/J164)</x:f>
        <x:v>0.42857142857142855</x:v>
      </x:c>
      <x:c r="M164" s="14" t="n">
        <x:f>SUMIFS('Rankings'!$L$6:$L$423,'Rankings'!$A$6:$A$423,B164,'Rankings'!$E$6:$E$423,"&lt;="&amp;F164)</x:f>
        <x:v>27.315482092594365</x:v>
      </x:c>
      <x:c r="N164" s="14" t="n">
        <x:f>SUMIFS('Ideal ranking'!$H$6:$H$365,'Ideal ranking'!$A$6:$A$365,C164,'Ideal ranking'!$B$6:$B$365,"&lt;="&amp;F164)</x:f>
        <x:v>29.781461582393206</x:v>
      </x:c>
      <x:c r="O164" s="14" t="n">
        <x:f>IF(I164&gt;0,"Unknown",IF(N164=0,"N/A",M164/N164))</x:f>
        <x:v>0.9171974994250541</x:v>
      </x:c>
      <x:c r="P164" s="15" t="n">
        <x:f>IF(G164=0,"N/A",IF(I164&gt;0,"Unknown",H164/G164))</x:f>
        <x:v>1</x:v>
      </x:c>
      <x:c r="Q164" s="2" t="n">
        <x:f>F164-G164</x:f>
        <x:v>0</x:v>
      </x:c>
    </x:row>
    <x:row r="165" ht="22" customHeight="1">
      <x:c r="A165" s="2" t="str">
        <x:v>S16-T01|10</x:v>
      </x:c>
      <x:c r="B165" s="2" t="str">
        <x:v>S16-T01</x:v>
      </x:c>
      <x:c r="C165" s="2" t="str">
        <x:v>S16</x:v>
      </x:c>
      <x:c r="D165" s="2" t="str">
        <x:v>Retained</x:v>
      </x:c>
      <x:c r="E165" s="2" t="n">
        <x:v>1</x:v>
      </x:c>
      <x:c r="F165" s="2" t="n">
        <x:v>10</x:v>
      </x:c>
      <x:c r="G165" s="2" t="n">
        <x:f>COUNTIFS('Rankings'!$A$6:$A$423,B165,'Rankings'!$E$6:$E$423,"&lt;="&amp;F165)</x:f>
        <x:v>10</x:v>
      </x:c>
      <x:c r="H165" s="2" t="n">
        <x:f>SUMIFS('Rankings'!$J$6:$J$423,'Rankings'!$A$6:$A$423,B165,'Rankings'!$E$6:$E$423,"&lt;="&amp;F165)</x:f>
        <x:v>10</x:v>
      </x:c>
      <x:c r="I165" s="2" t="n">
        <x:f>G165-SUMIFS('Rankings'!$I$6:$I$423,'Rankings'!$A$6:$A$423,B165,'Rankings'!$E$6:$E$423,"&lt;="&amp;F165)</x:f>
        <x:v>0</x:v>
      </x:c>
      <x:c r="J165" s="2" t="n">
        <x:f>SUMIFS('Ratings'!$H$6:$H$1387,'Ratings'!$B$6:$B$1387,C165)</x:f>
        <x:v>21</x:v>
      </x:c>
      <x:c r="K165" s="15" t="n">
        <x:f>IF(I165&gt;0,"Unknown",H165/F165)</x:f>
        <x:v>1</x:v>
      </x:c>
      <x:c r="L165" s="15" t="n">
        <x:f>IF(J165=0,"N/A",H165/J165)</x:f>
        <x:v>0.47619047619047616</x:v>
      </x:c>
      <x:c r="M165" s="14" t="n">
        <x:f>SUMIFS('Rankings'!$L$6:$L$423,'Rankings'!$A$6:$A$423,B165,'Rankings'!$E$6:$E$423,"&lt;="&amp;F165)</x:f>
        <x:v>28.18267657154803</x:v>
      </x:c>
      <x:c r="N165" s="14" t="n">
        <x:f>SUMIFS('Ideal ranking'!$H$6:$H$365,'Ideal ranking'!$A$6:$A$365,C165,'Ideal ranking'!$B$6:$B$365,"&lt;="&amp;F165)</x:f>
        <x:v>31.80491536661842</x:v>
      </x:c>
      <x:c r="O165" s="14" t="n">
        <x:f>IF(I165&gt;0,"Unknown",IF(N165=0,"N/A",M165/N165))</x:f>
        <x:v>0.8861107236627898</x:v>
      </x:c>
      <x:c r="P165" s="15" t="n">
        <x:f>IF(G165=0,"N/A",IF(I165&gt;0,"Unknown",H165/G165))</x:f>
        <x:v>1</x:v>
      </x:c>
      <x:c r="Q165" s="2" t="n">
        <x:f>F165-G165</x:f>
        <x:v>0</x:v>
      </x:c>
    </x:row>
    <x:row r="166" ht="22" customHeight="1">
      <x:c r="A166" s="2" t="str">
        <x:v>S17-T01|1</x:v>
      </x:c>
      <x:c r="B166" s="2" t="str">
        <x:v>S17-T01</x:v>
      </x:c>
      <x:c r="C166" s="2" t="str">
        <x:v>S17</x:v>
      </x:c>
      <x:c r="D166" s="2" t="str">
        <x:v>Retained</x:v>
      </x:c>
      <x:c r="E166" s="2" t="n">
        <x:v>1</x:v>
      </x:c>
      <x:c r="F166" s="2" t="n">
        <x:v>1</x:v>
      </x:c>
      <x:c r="G166" s="2" t="n">
        <x:f>COUNTIFS('Rankings'!$A$6:$A$423,B166,'Rankings'!$E$6:$E$423,"&lt;="&amp;F166)</x:f>
        <x:v>1</x:v>
      </x:c>
      <x:c r="H166" s="2" t="n">
        <x:f>SUMIFS('Rankings'!$J$6:$J$423,'Rankings'!$A$6:$A$423,B166,'Rankings'!$E$6:$E$423,"&lt;="&amp;F166)</x:f>
        <x:v>1</x:v>
      </x:c>
      <x:c r="I166" s="2" t="n">
        <x:f>G166-SUMIFS('Rankings'!$I$6:$I$423,'Rankings'!$A$6:$A$423,B166,'Rankings'!$E$6:$E$423,"&lt;="&amp;F166)</x:f>
        <x:v>0</x:v>
      </x:c>
      <x:c r="J166" s="2" t="n">
        <x:f>SUMIFS('Ratings'!$H$6:$H$1387,'Ratings'!$B$6:$B$1387,C166)</x:f>
        <x:v>3</x:v>
      </x:c>
      <x:c r="K166" s="15" t="n">
        <x:f>IF(I166&gt;0,"Unknown",H166/F166)</x:f>
        <x:v>1</x:v>
      </x:c>
      <x:c r="L166" s="15" t="n">
        <x:f>IF(J166=0,"N/A",H166/J166)</x:f>
        <x:v>0.3333333333333333</x:v>
      </x:c>
      <x:c r="M166" s="14" t="n">
        <x:f>SUMIFS('Rankings'!$L$6:$L$423,'Rankings'!$A$6:$A$423,B166,'Rankings'!$E$6:$E$423,"&lt;="&amp;F166)</x:f>
        <x:v>7</x:v>
      </x:c>
      <x:c r="N166" s="14" t="n">
        <x:f>SUMIFS('Ideal ranking'!$H$6:$H$365,'Ideal ranking'!$A$6:$A$365,C166,'Ideal ranking'!$B$6:$B$365,"&lt;="&amp;F166)</x:f>
        <x:v>7</x:v>
      </x:c>
      <x:c r="O166" s="14" t="n">
        <x:f>IF(I166&gt;0,"Unknown",IF(N166=0,"N/A",M166/N166))</x:f>
        <x:v>1</x:v>
      </x:c>
      <x:c r="P166" s="15" t="n">
        <x:f>IF(G166=0,"N/A",IF(I166&gt;0,"Unknown",H166/G166))</x:f>
        <x:v>1</x:v>
      </x:c>
      <x:c r="Q166" s="2" t="n">
        <x:f>F166-G166</x:f>
        <x:v>0</x:v>
      </x:c>
    </x:row>
    <x:row r="167" ht="22" customHeight="1">
      <x:c r="A167" s="2" t="str">
        <x:v>S17-T01|2</x:v>
      </x:c>
      <x:c r="B167" s="2" t="str">
        <x:v>S17-T01</x:v>
      </x:c>
      <x:c r="C167" s="2" t="str">
        <x:v>S17</x:v>
      </x:c>
      <x:c r="D167" s="2" t="str">
        <x:v>Retained</x:v>
      </x:c>
      <x:c r="E167" s="2" t="n">
        <x:v>1</x:v>
      </x:c>
      <x:c r="F167" s="2" t="n">
        <x:v>2</x:v>
      </x:c>
      <x:c r="G167" s="2" t="n">
        <x:f>COUNTIFS('Rankings'!$A$6:$A$423,B167,'Rankings'!$E$6:$E$423,"&lt;="&amp;F167)</x:f>
        <x:v>2</x:v>
      </x:c>
      <x:c r="H167" s="2" t="n">
        <x:f>SUMIFS('Rankings'!$J$6:$J$423,'Rankings'!$A$6:$A$423,B167,'Rankings'!$E$6:$E$423,"&lt;="&amp;F167)</x:f>
        <x:v>2</x:v>
      </x:c>
      <x:c r="I167" s="2" t="n">
        <x:f>G167-SUMIFS('Rankings'!$I$6:$I$423,'Rankings'!$A$6:$A$423,B167,'Rankings'!$E$6:$E$423,"&lt;="&amp;F167)</x:f>
        <x:v>0</x:v>
      </x:c>
      <x:c r="J167" s="2" t="n">
        <x:f>SUMIFS('Ratings'!$H$6:$H$1387,'Ratings'!$B$6:$B$1387,C167)</x:f>
        <x:v>3</x:v>
      </x:c>
      <x:c r="K167" s="15" t="n">
        <x:f>IF(I167&gt;0,"Unknown",H167/F167)</x:f>
        <x:v>1</x:v>
      </x:c>
      <x:c r="L167" s="15" t="n">
        <x:f>IF(J167=0,"N/A",H167/J167)</x:f>
        <x:v>0.6666666666666666</x:v>
      </x:c>
      <x:c r="M167" s="14" t="n">
        <x:f>SUMIFS('Rankings'!$L$6:$L$423,'Rankings'!$A$6:$A$423,B167,'Rankings'!$E$6:$E$423,"&lt;="&amp;F167)</x:f>
        <x:v>11.416508275000202</x:v>
      </x:c>
      <x:c r="N167" s="14" t="n">
        <x:f>SUMIFS('Ideal ranking'!$H$6:$H$365,'Ideal ranking'!$A$6:$A$365,C167,'Ideal ranking'!$B$6:$B$365,"&lt;="&amp;F167)</x:f>
        <x:v>11.416508275000202</x:v>
      </x:c>
      <x:c r="O167" s="14" t="n">
        <x:f>IF(I167&gt;0,"Unknown",IF(N167=0,"N/A",M167/N167))</x:f>
        <x:v>1</x:v>
      </x:c>
      <x:c r="P167" s="15" t="n">
        <x:f>IF(G167=0,"N/A",IF(I167&gt;0,"Unknown",H167/G167))</x:f>
        <x:v>1</x:v>
      </x:c>
      <x:c r="Q167" s="2" t="n">
        <x:f>F167-G167</x:f>
        <x:v>0</x:v>
      </x:c>
    </x:row>
    <x:row r="168" ht="22" customHeight="1">
      <x:c r="A168" s="2" t="str">
        <x:v>S17-T01|3</x:v>
      </x:c>
      <x:c r="B168" s="2" t="str">
        <x:v>S17-T01</x:v>
      </x:c>
      <x:c r="C168" s="2" t="str">
        <x:v>S17</x:v>
      </x:c>
      <x:c r="D168" s="2" t="str">
        <x:v>Retained</x:v>
      </x:c>
      <x:c r="E168" s="2" t="n">
        <x:v>1</x:v>
      </x:c>
      <x:c r="F168" s="2" t="n">
        <x:v>3</x:v>
      </x:c>
      <x:c r="G168" s="2" t="n">
        <x:f>COUNTIFS('Rankings'!$A$6:$A$423,B168,'Rankings'!$E$6:$E$423,"&lt;="&amp;F168)</x:f>
        <x:v>3</x:v>
      </x:c>
      <x:c r="H168" s="2" t="n">
        <x:f>SUMIFS('Rankings'!$J$6:$J$423,'Rankings'!$A$6:$A$423,B168,'Rankings'!$E$6:$E$423,"&lt;="&amp;F168)</x:f>
        <x:v>3</x:v>
      </x:c>
      <x:c r="I168" s="2" t="n">
        <x:f>G168-SUMIFS('Rankings'!$I$6:$I$423,'Rankings'!$A$6:$A$423,B168,'Rankings'!$E$6:$E$423,"&lt;="&amp;F168)</x:f>
        <x:v>0</x:v>
      </x:c>
      <x:c r="J168" s="2" t="n">
        <x:f>SUMIFS('Ratings'!$H$6:$H$1387,'Ratings'!$B$6:$B$1387,C168)</x:f>
        <x:v>3</x:v>
      </x:c>
      <x:c r="K168" s="15" t="n">
        <x:f>IF(I168&gt;0,"Unknown",H168/F168)</x:f>
        <x:v>1</x:v>
      </x:c>
      <x:c r="L168" s="15" t="n">
        <x:f>IF(J168=0,"N/A",H168/J168)</x:f>
        <x:v>1</x:v>
      </x:c>
      <x:c r="M168" s="14" t="n">
        <x:f>SUMIFS('Rankings'!$L$6:$L$423,'Rankings'!$A$6:$A$423,B168,'Rankings'!$E$6:$E$423,"&lt;="&amp;F168)</x:f>
        <x:v>14.916508275000202</x:v>
      </x:c>
      <x:c r="N168" s="14" t="n">
        <x:f>SUMIFS('Ideal ranking'!$H$6:$H$365,'Ideal ranking'!$A$6:$A$365,C168,'Ideal ranking'!$B$6:$B$365,"&lt;="&amp;F168)</x:f>
        <x:v>14.916508275000202</x:v>
      </x:c>
      <x:c r="O168" s="14" t="n">
        <x:f>IF(I168&gt;0,"Unknown",IF(N168=0,"N/A",M168/N168))</x:f>
        <x:v>1</x:v>
      </x:c>
      <x:c r="P168" s="15" t="n">
        <x:f>IF(G168=0,"N/A",IF(I168&gt;0,"Unknown",H168/G168))</x:f>
        <x:v>1</x:v>
      </x:c>
      <x:c r="Q168" s="2" t="n">
        <x:f>F168-G168</x:f>
        <x:v>0</x:v>
      </x:c>
    </x:row>
    <x:row r="169" ht="22" customHeight="1">
      <x:c r="A169" s="2" t="str">
        <x:v>S17-T01|4</x:v>
      </x:c>
      <x:c r="B169" s="2" t="str">
        <x:v>S17-T01</x:v>
      </x:c>
      <x:c r="C169" s="2" t="str">
        <x:v>S17</x:v>
      </x:c>
      <x:c r="D169" s="2" t="str">
        <x:v>Retained</x:v>
      </x:c>
      <x:c r="E169" s="2" t="n">
        <x:v>1</x:v>
      </x:c>
      <x:c r="F169" s="2" t="n">
        <x:v>4</x:v>
      </x:c>
      <x:c r="G169" s="2" t="n">
        <x:f>COUNTIFS('Rankings'!$A$6:$A$423,B169,'Rankings'!$E$6:$E$423,"&lt;="&amp;F169)</x:f>
        <x:v>3</x:v>
      </x:c>
      <x:c r="H169" s="2" t="n">
        <x:f>SUMIFS('Rankings'!$J$6:$J$423,'Rankings'!$A$6:$A$423,B169,'Rankings'!$E$6:$E$423,"&lt;="&amp;F169)</x:f>
        <x:v>3</x:v>
      </x:c>
      <x:c r="I169" s="2" t="n">
        <x:f>G169-SUMIFS('Rankings'!$I$6:$I$423,'Rankings'!$A$6:$A$423,B169,'Rankings'!$E$6:$E$423,"&lt;="&amp;F169)</x:f>
        <x:v>0</x:v>
      </x:c>
      <x:c r="J169" s="2" t="n">
        <x:f>SUMIFS('Ratings'!$H$6:$H$1387,'Ratings'!$B$6:$B$1387,C169)</x:f>
        <x:v>3</x:v>
      </x:c>
      <x:c r="K169" s="15" t="n">
        <x:f>IF(I169&gt;0,"Unknown",H169/F169)</x:f>
        <x:v>0.75</x:v>
      </x:c>
      <x:c r="L169" s="15" t="n">
        <x:f>IF(J169=0,"N/A",H169/J169)</x:f>
        <x:v>1</x:v>
      </x:c>
      <x:c r="M169" s="14" t="n">
        <x:f>SUMIFS('Rankings'!$L$6:$L$423,'Rankings'!$A$6:$A$423,B169,'Rankings'!$E$6:$E$423,"&lt;="&amp;F169)</x:f>
        <x:v>14.916508275000202</x:v>
      </x:c>
      <x:c r="N169" s="14" t="n">
        <x:f>SUMIFS('Ideal ranking'!$H$6:$H$365,'Ideal ranking'!$A$6:$A$365,C169,'Ideal ranking'!$B$6:$B$365,"&lt;="&amp;F169)</x:f>
        <x:v>14.916508275000202</x:v>
      </x:c>
      <x:c r="O169" s="14" t="n">
        <x:f>IF(I169&gt;0,"Unknown",IF(N169=0,"N/A",M169/N169))</x:f>
        <x:v>1</x:v>
      </x:c>
      <x:c r="P169" s="15" t="n">
        <x:f>IF(G169=0,"N/A",IF(I169&gt;0,"Unknown",H169/G169))</x:f>
        <x:v>1</x:v>
      </x:c>
      <x:c r="Q169" s="2" t="n">
        <x:f>F169-G169</x:f>
        <x:v>1</x:v>
      </x:c>
    </x:row>
    <x:row r="170" ht="22" customHeight="1">
      <x:c r="A170" s="2" t="str">
        <x:v>S17-T01|5</x:v>
      </x:c>
      <x:c r="B170" s="2" t="str">
        <x:v>S17-T01</x:v>
      </x:c>
      <x:c r="C170" s="2" t="str">
        <x:v>S17</x:v>
      </x:c>
      <x:c r="D170" s="2" t="str">
        <x:v>Retained</x:v>
      </x:c>
      <x:c r="E170" s="2" t="n">
        <x:v>1</x:v>
      </x:c>
      <x:c r="F170" s="2" t="n">
        <x:v>5</x:v>
      </x:c>
      <x:c r="G170" s="2" t="n">
        <x:f>COUNTIFS('Rankings'!$A$6:$A$423,B170,'Rankings'!$E$6:$E$423,"&lt;="&amp;F170)</x:f>
        <x:v>3</x:v>
      </x:c>
      <x:c r="H170" s="2" t="n">
        <x:f>SUMIFS('Rankings'!$J$6:$J$423,'Rankings'!$A$6:$A$423,B170,'Rankings'!$E$6:$E$423,"&lt;="&amp;F170)</x:f>
        <x:v>3</x:v>
      </x:c>
      <x:c r="I170" s="2" t="n">
        <x:f>G170-SUMIFS('Rankings'!$I$6:$I$423,'Rankings'!$A$6:$A$423,B170,'Rankings'!$E$6:$E$423,"&lt;="&amp;F170)</x:f>
        <x:v>0</x:v>
      </x:c>
      <x:c r="J170" s="2" t="n">
        <x:f>SUMIFS('Ratings'!$H$6:$H$1387,'Ratings'!$B$6:$B$1387,C170)</x:f>
        <x:v>3</x:v>
      </x:c>
      <x:c r="K170" s="15" t="n">
        <x:f>IF(I170&gt;0,"Unknown",H170/F170)</x:f>
        <x:v>0.6</x:v>
      </x:c>
      <x:c r="L170" s="15" t="n">
        <x:f>IF(J170=0,"N/A",H170/J170)</x:f>
        <x:v>1</x:v>
      </x:c>
      <x:c r="M170" s="14" t="n">
        <x:f>SUMIFS('Rankings'!$L$6:$L$423,'Rankings'!$A$6:$A$423,B170,'Rankings'!$E$6:$E$423,"&lt;="&amp;F170)</x:f>
        <x:v>14.916508275000202</x:v>
      </x:c>
      <x:c r="N170" s="14" t="n">
        <x:f>SUMIFS('Ideal ranking'!$H$6:$H$365,'Ideal ranking'!$A$6:$A$365,C170,'Ideal ranking'!$B$6:$B$365,"&lt;="&amp;F170)</x:f>
        <x:v>14.916508275000202</x:v>
      </x:c>
      <x:c r="O170" s="14" t="n">
        <x:f>IF(I170&gt;0,"Unknown",IF(N170=0,"N/A",M170/N170))</x:f>
        <x:v>1</x:v>
      </x:c>
      <x:c r="P170" s="15" t="n">
        <x:f>IF(G170=0,"N/A",IF(I170&gt;0,"Unknown",H170/G170))</x:f>
        <x:v>1</x:v>
      </x:c>
      <x:c r="Q170" s="2" t="n">
        <x:f>F170-G170</x:f>
        <x:v>2</x:v>
      </x:c>
    </x:row>
    <x:row r="171" ht="22" customHeight="1">
      <x:c r="A171" s="2" t="str">
        <x:v>S17-T01|6</x:v>
      </x:c>
      <x:c r="B171" s="2" t="str">
        <x:v>S17-T01</x:v>
      </x:c>
      <x:c r="C171" s="2" t="str">
        <x:v>S17</x:v>
      </x:c>
      <x:c r="D171" s="2" t="str">
        <x:v>Retained</x:v>
      </x:c>
      <x:c r="E171" s="2" t="n">
        <x:v>1</x:v>
      </x:c>
      <x:c r="F171" s="2" t="n">
        <x:v>6</x:v>
      </x:c>
      <x:c r="G171" s="2" t="n">
        <x:f>COUNTIFS('Rankings'!$A$6:$A$423,B171,'Rankings'!$E$6:$E$423,"&lt;="&amp;F171)</x:f>
        <x:v>3</x:v>
      </x:c>
      <x:c r="H171" s="2" t="n">
        <x:f>SUMIFS('Rankings'!$J$6:$J$423,'Rankings'!$A$6:$A$423,B171,'Rankings'!$E$6:$E$423,"&lt;="&amp;F171)</x:f>
        <x:v>3</x:v>
      </x:c>
      <x:c r="I171" s="2" t="n">
        <x:f>G171-SUMIFS('Rankings'!$I$6:$I$423,'Rankings'!$A$6:$A$423,B171,'Rankings'!$E$6:$E$423,"&lt;="&amp;F171)</x:f>
        <x:v>0</x:v>
      </x:c>
      <x:c r="J171" s="2" t="n">
        <x:f>SUMIFS('Ratings'!$H$6:$H$1387,'Ratings'!$B$6:$B$1387,C171)</x:f>
        <x:v>3</x:v>
      </x:c>
      <x:c r="K171" s="15" t="n">
        <x:f>IF(I171&gt;0,"Unknown",H171/F171)</x:f>
        <x:v>0.5</x:v>
      </x:c>
      <x:c r="L171" s="15" t="n">
        <x:f>IF(J171=0,"N/A",H171/J171)</x:f>
        <x:v>1</x:v>
      </x:c>
      <x:c r="M171" s="14" t="n">
        <x:f>SUMIFS('Rankings'!$L$6:$L$423,'Rankings'!$A$6:$A$423,B171,'Rankings'!$E$6:$E$423,"&lt;="&amp;F171)</x:f>
        <x:v>14.916508275000202</x:v>
      </x:c>
      <x:c r="N171" s="14" t="n">
        <x:f>SUMIFS('Ideal ranking'!$H$6:$H$365,'Ideal ranking'!$A$6:$A$365,C171,'Ideal ranking'!$B$6:$B$365,"&lt;="&amp;F171)</x:f>
        <x:v>14.916508275000202</x:v>
      </x:c>
      <x:c r="O171" s="14" t="n">
        <x:f>IF(I171&gt;0,"Unknown",IF(N171=0,"N/A",M171/N171))</x:f>
        <x:v>1</x:v>
      </x:c>
      <x:c r="P171" s="15" t="n">
        <x:f>IF(G171=0,"N/A",IF(I171&gt;0,"Unknown",H171/G171))</x:f>
        <x:v>1</x:v>
      </x:c>
      <x:c r="Q171" s="2" t="n">
        <x:f>F171-G171</x:f>
        <x:v>3</x:v>
      </x:c>
    </x:row>
    <x:row r="172" ht="22" customHeight="1">
      <x:c r="A172" s="2" t="str">
        <x:v>S17-T01|7</x:v>
      </x:c>
      <x:c r="B172" s="2" t="str">
        <x:v>S17-T01</x:v>
      </x:c>
      <x:c r="C172" s="2" t="str">
        <x:v>S17</x:v>
      </x:c>
      <x:c r="D172" s="2" t="str">
        <x:v>Retained</x:v>
      </x:c>
      <x:c r="E172" s="2" t="n">
        <x:v>1</x:v>
      </x:c>
      <x:c r="F172" s="2" t="n">
        <x:v>7</x:v>
      </x:c>
      <x:c r="G172" s="2" t="n">
        <x:f>COUNTIFS('Rankings'!$A$6:$A$423,B172,'Rankings'!$E$6:$E$423,"&lt;="&amp;F172)</x:f>
        <x:v>3</x:v>
      </x:c>
      <x:c r="H172" s="2" t="n">
        <x:f>SUMIFS('Rankings'!$J$6:$J$423,'Rankings'!$A$6:$A$423,B172,'Rankings'!$E$6:$E$423,"&lt;="&amp;F172)</x:f>
        <x:v>3</x:v>
      </x:c>
      <x:c r="I172" s="2" t="n">
        <x:f>G172-SUMIFS('Rankings'!$I$6:$I$423,'Rankings'!$A$6:$A$423,B172,'Rankings'!$E$6:$E$423,"&lt;="&amp;F172)</x:f>
        <x:v>0</x:v>
      </x:c>
      <x:c r="J172" s="2" t="n">
        <x:f>SUMIFS('Ratings'!$H$6:$H$1387,'Ratings'!$B$6:$B$1387,C172)</x:f>
        <x:v>3</x:v>
      </x:c>
      <x:c r="K172" s="15" t="n">
        <x:f>IF(I172&gt;0,"Unknown",H172/F172)</x:f>
        <x:v>0.42857142857142855</x:v>
      </x:c>
      <x:c r="L172" s="15" t="n">
        <x:f>IF(J172=0,"N/A",H172/J172)</x:f>
        <x:v>1</x:v>
      </x:c>
      <x:c r="M172" s="14" t="n">
        <x:f>SUMIFS('Rankings'!$L$6:$L$423,'Rankings'!$A$6:$A$423,B172,'Rankings'!$E$6:$E$423,"&lt;="&amp;F172)</x:f>
        <x:v>14.916508275000202</x:v>
      </x:c>
      <x:c r="N172" s="14" t="n">
        <x:f>SUMIFS('Ideal ranking'!$H$6:$H$365,'Ideal ranking'!$A$6:$A$365,C172,'Ideal ranking'!$B$6:$B$365,"&lt;="&amp;F172)</x:f>
        <x:v>14.916508275000202</x:v>
      </x:c>
      <x:c r="O172" s="14" t="n">
        <x:f>IF(I172&gt;0,"Unknown",IF(N172=0,"N/A",M172/N172))</x:f>
        <x:v>1</x:v>
      </x:c>
      <x:c r="P172" s="15" t="n">
        <x:f>IF(G172=0,"N/A",IF(I172&gt;0,"Unknown",H172/G172))</x:f>
        <x:v>1</x:v>
      </x:c>
      <x:c r="Q172" s="2" t="n">
        <x:f>F172-G172</x:f>
        <x:v>4</x:v>
      </x:c>
    </x:row>
    <x:row r="173" ht="22" customHeight="1">
      <x:c r="A173" s="2" t="str">
        <x:v>S17-T01|8</x:v>
      </x:c>
      <x:c r="B173" s="2" t="str">
        <x:v>S17-T01</x:v>
      </x:c>
      <x:c r="C173" s="2" t="str">
        <x:v>S17</x:v>
      </x:c>
      <x:c r="D173" s="2" t="str">
        <x:v>Retained</x:v>
      </x:c>
      <x:c r="E173" s="2" t="n">
        <x:v>1</x:v>
      </x:c>
      <x:c r="F173" s="2" t="n">
        <x:v>8</x:v>
      </x:c>
      <x:c r="G173" s="2" t="n">
        <x:f>COUNTIFS('Rankings'!$A$6:$A$423,B173,'Rankings'!$E$6:$E$423,"&lt;="&amp;F173)</x:f>
        <x:v>3</x:v>
      </x:c>
      <x:c r="H173" s="2" t="n">
        <x:f>SUMIFS('Rankings'!$J$6:$J$423,'Rankings'!$A$6:$A$423,B173,'Rankings'!$E$6:$E$423,"&lt;="&amp;F173)</x:f>
        <x:v>3</x:v>
      </x:c>
      <x:c r="I173" s="2" t="n">
        <x:f>G173-SUMIFS('Rankings'!$I$6:$I$423,'Rankings'!$A$6:$A$423,B173,'Rankings'!$E$6:$E$423,"&lt;="&amp;F173)</x:f>
        <x:v>0</x:v>
      </x:c>
      <x:c r="J173" s="2" t="n">
        <x:f>SUMIFS('Ratings'!$H$6:$H$1387,'Ratings'!$B$6:$B$1387,C173)</x:f>
        <x:v>3</x:v>
      </x:c>
      <x:c r="K173" s="15" t="n">
        <x:f>IF(I173&gt;0,"Unknown",H173/F173)</x:f>
        <x:v>0.375</x:v>
      </x:c>
      <x:c r="L173" s="15" t="n">
        <x:f>IF(J173=0,"N/A",H173/J173)</x:f>
        <x:v>1</x:v>
      </x:c>
      <x:c r="M173" s="14" t="n">
        <x:f>SUMIFS('Rankings'!$L$6:$L$423,'Rankings'!$A$6:$A$423,B173,'Rankings'!$E$6:$E$423,"&lt;="&amp;F173)</x:f>
        <x:v>14.916508275000202</x:v>
      </x:c>
      <x:c r="N173" s="14" t="n">
        <x:f>SUMIFS('Ideal ranking'!$H$6:$H$365,'Ideal ranking'!$A$6:$A$365,C173,'Ideal ranking'!$B$6:$B$365,"&lt;="&amp;F173)</x:f>
        <x:v>14.916508275000202</x:v>
      </x:c>
      <x:c r="O173" s="14" t="n">
        <x:f>IF(I173&gt;0,"Unknown",IF(N173=0,"N/A",M173/N173))</x:f>
        <x:v>1</x:v>
      </x:c>
      <x:c r="P173" s="15" t="n">
        <x:f>IF(G173=0,"N/A",IF(I173&gt;0,"Unknown",H173/G173))</x:f>
        <x:v>1</x:v>
      </x:c>
      <x:c r="Q173" s="2" t="n">
        <x:f>F173-G173</x:f>
        <x:v>5</x:v>
      </x:c>
    </x:row>
    <x:row r="174" ht="22" customHeight="1">
      <x:c r="A174" s="2" t="str">
        <x:v>S17-T01|9</x:v>
      </x:c>
      <x:c r="B174" s="2" t="str">
        <x:v>S17-T01</x:v>
      </x:c>
      <x:c r="C174" s="2" t="str">
        <x:v>S17</x:v>
      </x:c>
      <x:c r="D174" s="2" t="str">
        <x:v>Retained</x:v>
      </x:c>
      <x:c r="E174" s="2" t="n">
        <x:v>1</x:v>
      </x:c>
      <x:c r="F174" s="2" t="n">
        <x:v>9</x:v>
      </x:c>
      <x:c r="G174" s="2" t="n">
        <x:f>COUNTIFS('Rankings'!$A$6:$A$423,B174,'Rankings'!$E$6:$E$423,"&lt;="&amp;F174)</x:f>
        <x:v>3</x:v>
      </x:c>
      <x:c r="H174" s="2" t="n">
        <x:f>SUMIFS('Rankings'!$J$6:$J$423,'Rankings'!$A$6:$A$423,B174,'Rankings'!$E$6:$E$423,"&lt;="&amp;F174)</x:f>
        <x:v>3</x:v>
      </x:c>
      <x:c r="I174" s="2" t="n">
        <x:f>G174-SUMIFS('Rankings'!$I$6:$I$423,'Rankings'!$A$6:$A$423,B174,'Rankings'!$E$6:$E$423,"&lt;="&amp;F174)</x:f>
        <x:v>0</x:v>
      </x:c>
      <x:c r="J174" s="2" t="n">
        <x:f>SUMIFS('Ratings'!$H$6:$H$1387,'Ratings'!$B$6:$B$1387,C174)</x:f>
        <x:v>3</x:v>
      </x:c>
      <x:c r="K174" s="15" t="n">
        <x:f>IF(I174&gt;0,"Unknown",H174/F174)</x:f>
        <x:v>0.3333333333333333</x:v>
      </x:c>
      <x:c r="L174" s="15" t="n">
        <x:f>IF(J174=0,"N/A",H174/J174)</x:f>
        <x:v>1</x:v>
      </x:c>
      <x:c r="M174" s="14" t="n">
        <x:f>SUMIFS('Rankings'!$L$6:$L$423,'Rankings'!$A$6:$A$423,B174,'Rankings'!$E$6:$E$423,"&lt;="&amp;F174)</x:f>
        <x:v>14.916508275000202</x:v>
      </x:c>
      <x:c r="N174" s="14" t="n">
        <x:f>SUMIFS('Ideal ranking'!$H$6:$H$365,'Ideal ranking'!$A$6:$A$365,C174,'Ideal ranking'!$B$6:$B$365,"&lt;="&amp;F174)</x:f>
        <x:v>14.916508275000202</x:v>
      </x:c>
      <x:c r="O174" s="14" t="n">
        <x:f>IF(I174&gt;0,"Unknown",IF(N174=0,"N/A",M174/N174))</x:f>
        <x:v>1</x:v>
      </x:c>
      <x:c r="P174" s="15" t="n">
        <x:f>IF(G174=0,"N/A",IF(I174&gt;0,"Unknown",H174/G174))</x:f>
        <x:v>1</x:v>
      </x:c>
      <x:c r="Q174" s="2" t="n">
        <x:f>F174-G174</x:f>
        <x:v>6</x:v>
      </x:c>
    </x:row>
    <x:row r="175" ht="22" customHeight="1">
      <x:c r="A175" s="2" t="str">
        <x:v>S17-T01|10</x:v>
      </x:c>
      <x:c r="B175" s="2" t="str">
        <x:v>S17-T01</x:v>
      </x:c>
      <x:c r="C175" s="2" t="str">
        <x:v>S17</x:v>
      </x:c>
      <x:c r="D175" s="2" t="str">
        <x:v>Retained</x:v>
      </x:c>
      <x:c r="E175" s="2" t="n">
        <x:v>1</x:v>
      </x:c>
      <x:c r="F175" s="2" t="n">
        <x:v>10</x:v>
      </x:c>
      <x:c r="G175" s="2" t="n">
        <x:f>COUNTIFS('Rankings'!$A$6:$A$423,B175,'Rankings'!$E$6:$E$423,"&lt;="&amp;F175)</x:f>
        <x:v>3</x:v>
      </x:c>
      <x:c r="H175" s="2" t="n">
        <x:f>SUMIFS('Rankings'!$J$6:$J$423,'Rankings'!$A$6:$A$423,B175,'Rankings'!$E$6:$E$423,"&lt;="&amp;F175)</x:f>
        <x:v>3</x:v>
      </x:c>
      <x:c r="I175" s="2" t="n">
        <x:f>G175-SUMIFS('Rankings'!$I$6:$I$423,'Rankings'!$A$6:$A$423,B175,'Rankings'!$E$6:$E$423,"&lt;="&amp;F175)</x:f>
        <x:v>0</x:v>
      </x:c>
      <x:c r="J175" s="2" t="n">
        <x:f>SUMIFS('Ratings'!$H$6:$H$1387,'Ratings'!$B$6:$B$1387,C175)</x:f>
        <x:v>3</x:v>
      </x:c>
      <x:c r="K175" s="15" t="n">
        <x:f>IF(I175&gt;0,"Unknown",H175/F175)</x:f>
        <x:v>0.3</x:v>
      </x:c>
      <x:c r="L175" s="15" t="n">
        <x:f>IF(J175=0,"N/A",H175/J175)</x:f>
        <x:v>1</x:v>
      </x:c>
      <x:c r="M175" s="14" t="n">
        <x:f>SUMIFS('Rankings'!$L$6:$L$423,'Rankings'!$A$6:$A$423,B175,'Rankings'!$E$6:$E$423,"&lt;="&amp;F175)</x:f>
        <x:v>14.916508275000202</x:v>
      </x:c>
      <x:c r="N175" s="14" t="n">
        <x:f>SUMIFS('Ideal ranking'!$H$6:$H$365,'Ideal ranking'!$A$6:$A$365,C175,'Ideal ranking'!$B$6:$B$365,"&lt;="&amp;F175)</x:f>
        <x:v>14.916508275000202</x:v>
      </x:c>
      <x:c r="O175" s="14" t="n">
        <x:f>IF(I175&gt;0,"Unknown",IF(N175=0,"N/A",M175/N175))</x:f>
        <x:v>1</x:v>
      </x:c>
      <x:c r="P175" s="15" t="n">
        <x:f>IF(G175=0,"N/A",IF(I175&gt;0,"Unknown",H175/G175))</x:f>
        <x:v>1</x:v>
      </x:c>
      <x:c r="Q175" s="2" t="n">
        <x:f>F175-G175</x:f>
        <x:v>7</x:v>
      </x:c>
    </x:row>
    <x:row r="176" ht="22" customHeight="1">
      <x:c r="A176" s="2" t="str">
        <x:v>S18-T01|1</x:v>
      </x:c>
      <x:c r="B176" s="2" t="str">
        <x:v>S18-T01</x:v>
      </x:c>
      <x:c r="C176" s="2" t="str">
        <x:v>S18</x:v>
      </x:c>
      <x:c r="D176" s="2" t="str">
        <x:v>Retained</x:v>
      </x:c>
      <x:c r="E176" s="2" t="n">
        <x:v>1</x:v>
      </x:c>
      <x:c r="F176" s="2" t="n">
        <x:v>1</x:v>
      </x:c>
      <x:c r="G176" s="2" t="n">
        <x:f>COUNTIFS('Rankings'!$A$6:$A$423,B176,'Rankings'!$E$6:$E$423,"&lt;="&amp;F176)</x:f>
        <x:v>1</x:v>
      </x:c>
      <x:c r="H176" s="2" t="n">
        <x:f>SUMIFS('Rankings'!$J$6:$J$423,'Rankings'!$A$6:$A$423,B176,'Rankings'!$E$6:$E$423,"&lt;="&amp;F176)</x:f>
        <x:v>1</x:v>
      </x:c>
      <x:c r="I176" s="2" t="n">
        <x:f>G176-SUMIFS('Rankings'!$I$6:$I$423,'Rankings'!$A$6:$A$423,B176,'Rankings'!$E$6:$E$423,"&lt;="&amp;F176)</x:f>
        <x:v>0</x:v>
      </x:c>
      <x:c r="J176" s="2" t="n">
        <x:f>SUMIFS('Ratings'!$H$6:$H$1387,'Ratings'!$B$6:$B$1387,C176)</x:f>
        <x:v>10</x:v>
      </x:c>
      <x:c r="K176" s="15" t="n">
        <x:f>IF(I176&gt;0,"Unknown",H176/F176)</x:f>
        <x:v>1</x:v>
      </x:c>
      <x:c r="L176" s="15" t="n">
        <x:f>IF(J176=0,"N/A",H176/J176)</x:f>
        <x:v>0.1</x:v>
      </x:c>
      <x:c r="M176" s="14" t="n">
        <x:f>SUMIFS('Rankings'!$L$6:$L$423,'Rankings'!$A$6:$A$423,B176,'Rankings'!$E$6:$E$423,"&lt;="&amp;F176)</x:f>
        <x:v>7</x:v>
      </x:c>
      <x:c r="N176" s="14" t="n">
        <x:f>SUMIFS('Ideal ranking'!$H$6:$H$365,'Ideal ranking'!$A$6:$A$365,C176,'Ideal ranking'!$B$6:$B$365,"&lt;="&amp;F176)</x:f>
        <x:v>7</x:v>
      </x:c>
      <x:c r="O176" s="14" t="n">
        <x:f>IF(I176&gt;0,"Unknown",IF(N176=0,"N/A",M176/N176))</x:f>
        <x:v>1</x:v>
      </x:c>
      <x:c r="P176" s="15" t="n">
        <x:f>IF(G176=0,"N/A",IF(I176&gt;0,"Unknown",H176/G176))</x:f>
        <x:v>1</x:v>
      </x:c>
      <x:c r="Q176" s="2" t="n">
        <x:f>F176-G176</x:f>
        <x:v>0</x:v>
      </x:c>
    </x:row>
    <x:row r="177" ht="22" customHeight="1">
      <x:c r="A177" s="2" t="str">
        <x:v>S18-T01|2</x:v>
      </x:c>
      <x:c r="B177" s="2" t="str">
        <x:v>S18-T01</x:v>
      </x:c>
      <x:c r="C177" s="2" t="str">
        <x:v>S18</x:v>
      </x:c>
      <x:c r="D177" s="2" t="str">
        <x:v>Retained</x:v>
      </x:c>
      <x:c r="E177" s="2" t="n">
        <x:v>1</x:v>
      </x:c>
      <x:c r="F177" s="2" t="n">
        <x:v>2</x:v>
      </x:c>
      <x:c r="G177" s="2" t="n">
        <x:f>COUNTIFS('Rankings'!$A$6:$A$423,B177,'Rankings'!$E$6:$E$423,"&lt;="&amp;F177)</x:f>
        <x:v>2</x:v>
      </x:c>
      <x:c r="H177" s="2" t="n">
        <x:f>SUMIFS('Rankings'!$J$6:$J$423,'Rankings'!$A$6:$A$423,B177,'Rankings'!$E$6:$E$423,"&lt;="&amp;F177)</x:f>
        <x:v>2</x:v>
      </x:c>
      <x:c r="I177" s="2" t="n">
        <x:f>G177-SUMIFS('Rankings'!$I$6:$I$423,'Rankings'!$A$6:$A$423,B177,'Rankings'!$E$6:$E$423,"&lt;="&amp;F177)</x:f>
        <x:v>0</x:v>
      </x:c>
      <x:c r="J177" s="2" t="n">
        <x:f>SUMIFS('Ratings'!$H$6:$H$1387,'Ratings'!$B$6:$B$1387,C177)</x:f>
        <x:v>10</x:v>
      </x:c>
      <x:c r="K177" s="15" t="n">
        <x:f>IF(I177&gt;0,"Unknown",H177/F177)</x:f>
        <x:v>1</x:v>
      </x:c>
      <x:c r="L177" s="15" t="n">
        <x:f>IF(J177=0,"N/A",H177/J177)</x:f>
        <x:v>0.2</x:v>
      </x:c>
      <x:c r="M177" s="14" t="n">
        <x:f>SUMIFS('Rankings'!$L$6:$L$423,'Rankings'!$A$6:$A$423,B177,'Rankings'!$E$6:$E$423,"&lt;="&amp;F177)</x:f>
        <x:v>11.416508275000202</x:v>
      </x:c>
      <x:c r="N177" s="14" t="n">
        <x:f>SUMIFS('Ideal ranking'!$H$6:$H$365,'Ideal ranking'!$A$6:$A$365,C177,'Ideal ranking'!$B$6:$B$365,"&lt;="&amp;F177)</x:f>
        <x:v>11.416508275000202</x:v>
      </x:c>
      <x:c r="O177" s="14" t="n">
        <x:f>IF(I177&gt;0,"Unknown",IF(N177=0,"N/A",M177/N177))</x:f>
        <x:v>1</x:v>
      </x:c>
      <x:c r="P177" s="15" t="n">
        <x:f>IF(G177=0,"N/A",IF(I177&gt;0,"Unknown",H177/G177))</x:f>
        <x:v>1</x:v>
      </x:c>
      <x:c r="Q177" s="2" t="n">
        <x:f>F177-G177</x:f>
        <x:v>0</x:v>
      </x:c>
    </x:row>
    <x:row r="178" ht="22" customHeight="1">
      <x:c r="A178" s="2" t="str">
        <x:v>S18-T01|3</x:v>
      </x:c>
      <x:c r="B178" s="2" t="str">
        <x:v>S18-T01</x:v>
      </x:c>
      <x:c r="C178" s="2" t="str">
        <x:v>S18</x:v>
      </x:c>
      <x:c r="D178" s="2" t="str">
        <x:v>Retained</x:v>
      </x:c>
      <x:c r="E178" s="2" t="n">
        <x:v>1</x:v>
      </x:c>
      <x:c r="F178" s="2" t="n">
        <x:v>3</x:v>
      </x:c>
      <x:c r="G178" s="2" t="n">
        <x:f>COUNTIFS('Rankings'!$A$6:$A$423,B178,'Rankings'!$E$6:$E$423,"&lt;="&amp;F178)</x:f>
        <x:v>3</x:v>
      </x:c>
      <x:c r="H178" s="2" t="n">
        <x:f>SUMIFS('Rankings'!$J$6:$J$423,'Rankings'!$A$6:$A$423,B178,'Rankings'!$E$6:$E$423,"&lt;="&amp;F178)</x:f>
        <x:v>3</x:v>
      </x:c>
      <x:c r="I178" s="2" t="n">
        <x:f>G178-SUMIFS('Rankings'!$I$6:$I$423,'Rankings'!$A$6:$A$423,B178,'Rankings'!$E$6:$E$423,"&lt;="&amp;F178)</x:f>
        <x:v>0</x:v>
      </x:c>
      <x:c r="J178" s="2" t="n">
        <x:f>SUMIFS('Ratings'!$H$6:$H$1387,'Ratings'!$B$6:$B$1387,C178)</x:f>
        <x:v>10</x:v>
      </x:c>
      <x:c r="K178" s="15" t="n">
        <x:f>IF(I178&gt;0,"Unknown",H178/F178)</x:f>
        <x:v>1</x:v>
      </x:c>
      <x:c r="L178" s="15" t="n">
        <x:f>IF(J178=0,"N/A",H178/J178)</x:f>
        <x:v>0.3</x:v>
      </x:c>
      <x:c r="M178" s="14" t="n">
        <x:f>SUMIFS('Rankings'!$L$6:$L$423,'Rankings'!$A$6:$A$423,B178,'Rankings'!$E$6:$E$423,"&lt;="&amp;F178)</x:f>
        <x:v>14.916508275000202</x:v>
      </x:c>
      <x:c r="N178" s="14" t="n">
        <x:f>SUMIFS('Ideal ranking'!$H$6:$H$365,'Ideal ranking'!$A$6:$A$365,C178,'Ideal ranking'!$B$6:$B$365,"&lt;="&amp;F178)</x:f>
        <x:v>14.916508275000202</x:v>
      </x:c>
      <x:c r="O178" s="14" t="n">
        <x:f>IF(I178&gt;0,"Unknown",IF(N178=0,"N/A",M178/N178))</x:f>
        <x:v>1</x:v>
      </x:c>
      <x:c r="P178" s="15" t="n">
        <x:f>IF(G178=0,"N/A",IF(I178&gt;0,"Unknown",H178/G178))</x:f>
        <x:v>1</x:v>
      </x:c>
      <x:c r="Q178" s="2" t="n">
        <x:f>F178-G178</x:f>
        <x:v>0</x:v>
      </x:c>
    </x:row>
    <x:row r="179" ht="22" customHeight="1">
      <x:c r="A179" s="2" t="str">
        <x:v>S18-T01|4</x:v>
      </x:c>
      <x:c r="B179" s="2" t="str">
        <x:v>S18-T01</x:v>
      </x:c>
      <x:c r="C179" s="2" t="str">
        <x:v>S18</x:v>
      </x:c>
      <x:c r="D179" s="2" t="str">
        <x:v>Retained</x:v>
      </x:c>
      <x:c r="E179" s="2" t="n">
        <x:v>1</x:v>
      </x:c>
      <x:c r="F179" s="2" t="n">
        <x:v>4</x:v>
      </x:c>
      <x:c r="G179" s="2" t="n">
        <x:f>COUNTIFS('Rankings'!$A$6:$A$423,B179,'Rankings'!$E$6:$E$423,"&lt;="&amp;F179)</x:f>
        <x:v>4</x:v>
      </x:c>
      <x:c r="H179" s="2" t="n">
        <x:f>SUMIFS('Rankings'!$J$6:$J$423,'Rankings'!$A$6:$A$423,B179,'Rankings'!$E$6:$E$423,"&lt;="&amp;F179)</x:f>
        <x:v>4</x:v>
      </x:c>
      <x:c r="I179" s="2" t="n">
        <x:f>G179-SUMIFS('Rankings'!$I$6:$I$423,'Rankings'!$A$6:$A$423,B179,'Rankings'!$E$6:$E$423,"&lt;="&amp;F179)</x:f>
        <x:v>0</x:v>
      </x:c>
      <x:c r="J179" s="2" t="n">
        <x:f>SUMIFS('Ratings'!$H$6:$H$1387,'Ratings'!$B$6:$B$1387,C179)</x:f>
        <x:v>10</x:v>
      </x:c>
      <x:c r="K179" s="15" t="n">
        <x:f>IF(I179&gt;0,"Unknown",H179/F179)</x:f>
        <x:v>1</x:v>
      </x:c>
      <x:c r="L179" s="15" t="n">
        <x:f>IF(J179=0,"N/A",H179/J179)</x:f>
        <x:v>0.4</x:v>
      </x:c>
      <x:c r="M179" s="14" t="n">
        <x:f>SUMIFS('Rankings'!$L$6:$L$423,'Rankings'!$A$6:$A$423,B179,'Rankings'!$E$6:$E$423,"&lt;="&amp;F179)</x:f>
        <x:v>17.931244181513954</x:v>
      </x:c>
      <x:c r="N179" s="14" t="n">
        <x:f>SUMIFS('Ideal ranking'!$H$6:$H$365,'Ideal ranking'!$A$6:$A$365,C179,'Ideal ranking'!$B$6:$B$365,"&lt;="&amp;F179)</x:f>
        <x:v>17.931244181513954</x:v>
      </x:c>
      <x:c r="O179" s="14" t="n">
        <x:f>IF(I179&gt;0,"Unknown",IF(N179=0,"N/A",M179/N179))</x:f>
        <x:v>1</x:v>
      </x:c>
      <x:c r="P179" s="15" t="n">
        <x:f>IF(G179=0,"N/A",IF(I179&gt;0,"Unknown",H179/G179))</x:f>
        <x:v>1</x:v>
      </x:c>
      <x:c r="Q179" s="2" t="n">
        <x:f>F179-G179</x:f>
        <x:v>0</x:v>
      </x:c>
    </x:row>
    <x:row r="180" ht="22" customHeight="1">
      <x:c r="A180" s="2" t="str">
        <x:v>S18-T01|5</x:v>
      </x:c>
      <x:c r="B180" s="2" t="str">
        <x:v>S18-T01</x:v>
      </x:c>
      <x:c r="C180" s="2" t="str">
        <x:v>S18</x:v>
      </x:c>
      <x:c r="D180" s="2" t="str">
        <x:v>Retained</x:v>
      </x:c>
      <x:c r="E180" s="2" t="n">
        <x:v>1</x:v>
      </x:c>
      <x:c r="F180" s="2" t="n">
        <x:v>5</x:v>
      </x:c>
      <x:c r="G180" s="2" t="n">
        <x:f>COUNTIFS('Rankings'!$A$6:$A$423,B180,'Rankings'!$E$6:$E$423,"&lt;="&amp;F180)</x:f>
        <x:v>5</x:v>
      </x:c>
      <x:c r="H180" s="2" t="n">
        <x:f>SUMIFS('Rankings'!$J$6:$J$423,'Rankings'!$A$6:$A$423,B180,'Rankings'!$E$6:$E$423,"&lt;="&amp;F180)</x:f>
        <x:v>5</x:v>
      </x:c>
      <x:c r="I180" s="2" t="n">
        <x:f>G180-SUMIFS('Rankings'!$I$6:$I$423,'Rankings'!$A$6:$A$423,B180,'Rankings'!$E$6:$E$423,"&lt;="&amp;F180)</x:f>
        <x:v>0</x:v>
      </x:c>
      <x:c r="J180" s="2" t="n">
        <x:f>SUMIFS('Ratings'!$H$6:$H$1387,'Ratings'!$B$6:$B$1387,C180)</x:f>
        <x:v>10</x:v>
      </x:c>
      <x:c r="K180" s="15" t="n">
        <x:f>IF(I180&gt;0,"Unknown",H180/F180)</x:f>
        <x:v>1</x:v>
      </x:c>
      <x:c r="L180" s="15" t="n">
        <x:f>IF(J180=0,"N/A",H180/J180)</x:f>
        <x:v>0.5</x:v>
      </x:c>
      <x:c r="M180" s="14" t="n">
        <x:f>SUMIFS('Rankings'!$L$6:$L$423,'Rankings'!$A$6:$A$423,B180,'Rankings'!$E$6:$E$423,"&lt;="&amp;F180)</x:f>
        <x:v>19.09180260321758</x:v>
      </x:c>
      <x:c r="N180" s="14" t="n">
        <x:f>SUMIFS('Ideal ranking'!$H$6:$H$365,'Ideal ranking'!$A$6:$A$365,C180,'Ideal ranking'!$B$6:$B$365,"&lt;="&amp;F180)</x:f>
        <x:v>19.09180260321758</x:v>
      </x:c>
      <x:c r="O180" s="14" t="n">
        <x:f>IF(I180&gt;0,"Unknown",IF(N180=0,"N/A",M180/N180))</x:f>
        <x:v>1</x:v>
      </x:c>
      <x:c r="P180" s="15" t="n">
        <x:f>IF(G180=0,"N/A",IF(I180&gt;0,"Unknown",H180/G180))</x:f>
        <x:v>1</x:v>
      </x:c>
      <x:c r="Q180" s="2" t="n">
        <x:f>F180-G180</x:f>
        <x:v>0</x:v>
      </x:c>
    </x:row>
    <x:row r="181" ht="22" customHeight="1">
      <x:c r="A181" s="2" t="str">
        <x:v>S18-T01|6</x:v>
      </x:c>
      <x:c r="B181" s="2" t="str">
        <x:v>S18-T01</x:v>
      </x:c>
      <x:c r="C181" s="2" t="str">
        <x:v>S18</x:v>
      </x:c>
      <x:c r="D181" s="2" t="str">
        <x:v>Retained</x:v>
      </x:c>
      <x:c r="E181" s="2" t="n">
        <x:v>1</x:v>
      </x:c>
      <x:c r="F181" s="2" t="n">
        <x:v>6</x:v>
      </x:c>
      <x:c r="G181" s="2" t="n">
        <x:f>COUNTIFS('Rankings'!$A$6:$A$423,B181,'Rankings'!$E$6:$E$423,"&lt;="&amp;F181)</x:f>
        <x:v>6</x:v>
      </x:c>
      <x:c r="H181" s="2" t="n">
        <x:f>SUMIFS('Rankings'!$J$6:$J$423,'Rankings'!$A$6:$A$423,B181,'Rankings'!$E$6:$E$423,"&lt;="&amp;F181)</x:f>
        <x:v>6</x:v>
      </x:c>
      <x:c r="I181" s="2" t="n">
        <x:f>G181-SUMIFS('Rankings'!$I$6:$I$423,'Rankings'!$A$6:$A$423,B181,'Rankings'!$E$6:$E$423,"&lt;="&amp;F181)</x:f>
        <x:v>0</x:v>
      </x:c>
      <x:c r="J181" s="2" t="n">
        <x:f>SUMIFS('Ratings'!$H$6:$H$1387,'Ratings'!$B$6:$B$1387,C181)</x:f>
        <x:v>10</x:v>
      </x:c>
      <x:c r="K181" s="15" t="n">
        <x:f>IF(I181&gt;0,"Unknown",H181/F181)</x:f>
        <x:v>1</x:v>
      </x:c>
      <x:c r="L181" s="15" t="n">
        <x:f>IF(J181=0,"N/A",H181/J181)</x:f>
        <x:v>0.6</x:v>
      </x:c>
      <x:c r="M181" s="14" t="n">
        <x:f>SUMIFS('Rankings'!$L$6:$L$423,'Rankings'!$A$6:$A$423,B181,'Rankings'!$E$6:$E$423,"&lt;="&amp;F181)</x:f>
        <x:v>20.160424164541645</x:v>
      </x:c>
      <x:c r="N181" s="14" t="n">
        <x:f>SUMIFS('Ideal ranking'!$H$6:$H$365,'Ideal ranking'!$A$6:$A$365,C181,'Ideal ranking'!$B$6:$B$365,"&lt;="&amp;F181)</x:f>
        <x:v>20.160424164541645</x:v>
      </x:c>
      <x:c r="O181" s="14" t="n">
        <x:f>IF(I181&gt;0,"Unknown",IF(N181=0,"N/A",M181/N181))</x:f>
        <x:v>1</x:v>
      </x:c>
      <x:c r="P181" s="15" t="n">
        <x:f>IF(G181=0,"N/A",IF(I181&gt;0,"Unknown",H181/G181))</x:f>
        <x:v>1</x:v>
      </x:c>
      <x:c r="Q181" s="2" t="n">
        <x:f>F181-G181</x:f>
        <x:v>0</x:v>
      </x:c>
    </x:row>
    <x:row r="182" ht="22" customHeight="1">
      <x:c r="A182" s="2" t="str">
        <x:v>S18-T01|7</x:v>
      </x:c>
      <x:c r="B182" s="2" t="str">
        <x:v>S18-T01</x:v>
      </x:c>
      <x:c r="C182" s="2" t="str">
        <x:v>S18</x:v>
      </x:c>
      <x:c r="D182" s="2" t="str">
        <x:v>Retained</x:v>
      </x:c>
      <x:c r="E182" s="2" t="n">
        <x:v>1</x:v>
      </x:c>
      <x:c r="F182" s="2" t="n">
        <x:v>7</x:v>
      </x:c>
      <x:c r="G182" s="2" t="n">
        <x:f>COUNTIFS('Rankings'!$A$6:$A$423,B182,'Rankings'!$E$6:$E$423,"&lt;="&amp;F182)</x:f>
        <x:v>7</x:v>
      </x:c>
      <x:c r="H182" s="2" t="n">
        <x:f>SUMIFS('Rankings'!$J$6:$J$423,'Rankings'!$A$6:$A$423,B182,'Rankings'!$E$6:$E$423,"&lt;="&amp;F182)</x:f>
        <x:v>7</x:v>
      </x:c>
      <x:c r="I182" s="2" t="n">
        <x:f>G182-SUMIFS('Rankings'!$I$6:$I$423,'Rankings'!$A$6:$A$423,B182,'Rankings'!$E$6:$E$423,"&lt;="&amp;F182)</x:f>
        <x:v>0</x:v>
      </x:c>
      <x:c r="J182" s="2" t="n">
        <x:f>SUMIFS('Ratings'!$H$6:$H$1387,'Ratings'!$B$6:$B$1387,C182)</x:f>
        <x:v>10</x:v>
      </x:c>
      <x:c r="K182" s="15" t="n">
        <x:f>IF(I182&gt;0,"Unknown",H182/F182)</x:f>
        <x:v>1</x:v>
      </x:c>
      <x:c r="L182" s="15" t="n">
        <x:f>IF(J182=0,"N/A",H182/J182)</x:f>
        <x:v>0.7</x:v>
      </x:c>
      <x:c r="M182" s="14" t="n">
        <x:f>SUMIFS('Rankings'!$L$6:$L$423,'Rankings'!$A$6:$A$423,B182,'Rankings'!$E$6:$E$423,"&lt;="&amp;F182)</x:f>
        <x:v>21.160424164541645</x:v>
      </x:c>
      <x:c r="N182" s="14" t="n">
        <x:f>SUMIFS('Ideal ranking'!$H$6:$H$365,'Ideal ranking'!$A$6:$A$365,C182,'Ideal ranking'!$B$6:$B$365,"&lt;="&amp;F182)</x:f>
        <x:v>21.160424164541645</x:v>
      </x:c>
      <x:c r="O182" s="14" t="n">
        <x:f>IF(I182&gt;0,"Unknown",IF(N182=0,"N/A",M182/N182))</x:f>
        <x:v>1</x:v>
      </x:c>
      <x:c r="P182" s="15" t="n">
        <x:f>IF(G182=0,"N/A",IF(I182&gt;0,"Unknown",H182/G182))</x:f>
        <x:v>1</x:v>
      </x:c>
      <x:c r="Q182" s="2" t="n">
        <x:f>F182-G182</x:f>
        <x:v>0</x:v>
      </x:c>
    </x:row>
    <x:row r="183" ht="22" customHeight="1">
      <x:c r="A183" s="2" t="str">
        <x:v>S18-T01|8</x:v>
      </x:c>
      <x:c r="B183" s="2" t="str">
        <x:v>S18-T01</x:v>
      </x:c>
      <x:c r="C183" s="2" t="str">
        <x:v>S18</x:v>
      </x:c>
      <x:c r="D183" s="2" t="str">
        <x:v>Retained</x:v>
      </x:c>
      <x:c r="E183" s="2" t="n">
        <x:v>1</x:v>
      </x:c>
      <x:c r="F183" s="2" t="n">
        <x:v>8</x:v>
      </x:c>
      <x:c r="G183" s="2" t="n">
        <x:f>COUNTIFS('Rankings'!$A$6:$A$423,B183,'Rankings'!$E$6:$E$423,"&lt;="&amp;F183)</x:f>
        <x:v>8</x:v>
      </x:c>
      <x:c r="H183" s="2" t="n">
        <x:f>SUMIFS('Rankings'!$J$6:$J$423,'Rankings'!$A$6:$A$423,B183,'Rankings'!$E$6:$E$423,"&lt;="&amp;F183)</x:f>
        <x:v>8</x:v>
      </x:c>
      <x:c r="I183" s="2" t="n">
        <x:f>G183-SUMIFS('Rankings'!$I$6:$I$423,'Rankings'!$A$6:$A$423,B183,'Rankings'!$E$6:$E$423,"&lt;="&amp;F183)</x:f>
        <x:v>0</x:v>
      </x:c>
      <x:c r="J183" s="2" t="n">
        <x:f>SUMIFS('Ratings'!$H$6:$H$1387,'Ratings'!$B$6:$B$1387,C183)</x:f>
        <x:v>10</x:v>
      </x:c>
      <x:c r="K183" s="15" t="n">
        <x:f>IF(I183&gt;0,"Unknown",H183/F183)</x:f>
        <x:v>1</x:v>
      </x:c>
      <x:c r="L183" s="15" t="n">
        <x:f>IF(J183=0,"N/A",H183/J183)</x:f>
        <x:v>0.8</x:v>
      </x:c>
      <x:c r="M183" s="14" t="n">
        <x:f>SUMIFS('Rankings'!$L$6:$L$423,'Rankings'!$A$6:$A$423,B183,'Rankings'!$E$6:$E$423,"&lt;="&amp;F183)</x:f>
        <x:v>22.10681879489883</x:v>
      </x:c>
      <x:c r="N183" s="14" t="n">
        <x:f>SUMIFS('Ideal ranking'!$H$6:$H$365,'Ideal ranking'!$A$6:$A$365,C183,'Ideal ranking'!$B$6:$B$365,"&lt;="&amp;F183)</x:f>
        <x:v>22.10681879489883</x:v>
      </x:c>
      <x:c r="O183" s="14" t="n">
        <x:f>IF(I183&gt;0,"Unknown",IF(N183=0,"N/A",M183/N183))</x:f>
        <x:v>1</x:v>
      </x:c>
      <x:c r="P183" s="15" t="n">
        <x:f>IF(G183=0,"N/A",IF(I183&gt;0,"Unknown",H183/G183))</x:f>
        <x:v>1</x:v>
      </x:c>
      <x:c r="Q183" s="2" t="n">
        <x:f>F183-G183</x:f>
        <x:v>0</x:v>
      </x:c>
    </x:row>
    <x:row r="184" ht="22" customHeight="1">
      <x:c r="A184" s="2" t="str">
        <x:v>S18-T01|9</x:v>
      </x:c>
      <x:c r="B184" s="2" t="str">
        <x:v>S18-T01</x:v>
      </x:c>
      <x:c r="C184" s="2" t="str">
        <x:v>S18</x:v>
      </x:c>
      <x:c r="D184" s="2" t="str">
        <x:v>Retained</x:v>
      </x:c>
      <x:c r="E184" s="2" t="n">
        <x:v>1</x:v>
      </x:c>
      <x:c r="F184" s="2" t="n">
        <x:v>9</x:v>
      </x:c>
      <x:c r="G184" s="2" t="n">
        <x:f>COUNTIFS('Rankings'!$A$6:$A$423,B184,'Rankings'!$E$6:$E$423,"&lt;="&amp;F184)</x:f>
        <x:v>9</x:v>
      </x:c>
      <x:c r="H184" s="2" t="n">
        <x:f>SUMIFS('Rankings'!$J$6:$J$423,'Rankings'!$A$6:$A$423,B184,'Rankings'!$E$6:$E$423,"&lt;="&amp;F184)</x:f>
        <x:v>9</x:v>
      </x:c>
      <x:c r="I184" s="2" t="n">
        <x:f>G184-SUMIFS('Rankings'!$I$6:$I$423,'Rankings'!$A$6:$A$423,B184,'Rankings'!$E$6:$E$423,"&lt;="&amp;F184)</x:f>
        <x:v>0</x:v>
      </x:c>
      <x:c r="J184" s="2" t="n">
        <x:f>SUMIFS('Ratings'!$H$6:$H$1387,'Ratings'!$B$6:$B$1387,C184)</x:f>
        <x:v>10</x:v>
      </x:c>
      <x:c r="K184" s="15" t="n">
        <x:f>IF(I184&gt;0,"Unknown",H184/F184)</x:f>
        <x:v>1</x:v>
      </x:c>
      <x:c r="L184" s="15" t="n">
        <x:f>IF(J184=0,"N/A",H184/J184)</x:f>
        <x:v>0.9</x:v>
      </x:c>
      <x:c r="M184" s="14" t="n">
        <x:f>SUMIFS('Rankings'!$L$6:$L$423,'Rankings'!$A$6:$A$423,B184,'Rankings'!$E$6:$E$423,"&lt;="&amp;F184)</x:f>
        <x:v>23.009908781890775</x:v>
      </x:c>
      <x:c r="N184" s="14" t="n">
        <x:f>SUMIFS('Ideal ranking'!$H$6:$H$365,'Ideal ranking'!$A$6:$A$365,C184,'Ideal ranking'!$B$6:$B$365,"&lt;="&amp;F184)</x:f>
        <x:v>23.009908781890775</x:v>
      </x:c>
      <x:c r="O184" s="14" t="n">
        <x:f>IF(I184&gt;0,"Unknown",IF(N184=0,"N/A",M184/N184))</x:f>
        <x:v>1</x:v>
      </x:c>
      <x:c r="P184" s="15" t="n">
        <x:f>IF(G184=0,"N/A",IF(I184&gt;0,"Unknown",H184/G184))</x:f>
        <x:v>1</x:v>
      </x:c>
      <x:c r="Q184" s="2" t="n">
        <x:f>F184-G184</x:f>
        <x:v>0</x:v>
      </x:c>
    </x:row>
    <x:row r="185" ht="22" customHeight="1">
      <x:c r="A185" s="2" t="str">
        <x:v>S18-T01|10</x:v>
      </x:c>
      <x:c r="B185" s="2" t="str">
        <x:v>S18-T01</x:v>
      </x:c>
      <x:c r="C185" s="2" t="str">
        <x:v>S18</x:v>
      </x:c>
      <x:c r="D185" s="2" t="str">
        <x:v>Retained</x:v>
      </x:c>
      <x:c r="E185" s="2" t="n">
        <x:v>1</x:v>
      </x:c>
      <x:c r="F185" s="2" t="n">
        <x:v>10</x:v>
      </x:c>
      <x:c r="G185" s="2" t="n">
        <x:f>COUNTIFS('Rankings'!$A$6:$A$423,B185,'Rankings'!$E$6:$E$423,"&lt;="&amp;F185)</x:f>
        <x:v>10</x:v>
      </x:c>
      <x:c r="H185" s="2" t="n">
        <x:f>SUMIFS('Rankings'!$J$6:$J$423,'Rankings'!$A$6:$A$423,B185,'Rankings'!$E$6:$E$423,"&lt;="&amp;F185)</x:f>
        <x:v>10</x:v>
      </x:c>
      <x:c r="I185" s="2" t="n">
        <x:f>G185-SUMIFS('Rankings'!$I$6:$I$423,'Rankings'!$A$6:$A$423,B185,'Rankings'!$E$6:$E$423,"&lt;="&amp;F185)</x:f>
        <x:v>0</x:v>
      </x:c>
      <x:c r="J185" s="2" t="n">
        <x:f>SUMIFS('Ratings'!$H$6:$H$1387,'Ratings'!$B$6:$B$1387,C185)</x:f>
        <x:v>10</x:v>
      </x:c>
      <x:c r="K185" s="15" t="n">
        <x:f>IF(I185&gt;0,"Unknown",H185/F185)</x:f>
        <x:v>1</x:v>
      </x:c>
      <x:c r="L185" s="15" t="n">
        <x:f>IF(J185=0,"N/A",H185/J185)</x:f>
        <x:v>1</x:v>
      </x:c>
      <x:c r="M185" s="14" t="n">
        <x:f>SUMIFS('Rankings'!$L$6:$L$423,'Rankings'!$A$6:$A$423,B185,'Rankings'!$E$6:$E$423,"&lt;="&amp;F185)</x:f>
        <x:v>23.87710326084444</x:v>
      </x:c>
      <x:c r="N185" s="14" t="n">
        <x:f>SUMIFS('Ideal ranking'!$H$6:$H$365,'Ideal ranking'!$A$6:$A$365,C185,'Ideal ranking'!$B$6:$B$365,"&lt;="&amp;F185)</x:f>
        <x:v>23.87710326084444</x:v>
      </x:c>
      <x:c r="O185" s="14" t="n">
        <x:f>IF(I185&gt;0,"Unknown",IF(N185=0,"N/A",M185/N185))</x:f>
        <x:v>1</x:v>
      </x:c>
      <x:c r="P185" s="15" t="n">
        <x:f>IF(G185=0,"N/A",IF(I185&gt;0,"Unknown",H185/G185))</x:f>
        <x:v>1</x:v>
      </x:c>
      <x:c r="Q185" s="2" t="n">
        <x:f>F185-G185</x:f>
        <x:v>0</x:v>
      </x:c>
    </x:row>
    <x:row r="186" ht="22" customHeight="1">
      <x:c r="A186" s="2" t="str">
        <x:v>S21-T01|1</x:v>
      </x:c>
      <x:c r="B186" s="2" t="str">
        <x:v>S21-T01</x:v>
      </x:c>
      <x:c r="C186" s="2" t="str">
        <x:v>S21</x:v>
      </x:c>
      <x:c r="D186" s="2" t="str">
        <x:v>Extension</x:v>
      </x:c>
      <x:c r="E186" s="2" t="n">
        <x:v>1</x:v>
      </x:c>
      <x:c r="F186" s="2" t="n">
        <x:v>1</x:v>
      </x:c>
      <x:c r="G186" s="2" t="n">
        <x:f>COUNTIFS('Rankings'!$A$6:$A$423,B186,'Rankings'!$E$6:$E$423,"&lt;="&amp;F186)</x:f>
        <x:v>1</x:v>
      </x:c>
      <x:c r="H186" s="2" t="n">
        <x:f>SUMIFS('Rankings'!$J$6:$J$423,'Rankings'!$A$6:$A$423,B186,'Rankings'!$E$6:$E$423,"&lt;="&amp;F186)</x:f>
        <x:v>1</x:v>
      </x:c>
      <x:c r="I186" s="2" t="n">
        <x:f>G186-SUMIFS('Rankings'!$I$6:$I$423,'Rankings'!$A$6:$A$423,B186,'Rankings'!$E$6:$E$423,"&lt;="&amp;F186)</x:f>
        <x:v>0</x:v>
      </x:c>
      <x:c r="J186" s="2" t="n">
        <x:f>SUMIFS('Ratings'!$H$6:$H$1387,'Ratings'!$B$6:$B$1387,C186)</x:f>
        <x:v>16</x:v>
      </x:c>
      <x:c r="K186" s="15" t="n">
        <x:f>IF(I186&gt;0,"Unknown",H186/F186)</x:f>
        <x:v>1</x:v>
      </x:c>
      <x:c r="L186" s="15" t="n">
        <x:f>IF(J186=0,"N/A",H186/J186)</x:f>
        <x:v>0.0625</x:v>
      </x:c>
      <x:c r="M186" s="14" t="n">
        <x:f>SUMIFS('Rankings'!$L$6:$L$423,'Rankings'!$A$6:$A$423,B186,'Rankings'!$E$6:$E$423,"&lt;="&amp;F186)</x:f>
        <x:v>7</x:v>
      </x:c>
      <x:c r="N186" s="14" t="n">
        <x:f>SUMIFS('Ideal ranking'!$H$6:$H$365,'Ideal ranking'!$A$6:$A$365,C186,'Ideal ranking'!$B$6:$B$365,"&lt;="&amp;F186)</x:f>
        <x:v>7</x:v>
      </x:c>
      <x:c r="O186" s="14" t="n">
        <x:f>IF(I186&gt;0,"Unknown",IF(N186=0,"N/A",M186/N186))</x:f>
        <x:v>1</x:v>
      </x:c>
      <x:c r="P186" s="15" t="n">
        <x:f>IF(G186=0,"N/A",IF(I186&gt;0,"Unknown",H186/G186))</x:f>
        <x:v>1</x:v>
      </x:c>
      <x:c r="Q186" s="2" t="n">
        <x:f>F186-G186</x:f>
        <x:v>0</x:v>
      </x:c>
    </x:row>
    <x:row r="187" ht="22" customHeight="1">
      <x:c r="A187" s="2" t="str">
        <x:v>S21-T01|2</x:v>
      </x:c>
      <x:c r="B187" s="2" t="str">
        <x:v>S21-T01</x:v>
      </x:c>
      <x:c r="C187" s="2" t="str">
        <x:v>S21</x:v>
      </x:c>
      <x:c r="D187" s="2" t="str">
        <x:v>Extension</x:v>
      </x:c>
      <x:c r="E187" s="2" t="n">
        <x:v>1</x:v>
      </x:c>
      <x:c r="F187" s="2" t="n">
        <x:v>2</x:v>
      </x:c>
      <x:c r="G187" s="2" t="n">
        <x:f>COUNTIFS('Rankings'!$A$6:$A$423,B187,'Rankings'!$E$6:$E$423,"&lt;="&amp;F187)</x:f>
        <x:v>2</x:v>
      </x:c>
      <x:c r="H187" s="2" t="n">
        <x:f>SUMIFS('Rankings'!$J$6:$J$423,'Rankings'!$A$6:$A$423,B187,'Rankings'!$E$6:$E$423,"&lt;="&amp;F187)</x:f>
        <x:v>2</x:v>
      </x:c>
      <x:c r="I187" s="2" t="n">
        <x:f>G187-SUMIFS('Rankings'!$I$6:$I$423,'Rankings'!$A$6:$A$423,B187,'Rankings'!$E$6:$E$423,"&lt;="&amp;F187)</x:f>
        <x:v>0</x:v>
      </x:c>
      <x:c r="J187" s="2" t="n">
        <x:f>SUMIFS('Ratings'!$H$6:$H$1387,'Ratings'!$B$6:$B$1387,C187)</x:f>
        <x:v>16</x:v>
      </x:c>
      <x:c r="K187" s="15" t="n">
        <x:f>IF(I187&gt;0,"Unknown",H187/F187)</x:f>
        <x:v>1</x:v>
      </x:c>
      <x:c r="L187" s="15" t="n">
        <x:f>IF(J187=0,"N/A",H187/J187)</x:f>
        <x:v>0.125</x:v>
      </x:c>
      <x:c r="M187" s="14" t="n">
        <x:f>SUMIFS('Rankings'!$L$6:$L$423,'Rankings'!$A$6:$A$423,B187,'Rankings'!$E$6:$E$423,"&lt;="&amp;F187)</x:f>
        <x:v>11.416508275000202</x:v>
      </x:c>
      <x:c r="N187" s="14" t="n">
        <x:f>SUMIFS('Ideal ranking'!$H$6:$H$365,'Ideal ranking'!$A$6:$A$365,C187,'Ideal ranking'!$B$6:$B$365,"&lt;="&amp;F187)</x:f>
        <x:v>11.416508275000202</x:v>
      </x:c>
      <x:c r="O187" s="14" t="n">
        <x:f>IF(I187&gt;0,"Unknown",IF(N187=0,"N/A",M187/N187))</x:f>
        <x:v>1</x:v>
      </x:c>
      <x:c r="P187" s="15" t="n">
        <x:f>IF(G187=0,"N/A",IF(I187&gt;0,"Unknown",H187/G187))</x:f>
        <x:v>1</x:v>
      </x:c>
      <x:c r="Q187" s="2" t="n">
        <x:f>F187-G187</x:f>
        <x:v>0</x:v>
      </x:c>
    </x:row>
    <x:row r="188" ht="22" customHeight="1">
      <x:c r="A188" s="2" t="str">
        <x:v>S21-T01|3</x:v>
      </x:c>
      <x:c r="B188" s="2" t="str">
        <x:v>S21-T01</x:v>
      </x:c>
      <x:c r="C188" s="2" t="str">
        <x:v>S21</x:v>
      </x:c>
      <x:c r="D188" s="2" t="str">
        <x:v>Extension</x:v>
      </x:c>
      <x:c r="E188" s="2" t="n">
        <x:v>1</x:v>
      </x:c>
      <x:c r="F188" s="2" t="n">
        <x:v>3</x:v>
      </x:c>
      <x:c r="G188" s="2" t="n">
        <x:f>COUNTIFS('Rankings'!$A$6:$A$423,B188,'Rankings'!$E$6:$E$423,"&lt;="&amp;F188)</x:f>
        <x:v>3</x:v>
      </x:c>
      <x:c r="H188" s="2" t="n">
        <x:f>SUMIFS('Rankings'!$J$6:$J$423,'Rankings'!$A$6:$A$423,B188,'Rankings'!$E$6:$E$423,"&lt;="&amp;F188)</x:f>
        <x:v>3</x:v>
      </x:c>
      <x:c r="I188" s="2" t="n">
        <x:f>G188-SUMIFS('Rankings'!$I$6:$I$423,'Rankings'!$A$6:$A$423,B188,'Rankings'!$E$6:$E$423,"&lt;="&amp;F188)</x:f>
        <x:v>0</x:v>
      </x:c>
      <x:c r="J188" s="2" t="n">
        <x:f>SUMIFS('Ratings'!$H$6:$H$1387,'Ratings'!$B$6:$B$1387,C188)</x:f>
        <x:v>16</x:v>
      </x:c>
      <x:c r="K188" s="15" t="n">
        <x:f>IF(I188&gt;0,"Unknown",H188/F188)</x:f>
        <x:v>1</x:v>
      </x:c>
      <x:c r="L188" s="15" t="n">
        <x:f>IF(J188=0,"N/A",H188/J188)</x:f>
        <x:v>0.1875</x:v>
      </x:c>
      <x:c r="M188" s="14" t="n">
        <x:f>SUMIFS('Rankings'!$L$6:$L$423,'Rankings'!$A$6:$A$423,B188,'Rankings'!$E$6:$E$423,"&lt;="&amp;F188)</x:f>
        <x:v>14.916508275000202</x:v>
      </x:c>
      <x:c r="N188" s="14" t="n">
        <x:f>SUMIFS('Ideal ranking'!$H$6:$H$365,'Ideal ranking'!$A$6:$A$365,C188,'Ideal ranking'!$B$6:$B$365,"&lt;="&amp;F188)</x:f>
        <x:v>14.916508275000202</x:v>
      </x:c>
      <x:c r="O188" s="14" t="n">
        <x:f>IF(I188&gt;0,"Unknown",IF(N188=0,"N/A",M188/N188))</x:f>
        <x:v>1</x:v>
      </x:c>
      <x:c r="P188" s="15" t="n">
        <x:f>IF(G188=0,"N/A",IF(I188&gt;0,"Unknown",H188/G188))</x:f>
        <x:v>1</x:v>
      </x:c>
      <x:c r="Q188" s="2" t="n">
        <x:f>F188-G188</x:f>
        <x:v>0</x:v>
      </x:c>
    </x:row>
    <x:row r="189" ht="22" customHeight="1">
      <x:c r="A189" s="2" t="str">
        <x:v>S21-T01|4</x:v>
      </x:c>
      <x:c r="B189" s="2" t="str">
        <x:v>S21-T01</x:v>
      </x:c>
      <x:c r="C189" s="2" t="str">
        <x:v>S21</x:v>
      </x:c>
      <x:c r="D189" s="2" t="str">
        <x:v>Extension</x:v>
      </x:c>
      <x:c r="E189" s="2" t="n">
        <x:v>1</x:v>
      </x:c>
      <x:c r="F189" s="2" t="n">
        <x:v>4</x:v>
      </x:c>
      <x:c r="G189" s="2" t="n">
        <x:f>COUNTIFS('Rankings'!$A$6:$A$423,B189,'Rankings'!$E$6:$E$423,"&lt;="&amp;F189)</x:f>
        <x:v>4</x:v>
      </x:c>
      <x:c r="H189" s="2" t="n">
        <x:f>SUMIFS('Rankings'!$J$6:$J$423,'Rankings'!$A$6:$A$423,B189,'Rankings'!$E$6:$E$423,"&lt;="&amp;F189)</x:f>
        <x:v>4</x:v>
      </x:c>
      <x:c r="I189" s="2" t="n">
        <x:f>G189-SUMIFS('Rankings'!$I$6:$I$423,'Rankings'!$A$6:$A$423,B189,'Rankings'!$E$6:$E$423,"&lt;="&amp;F189)</x:f>
        <x:v>0</x:v>
      </x:c>
      <x:c r="J189" s="2" t="n">
        <x:f>SUMIFS('Ratings'!$H$6:$H$1387,'Ratings'!$B$6:$B$1387,C189)</x:f>
        <x:v>16</x:v>
      </x:c>
      <x:c r="K189" s="15" t="n">
        <x:f>IF(I189&gt;0,"Unknown",H189/F189)</x:f>
        <x:v>1</x:v>
      </x:c>
      <x:c r="L189" s="15" t="n">
        <x:f>IF(J189=0,"N/A",H189/J189)</x:f>
        <x:v>0.25</x:v>
      </x:c>
      <x:c r="M189" s="14" t="n">
        <x:f>SUMIFS('Rankings'!$L$6:$L$423,'Rankings'!$A$6:$A$423,B189,'Rankings'!$E$6:$E$423,"&lt;="&amp;F189)</x:f>
        <x:v>17.931244181513954</x:v>
      </x:c>
      <x:c r="N189" s="14" t="n">
        <x:f>SUMIFS('Ideal ranking'!$H$6:$H$365,'Ideal ranking'!$A$6:$A$365,C189,'Ideal ranking'!$B$6:$B$365,"&lt;="&amp;F189)</x:f>
        <x:v>17.931244181513954</x:v>
      </x:c>
      <x:c r="O189" s="14" t="n">
        <x:f>IF(I189&gt;0,"Unknown",IF(N189=0,"N/A",M189/N189))</x:f>
        <x:v>1</x:v>
      </x:c>
      <x:c r="P189" s="15" t="n">
        <x:f>IF(G189=0,"N/A",IF(I189&gt;0,"Unknown",H189/G189))</x:f>
        <x:v>1</x:v>
      </x:c>
      <x:c r="Q189" s="2" t="n">
        <x:f>F189-G189</x:f>
        <x:v>0</x:v>
      </x:c>
    </x:row>
    <x:row r="190" ht="22" customHeight="1">
      <x:c r="A190" s="2" t="str">
        <x:v>S21-T01|5</x:v>
      </x:c>
      <x:c r="B190" s="2" t="str">
        <x:v>S21-T01</x:v>
      </x:c>
      <x:c r="C190" s="2" t="str">
        <x:v>S21</x:v>
      </x:c>
      <x:c r="D190" s="2" t="str">
        <x:v>Extension</x:v>
      </x:c>
      <x:c r="E190" s="2" t="n">
        <x:v>1</x:v>
      </x:c>
      <x:c r="F190" s="2" t="n">
        <x:v>5</x:v>
      </x:c>
      <x:c r="G190" s="2" t="n">
        <x:f>COUNTIFS('Rankings'!$A$6:$A$423,B190,'Rankings'!$E$6:$E$423,"&lt;="&amp;F190)</x:f>
        <x:v>5</x:v>
      </x:c>
      <x:c r="H190" s="2" t="n">
        <x:f>SUMIFS('Rankings'!$J$6:$J$423,'Rankings'!$A$6:$A$423,B190,'Rankings'!$E$6:$E$423,"&lt;="&amp;F190)</x:f>
        <x:v>5</x:v>
      </x:c>
      <x:c r="I190" s="2" t="n">
        <x:f>G190-SUMIFS('Rankings'!$I$6:$I$423,'Rankings'!$A$6:$A$423,B190,'Rankings'!$E$6:$E$423,"&lt;="&amp;F190)</x:f>
        <x:v>0</x:v>
      </x:c>
      <x:c r="J190" s="2" t="n">
        <x:f>SUMIFS('Ratings'!$H$6:$H$1387,'Ratings'!$B$6:$B$1387,C190)</x:f>
        <x:v>16</x:v>
      </x:c>
      <x:c r="K190" s="15" t="n">
        <x:f>IF(I190&gt;0,"Unknown",H190/F190)</x:f>
        <x:v>1</x:v>
      </x:c>
      <x:c r="L190" s="15" t="n">
        <x:f>IF(J190=0,"N/A",H190/J190)</x:f>
        <x:v>0.3125</x:v>
      </x:c>
      <x:c r="M190" s="14" t="n">
        <x:f>SUMIFS('Rankings'!$L$6:$L$423,'Rankings'!$A$6:$A$423,B190,'Rankings'!$E$6:$E$423,"&lt;="&amp;F190)</x:f>
        <x:v>19.09180260321758</x:v>
      </x:c>
      <x:c r="N190" s="14" t="n">
        <x:f>SUMIFS('Ideal ranking'!$H$6:$H$365,'Ideal ranking'!$A$6:$A$365,C190,'Ideal ranking'!$B$6:$B$365,"&lt;="&amp;F190)</x:f>
        <x:v>20.639213832155747</x:v>
      </x:c>
      <x:c r="O190" s="14" t="n">
        <x:f>IF(I190&gt;0,"Unknown",IF(N190=0,"N/A",M190/N190))</x:f>
        <x:v>0.9250256699929476</x:v>
      </x:c>
      <x:c r="P190" s="15" t="n">
        <x:f>IF(G190=0,"N/A",IF(I190&gt;0,"Unknown",H190/G190))</x:f>
        <x:v>1</x:v>
      </x:c>
      <x:c r="Q190" s="2" t="n">
        <x:f>F190-G190</x:f>
        <x:v>0</x:v>
      </x:c>
    </x:row>
    <x:row r="191" ht="22" customHeight="1">
      <x:c r="A191" s="2" t="str">
        <x:v>S21-T01|6</x:v>
      </x:c>
      <x:c r="B191" s="2" t="str">
        <x:v>S21-T01</x:v>
      </x:c>
      <x:c r="C191" s="2" t="str">
        <x:v>S21</x:v>
      </x:c>
      <x:c r="D191" s="2" t="str">
        <x:v>Extension</x:v>
      </x:c>
      <x:c r="E191" s="2" t="n">
        <x:v>1</x:v>
      </x:c>
      <x:c r="F191" s="2" t="n">
        <x:v>6</x:v>
      </x:c>
      <x:c r="G191" s="2" t="n">
        <x:f>COUNTIFS('Rankings'!$A$6:$A$423,B191,'Rankings'!$E$6:$E$423,"&lt;="&amp;F191)</x:f>
        <x:v>6</x:v>
      </x:c>
      <x:c r="H191" s="2" t="n">
        <x:f>SUMIFS('Rankings'!$J$6:$J$423,'Rankings'!$A$6:$A$423,B191,'Rankings'!$E$6:$E$423,"&lt;="&amp;F191)</x:f>
        <x:v>6</x:v>
      </x:c>
      <x:c r="I191" s="2" t="n">
        <x:f>G191-SUMIFS('Rankings'!$I$6:$I$423,'Rankings'!$A$6:$A$423,B191,'Rankings'!$E$6:$E$423,"&lt;="&amp;F191)</x:f>
        <x:v>0</x:v>
      </x:c>
      <x:c r="J191" s="2" t="n">
        <x:f>SUMIFS('Ratings'!$H$6:$H$1387,'Ratings'!$B$6:$B$1387,C191)</x:f>
        <x:v>16</x:v>
      </x:c>
      <x:c r="K191" s="15" t="n">
        <x:f>IF(I191&gt;0,"Unknown",H191/F191)</x:f>
        <x:v>1</x:v>
      </x:c>
      <x:c r="L191" s="15" t="n">
        <x:f>IF(J191=0,"N/A",H191/J191)</x:f>
        <x:v>0.375</x:v>
      </x:c>
      <x:c r="M191" s="14" t="n">
        <x:f>SUMIFS('Rankings'!$L$6:$L$423,'Rankings'!$A$6:$A$423,B191,'Rankings'!$E$6:$E$423,"&lt;="&amp;F191)</x:f>
        <x:v>20.160424164541645</x:v>
      </x:c>
      <x:c r="N191" s="14" t="n">
        <x:f>SUMIFS('Ideal ranking'!$H$6:$H$365,'Ideal ranking'!$A$6:$A$365,C191,'Ideal ranking'!$B$6:$B$365,"&lt;="&amp;F191)</x:f>
        <x:v>23.132664141911903</x:v>
      </x:c>
      <x:c r="O191" s="14" t="n">
        <x:f>IF(I191&gt;0,"Unknown",IF(N191=0,"N/A",M191/N191))</x:f>
        <x:v>0.8715132870500145</x:v>
      </x:c>
      <x:c r="P191" s="15" t="n">
        <x:f>IF(G191=0,"N/A",IF(I191&gt;0,"Unknown",H191/G191))</x:f>
        <x:v>1</x:v>
      </x:c>
      <x:c r="Q191" s="2" t="n">
        <x:f>F191-G191</x:f>
        <x:v>0</x:v>
      </x:c>
    </x:row>
    <x:row r="192" ht="22" customHeight="1">
      <x:c r="A192" s="2" t="str">
        <x:v>S21-T01|7</x:v>
      </x:c>
      <x:c r="B192" s="2" t="str">
        <x:v>S21-T01</x:v>
      </x:c>
      <x:c r="C192" s="2" t="str">
        <x:v>S21</x:v>
      </x:c>
      <x:c r="D192" s="2" t="str">
        <x:v>Extension</x:v>
      </x:c>
      <x:c r="E192" s="2" t="n">
        <x:v>1</x:v>
      </x:c>
      <x:c r="F192" s="2" t="n">
        <x:v>7</x:v>
      </x:c>
      <x:c r="G192" s="2" t="n">
        <x:f>COUNTIFS('Rankings'!$A$6:$A$423,B192,'Rankings'!$E$6:$E$423,"&lt;="&amp;F192)</x:f>
        <x:v>7</x:v>
      </x:c>
      <x:c r="H192" s="2" t="n">
        <x:f>SUMIFS('Rankings'!$J$6:$J$423,'Rankings'!$A$6:$A$423,B192,'Rankings'!$E$6:$E$423,"&lt;="&amp;F192)</x:f>
        <x:v>7</x:v>
      </x:c>
      <x:c r="I192" s="2" t="n">
        <x:f>G192-SUMIFS('Rankings'!$I$6:$I$423,'Rankings'!$A$6:$A$423,B192,'Rankings'!$E$6:$E$423,"&lt;="&amp;F192)</x:f>
        <x:v>0</x:v>
      </x:c>
      <x:c r="J192" s="2" t="n">
        <x:f>SUMIFS('Ratings'!$H$6:$H$1387,'Ratings'!$B$6:$B$1387,C192)</x:f>
        <x:v>16</x:v>
      </x:c>
      <x:c r="K192" s="15" t="n">
        <x:f>IF(I192&gt;0,"Unknown",H192/F192)</x:f>
        <x:v>1</x:v>
      </x:c>
      <x:c r="L192" s="15" t="n">
        <x:f>IF(J192=0,"N/A",H192/J192)</x:f>
        <x:v>0.4375</x:v>
      </x:c>
      <x:c r="M192" s="14" t="n">
        <x:f>SUMIFS('Rankings'!$L$6:$L$423,'Rankings'!$A$6:$A$423,B192,'Rankings'!$E$6:$E$423,"&lt;="&amp;F192)</x:f>
        <x:v>21.160424164541645</x:v>
      </x:c>
      <x:c r="N192" s="14" t="n">
        <x:f>SUMIFS('Ideal ranking'!$H$6:$H$365,'Ideal ranking'!$A$6:$A$365,C192,'Ideal ranking'!$B$6:$B$365,"&lt;="&amp;F192)</x:f>
        <x:v>25.465997475245235</x:v>
      </x:c>
      <x:c r="O192" s="14" t="n">
        <x:f>IF(I192&gt;0,"Unknown",IF(N192=0,"N/A",M192/N192))</x:f>
        <x:v>0.8309285424657363</x:v>
      </x:c>
      <x:c r="P192" s="15" t="n">
        <x:f>IF(G192=0,"N/A",IF(I192&gt;0,"Unknown",H192/G192))</x:f>
        <x:v>1</x:v>
      </x:c>
      <x:c r="Q192" s="2" t="n">
        <x:f>F192-G192</x:f>
        <x:v>0</x:v>
      </x:c>
    </x:row>
    <x:row r="193" ht="22" customHeight="1">
      <x:c r="A193" s="2" t="str">
        <x:v>S21-T01|8</x:v>
      </x:c>
      <x:c r="B193" s="2" t="str">
        <x:v>S21-T01</x:v>
      </x:c>
      <x:c r="C193" s="2" t="str">
        <x:v>S21</x:v>
      </x:c>
      <x:c r="D193" s="2" t="str">
        <x:v>Extension</x:v>
      </x:c>
      <x:c r="E193" s="2" t="n">
        <x:v>1</x:v>
      </x:c>
      <x:c r="F193" s="2" t="n">
        <x:v>8</x:v>
      </x:c>
      <x:c r="G193" s="2" t="n">
        <x:f>COUNTIFS('Rankings'!$A$6:$A$423,B193,'Rankings'!$E$6:$E$423,"&lt;="&amp;F193)</x:f>
        <x:v>8</x:v>
      </x:c>
      <x:c r="H193" s="2" t="n">
        <x:f>SUMIFS('Rankings'!$J$6:$J$423,'Rankings'!$A$6:$A$423,B193,'Rankings'!$E$6:$E$423,"&lt;="&amp;F193)</x:f>
        <x:v>8</x:v>
      </x:c>
      <x:c r="I193" s="2" t="n">
        <x:f>G193-SUMIFS('Rankings'!$I$6:$I$423,'Rankings'!$A$6:$A$423,B193,'Rankings'!$E$6:$E$423,"&lt;="&amp;F193)</x:f>
        <x:v>0</x:v>
      </x:c>
      <x:c r="J193" s="2" t="n">
        <x:f>SUMIFS('Ratings'!$H$6:$H$1387,'Ratings'!$B$6:$B$1387,C193)</x:f>
        <x:v>16</x:v>
      </x:c>
      <x:c r="K193" s="15" t="n">
        <x:f>IF(I193&gt;0,"Unknown",H193/F193)</x:f>
        <x:v>1</x:v>
      </x:c>
      <x:c r="L193" s="15" t="n">
        <x:f>IF(J193=0,"N/A",H193/J193)</x:f>
        <x:v>0.5</x:v>
      </x:c>
      <x:c r="M193" s="14" t="n">
        <x:f>SUMIFS('Rankings'!$L$6:$L$423,'Rankings'!$A$6:$A$423,B193,'Rankings'!$E$6:$E$423,"&lt;="&amp;F193)</x:f>
        <x:v>22.10681879489883</x:v>
      </x:c>
      <x:c r="N193" s="14" t="n">
        <x:f>SUMIFS('Ideal ranking'!$H$6:$H$365,'Ideal ranking'!$A$6:$A$365,C193,'Ideal ranking'!$B$6:$B$365,"&lt;="&amp;F193)</x:f>
        <x:v>27.674251612745337</x:v>
      </x:c>
      <x:c r="O193" s="14" t="n">
        <x:f>IF(I193&gt;0,"Unknown",IF(N193=0,"N/A",M193/N193))</x:f>
        <x:v>0.7988226422252217</x:v>
      </x:c>
      <x:c r="P193" s="15" t="n">
        <x:f>IF(G193=0,"N/A",IF(I193&gt;0,"Unknown",H193/G193))</x:f>
        <x:v>1</x:v>
      </x:c>
      <x:c r="Q193" s="2" t="n">
        <x:f>F193-G193</x:f>
        <x:v>0</x:v>
      </x:c>
    </x:row>
    <x:row r="194" ht="22" customHeight="1">
      <x:c r="A194" s="2" t="str">
        <x:v>S21-T01|9</x:v>
      </x:c>
      <x:c r="B194" s="2" t="str">
        <x:v>S21-T01</x:v>
      </x:c>
      <x:c r="C194" s="2" t="str">
        <x:v>S21</x:v>
      </x:c>
      <x:c r="D194" s="2" t="str">
        <x:v>Extension</x:v>
      </x:c>
      <x:c r="E194" s="2" t="n">
        <x:v>1</x:v>
      </x:c>
      <x:c r="F194" s="2" t="n">
        <x:v>9</x:v>
      </x:c>
      <x:c r="G194" s="2" t="n">
        <x:f>COUNTIFS('Rankings'!$A$6:$A$423,B194,'Rankings'!$E$6:$E$423,"&lt;="&amp;F194)</x:f>
        <x:v>9</x:v>
      </x:c>
      <x:c r="H194" s="2" t="n">
        <x:f>SUMIFS('Rankings'!$J$6:$J$423,'Rankings'!$A$6:$A$423,B194,'Rankings'!$E$6:$E$423,"&lt;="&amp;F194)</x:f>
        <x:v>9</x:v>
      </x:c>
      <x:c r="I194" s="2" t="n">
        <x:f>G194-SUMIFS('Rankings'!$I$6:$I$423,'Rankings'!$A$6:$A$423,B194,'Rankings'!$E$6:$E$423,"&lt;="&amp;F194)</x:f>
        <x:v>0</x:v>
      </x:c>
      <x:c r="J194" s="2" t="n">
        <x:f>SUMIFS('Ratings'!$H$6:$H$1387,'Ratings'!$B$6:$B$1387,C194)</x:f>
        <x:v>16</x:v>
      </x:c>
      <x:c r="K194" s="15" t="n">
        <x:f>IF(I194&gt;0,"Unknown",H194/F194)</x:f>
        <x:v>1</x:v>
      </x:c>
      <x:c r="L194" s="15" t="n">
        <x:f>IF(J194=0,"N/A",H194/J194)</x:f>
        <x:v>0.5625</x:v>
      </x:c>
      <x:c r="M194" s="14" t="n">
        <x:f>SUMIFS('Rankings'!$L$6:$L$423,'Rankings'!$A$6:$A$423,B194,'Rankings'!$E$6:$E$423,"&lt;="&amp;F194)</x:f>
        <x:v>23.009908781890775</x:v>
      </x:c>
      <x:c r="N194" s="14" t="n">
        <x:f>SUMIFS('Ideal ranking'!$H$6:$H$365,'Ideal ranking'!$A$6:$A$365,C194,'Ideal ranking'!$B$6:$B$365,"&lt;="&amp;F194)</x:f>
        <x:v>28.57734159973728</x:v>
      </x:c>
      <x:c r="O194" s="14" t="n">
        <x:f>IF(I194&gt;0,"Unknown",IF(N194=0,"N/A",M194/N194))</x:f>
        <x:v>0.8051801705062136</x:v>
      </x:c>
      <x:c r="P194" s="15" t="n">
        <x:f>IF(G194=0,"N/A",IF(I194&gt;0,"Unknown",H194/G194))</x:f>
        <x:v>1</x:v>
      </x:c>
      <x:c r="Q194" s="2" t="n">
        <x:f>F194-G194</x:f>
        <x:v>0</x:v>
      </x:c>
    </x:row>
    <x:row r="195" ht="22" customHeight="1">
      <x:c r="A195" s="2" t="str">
        <x:v>S21-T01|10</x:v>
      </x:c>
      <x:c r="B195" s="2" t="str">
        <x:v>S21-T01</x:v>
      </x:c>
      <x:c r="C195" s="2" t="str">
        <x:v>S21</x:v>
      </x:c>
      <x:c r="D195" s="2" t="str">
        <x:v>Extension</x:v>
      </x:c>
      <x:c r="E195" s="2" t="n">
        <x:v>1</x:v>
      </x:c>
      <x:c r="F195" s="2" t="n">
        <x:v>10</x:v>
      </x:c>
      <x:c r="G195" s="2" t="n">
        <x:f>COUNTIFS('Rankings'!$A$6:$A$423,B195,'Rankings'!$E$6:$E$423,"&lt;="&amp;F195)</x:f>
        <x:v>10</x:v>
      </x:c>
      <x:c r="H195" s="2" t="n">
        <x:f>SUMIFS('Rankings'!$J$6:$J$423,'Rankings'!$A$6:$A$423,B195,'Rankings'!$E$6:$E$423,"&lt;="&amp;F195)</x:f>
        <x:v>9</x:v>
      </x:c>
      <x:c r="I195" s="2" t="n">
        <x:f>G195-SUMIFS('Rankings'!$I$6:$I$423,'Rankings'!$A$6:$A$423,B195,'Rankings'!$E$6:$E$423,"&lt;="&amp;F195)</x:f>
        <x:v>0</x:v>
      </x:c>
      <x:c r="J195" s="2" t="n">
        <x:f>SUMIFS('Ratings'!$H$6:$H$1387,'Ratings'!$B$6:$B$1387,C195)</x:f>
        <x:v>16</x:v>
      </x:c>
      <x:c r="K195" s="15" t="n">
        <x:f>IF(I195&gt;0,"Unknown",H195/F195)</x:f>
        <x:v>0.9</x:v>
      </x:c>
      <x:c r="L195" s="15" t="n">
        <x:f>IF(J195=0,"N/A",H195/J195)</x:f>
        <x:v>0.5625</x:v>
      </x:c>
      <x:c r="M195" s="14" t="n">
        <x:f>SUMIFS('Rankings'!$L$6:$L$423,'Rankings'!$A$6:$A$423,B195,'Rankings'!$E$6:$E$423,"&lt;="&amp;F195)</x:f>
        <x:v>23.298973608208662</x:v>
      </x:c>
      <x:c r="N195" s="14" t="n">
        <x:f>SUMIFS('Ideal ranking'!$H$6:$H$365,'Ideal ranking'!$A$6:$A$365,C195,'Ideal ranking'!$B$6:$B$365,"&lt;="&amp;F195)</x:f>
        <x:v>29.444536078690945</x:v>
      </x:c>
      <x:c r="O195" s="14" t="n">
        <x:f>IF(I195&gt;0,"Unknown",IF(N195=0,"N/A",M195/N195))</x:f>
        <x:v>0.7912834335695363</x:v>
      </x:c>
      <x:c r="P195" s="15" t="n">
        <x:f>IF(G195=0,"N/A",IF(I195&gt;0,"Unknown",H195/G195))</x:f>
        <x:v>0.9</x:v>
      </x:c>
      <x:c r="Q195" s="2" t="n">
        <x:f>F195-G195</x:f>
        <x:v>0</x:v>
      </x:c>
    </x:row>
    <x:row r="196" ht="22" customHeight="1">
      <x:c r="A196" s="2" t="str">
        <x:v>S22-T01|1</x:v>
      </x:c>
      <x:c r="B196" s="2" t="str">
        <x:v>S22-T01</x:v>
      </x:c>
      <x:c r="C196" s="2" t="str">
        <x:v>S22</x:v>
      </x:c>
      <x:c r="D196" s="2" t="str">
        <x:v>Extension</x:v>
      </x:c>
      <x:c r="E196" s="2" t="n">
        <x:v>1</x:v>
      </x:c>
      <x:c r="F196" s="2" t="n">
        <x:v>1</x:v>
      </x:c>
      <x:c r="G196" s="2" t="n">
        <x:f>COUNTIFS('Rankings'!$A$6:$A$423,B196,'Rankings'!$E$6:$E$423,"&lt;="&amp;F196)</x:f>
        <x:v>1</x:v>
      </x:c>
      <x:c r="H196" s="2" t="n">
        <x:f>SUMIFS('Rankings'!$J$6:$J$423,'Rankings'!$A$6:$A$423,B196,'Rankings'!$E$6:$E$423,"&lt;="&amp;F196)</x:f>
        <x:v>1</x:v>
      </x:c>
      <x:c r="I196" s="2" t="n">
        <x:f>G196-SUMIFS('Rankings'!$I$6:$I$423,'Rankings'!$A$6:$A$423,B196,'Rankings'!$E$6:$E$423,"&lt;="&amp;F196)</x:f>
        <x:v>0</x:v>
      </x:c>
      <x:c r="J196" s="2" t="n">
        <x:f>SUMIFS('Ratings'!$H$6:$H$1387,'Ratings'!$B$6:$B$1387,C196)</x:f>
        <x:v>24</x:v>
      </x:c>
      <x:c r="K196" s="15" t="n">
        <x:f>IF(I196&gt;0,"Unknown",H196/F196)</x:f>
        <x:v>1</x:v>
      </x:c>
      <x:c r="L196" s="15" t="n">
        <x:f>IF(J196=0,"N/A",H196/J196)</x:f>
        <x:v>0.041666666666666664</x:v>
      </x:c>
      <x:c r="M196" s="14" t="n">
        <x:f>SUMIFS('Rankings'!$L$6:$L$423,'Rankings'!$A$6:$A$423,B196,'Rankings'!$E$6:$E$423,"&lt;="&amp;F196)</x:f>
        <x:v>7</x:v>
      </x:c>
      <x:c r="N196" s="14" t="n">
        <x:f>SUMIFS('Ideal ranking'!$H$6:$H$365,'Ideal ranking'!$A$6:$A$365,C196,'Ideal ranking'!$B$6:$B$365,"&lt;="&amp;F196)</x:f>
        <x:v>7</x:v>
      </x:c>
      <x:c r="O196" s="14" t="n">
        <x:f>IF(I196&gt;0,"Unknown",IF(N196=0,"N/A",M196/N196))</x:f>
        <x:v>1</x:v>
      </x:c>
      <x:c r="P196" s="15" t="n">
        <x:f>IF(G196=0,"N/A",IF(I196&gt;0,"Unknown",H196/G196))</x:f>
        <x:v>1</x:v>
      </x:c>
      <x:c r="Q196" s="2" t="n">
        <x:f>F196-G196</x:f>
        <x:v>0</x:v>
      </x:c>
    </x:row>
    <x:row r="197" ht="22" customHeight="1">
      <x:c r="A197" s="2" t="str">
        <x:v>S22-T01|2</x:v>
      </x:c>
      <x:c r="B197" s="2" t="str">
        <x:v>S22-T01</x:v>
      </x:c>
      <x:c r="C197" s="2" t="str">
        <x:v>S22</x:v>
      </x:c>
      <x:c r="D197" s="2" t="str">
        <x:v>Extension</x:v>
      </x:c>
      <x:c r="E197" s="2" t="n">
        <x:v>1</x:v>
      </x:c>
      <x:c r="F197" s="2" t="n">
        <x:v>2</x:v>
      </x:c>
      <x:c r="G197" s="2" t="n">
        <x:f>COUNTIFS('Rankings'!$A$6:$A$423,B197,'Rankings'!$E$6:$E$423,"&lt;="&amp;F197)</x:f>
        <x:v>2</x:v>
      </x:c>
      <x:c r="H197" s="2" t="n">
        <x:f>SUMIFS('Rankings'!$J$6:$J$423,'Rankings'!$A$6:$A$423,B197,'Rankings'!$E$6:$E$423,"&lt;="&amp;F197)</x:f>
        <x:v>2</x:v>
      </x:c>
      <x:c r="I197" s="2" t="n">
        <x:f>G197-SUMIFS('Rankings'!$I$6:$I$423,'Rankings'!$A$6:$A$423,B197,'Rankings'!$E$6:$E$423,"&lt;="&amp;F197)</x:f>
        <x:v>0</x:v>
      </x:c>
      <x:c r="J197" s="2" t="n">
        <x:f>SUMIFS('Ratings'!$H$6:$H$1387,'Ratings'!$B$6:$B$1387,C197)</x:f>
        <x:v>24</x:v>
      </x:c>
      <x:c r="K197" s="15" t="n">
        <x:f>IF(I197&gt;0,"Unknown",H197/F197)</x:f>
        <x:v>1</x:v>
      </x:c>
      <x:c r="L197" s="15" t="n">
        <x:f>IF(J197=0,"N/A",H197/J197)</x:f>
        <x:v>0.08333333333333333</x:v>
      </x:c>
      <x:c r="M197" s="14" t="n">
        <x:f>SUMIFS('Rankings'!$L$6:$L$423,'Rankings'!$A$6:$A$423,B197,'Rankings'!$E$6:$E$423,"&lt;="&amp;F197)</x:f>
        <x:v>11.416508275000202</x:v>
      </x:c>
      <x:c r="N197" s="14" t="n">
        <x:f>SUMIFS('Ideal ranking'!$H$6:$H$365,'Ideal ranking'!$A$6:$A$365,C197,'Ideal ranking'!$B$6:$B$365,"&lt;="&amp;F197)</x:f>
        <x:v>11.416508275000202</x:v>
      </x:c>
      <x:c r="O197" s="14" t="n">
        <x:f>IF(I197&gt;0,"Unknown",IF(N197=0,"N/A",M197/N197))</x:f>
        <x:v>1</x:v>
      </x:c>
      <x:c r="P197" s="15" t="n">
        <x:f>IF(G197=0,"N/A",IF(I197&gt;0,"Unknown",H197/G197))</x:f>
        <x:v>1</x:v>
      </x:c>
      <x:c r="Q197" s="2" t="n">
        <x:f>F197-G197</x:f>
        <x:v>0</x:v>
      </x:c>
    </x:row>
    <x:row r="198" ht="22" customHeight="1">
      <x:c r="A198" s="2" t="str">
        <x:v>S22-T01|3</x:v>
      </x:c>
      <x:c r="B198" s="2" t="str">
        <x:v>S22-T01</x:v>
      </x:c>
      <x:c r="C198" s="2" t="str">
        <x:v>S22</x:v>
      </x:c>
      <x:c r="D198" s="2" t="str">
        <x:v>Extension</x:v>
      </x:c>
      <x:c r="E198" s="2" t="n">
        <x:v>1</x:v>
      </x:c>
      <x:c r="F198" s="2" t="n">
        <x:v>3</x:v>
      </x:c>
      <x:c r="G198" s="2" t="n">
        <x:f>COUNTIFS('Rankings'!$A$6:$A$423,B198,'Rankings'!$E$6:$E$423,"&lt;="&amp;F198)</x:f>
        <x:v>3</x:v>
      </x:c>
      <x:c r="H198" s="2" t="n">
        <x:f>SUMIFS('Rankings'!$J$6:$J$423,'Rankings'!$A$6:$A$423,B198,'Rankings'!$E$6:$E$423,"&lt;="&amp;F198)</x:f>
        <x:v>3</x:v>
      </x:c>
      <x:c r="I198" s="2" t="n">
        <x:f>G198-SUMIFS('Rankings'!$I$6:$I$423,'Rankings'!$A$6:$A$423,B198,'Rankings'!$E$6:$E$423,"&lt;="&amp;F198)</x:f>
        <x:v>0</x:v>
      </x:c>
      <x:c r="J198" s="2" t="n">
        <x:f>SUMIFS('Ratings'!$H$6:$H$1387,'Ratings'!$B$6:$B$1387,C198)</x:f>
        <x:v>24</x:v>
      </x:c>
      <x:c r="K198" s="15" t="n">
        <x:f>IF(I198&gt;0,"Unknown",H198/F198)</x:f>
        <x:v>1</x:v>
      </x:c>
      <x:c r="L198" s="15" t="n">
        <x:f>IF(J198=0,"N/A",H198/J198)</x:f>
        <x:v>0.125</x:v>
      </x:c>
      <x:c r="M198" s="14" t="n">
        <x:f>SUMIFS('Rankings'!$L$6:$L$423,'Rankings'!$A$6:$A$423,B198,'Rankings'!$E$6:$E$423,"&lt;="&amp;F198)</x:f>
        <x:v>14.916508275000202</x:v>
      </x:c>
      <x:c r="N198" s="14" t="n">
        <x:f>SUMIFS('Ideal ranking'!$H$6:$H$365,'Ideal ranking'!$A$6:$A$365,C198,'Ideal ranking'!$B$6:$B$365,"&lt;="&amp;F198)</x:f>
        <x:v>14.916508275000202</x:v>
      </x:c>
      <x:c r="O198" s="14" t="n">
        <x:f>IF(I198&gt;0,"Unknown",IF(N198=0,"N/A",M198/N198))</x:f>
        <x:v>1</x:v>
      </x:c>
      <x:c r="P198" s="15" t="n">
        <x:f>IF(G198=0,"N/A",IF(I198&gt;0,"Unknown",H198/G198))</x:f>
        <x:v>1</x:v>
      </x:c>
      <x:c r="Q198" s="2" t="n">
        <x:f>F198-G198</x:f>
        <x:v>0</x:v>
      </x:c>
    </x:row>
    <x:row r="199" ht="22" customHeight="1">
      <x:c r="A199" s="2" t="str">
        <x:v>S22-T01|4</x:v>
      </x:c>
      <x:c r="B199" s="2" t="str">
        <x:v>S22-T01</x:v>
      </x:c>
      <x:c r="C199" s="2" t="str">
        <x:v>S22</x:v>
      </x:c>
      <x:c r="D199" s="2" t="str">
        <x:v>Extension</x:v>
      </x:c>
      <x:c r="E199" s="2" t="n">
        <x:v>1</x:v>
      </x:c>
      <x:c r="F199" s="2" t="n">
        <x:v>4</x:v>
      </x:c>
      <x:c r="G199" s="2" t="n">
        <x:f>COUNTIFS('Rankings'!$A$6:$A$423,B199,'Rankings'!$E$6:$E$423,"&lt;="&amp;F199)</x:f>
        <x:v>4</x:v>
      </x:c>
      <x:c r="H199" s="2" t="n">
        <x:f>SUMIFS('Rankings'!$J$6:$J$423,'Rankings'!$A$6:$A$423,B199,'Rankings'!$E$6:$E$423,"&lt;="&amp;F199)</x:f>
        <x:v>4</x:v>
      </x:c>
      <x:c r="I199" s="2" t="n">
        <x:f>G199-SUMIFS('Rankings'!$I$6:$I$423,'Rankings'!$A$6:$A$423,B199,'Rankings'!$E$6:$E$423,"&lt;="&amp;F199)</x:f>
        <x:v>0</x:v>
      </x:c>
      <x:c r="J199" s="2" t="n">
        <x:f>SUMIFS('Ratings'!$H$6:$H$1387,'Ratings'!$B$6:$B$1387,C199)</x:f>
        <x:v>24</x:v>
      </x:c>
      <x:c r="K199" s="15" t="n">
        <x:f>IF(I199&gt;0,"Unknown",H199/F199)</x:f>
        <x:v>1</x:v>
      </x:c>
      <x:c r="L199" s="15" t="n">
        <x:f>IF(J199=0,"N/A",H199/J199)</x:f>
        <x:v>0.16666666666666666</x:v>
      </x:c>
      <x:c r="M199" s="14" t="n">
        <x:f>SUMIFS('Rankings'!$L$6:$L$423,'Rankings'!$A$6:$A$423,B199,'Rankings'!$E$6:$E$423,"&lt;="&amp;F199)</x:f>
        <x:v>17.931244181513954</x:v>
      </x:c>
      <x:c r="N199" s="14" t="n">
        <x:f>SUMIFS('Ideal ranking'!$H$6:$H$365,'Ideal ranking'!$A$6:$A$365,C199,'Ideal ranking'!$B$6:$B$365,"&lt;="&amp;F199)</x:f>
        <x:v>17.931244181513954</x:v>
      </x:c>
      <x:c r="O199" s="14" t="n">
        <x:f>IF(I199&gt;0,"Unknown",IF(N199=0,"N/A",M199/N199))</x:f>
        <x:v>1</x:v>
      </x:c>
      <x:c r="P199" s="15" t="n">
        <x:f>IF(G199=0,"N/A",IF(I199&gt;0,"Unknown",H199/G199))</x:f>
        <x:v>1</x:v>
      </x:c>
      <x:c r="Q199" s="2" t="n">
        <x:f>F199-G199</x:f>
        <x:v>0</x:v>
      </x:c>
    </x:row>
    <x:row r="200" ht="22" customHeight="1">
      <x:c r="A200" s="2" t="str">
        <x:v>S22-T01|5</x:v>
      </x:c>
      <x:c r="B200" s="2" t="str">
        <x:v>S22-T01</x:v>
      </x:c>
      <x:c r="C200" s="2" t="str">
        <x:v>S22</x:v>
      </x:c>
      <x:c r="D200" s="2" t="str">
        <x:v>Extension</x:v>
      </x:c>
      <x:c r="E200" s="2" t="n">
        <x:v>1</x:v>
      </x:c>
      <x:c r="F200" s="2" t="n">
        <x:v>5</x:v>
      </x:c>
      <x:c r="G200" s="2" t="n">
        <x:f>COUNTIFS('Rankings'!$A$6:$A$423,B200,'Rankings'!$E$6:$E$423,"&lt;="&amp;F200)</x:f>
        <x:v>5</x:v>
      </x:c>
      <x:c r="H200" s="2" t="n">
        <x:f>SUMIFS('Rankings'!$J$6:$J$423,'Rankings'!$A$6:$A$423,B200,'Rankings'!$E$6:$E$423,"&lt;="&amp;F200)</x:f>
        <x:v>5</x:v>
      </x:c>
      <x:c r="I200" s="2" t="n">
        <x:f>G200-SUMIFS('Rankings'!$I$6:$I$423,'Rankings'!$A$6:$A$423,B200,'Rankings'!$E$6:$E$423,"&lt;="&amp;F200)</x:f>
        <x:v>0</x:v>
      </x:c>
      <x:c r="J200" s="2" t="n">
        <x:f>SUMIFS('Ratings'!$H$6:$H$1387,'Ratings'!$B$6:$B$1387,C200)</x:f>
        <x:v>24</x:v>
      </x:c>
      <x:c r="K200" s="15" t="n">
        <x:f>IF(I200&gt;0,"Unknown",H200/F200)</x:f>
        <x:v>1</x:v>
      </x:c>
      <x:c r="L200" s="15" t="n">
        <x:f>IF(J200=0,"N/A",H200/J200)</x:f>
        <x:v>0.20833333333333334</x:v>
      </x:c>
      <x:c r="M200" s="14" t="n">
        <x:f>SUMIFS('Rankings'!$L$6:$L$423,'Rankings'!$A$6:$A$423,B200,'Rankings'!$E$6:$E$423,"&lt;="&amp;F200)</x:f>
        <x:v>20.639213832155747</x:v>
      </x:c>
      <x:c r="N200" s="14" t="n">
        <x:f>SUMIFS('Ideal ranking'!$H$6:$H$365,'Ideal ranking'!$A$6:$A$365,C200,'Ideal ranking'!$B$6:$B$365,"&lt;="&amp;F200)</x:f>
        <x:v>20.639213832155747</x:v>
      </x:c>
      <x:c r="O200" s="14" t="n">
        <x:f>IF(I200&gt;0,"Unknown",IF(N200=0,"N/A",M200/N200))</x:f>
        <x:v>1</x:v>
      </x:c>
      <x:c r="P200" s="15" t="n">
        <x:f>IF(G200=0,"N/A",IF(I200&gt;0,"Unknown",H200/G200))</x:f>
        <x:v>1</x:v>
      </x:c>
      <x:c r="Q200" s="2" t="n">
        <x:f>F200-G200</x:f>
        <x:v>0</x:v>
      </x:c>
    </x:row>
    <x:row r="201" ht="22" customHeight="1">
      <x:c r="A201" s="2" t="str">
        <x:v>S22-T01|6</x:v>
      </x:c>
      <x:c r="B201" s="2" t="str">
        <x:v>S22-T01</x:v>
      </x:c>
      <x:c r="C201" s="2" t="str">
        <x:v>S22</x:v>
      </x:c>
      <x:c r="D201" s="2" t="str">
        <x:v>Extension</x:v>
      </x:c>
      <x:c r="E201" s="2" t="n">
        <x:v>1</x:v>
      </x:c>
      <x:c r="F201" s="2" t="n">
        <x:v>6</x:v>
      </x:c>
      <x:c r="G201" s="2" t="n">
        <x:f>COUNTIFS('Rankings'!$A$6:$A$423,B201,'Rankings'!$E$6:$E$423,"&lt;="&amp;F201)</x:f>
        <x:v>6</x:v>
      </x:c>
      <x:c r="H201" s="2" t="n">
        <x:f>SUMIFS('Rankings'!$J$6:$J$423,'Rankings'!$A$6:$A$423,B201,'Rankings'!$E$6:$E$423,"&lt;="&amp;F201)</x:f>
        <x:v>6</x:v>
      </x:c>
      <x:c r="I201" s="2" t="n">
        <x:f>G201-SUMIFS('Rankings'!$I$6:$I$423,'Rankings'!$A$6:$A$423,B201,'Rankings'!$E$6:$E$423,"&lt;="&amp;F201)</x:f>
        <x:v>0</x:v>
      </x:c>
      <x:c r="J201" s="2" t="n">
        <x:f>SUMIFS('Ratings'!$H$6:$H$1387,'Ratings'!$B$6:$B$1387,C201)</x:f>
        <x:v>24</x:v>
      </x:c>
      <x:c r="K201" s="15" t="n">
        <x:f>IF(I201&gt;0,"Unknown",H201/F201)</x:f>
        <x:v>1</x:v>
      </x:c>
      <x:c r="L201" s="15" t="n">
        <x:f>IF(J201=0,"N/A",H201/J201)</x:f>
        <x:v>0.25</x:v>
      </x:c>
      <x:c r="M201" s="14" t="n">
        <x:f>SUMIFS('Rankings'!$L$6:$L$423,'Rankings'!$A$6:$A$423,B201,'Rankings'!$E$6:$E$423,"&lt;="&amp;F201)</x:f>
        <x:v>23.132664141911903</x:v>
      </x:c>
      <x:c r="N201" s="14" t="n">
        <x:f>SUMIFS('Ideal ranking'!$H$6:$H$365,'Ideal ranking'!$A$6:$A$365,C201,'Ideal ranking'!$B$6:$B$365,"&lt;="&amp;F201)</x:f>
        <x:v>23.132664141911903</x:v>
      </x:c>
      <x:c r="O201" s="14" t="n">
        <x:f>IF(I201&gt;0,"Unknown",IF(N201=0,"N/A",M201/N201))</x:f>
        <x:v>1</x:v>
      </x:c>
      <x:c r="P201" s="15" t="n">
        <x:f>IF(G201=0,"N/A",IF(I201&gt;0,"Unknown",H201/G201))</x:f>
        <x:v>1</x:v>
      </x:c>
      <x:c r="Q201" s="2" t="n">
        <x:f>F201-G201</x:f>
        <x:v>0</x:v>
      </x:c>
    </x:row>
    <x:row r="202" ht="22" customHeight="1">
      <x:c r="A202" s="2" t="str">
        <x:v>S22-T01|7</x:v>
      </x:c>
      <x:c r="B202" s="2" t="str">
        <x:v>S22-T01</x:v>
      </x:c>
      <x:c r="C202" s="2" t="str">
        <x:v>S22</x:v>
      </x:c>
      <x:c r="D202" s="2" t="str">
        <x:v>Extension</x:v>
      </x:c>
      <x:c r="E202" s="2" t="n">
        <x:v>1</x:v>
      </x:c>
      <x:c r="F202" s="2" t="n">
        <x:v>7</x:v>
      </x:c>
      <x:c r="G202" s="2" t="n">
        <x:f>COUNTIFS('Rankings'!$A$6:$A$423,B202,'Rankings'!$E$6:$E$423,"&lt;="&amp;F202)</x:f>
        <x:v>7</x:v>
      </x:c>
      <x:c r="H202" s="2" t="n">
        <x:f>SUMIFS('Rankings'!$J$6:$J$423,'Rankings'!$A$6:$A$423,B202,'Rankings'!$E$6:$E$423,"&lt;="&amp;F202)</x:f>
        <x:v>7</x:v>
      </x:c>
      <x:c r="I202" s="2" t="n">
        <x:f>G202-SUMIFS('Rankings'!$I$6:$I$423,'Rankings'!$A$6:$A$423,B202,'Rankings'!$E$6:$E$423,"&lt;="&amp;F202)</x:f>
        <x:v>0</x:v>
      </x:c>
      <x:c r="J202" s="2" t="n">
        <x:f>SUMIFS('Ratings'!$H$6:$H$1387,'Ratings'!$B$6:$B$1387,C202)</x:f>
        <x:v>24</x:v>
      </x:c>
      <x:c r="K202" s="15" t="n">
        <x:f>IF(I202&gt;0,"Unknown",H202/F202)</x:f>
        <x:v>1</x:v>
      </x:c>
      <x:c r="L202" s="15" t="n">
        <x:f>IF(J202=0,"N/A",H202/J202)</x:f>
        <x:v>0.2916666666666667</x:v>
      </x:c>
      <x:c r="M202" s="14" t="n">
        <x:f>SUMIFS('Rankings'!$L$6:$L$423,'Rankings'!$A$6:$A$423,B202,'Rankings'!$E$6:$E$423,"&lt;="&amp;F202)</x:f>
        <x:v>25.465997475245235</x:v>
      </x:c>
      <x:c r="N202" s="14" t="n">
        <x:f>SUMIFS('Ideal ranking'!$H$6:$H$365,'Ideal ranking'!$A$6:$A$365,C202,'Ideal ranking'!$B$6:$B$365,"&lt;="&amp;F202)</x:f>
        <x:v>25.465997475245235</x:v>
      </x:c>
      <x:c r="O202" s="14" t="n">
        <x:f>IF(I202&gt;0,"Unknown",IF(N202=0,"N/A",M202/N202))</x:f>
        <x:v>1</x:v>
      </x:c>
      <x:c r="P202" s="15" t="n">
        <x:f>IF(G202=0,"N/A",IF(I202&gt;0,"Unknown",H202/G202))</x:f>
        <x:v>1</x:v>
      </x:c>
      <x:c r="Q202" s="2" t="n">
        <x:f>F202-G202</x:f>
        <x:v>0</x:v>
      </x:c>
    </x:row>
    <x:row r="203" ht="22" customHeight="1">
      <x:c r="A203" s="2" t="str">
        <x:v>S22-T01|8</x:v>
      </x:c>
      <x:c r="B203" s="2" t="str">
        <x:v>S22-T01</x:v>
      </x:c>
      <x:c r="C203" s="2" t="str">
        <x:v>S22</x:v>
      </x:c>
      <x:c r="D203" s="2" t="str">
        <x:v>Extension</x:v>
      </x:c>
      <x:c r="E203" s="2" t="n">
        <x:v>1</x:v>
      </x:c>
      <x:c r="F203" s="2" t="n">
        <x:v>8</x:v>
      </x:c>
      <x:c r="G203" s="2" t="n">
        <x:f>COUNTIFS('Rankings'!$A$6:$A$423,B203,'Rankings'!$E$6:$E$423,"&lt;="&amp;F203)</x:f>
        <x:v>8</x:v>
      </x:c>
      <x:c r="H203" s="2" t="n">
        <x:f>SUMIFS('Rankings'!$J$6:$J$423,'Rankings'!$A$6:$A$423,B203,'Rankings'!$E$6:$E$423,"&lt;="&amp;F203)</x:f>
        <x:v>8</x:v>
      </x:c>
      <x:c r="I203" s="2" t="n">
        <x:f>G203-SUMIFS('Rankings'!$I$6:$I$423,'Rankings'!$A$6:$A$423,B203,'Rankings'!$E$6:$E$423,"&lt;="&amp;F203)</x:f>
        <x:v>0</x:v>
      </x:c>
      <x:c r="J203" s="2" t="n">
        <x:f>SUMIFS('Ratings'!$H$6:$H$1387,'Ratings'!$B$6:$B$1387,C203)</x:f>
        <x:v>24</x:v>
      </x:c>
      <x:c r="K203" s="15" t="n">
        <x:f>IF(I203&gt;0,"Unknown",H203/F203)</x:f>
        <x:v>1</x:v>
      </x:c>
      <x:c r="L203" s="15" t="n">
        <x:f>IF(J203=0,"N/A",H203/J203)</x:f>
        <x:v>0.3333333333333333</x:v>
      </x:c>
      <x:c r="M203" s="14" t="n">
        <x:f>SUMIFS('Rankings'!$L$6:$L$423,'Rankings'!$A$6:$A$423,B203,'Rankings'!$E$6:$E$423,"&lt;="&amp;F203)</x:f>
        <x:v>27.674251612745337</x:v>
      </x:c>
      <x:c r="N203" s="14" t="n">
        <x:f>SUMIFS('Ideal ranking'!$H$6:$H$365,'Ideal ranking'!$A$6:$A$365,C203,'Ideal ranking'!$B$6:$B$365,"&lt;="&amp;F203)</x:f>
        <x:v>27.674251612745337</x:v>
      </x:c>
      <x:c r="O203" s="14" t="n">
        <x:f>IF(I203&gt;0,"Unknown",IF(N203=0,"N/A",M203/N203))</x:f>
        <x:v>1</x:v>
      </x:c>
      <x:c r="P203" s="15" t="n">
        <x:f>IF(G203=0,"N/A",IF(I203&gt;0,"Unknown",H203/G203))</x:f>
        <x:v>1</x:v>
      </x:c>
      <x:c r="Q203" s="2" t="n">
        <x:f>F203-G203</x:f>
        <x:v>0</x:v>
      </x:c>
    </x:row>
    <x:row r="204" ht="22" customHeight="1">
      <x:c r="A204" s="2" t="str">
        <x:v>S22-T01|9</x:v>
      </x:c>
      <x:c r="B204" s="2" t="str">
        <x:v>S22-T01</x:v>
      </x:c>
      <x:c r="C204" s="2" t="str">
        <x:v>S22</x:v>
      </x:c>
      <x:c r="D204" s="2" t="str">
        <x:v>Extension</x:v>
      </x:c>
      <x:c r="E204" s="2" t="n">
        <x:v>1</x:v>
      </x:c>
      <x:c r="F204" s="2" t="n">
        <x:v>9</x:v>
      </x:c>
      <x:c r="G204" s="2" t="n">
        <x:f>COUNTIFS('Rankings'!$A$6:$A$423,B204,'Rankings'!$E$6:$E$423,"&lt;="&amp;F204)</x:f>
        <x:v>9</x:v>
      </x:c>
      <x:c r="H204" s="2" t="n">
        <x:f>SUMIFS('Rankings'!$J$6:$J$423,'Rankings'!$A$6:$A$423,B204,'Rankings'!$E$6:$E$423,"&lt;="&amp;F204)</x:f>
        <x:v>9</x:v>
      </x:c>
      <x:c r="I204" s="2" t="n">
        <x:f>G204-SUMIFS('Rankings'!$I$6:$I$423,'Rankings'!$A$6:$A$423,B204,'Rankings'!$E$6:$E$423,"&lt;="&amp;F204)</x:f>
        <x:v>0</x:v>
      </x:c>
      <x:c r="J204" s="2" t="n">
        <x:f>SUMIFS('Ratings'!$H$6:$H$1387,'Ratings'!$B$6:$B$1387,C204)</x:f>
        <x:v>24</x:v>
      </x:c>
      <x:c r="K204" s="15" t="n">
        <x:f>IF(I204&gt;0,"Unknown",H204/F204)</x:f>
        <x:v>1</x:v>
      </x:c>
      <x:c r="L204" s="15" t="n">
        <x:f>IF(J204=0,"N/A",H204/J204)</x:f>
        <x:v>0.375</x:v>
      </x:c>
      <x:c r="M204" s="14" t="n">
        <x:f>SUMIFS('Rankings'!$L$6:$L$423,'Rankings'!$A$6:$A$423,B204,'Rankings'!$E$6:$E$423,"&lt;="&amp;F204)</x:f>
        <x:v>29.781461582393206</x:v>
      </x:c>
      <x:c r="N204" s="14" t="n">
        <x:f>SUMIFS('Ideal ranking'!$H$6:$H$365,'Ideal ranking'!$A$6:$A$365,C204,'Ideal ranking'!$B$6:$B$365,"&lt;="&amp;F204)</x:f>
        <x:v>29.781461582393206</x:v>
      </x:c>
      <x:c r="O204" s="14" t="n">
        <x:f>IF(I204&gt;0,"Unknown",IF(N204=0,"N/A",M204/N204))</x:f>
        <x:v>1</x:v>
      </x:c>
      <x:c r="P204" s="15" t="n">
        <x:f>IF(G204=0,"N/A",IF(I204&gt;0,"Unknown",H204/G204))</x:f>
        <x:v>1</x:v>
      </x:c>
      <x:c r="Q204" s="2" t="n">
        <x:f>F204-G204</x:f>
        <x:v>0</x:v>
      </x:c>
    </x:row>
    <x:row r="205" ht="22" customHeight="1">
      <x:c r="A205" s="2" t="str">
        <x:v>S22-T01|10</x:v>
      </x:c>
      <x:c r="B205" s="2" t="str">
        <x:v>S22-T01</x:v>
      </x:c>
      <x:c r="C205" s="2" t="str">
        <x:v>S22</x:v>
      </x:c>
      <x:c r="D205" s="2" t="str">
        <x:v>Extension</x:v>
      </x:c>
      <x:c r="E205" s="2" t="n">
        <x:v>1</x:v>
      </x:c>
      <x:c r="F205" s="2" t="n">
        <x:v>10</x:v>
      </x:c>
      <x:c r="G205" s="2" t="n">
        <x:f>COUNTIFS('Rankings'!$A$6:$A$423,B205,'Rankings'!$E$6:$E$423,"&lt;="&amp;F205)</x:f>
        <x:v>10</x:v>
      </x:c>
      <x:c r="H205" s="2" t="n">
        <x:f>SUMIFS('Rankings'!$J$6:$J$423,'Rankings'!$A$6:$A$423,B205,'Rankings'!$E$6:$E$423,"&lt;="&amp;F205)</x:f>
        <x:v>10</x:v>
      </x:c>
      <x:c r="I205" s="2" t="n">
        <x:f>G205-SUMIFS('Rankings'!$I$6:$I$423,'Rankings'!$A$6:$A$423,B205,'Rankings'!$E$6:$E$423,"&lt;="&amp;F205)</x:f>
        <x:v>0</x:v>
      </x:c>
      <x:c r="J205" s="2" t="n">
        <x:f>SUMIFS('Ratings'!$H$6:$H$1387,'Ratings'!$B$6:$B$1387,C205)</x:f>
        <x:v>24</x:v>
      </x:c>
      <x:c r="K205" s="15" t="n">
        <x:f>IF(I205&gt;0,"Unknown",H205/F205)</x:f>
        <x:v>1</x:v>
      </x:c>
      <x:c r="L205" s="15" t="n">
        <x:f>IF(J205=0,"N/A",H205/J205)</x:f>
        <x:v>0.4166666666666667</x:v>
      </x:c>
      <x:c r="M205" s="14" t="n">
        <x:f>SUMIFS('Rankings'!$L$6:$L$423,'Rankings'!$A$6:$A$423,B205,'Rankings'!$E$6:$E$423,"&lt;="&amp;F205)</x:f>
        <x:v>31.80491536661842</x:v>
      </x:c>
      <x:c r="N205" s="14" t="n">
        <x:f>SUMIFS('Ideal ranking'!$H$6:$H$365,'Ideal ranking'!$A$6:$A$365,C205,'Ideal ranking'!$B$6:$B$365,"&lt;="&amp;F205)</x:f>
        <x:v>31.80491536661842</x:v>
      </x:c>
      <x:c r="O205" s="14" t="n">
        <x:f>IF(I205&gt;0,"Unknown",IF(N205=0,"N/A",M205/N205))</x:f>
        <x:v>1</x:v>
      </x:c>
      <x:c r="P205" s="15" t="n">
        <x:f>IF(G205=0,"N/A",IF(I205&gt;0,"Unknown",H205/G205))</x:f>
        <x:v>1</x:v>
      </x:c>
      <x:c r="Q205" s="2" t="n">
        <x:f>F205-G205</x:f>
        <x:v>0</x:v>
      </x:c>
    </x:row>
    <x:row r="206" ht="22" customHeight="1">
      <x:c r="A206" s="2" t="str">
        <x:v>S23-T01|1</x:v>
      </x:c>
      <x:c r="B206" s="2" t="str">
        <x:v>S23-T01</x:v>
      </x:c>
      <x:c r="C206" s="2" t="str">
        <x:v>S23</x:v>
      </x:c>
      <x:c r="D206" s="2" t="str">
        <x:v>Extension</x:v>
      </x:c>
      <x:c r="E206" s="2" t="n">
        <x:v>1</x:v>
      </x:c>
      <x:c r="F206" s="2" t="n">
        <x:v>1</x:v>
      </x:c>
      <x:c r="G206" s="2" t="n">
        <x:f>COUNTIFS('Rankings'!$A$6:$A$423,B206,'Rankings'!$E$6:$E$423,"&lt;="&amp;F206)</x:f>
        <x:v>1</x:v>
      </x:c>
      <x:c r="H206" s="2" t="n">
        <x:f>SUMIFS('Rankings'!$J$6:$J$423,'Rankings'!$A$6:$A$423,B206,'Rankings'!$E$6:$E$423,"&lt;="&amp;F206)</x:f>
        <x:v>1</x:v>
      </x:c>
      <x:c r="I206" s="2" t="n">
        <x:f>G206-SUMIFS('Rankings'!$I$6:$I$423,'Rankings'!$A$6:$A$423,B206,'Rankings'!$E$6:$E$423,"&lt;="&amp;F206)</x:f>
        <x:v>0</x:v>
      </x:c>
      <x:c r="J206" s="2" t="n">
        <x:f>SUMIFS('Ratings'!$H$6:$H$1387,'Ratings'!$B$6:$B$1387,C206)</x:f>
        <x:v>22</x:v>
      </x:c>
      <x:c r="K206" s="15" t="n">
        <x:f>IF(I206&gt;0,"Unknown",H206/F206)</x:f>
        <x:v>1</x:v>
      </x:c>
      <x:c r="L206" s="15" t="n">
        <x:f>IF(J206=0,"N/A",H206/J206)</x:f>
        <x:v>0.045454545454545456</x:v>
      </x:c>
      <x:c r="M206" s="14" t="n">
        <x:f>SUMIFS('Rankings'!$L$6:$L$423,'Rankings'!$A$6:$A$423,B206,'Rankings'!$E$6:$E$423,"&lt;="&amp;F206)</x:f>
        <x:v>7</x:v>
      </x:c>
      <x:c r="N206" s="14" t="n">
        <x:f>SUMIFS('Ideal ranking'!$H$6:$H$365,'Ideal ranking'!$A$6:$A$365,C206,'Ideal ranking'!$B$6:$B$365,"&lt;="&amp;F206)</x:f>
        <x:v>7</x:v>
      </x:c>
      <x:c r="O206" s="14" t="n">
        <x:f>IF(I206&gt;0,"Unknown",IF(N206=0,"N/A",M206/N206))</x:f>
        <x:v>1</x:v>
      </x:c>
      <x:c r="P206" s="15" t="n">
        <x:f>IF(G206=0,"N/A",IF(I206&gt;0,"Unknown",H206/G206))</x:f>
        <x:v>1</x:v>
      </x:c>
      <x:c r="Q206" s="2" t="n">
        <x:f>F206-G206</x:f>
        <x:v>0</x:v>
      </x:c>
    </x:row>
    <x:row r="207" ht="22" customHeight="1">
      <x:c r="A207" s="2" t="str">
        <x:v>S23-T01|2</x:v>
      </x:c>
      <x:c r="B207" s="2" t="str">
        <x:v>S23-T01</x:v>
      </x:c>
      <x:c r="C207" s="2" t="str">
        <x:v>S23</x:v>
      </x:c>
      <x:c r="D207" s="2" t="str">
        <x:v>Extension</x:v>
      </x:c>
      <x:c r="E207" s="2" t="n">
        <x:v>1</x:v>
      </x:c>
      <x:c r="F207" s="2" t="n">
        <x:v>2</x:v>
      </x:c>
      <x:c r="G207" s="2" t="n">
        <x:f>COUNTIFS('Rankings'!$A$6:$A$423,B207,'Rankings'!$E$6:$E$423,"&lt;="&amp;F207)</x:f>
        <x:v>2</x:v>
      </x:c>
      <x:c r="H207" s="2" t="n">
        <x:f>SUMIFS('Rankings'!$J$6:$J$423,'Rankings'!$A$6:$A$423,B207,'Rankings'!$E$6:$E$423,"&lt;="&amp;F207)</x:f>
        <x:v>2</x:v>
      </x:c>
      <x:c r="I207" s="2" t="n">
        <x:f>G207-SUMIFS('Rankings'!$I$6:$I$423,'Rankings'!$A$6:$A$423,B207,'Rankings'!$E$6:$E$423,"&lt;="&amp;F207)</x:f>
        <x:v>0</x:v>
      </x:c>
      <x:c r="J207" s="2" t="n">
        <x:f>SUMIFS('Ratings'!$H$6:$H$1387,'Ratings'!$B$6:$B$1387,C207)</x:f>
        <x:v>22</x:v>
      </x:c>
      <x:c r="K207" s="15" t="n">
        <x:f>IF(I207&gt;0,"Unknown",H207/F207)</x:f>
        <x:v>1</x:v>
      </x:c>
      <x:c r="L207" s="15" t="n">
        <x:f>IF(J207=0,"N/A",H207/J207)</x:f>
        <x:v>0.09090909090909091</x:v>
      </x:c>
      <x:c r="M207" s="14" t="n">
        <x:f>SUMIFS('Rankings'!$L$6:$L$423,'Rankings'!$A$6:$A$423,B207,'Rankings'!$E$6:$E$423,"&lt;="&amp;F207)</x:f>
        <x:v>11.416508275000202</x:v>
      </x:c>
      <x:c r="N207" s="14" t="n">
        <x:f>SUMIFS('Ideal ranking'!$H$6:$H$365,'Ideal ranking'!$A$6:$A$365,C207,'Ideal ranking'!$B$6:$B$365,"&lt;="&amp;F207)</x:f>
        <x:v>11.416508275000202</x:v>
      </x:c>
      <x:c r="O207" s="14" t="n">
        <x:f>IF(I207&gt;0,"Unknown",IF(N207=0,"N/A",M207/N207))</x:f>
        <x:v>1</x:v>
      </x:c>
      <x:c r="P207" s="15" t="n">
        <x:f>IF(G207=0,"N/A",IF(I207&gt;0,"Unknown",H207/G207))</x:f>
        <x:v>1</x:v>
      </x:c>
      <x:c r="Q207" s="2" t="n">
        <x:f>F207-G207</x:f>
        <x:v>0</x:v>
      </x:c>
    </x:row>
    <x:row r="208" ht="22" customHeight="1">
      <x:c r="A208" s="2" t="str">
        <x:v>S23-T01|3</x:v>
      </x:c>
      <x:c r="B208" s="2" t="str">
        <x:v>S23-T01</x:v>
      </x:c>
      <x:c r="C208" s="2" t="str">
        <x:v>S23</x:v>
      </x:c>
      <x:c r="D208" s="2" t="str">
        <x:v>Extension</x:v>
      </x:c>
      <x:c r="E208" s="2" t="n">
        <x:v>1</x:v>
      </x:c>
      <x:c r="F208" s="2" t="n">
        <x:v>3</x:v>
      </x:c>
      <x:c r="G208" s="2" t="n">
        <x:f>COUNTIFS('Rankings'!$A$6:$A$423,B208,'Rankings'!$E$6:$E$423,"&lt;="&amp;F208)</x:f>
        <x:v>3</x:v>
      </x:c>
      <x:c r="H208" s="2" t="n">
        <x:f>SUMIFS('Rankings'!$J$6:$J$423,'Rankings'!$A$6:$A$423,B208,'Rankings'!$E$6:$E$423,"&lt;="&amp;F208)</x:f>
        <x:v>3</x:v>
      </x:c>
      <x:c r="I208" s="2" t="n">
        <x:f>G208-SUMIFS('Rankings'!$I$6:$I$423,'Rankings'!$A$6:$A$423,B208,'Rankings'!$E$6:$E$423,"&lt;="&amp;F208)</x:f>
        <x:v>0</x:v>
      </x:c>
      <x:c r="J208" s="2" t="n">
        <x:f>SUMIFS('Ratings'!$H$6:$H$1387,'Ratings'!$B$6:$B$1387,C208)</x:f>
        <x:v>22</x:v>
      </x:c>
      <x:c r="K208" s="15" t="n">
        <x:f>IF(I208&gt;0,"Unknown",H208/F208)</x:f>
        <x:v>1</x:v>
      </x:c>
      <x:c r="L208" s="15" t="n">
        <x:f>IF(J208=0,"N/A",H208/J208)</x:f>
        <x:v>0.13636363636363635</x:v>
      </x:c>
      <x:c r="M208" s="14" t="n">
        <x:f>SUMIFS('Rankings'!$L$6:$L$423,'Rankings'!$A$6:$A$423,B208,'Rankings'!$E$6:$E$423,"&lt;="&amp;F208)</x:f>
        <x:v>14.916508275000202</x:v>
      </x:c>
      <x:c r="N208" s="14" t="n">
        <x:f>SUMIFS('Ideal ranking'!$H$6:$H$365,'Ideal ranking'!$A$6:$A$365,C208,'Ideal ranking'!$B$6:$B$365,"&lt;="&amp;F208)</x:f>
        <x:v>14.916508275000202</x:v>
      </x:c>
      <x:c r="O208" s="14" t="n">
        <x:f>IF(I208&gt;0,"Unknown",IF(N208=0,"N/A",M208/N208))</x:f>
        <x:v>1</x:v>
      </x:c>
      <x:c r="P208" s="15" t="n">
        <x:f>IF(G208=0,"N/A",IF(I208&gt;0,"Unknown",H208/G208))</x:f>
        <x:v>1</x:v>
      </x:c>
      <x:c r="Q208" s="2" t="n">
        <x:f>F208-G208</x:f>
        <x:v>0</x:v>
      </x:c>
    </x:row>
    <x:row r="209" ht="22" customHeight="1">
      <x:c r="A209" s="2" t="str">
        <x:v>S23-T01|4</x:v>
      </x:c>
      <x:c r="B209" s="2" t="str">
        <x:v>S23-T01</x:v>
      </x:c>
      <x:c r="C209" s="2" t="str">
        <x:v>S23</x:v>
      </x:c>
      <x:c r="D209" s="2" t="str">
        <x:v>Extension</x:v>
      </x:c>
      <x:c r="E209" s="2" t="n">
        <x:v>1</x:v>
      </x:c>
      <x:c r="F209" s="2" t="n">
        <x:v>4</x:v>
      </x:c>
      <x:c r="G209" s="2" t="n">
        <x:f>COUNTIFS('Rankings'!$A$6:$A$423,B209,'Rankings'!$E$6:$E$423,"&lt;="&amp;F209)</x:f>
        <x:v>4</x:v>
      </x:c>
      <x:c r="H209" s="2" t="n">
        <x:f>SUMIFS('Rankings'!$J$6:$J$423,'Rankings'!$A$6:$A$423,B209,'Rankings'!$E$6:$E$423,"&lt;="&amp;F209)</x:f>
        <x:v>4</x:v>
      </x:c>
      <x:c r="I209" s="2" t="n">
        <x:f>G209-SUMIFS('Rankings'!$I$6:$I$423,'Rankings'!$A$6:$A$423,B209,'Rankings'!$E$6:$E$423,"&lt;="&amp;F209)</x:f>
        <x:v>0</x:v>
      </x:c>
      <x:c r="J209" s="2" t="n">
        <x:f>SUMIFS('Ratings'!$H$6:$H$1387,'Ratings'!$B$6:$B$1387,C209)</x:f>
        <x:v>22</x:v>
      </x:c>
      <x:c r="K209" s="15" t="n">
        <x:f>IF(I209&gt;0,"Unknown",H209/F209)</x:f>
        <x:v>1</x:v>
      </x:c>
      <x:c r="L209" s="15" t="n">
        <x:f>IF(J209=0,"N/A",H209/J209)</x:f>
        <x:v>0.18181818181818182</x:v>
      </x:c>
      <x:c r="M209" s="14" t="n">
        <x:f>SUMIFS('Rankings'!$L$6:$L$423,'Rankings'!$A$6:$A$423,B209,'Rankings'!$E$6:$E$423,"&lt;="&amp;F209)</x:f>
        <x:v>17.931244181513954</x:v>
      </x:c>
      <x:c r="N209" s="14" t="n">
        <x:f>SUMIFS('Ideal ranking'!$H$6:$H$365,'Ideal ranking'!$A$6:$A$365,C209,'Ideal ranking'!$B$6:$B$365,"&lt;="&amp;F209)</x:f>
        <x:v>17.931244181513954</x:v>
      </x:c>
      <x:c r="O209" s="14" t="n">
        <x:f>IF(I209&gt;0,"Unknown",IF(N209=0,"N/A",M209/N209))</x:f>
        <x:v>1</x:v>
      </x:c>
      <x:c r="P209" s="15" t="n">
        <x:f>IF(G209=0,"N/A",IF(I209&gt;0,"Unknown",H209/G209))</x:f>
        <x:v>1</x:v>
      </x:c>
      <x:c r="Q209" s="2" t="n">
        <x:f>F209-G209</x:f>
        <x:v>0</x:v>
      </x:c>
    </x:row>
    <x:row r="210" ht="22" customHeight="1">
      <x:c r="A210" s="2" t="str">
        <x:v>S23-T01|5</x:v>
      </x:c>
      <x:c r="B210" s="2" t="str">
        <x:v>S23-T01</x:v>
      </x:c>
      <x:c r="C210" s="2" t="str">
        <x:v>S23</x:v>
      </x:c>
      <x:c r="D210" s="2" t="str">
        <x:v>Extension</x:v>
      </x:c>
      <x:c r="E210" s="2" t="n">
        <x:v>1</x:v>
      </x:c>
      <x:c r="F210" s="2" t="n">
        <x:v>5</x:v>
      </x:c>
      <x:c r="G210" s="2" t="n">
        <x:f>COUNTIFS('Rankings'!$A$6:$A$423,B210,'Rankings'!$E$6:$E$423,"&lt;="&amp;F210)</x:f>
        <x:v>5</x:v>
      </x:c>
      <x:c r="H210" s="2" t="n">
        <x:f>SUMIFS('Rankings'!$J$6:$J$423,'Rankings'!$A$6:$A$423,B210,'Rankings'!$E$6:$E$423,"&lt;="&amp;F210)</x:f>
        <x:v>5</x:v>
      </x:c>
      <x:c r="I210" s="2" t="n">
        <x:f>G210-SUMIFS('Rankings'!$I$6:$I$423,'Rankings'!$A$6:$A$423,B210,'Rankings'!$E$6:$E$423,"&lt;="&amp;F210)</x:f>
        <x:v>0</x:v>
      </x:c>
      <x:c r="J210" s="2" t="n">
        <x:f>SUMIFS('Ratings'!$H$6:$H$1387,'Ratings'!$B$6:$B$1387,C210)</x:f>
        <x:v>22</x:v>
      </x:c>
      <x:c r="K210" s="15" t="n">
        <x:f>IF(I210&gt;0,"Unknown",H210/F210)</x:f>
        <x:v>1</x:v>
      </x:c>
      <x:c r="L210" s="15" t="n">
        <x:f>IF(J210=0,"N/A",H210/J210)</x:f>
        <x:v>0.22727272727272727</x:v>
      </x:c>
      <x:c r="M210" s="14" t="n">
        <x:f>SUMIFS('Rankings'!$L$6:$L$423,'Rankings'!$A$6:$A$423,B210,'Rankings'!$E$6:$E$423,"&lt;="&amp;F210)</x:f>
        <x:v>20.639213832155747</x:v>
      </x:c>
      <x:c r="N210" s="14" t="n">
        <x:f>SUMIFS('Ideal ranking'!$H$6:$H$365,'Ideal ranking'!$A$6:$A$365,C210,'Ideal ranking'!$B$6:$B$365,"&lt;="&amp;F210)</x:f>
        <x:v>20.639213832155747</x:v>
      </x:c>
      <x:c r="O210" s="14" t="n">
        <x:f>IF(I210&gt;0,"Unknown",IF(N210=0,"N/A",M210/N210))</x:f>
        <x:v>1</x:v>
      </x:c>
      <x:c r="P210" s="15" t="n">
        <x:f>IF(G210=0,"N/A",IF(I210&gt;0,"Unknown",H210/G210))</x:f>
        <x:v>1</x:v>
      </x:c>
      <x:c r="Q210" s="2" t="n">
        <x:f>F210-G210</x:f>
        <x:v>0</x:v>
      </x:c>
    </x:row>
    <x:row r="211" ht="22" customHeight="1">
      <x:c r="A211" s="2" t="str">
        <x:v>S23-T01|6</x:v>
      </x:c>
      <x:c r="B211" s="2" t="str">
        <x:v>S23-T01</x:v>
      </x:c>
      <x:c r="C211" s="2" t="str">
        <x:v>S23</x:v>
      </x:c>
      <x:c r="D211" s="2" t="str">
        <x:v>Extension</x:v>
      </x:c>
      <x:c r="E211" s="2" t="n">
        <x:v>1</x:v>
      </x:c>
      <x:c r="F211" s="2" t="n">
        <x:v>6</x:v>
      </x:c>
      <x:c r="G211" s="2" t="n">
        <x:f>COUNTIFS('Rankings'!$A$6:$A$423,B211,'Rankings'!$E$6:$E$423,"&lt;="&amp;F211)</x:f>
        <x:v>6</x:v>
      </x:c>
      <x:c r="H211" s="2" t="n">
        <x:f>SUMIFS('Rankings'!$J$6:$J$423,'Rankings'!$A$6:$A$423,B211,'Rankings'!$E$6:$E$423,"&lt;="&amp;F211)</x:f>
        <x:v>6</x:v>
      </x:c>
      <x:c r="I211" s="2" t="n">
        <x:f>G211-SUMIFS('Rankings'!$I$6:$I$423,'Rankings'!$A$6:$A$423,B211,'Rankings'!$E$6:$E$423,"&lt;="&amp;F211)</x:f>
        <x:v>0</x:v>
      </x:c>
      <x:c r="J211" s="2" t="n">
        <x:f>SUMIFS('Ratings'!$H$6:$H$1387,'Ratings'!$B$6:$B$1387,C211)</x:f>
        <x:v>22</x:v>
      </x:c>
      <x:c r="K211" s="15" t="n">
        <x:f>IF(I211&gt;0,"Unknown",H211/F211)</x:f>
        <x:v>1</x:v>
      </x:c>
      <x:c r="L211" s="15" t="n">
        <x:f>IF(J211=0,"N/A",H211/J211)</x:f>
        <x:v>0.2727272727272727</x:v>
      </x:c>
      <x:c r="M211" s="14" t="n">
        <x:f>SUMIFS('Rankings'!$L$6:$L$423,'Rankings'!$A$6:$A$423,B211,'Rankings'!$E$6:$E$423,"&lt;="&amp;F211)</x:f>
        <x:v>23.132664141911903</x:v>
      </x:c>
      <x:c r="N211" s="14" t="n">
        <x:f>SUMIFS('Ideal ranking'!$H$6:$H$365,'Ideal ranking'!$A$6:$A$365,C211,'Ideal ranking'!$B$6:$B$365,"&lt;="&amp;F211)</x:f>
        <x:v>23.132664141911903</x:v>
      </x:c>
      <x:c r="O211" s="14" t="n">
        <x:f>IF(I211&gt;0,"Unknown",IF(N211=0,"N/A",M211/N211))</x:f>
        <x:v>1</x:v>
      </x:c>
      <x:c r="P211" s="15" t="n">
        <x:f>IF(G211=0,"N/A",IF(I211&gt;0,"Unknown",H211/G211))</x:f>
        <x:v>1</x:v>
      </x:c>
      <x:c r="Q211" s="2" t="n">
        <x:f>F211-G211</x:f>
        <x:v>0</x:v>
      </x:c>
    </x:row>
    <x:row r="212" ht="22" customHeight="1">
      <x:c r="A212" s="2" t="str">
        <x:v>S23-T01|7</x:v>
      </x:c>
      <x:c r="B212" s="2" t="str">
        <x:v>S23-T01</x:v>
      </x:c>
      <x:c r="C212" s="2" t="str">
        <x:v>S23</x:v>
      </x:c>
      <x:c r="D212" s="2" t="str">
        <x:v>Extension</x:v>
      </x:c>
      <x:c r="E212" s="2" t="n">
        <x:v>1</x:v>
      </x:c>
      <x:c r="F212" s="2" t="n">
        <x:v>7</x:v>
      </x:c>
      <x:c r="G212" s="2" t="n">
        <x:f>COUNTIFS('Rankings'!$A$6:$A$423,B212,'Rankings'!$E$6:$E$423,"&lt;="&amp;F212)</x:f>
        <x:v>7</x:v>
      </x:c>
      <x:c r="H212" s="2" t="n">
        <x:f>SUMIFS('Rankings'!$J$6:$J$423,'Rankings'!$A$6:$A$423,B212,'Rankings'!$E$6:$E$423,"&lt;="&amp;F212)</x:f>
        <x:v>7</x:v>
      </x:c>
      <x:c r="I212" s="2" t="n">
        <x:f>G212-SUMIFS('Rankings'!$I$6:$I$423,'Rankings'!$A$6:$A$423,B212,'Rankings'!$E$6:$E$423,"&lt;="&amp;F212)</x:f>
        <x:v>0</x:v>
      </x:c>
      <x:c r="J212" s="2" t="n">
        <x:f>SUMIFS('Ratings'!$H$6:$H$1387,'Ratings'!$B$6:$B$1387,C212)</x:f>
        <x:v>22</x:v>
      </x:c>
      <x:c r="K212" s="15" t="n">
        <x:f>IF(I212&gt;0,"Unknown",H212/F212)</x:f>
        <x:v>1</x:v>
      </x:c>
      <x:c r="L212" s="15" t="n">
        <x:f>IF(J212=0,"N/A",H212/J212)</x:f>
        <x:v>0.3181818181818182</x:v>
      </x:c>
      <x:c r="M212" s="14" t="n">
        <x:f>SUMIFS('Rankings'!$L$6:$L$423,'Rankings'!$A$6:$A$423,B212,'Rankings'!$E$6:$E$423,"&lt;="&amp;F212)</x:f>
        <x:v>25.465997475245235</x:v>
      </x:c>
      <x:c r="N212" s="14" t="n">
        <x:f>SUMIFS('Ideal ranking'!$H$6:$H$365,'Ideal ranking'!$A$6:$A$365,C212,'Ideal ranking'!$B$6:$B$365,"&lt;="&amp;F212)</x:f>
        <x:v>25.465997475245235</x:v>
      </x:c>
      <x:c r="O212" s="14" t="n">
        <x:f>IF(I212&gt;0,"Unknown",IF(N212=0,"N/A",M212/N212))</x:f>
        <x:v>1</x:v>
      </x:c>
      <x:c r="P212" s="15" t="n">
        <x:f>IF(G212=0,"N/A",IF(I212&gt;0,"Unknown",H212/G212))</x:f>
        <x:v>1</x:v>
      </x:c>
      <x:c r="Q212" s="2" t="n">
        <x:f>F212-G212</x:f>
        <x:v>0</x:v>
      </x:c>
    </x:row>
    <x:row r="213" ht="22" customHeight="1">
      <x:c r="A213" s="2" t="str">
        <x:v>S23-T01|8</x:v>
      </x:c>
      <x:c r="B213" s="2" t="str">
        <x:v>S23-T01</x:v>
      </x:c>
      <x:c r="C213" s="2" t="str">
        <x:v>S23</x:v>
      </x:c>
      <x:c r="D213" s="2" t="str">
        <x:v>Extension</x:v>
      </x:c>
      <x:c r="E213" s="2" t="n">
        <x:v>1</x:v>
      </x:c>
      <x:c r="F213" s="2" t="n">
        <x:v>8</x:v>
      </x:c>
      <x:c r="G213" s="2" t="n">
        <x:f>COUNTIFS('Rankings'!$A$6:$A$423,B213,'Rankings'!$E$6:$E$423,"&lt;="&amp;F213)</x:f>
        <x:v>8</x:v>
      </x:c>
      <x:c r="H213" s="2" t="n">
        <x:f>SUMIFS('Rankings'!$J$6:$J$423,'Rankings'!$A$6:$A$423,B213,'Rankings'!$E$6:$E$423,"&lt;="&amp;F213)</x:f>
        <x:v>8</x:v>
      </x:c>
      <x:c r="I213" s="2" t="n">
        <x:f>G213-SUMIFS('Rankings'!$I$6:$I$423,'Rankings'!$A$6:$A$423,B213,'Rankings'!$E$6:$E$423,"&lt;="&amp;F213)</x:f>
        <x:v>0</x:v>
      </x:c>
      <x:c r="J213" s="2" t="n">
        <x:f>SUMIFS('Ratings'!$H$6:$H$1387,'Ratings'!$B$6:$B$1387,C213)</x:f>
        <x:v>22</x:v>
      </x:c>
      <x:c r="K213" s="15" t="n">
        <x:f>IF(I213&gt;0,"Unknown",H213/F213)</x:f>
        <x:v>1</x:v>
      </x:c>
      <x:c r="L213" s="15" t="n">
        <x:f>IF(J213=0,"N/A",H213/J213)</x:f>
        <x:v>0.36363636363636365</x:v>
      </x:c>
      <x:c r="M213" s="14" t="n">
        <x:f>SUMIFS('Rankings'!$L$6:$L$423,'Rankings'!$A$6:$A$423,B213,'Rankings'!$E$6:$E$423,"&lt;="&amp;F213)</x:f>
        <x:v>27.674251612745337</x:v>
      </x:c>
      <x:c r="N213" s="14" t="n">
        <x:f>SUMIFS('Ideal ranking'!$H$6:$H$365,'Ideal ranking'!$A$6:$A$365,C213,'Ideal ranking'!$B$6:$B$365,"&lt;="&amp;F213)</x:f>
        <x:v>27.674251612745337</x:v>
      </x:c>
      <x:c r="O213" s="14" t="n">
        <x:f>IF(I213&gt;0,"Unknown",IF(N213=0,"N/A",M213/N213))</x:f>
        <x:v>1</x:v>
      </x:c>
      <x:c r="P213" s="15" t="n">
        <x:f>IF(G213=0,"N/A",IF(I213&gt;0,"Unknown",H213/G213))</x:f>
        <x:v>1</x:v>
      </x:c>
      <x:c r="Q213" s="2" t="n">
        <x:f>F213-G213</x:f>
        <x:v>0</x:v>
      </x:c>
    </x:row>
    <x:row r="214" ht="22" customHeight="1">
      <x:c r="A214" s="2" t="str">
        <x:v>S23-T01|9</x:v>
      </x:c>
      <x:c r="B214" s="2" t="str">
        <x:v>S23-T01</x:v>
      </x:c>
      <x:c r="C214" s="2" t="str">
        <x:v>S23</x:v>
      </x:c>
      <x:c r="D214" s="2" t="str">
        <x:v>Extension</x:v>
      </x:c>
      <x:c r="E214" s="2" t="n">
        <x:v>1</x:v>
      </x:c>
      <x:c r="F214" s="2" t="n">
        <x:v>9</x:v>
      </x:c>
      <x:c r="G214" s="2" t="n">
        <x:f>COUNTIFS('Rankings'!$A$6:$A$423,B214,'Rankings'!$E$6:$E$423,"&lt;="&amp;F214)</x:f>
        <x:v>9</x:v>
      </x:c>
      <x:c r="H214" s="2" t="n">
        <x:f>SUMIFS('Rankings'!$J$6:$J$423,'Rankings'!$A$6:$A$423,B214,'Rankings'!$E$6:$E$423,"&lt;="&amp;F214)</x:f>
        <x:v>9</x:v>
      </x:c>
      <x:c r="I214" s="2" t="n">
        <x:f>G214-SUMIFS('Rankings'!$I$6:$I$423,'Rankings'!$A$6:$A$423,B214,'Rankings'!$E$6:$E$423,"&lt;="&amp;F214)</x:f>
        <x:v>0</x:v>
      </x:c>
      <x:c r="J214" s="2" t="n">
        <x:f>SUMIFS('Ratings'!$H$6:$H$1387,'Ratings'!$B$6:$B$1387,C214)</x:f>
        <x:v>22</x:v>
      </x:c>
      <x:c r="K214" s="15" t="n">
        <x:f>IF(I214&gt;0,"Unknown",H214/F214)</x:f>
        <x:v>1</x:v>
      </x:c>
      <x:c r="L214" s="15" t="n">
        <x:f>IF(J214=0,"N/A",H214/J214)</x:f>
        <x:v>0.4090909090909091</x:v>
      </x:c>
      <x:c r="M214" s="14" t="n">
        <x:f>SUMIFS('Rankings'!$L$6:$L$423,'Rankings'!$A$6:$A$423,B214,'Rankings'!$E$6:$E$423,"&lt;="&amp;F214)</x:f>
        <x:v>29.781461582393206</x:v>
      </x:c>
      <x:c r="N214" s="14" t="n">
        <x:f>SUMIFS('Ideal ranking'!$H$6:$H$365,'Ideal ranking'!$A$6:$A$365,C214,'Ideal ranking'!$B$6:$B$365,"&lt;="&amp;F214)</x:f>
        <x:v>29.781461582393206</x:v>
      </x:c>
      <x:c r="O214" s="14" t="n">
        <x:f>IF(I214&gt;0,"Unknown",IF(N214=0,"N/A",M214/N214))</x:f>
        <x:v>1</x:v>
      </x:c>
      <x:c r="P214" s="15" t="n">
        <x:f>IF(G214=0,"N/A",IF(I214&gt;0,"Unknown",H214/G214))</x:f>
        <x:v>1</x:v>
      </x:c>
      <x:c r="Q214" s="2" t="n">
        <x:f>F214-G214</x:f>
        <x:v>0</x:v>
      </x:c>
    </x:row>
    <x:row r="215" ht="22" customHeight="1">
      <x:c r="A215" s="2" t="str">
        <x:v>S23-T01|10</x:v>
      </x:c>
      <x:c r="B215" s="2" t="str">
        <x:v>S23-T01</x:v>
      </x:c>
      <x:c r="C215" s="2" t="str">
        <x:v>S23</x:v>
      </x:c>
      <x:c r="D215" s="2" t="str">
        <x:v>Extension</x:v>
      </x:c>
      <x:c r="E215" s="2" t="n">
        <x:v>1</x:v>
      </x:c>
      <x:c r="F215" s="2" t="n">
        <x:v>10</x:v>
      </x:c>
      <x:c r="G215" s="2" t="n">
        <x:f>COUNTIFS('Rankings'!$A$6:$A$423,B215,'Rankings'!$E$6:$E$423,"&lt;="&amp;F215)</x:f>
        <x:v>10</x:v>
      </x:c>
      <x:c r="H215" s="2" t="n">
        <x:f>SUMIFS('Rankings'!$J$6:$J$423,'Rankings'!$A$6:$A$423,B215,'Rankings'!$E$6:$E$423,"&lt;="&amp;F215)</x:f>
        <x:v>10</x:v>
      </x:c>
      <x:c r="I215" s="2" t="n">
        <x:f>G215-SUMIFS('Rankings'!$I$6:$I$423,'Rankings'!$A$6:$A$423,B215,'Rankings'!$E$6:$E$423,"&lt;="&amp;F215)</x:f>
        <x:v>0</x:v>
      </x:c>
      <x:c r="J215" s="2" t="n">
        <x:f>SUMIFS('Ratings'!$H$6:$H$1387,'Ratings'!$B$6:$B$1387,C215)</x:f>
        <x:v>22</x:v>
      </x:c>
      <x:c r="K215" s="15" t="n">
        <x:f>IF(I215&gt;0,"Unknown",H215/F215)</x:f>
        <x:v>1</x:v>
      </x:c>
      <x:c r="L215" s="15" t="n">
        <x:f>IF(J215=0,"N/A",H215/J215)</x:f>
        <x:v>0.45454545454545453</x:v>
      </x:c>
      <x:c r="M215" s="14" t="n">
        <x:f>SUMIFS('Rankings'!$L$6:$L$423,'Rankings'!$A$6:$A$423,B215,'Rankings'!$E$6:$E$423,"&lt;="&amp;F215)</x:f>
        <x:v>31.80491536661842</x:v>
      </x:c>
      <x:c r="N215" s="14" t="n">
        <x:f>SUMIFS('Ideal ranking'!$H$6:$H$365,'Ideal ranking'!$A$6:$A$365,C215,'Ideal ranking'!$B$6:$B$365,"&lt;="&amp;F215)</x:f>
        <x:v>31.80491536661842</x:v>
      </x:c>
      <x:c r="O215" s="14" t="n">
        <x:f>IF(I215&gt;0,"Unknown",IF(N215=0,"N/A",M215/N215))</x:f>
        <x:v>1</x:v>
      </x:c>
      <x:c r="P215" s="15" t="n">
        <x:f>IF(G215=0,"N/A",IF(I215&gt;0,"Unknown",H215/G215))</x:f>
        <x:v>1</x:v>
      </x:c>
      <x:c r="Q215" s="2" t="n">
        <x:f>F215-G215</x:f>
        <x:v>0</x:v>
      </x:c>
    </x:row>
    <x:row r="216" ht="22" customHeight="1">
      <x:c r="A216" s="2" t="str">
        <x:v>S24-T01|1</x:v>
      </x:c>
      <x:c r="B216" s="2" t="str">
        <x:v>S24-T01</x:v>
      </x:c>
      <x:c r="C216" s="2" t="str">
        <x:v>S24</x:v>
      </x:c>
      <x:c r="D216" s="2" t="str">
        <x:v>Extension</x:v>
      </x:c>
      <x:c r="E216" s="2" t="n">
        <x:v>1</x:v>
      </x:c>
      <x:c r="F216" s="2" t="n">
        <x:v>1</x:v>
      </x:c>
      <x:c r="G216" s="2" t="n">
        <x:f>COUNTIFS('Rankings'!$A$6:$A$423,B216,'Rankings'!$E$6:$E$423,"&lt;="&amp;F216)</x:f>
        <x:v>1</x:v>
      </x:c>
      <x:c r="H216" s="2" t="n">
        <x:f>SUMIFS('Rankings'!$J$6:$J$423,'Rankings'!$A$6:$A$423,B216,'Rankings'!$E$6:$E$423,"&lt;="&amp;F216)</x:f>
        <x:v>1</x:v>
      </x:c>
      <x:c r="I216" s="2" t="n">
        <x:f>G216-SUMIFS('Rankings'!$I$6:$I$423,'Rankings'!$A$6:$A$423,B216,'Rankings'!$E$6:$E$423,"&lt;="&amp;F216)</x:f>
        <x:v>0</x:v>
      </x:c>
      <x:c r="J216" s="2" t="n">
        <x:f>SUMIFS('Ratings'!$H$6:$H$1387,'Ratings'!$B$6:$B$1387,C216)</x:f>
        <x:v>22</x:v>
      </x:c>
      <x:c r="K216" s="15" t="n">
        <x:f>IF(I216&gt;0,"Unknown",H216/F216)</x:f>
        <x:v>1</x:v>
      </x:c>
      <x:c r="L216" s="15" t="n">
        <x:f>IF(J216=0,"N/A",H216/J216)</x:f>
        <x:v>0.045454545454545456</x:v>
      </x:c>
      <x:c r="M216" s="14" t="n">
        <x:f>SUMIFS('Rankings'!$L$6:$L$423,'Rankings'!$A$6:$A$423,B216,'Rankings'!$E$6:$E$423,"&lt;="&amp;F216)</x:f>
        <x:v>7</x:v>
      </x:c>
      <x:c r="N216" s="14" t="n">
        <x:f>SUMIFS('Ideal ranking'!$H$6:$H$365,'Ideal ranking'!$A$6:$A$365,C216,'Ideal ranking'!$B$6:$B$365,"&lt;="&amp;F216)</x:f>
        <x:v>7</x:v>
      </x:c>
      <x:c r="O216" s="14" t="n">
        <x:f>IF(I216&gt;0,"Unknown",IF(N216=0,"N/A",M216/N216))</x:f>
        <x:v>1</x:v>
      </x:c>
      <x:c r="P216" s="15" t="n">
        <x:f>IF(G216=0,"N/A",IF(I216&gt;0,"Unknown",H216/G216))</x:f>
        <x:v>1</x:v>
      </x:c>
      <x:c r="Q216" s="2" t="n">
        <x:f>F216-G216</x:f>
        <x:v>0</x:v>
      </x:c>
    </x:row>
    <x:row r="217" ht="22" customHeight="1">
      <x:c r="A217" s="2" t="str">
        <x:v>S24-T01|2</x:v>
      </x:c>
      <x:c r="B217" s="2" t="str">
        <x:v>S24-T01</x:v>
      </x:c>
      <x:c r="C217" s="2" t="str">
        <x:v>S24</x:v>
      </x:c>
      <x:c r="D217" s="2" t="str">
        <x:v>Extension</x:v>
      </x:c>
      <x:c r="E217" s="2" t="n">
        <x:v>1</x:v>
      </x:c>
      <x:c r="F217" s="2" t="n">
        <x:v>2</x:v>
      </x:c>
      <x:c r="G217" s="2" t="n">
        <x:f>COUNTIFS('Rankings'!$A$6:$A$423,B217,'Rankings'!$E$6:$E$423,"&lt;="&amp;F217)</x:f>
        <x:v>2</x:v>
      </x:c>
      <x:c r="H217" s="2" t="n">
        <x:f>SUMIFS('Rankings'!$J$6:$J$423,'Rankings'!$A$6:$A$423,B217,'Rankings'!$E$6:$E$423,"&lt;="&amp;F217)</x:f>
        <x:v>2</x:v>
      </x:c>
      <x:c r="I217" s="2" t="n">
        <x:f>G217-SUMIFS('Rankings'!$I$6:$I$423,'Rankings'!$A$6:$A$423,B217,'Rankings'!$E$6:$E$423,"&lt;="&amp;F217)</x:f>
        <x:v>0</x:v>
      </x:c>
      <x:c r="J217" s="2" t="n">
        <x:f>SUMIFS('Ratings'!$H$6:$H$1387,'Ratings'!$B$6:$B$1387,C217)</x:f>
        <x:v>22</x:v>
      </x:c>
      <x:c r="K217" s="15" t="n">
        <x:f>IF(I217&gt;0,"Unknown",H217/F217)</x:f>
        <x:v>1</x:v>
      </x:c>
      <x:c r="L217" s="15" t="n">
        <x:f>IF(J217=0,"N/A",H217/J217)</x:f>
        <x:v>0.09090909090909091</x:v>
      </x:c>
      <x:c r="M217" s="14" t="n">
        <x:f>SUMIFS('Rankings'!$L$6:$L$423,'Rankings'!$A$6:$A$423,B217,'Rankings'!$E$6:$E$423,"&lt;="&amp;F217)</x:f>
        <x:v>11.416508275000202</x:v>
      </x:c>
      <x:c r="N217" s="14" t="n">
        <x:f>SUMIFS('Ideal ranking'!$H$6:$H$365,'Ideal ranking'!$A$6:$A$365,C217,'Ideal ranking'!$B$6:$B$365,"&lt;="&amp;F217)</x:f>
        <x:v>11.416508275000202</x:v>
      </x:c>
      <x:c r="O217" s="14" t="n">
        <x:f>IF(I217&gt;0,"Unknown",IF(N217=0,"N/A",M217/N217))</x:f>
        <x:v>1</x:v>
      </x:c>
      <x:c r="P217" s="15" t="n">
        <x:f>IF(G217=0,"N/A",IF(I217&gt;0,"Unknown",H217/G217))</x:f>
        <x:v>1</x:v>
      </x:c>
      <x:c r="Q217" s="2" t="n">
        <x:f>F217-G217</x:f>
        <x:v>0</x:v>
      </x:c>
    </x:row>
    <x:row r="218" ht="22" customHeight="1">
      <x:c r="A218" s="2" t="str">
        <x:v>S24-T01|3</x:v>
      </x:c>
      <x:c r="B218" s="2" t="str">
        <x:v>S24-T01</x:v>
      </x:c>
      <x:c r="C218" s="2" t="str">
        <x:v>S24</x:v>
      </x:c>
      <x:c r="D218" s="2" t="str">
        <x:v>Extension</x:v>
      </x:c>
      <x:c r="E218" s="2" t="n">
        <x:v>1</x:v>
      </x:c>
      <x:c r="F218" s="2" t="n">
        <x:v>3</x:v>
      </x:c>
      <x:c r="G218" s="2" t="n">
        <x:f>COUNTIFS('Rankings'!$A$6:$A$423,B218,'Rankings'!$E$6:$E$423,"&lt;="&amp;F218)</x:f>
        <x:v>3</x:v>
      </x:c>
      <x:c r="H218" s="2" t="n">
        <x:f>SUMIFS('Rankings'!$J$6:$J$423,'Rankings'!$A$6:$A$423,B218,'Rankings'!$E$6:$E$423,"&lt;="&amp;F218)</x:f>
        <x:v>3</x:v>
      </x:c>
      <x:c r="I218" s="2" t="n">
        <x:f>G218-SUMIFS('Rankings'!$I$6:$I$423,'Rankings'!$A$6:$A$423,B218,'Rankings'!$E$6:$E$423,"&lt;="&amp;F218)</x:f>
        <x:v>0</x:v>
      </x:c>
      <x:c r="J218" s="2" t="n">
        <x:f>SUMIFS('Ratings'!$H$6:$H$1387,'Ratings'!$B$6:$B$1387,C218)</x:f>
        <x:v>22</x:v>
      </x:c>
      <x:c r="K218" s="15" t="n">
        <x:f>IF(I218&gt;0,"Unknown",H218/F218)</x:f>
        <x:v>1</x:v>
      </x:c>
      <x:c r="L218" s="15" t="n">
        <x:f>IF(J218=0,"N/A",H218/J218)</x:f>
        <x:v>0.13636363636363635</x:v>
      </x:c>
      <x:c r="M218" s="14" t="n">
        <x:f>SUMIFS('Rankings'!$L$6:$L$423,'Rankings'!$A$6:$A$423,B218,'Rankings'!$E$6:$E$423,"&lt;="&amp;F218)</x:f>
        <x:v>14.916508275000202</x:v>
      </x:c>
      <x:c r="N218" s="14" t="n">
        <x:f>SUMIFS('Ideal ranking'!$H$6:$H$365,'Ideal ranking'!$A$6:$A$365,C218,'Ideal ranking'!$B$6:$B$365,"&lt;="&amp;F218)</x:f>
        <x:v>14.916508275000202</x:v>
      </x:c>
      <x:c r="O218" s="14" t="n">
        <x:f>IF(I218&gt;0,"Unknown",IF(N218=0,"N/A",M218/N218))</x:f>
        <x:v>1</x:v>
      </x:c>
      <x:c r="P218" s="15" t="n">
        <x:f>IF(G218=0,"N/A",IF(I218&gt;0,"Unknown",H218/G218))</x:f>
        <x:v>1</x:v>
      </x:c>
      <x:c r="Q218" s="2" t="n">
        <x:f>F218-G218</x:f>
        <x:v>0</x:v>
      </x:c>
    </x:row>
    <x:row r="219" ht="22" customHeight="1">
      <x:c r="A219" s="2" t="str">
        <x:v>S24-T01|4</x:v>
      </x:c>
      <x:c r="B219" s="2" t="str">
        <x:v>S24-T01</x:v>
      </x:c>
      <x:c r="C219" s="2" t="str">
        <x:v>S24</x:v>
      </x:c>
      <x:c r="D219" s="2" t="str">
        <x:v>Extension</x:v>
      </x:c>
      <x:c r="E219" s="2" t="n">
        <x:v>1</x:v>
      </x:c>
      <x:c r="F219" s="2" t="n">
        <x:v>4</x:v>
      </x:c>
      <x:c r="G219" s="2" t="n">
        <x:f>COUNTIFS('Rankings'!$A$6:$A$423,B219,'Rankings'!$E$6:$E$423,"&lt;="&amp;F219)</x:f>
        <x:v>4</x:v>
      </x:c>
      <x:c r="H219" s="2" t="n">
        <x:f>SUMIFS('Rankings'!$J$6:$J$423,'Rankings'!$A$6:$A$423,B219,'Rankings'!$E$6:$E$423,"&lt;="&amp;F219)</x:f>
        <x:v>4</x:v>
      </x:c>
      <x:c r="I219" s="2" t="n">
        <x:f>G219-SUMIFS('Rankings'!$I$6:$I$423,'Rankings'!$A$6:$A$423,B219,'Rankings'!$E$6:$E$423,"&lt;="&amp;F219)</x:f>
        <x:v>0</x:v>
      </x:c>
      <x:c r="J219" s="2" t="n">
        <x:f>SUMIFS('Ratings'!$H$6:$H$1387,'Ratings'!$B$6:$B$1387,C219)</x:f>
        <x:v>22</x:v>
      </x:c>
      <x:c r="K219" s="15" t="n">
        <x:f>IF(I219&gt;0,"Unknown",H219/F219)</x:f>
        <x:v>1</x:v>
      </x:c>
      <x:c r="L219" s="15" t="n">
        <x:f>IF(J219=0,"N/A",H219/J219)</x:f>
        <x:v>0.18181818181818182</x:v>
      </x:c>
      <x:c r="M219" s="14" t="n">
        <x:f>SUMIFS('Rankings'!$L$6:$L$423,'Rankings'!$A$6:$A$423,B219,'Rankings'!$E$6:$E$423,"&lt;="&amp;F219)</x:f>
        <x:v>16.208537949220382</x:v>
      </x:c>
      <x:c r="N219" s="14" t="n">
        <x:f>SUMIFS('Ideal ranking'!$H$6:$H$365,'Ideal ranking'!$A$6:$A$365,C219,'Ideal ranking'!$B$6:$B$365,"&lt;="&amp;F219)</x:f>
        <x:v>17.931244181513954</x:v>
      </x:c>
      <x:c r="O219" s="14" t="n">
        <x:f>IF(I219&gt;0,"Unknown",IF(N219=0,"N/A",M219/N219))</x:f>
        <x:v>0.9039271221307901</x:v>
      </x:c>
      <x:c r="P219" s="15" t="n">
        <x:f>IF(G219=0,"N/A",IF(I219&gt;0,"Unknown",H219/G219))</x:f>
        <x:v>1</x:v>
      </x:c>
      <x:c r="Q219" s="2" t="n">
        <x:f>F219-G219</x:f>
        <x:v>0</x:v>
      </x:c>
    </x:row>
    <x:row r="220" ht="22" customHeight="1">
      <x:c r="A220" s="2" t="str">
        <x:v>S24-T01|5</x:v>
      </x:c>
      <x:c r="B220" s="2" t="str">
        <x:v>S24-T01</x:v>
      </x:c>
      <x:c r="C220" s="2" t="str">
        <x:v>S24</x:v>
      </x:c>
      <x:c r="D220" s="2" t="str">
        <x:v>Extension</x:v>
      </x:c>
      <x:c r="E220" s="2" t="n">
        <x:v>1</x:v>
      </x:c>
      <x:c r="F220" s="2" t="n">
        <x:v>5</x:v>
      </x:c>
      <x:c r="G220" s="2" t="n">
        <x:f>COUNTIFS('Rankings'!$A$6:$A$423,B220,'Rankings'!$E$6:$E$423,"&lt;="&amp;F220)</x:f>
        <x:v>5</x:v>
      </x:c>
      <x:c r="H220" s="2" t="n">
        <x:f>SUMIFS('Rankings'!$J$6:$J$423,'Rankings'!$A$6:$A$423,B220,'Rankings'!$E$6:$E$423,"&lt;="&amp;F220)</x:f>
        <x:v>5</x:v>
      </x:c>
      <x:c r="I220" s="2" t="n">
        <x:f>G220-SUMIFS('Rankings'!$I$6:$I$423,'Rankings'!$A$6:$A$423,B220,'Rankings'!$E$6:$E$423,"&lt;="&amp;F220)</x:f>
        <x:v>0</x:v>
      </x:c>
      <x:c r="J220" s="2" t="n">
        <x:f>SUMIFS('Ratings'!$H$6:$H$1387,'Ratings'!$B$6:$B$1387,C220)</x:f>
        <x:v>22</x:v>
      </x:c>
      <x:c r="K220" s="15" t="n">
        <x:f>IF(I220&gt;0,"Unknown",H220/F220)</x:f>
        <x:v>1</x:v>
      </x:c>
      <x:c r="L220" s="15" t="n">
        <x:f>IF(J220=0,"N/A",H220/J220)</x:f>
        <x:v>0.22727272727272727</x:v>
      </x:c>
      <x:c r="M220" s="14" t="n">
        <x:f>SUMIFS('Rankings'!$L$6:$L$423,'Rankings'!$A$6:$A$423,B220,'Rankings'!$E$6:$E$423,"&lt;="&amp;F220)</x:f>
        <x:v>17.369096370924005</x:v>
      </x:c>
      <x:c r="N220" s="14" t="n">
        <x:f>SUMIFS('Ideal ranking'!$H$6:$H$365,'Ideal ranking'!$A$6:$A$365,C220,'Ideal ranking'!$B$6:$B$365,"&lt;="&amp;F220)</x:f>
        <x:v>20.639213832155747</x:v>
      </x:c>
      <x:c r="O220" s="14" t="n">
        <x:f>IF(I220&gt;0,"Unknown",IF(N220=0,"N/A",M220/N220))</x:f>
        <x:v>0.8415580415114009</x:v>
      </x:c>
      <x:c r="P220" s="15" t="n">
        <x:f>IF(G220=0,"N/A",IF(I220&gt;0,"Unknown",H220/G220))</x:f>
        <x:v>1</x:v>
      </x:c>
      <x:c r="Q220" s="2" t="n">
        <x:f>F220-G220</x:f>
        <x:v>0</x:v>
      </x:c>
    </x:row>
    <x:row r="221" ht="22" customHeight="1">
      <x:c r="A221" s="2" t="str">
        <x:v>S24-T01|6</x:v>
      </x:c>
      <x:c r="B221" s="2" t="str">
        <x:v>S24-T01</x:v>
      </x:c>
      <x:c r="C221" s="2" t="str">
        <x:v>S24</x:v>
      </x:c>
      <x:c r="D221" s="2" t="str">
        <x:v>Extension</x:v>
      </x:c>
      <x:c r="E221" s="2" t="n">
        <x:v>1</x:v>
      </x:c>
      <x:c r="F221" s="2" t="n">
        <x:v>6</x:v>
      </x:c>
      <x:c r="G221" s="2" t="n">
        <x:f>COUNTIFS('Rankings'!$A$6:$A$423,B221,'Rankings'!$E$6:$E$423,"&lt;="&amp;F221)</x:f>
        <x:v>6</x:v>
      </x:c>
      <x:c r="H221" s="2" t="n">
        <x:f>SUMIFS('Rankings'!$J$6:$J$423,'Rankings'!$A$6:$A$423,B221,'Rankings'!$E$6:$E$423,"&lt;="&amp;F221)</x:f>
        <x:v>6</x:v>
      </x:c>
      <x:c r="I221" s="2" t="n">
        <x:f>G221-SUMIFS('Rankings'!$I$6:$I$423,'Rankings'!$A$6:$A$423,B221,'Rankings'!$E$6:$E$423,"&lt;="&amp;F221)</x:f>
        <x:v>0</x:v>
      </x:c>
      <x:c r="J221" s="2" t="n">
        <x:f>SUMIFS('Ratings'!$H$6:$H$1387,'Ratings'!$B$6:$B$1387,C221)</x:f>
        <x:v>22</x:v>
      </x:c>
      <x:c r="K221" s="15" t="n">
        <x:f>IF(I221&gt;0,"Unknown",H221/F221)</x:f>
        <x:v>1</x:v>
      </x:c>
      <x:c r="L221" s="15" t="n">
        <x:f>IF(J221=0,"N/A",H221/J221)</x:f>
        <x:v>0.2727272727272727</x:v>
      </x:c>
      <x:c r="M221" s="14" t="n">
        <x:f>SUMIFS('Rankings'!$L$6:$L$423,'Rankings'!$A$6:$A$423,B221,'Rankings'!$E$6:$E$423,"&lt;="&amp;F221)</x:f>
        <x:v>18.43771793224807</x:v>
      </x:c>
      <x:c r="N221" s="14" t="n">
        <x:f>SUMIFS('Ideal ranking'!$H$6:$H$365,'Ideal ranking'!$A$6:$A$365,C221,'Ideal ranking'!$B$6:$B$365,"&lt;="&amp;F221)</x:f>
        <x:v>23.132664141911903</x:v>
      </x:c>
      <x:c r="O221" s="14" t="n">
        <x:f>IF(I221&gt;0,"Unknown",IF(N221=0,"N/A",M221/N221))</x:f>
        <x:v>0.7970425636726597</x:v>
      </x:c>
      <x:c r="P221" s="15" t="n">
        <x:f>IF(G221=0,"N/A",IF(I221&gt;0,"Unknown",H221/G221))</x:f>
        <x:v>1</x:v>
      </x:c>
      <x:c r="Q221" s="2" t="n">
        <x:f>F221-G221</x:f>
        <x:v>0</x:v>
      </x:c>
    </x:row>
    <x:row r="222" ht="22" customHeight="1">
      <x:c r="A222" s="2" t="str">
        <x:v>S24-T01|7</x:v>
      </x:c>
      <x:c r="B222" s="2" t="str">
        <x:v>S24-T01</x:v>
      </x:c>
      <x:c r="C222" s="2" t="str">
        <x:v>S24</x:v>
      </x:c>
      <x:c r="D222" s="2" t="str">
        <x:v>Extension</x:v>
      </x:c>
      <x:c r="E222" s="2" t="n">
        <x:v>1</x:v>
      </x:c>
      <x:c r="F222" s="2" t="n">
        <x:v>7</x:v>
      </x:c>
      <x:c r="G222" s="2" t="n">
        <x:f>COUNTIFS('Rankings'!$A$6:$A$423,B222,'Rankings'!$E$6:$E$423,"&lt;="&amp;F222)</x:f>
        <x:v>7</x:v>
      </x:c>
      <x:c r="H222" s="2" t="n">
        <x:f>SUMIFS('Rankings'!$J$6:$J$423,'Rankings'!$A$6:$A$423,B222,'Rankings'!$E$6:$E$423,"&lt;="&amp;F222)</x:f>
        <x:v>7</x:v>
      </x:c>
      <x:c r="I222" s="2" t="n">
        <x:f>G222-SUMIFS('Rankings'!$I$6:$I$423,'Rankings'!$A$6:$A$423,B222,'Rankings'!$E$6:$E$423,"&lt;="&amp;F222)</x:f>
        <x:v>0</x:v>
      </x:c>
      <x:c r="J222" s="2" t="n">
        <x:f>SUMIFS('Ratings'!$H$6:$H$1387,'Ratings'!$B$6:$B$1387,C222)</x:f>
        <x:v>22</x:v>
      </x:c>
      <x:c r="K222" s="15" t="n">
        <x:f>IF(I222&gt;0,"Unknown",H222/F222)</x:f>
        <x:v>1</x:v>
      </x:c>
      <x:c r="L222" s="15" t="n">
        <x:f>IF(J222=0,"N/A",H222/J222)</x:f>
        <x:v>0.3181818181818182</x:v>
      </x:c>
      <x:c r="M222" s="14" t="n">
        <x:f>SUMIFS('Rankings'!$L$6:$L$423,'Rankings'!$A$6:$A$423,B222,'Rankings'!$E$6:$E$423,"&lt;="&amp;F222)</x:f>
        <x:v>19.43771793224807</x:v>
      </x:c>
      <x:c r="N222" s="14" t="n">
        <x:f>SUMIFS('Ideal ranking'!$H$6:$H$365,'Ideal ranking'!$A$6:$A$365,C222,'Ideal ranking'!$B$6:$B$365,"&lt;="&amp;F222)</x:f>
        <x:v>25.465997475245235</x:v>
      </x:c>
      <x:c r="O222" s="14" t="n">
        <x:f>IF(I222&gt;0,"Unknown",IF(N222=0,"N/A",M222/N222))</x:f>
        <x:v>0.7632812322055289</x:v>
      </x:c>
      <x:c r="P222" s="15" t="n">
        <x:f>IF(G222=0,"N/A",IF(I222&gt;0,"Unknown",H222/G222))</x:f>
        <x:v>1</x:v>
      </x:c>
      <x:c r="Q222" s="2" t="n">
        <x:f>F222-G222</x:f>
        <x:v>0</x:v>
      </x:c>
    </x:row>
    <x:row r="223" ht="22" customHeight="1">
      <x:c r="A223" s="2" t="str">
        <x:v>S24-T01|8</x:v>
      </x:c>
      <x:c r="B223" s="2" t="str">
        <x:v>S24-T01</x:v>
      </x:c>
      <x:c r="C223" s="2" t="str">
        <x:v>S24</x:v>
      </x:c>
      <x:c r="D223" s="2" t="str">
        <x:v>Extension</x:v>
      </x:c>
      <x:c r="E223" s="2" t="n">
        <x:v>1</x:v>
      </x:c>
      <x:c r="F223" s="2" t="n">
        <x:v>8</x:v>
      </x:c>
      <x:c r="G223" s="2" t="n">
        <x:f>COUNTIFS('Rankings'!$A$6:$A$423,B223,'Rankings'!$E$6:$E$423,"&lt;="&amp;F223)</x:f>
        <x:v>8</x:v>
      </x:c>
      <x:c r="H223" s="2" t="n">
        <x:f>SUMIFS('Rankings'!$J$6:$J$423,'Rankings'!$A$6:$A$423,B223,'Rankings'!$E$6:$E$423,"&lt;="&amp;F223)</x:f>
        <x:v>8</x:v>
      </x:c>
      <x:c r="I223" s="2" t="n">
        <x:f>G223-SUMIFS('Rankings'!$I$6:$I$423,'Rankings'!$A$6:$A$423,B223,'Rankings'!$E$6:$E$423,"&lt;="&amp;F223)</x:f>
        <x:v>0</x:v>
      </x:c>
      <x:c r="J223" s="2" t="n">
        <x:f>SUMIFS('Ratings'!$H$6:$H$1387,'Ratings'!$B$6:$B$1387,C223)</x:f>
        <x:v>22</x:v>
      </x:c>
      <x:c r="K223" s="15" t="n">
        <x:f>IF(I223&gt;0,"Unknown",H223/F223)</x:f>
        <x:v>1</x:v>
      </x:c>
      <x:c r="L223" s="15" t="n">
        <x:f>IF(J223=0,"N/A",H223/J223)</x:f>
        <x:v>0.36363636363636365</x:v>
      </x:c>
      <x:c r="M223" s="14" t="n">
        <x:f>SUMIFS('Rankings'!$L$6:$L$423,'Rankings'!$A$6:$A$423,B223,'Rankings'!$E$6:$E$423,"&lt;="&amp;F223)</x:f>
        <x:v>20.384112562605257</x:v>
      </x:c>
      <x:c r="N223" s="14" t="n">
        <x:f>SUMIFS('Ideal ranking'!$H$6:$H$365,'Ideal ranking'!$A$6:$A$365,C223,'Ideal ranking'!$B$6:$B$365,"&lt;="&amp;F223)</x:f>
        <x:v>26.41239210560242</x:v>
      </x:c>
      <x:c r="O223" s="14" t="n">
        <x:f>IF(I223&gt;0,"Unknown",IF(N223=0,"N/A",M223/N223))</x:f>
        <x:v>0.7717632117948724</x:v>
      </x:c>
      <x:c r="P223" s="15" t="n">
        <x:f>IF(G223=0,"N/A",IF(I223&gt;0,"Unknown",H223/G223))</x:f>
        <x:v>1</x:v>
      </x:c>
      <x:c r="Q223" s="2" t="n">
        <x:f>F223-G223</x:f>
        <x:v>0</x:v>
      </x:c>
    </x:row>
    <x:row r="224" ht="22" customHeight="1">
      <x:c r="A224" s="2" t="str">
        <x:v>S24-T01|9</x:v>
      </x:c>
      <x:c r="B224" s="2" t="str">
        <x:v>S24-T01</x:v>
      </x:c>
      <x:c r="C224" s="2" t="str">
        <x:v>S24</x:v>
      </x:c>
      <x:c r="D224" s="2" t="str">
        <x:v>Extension</x:v>
      </x:c>
      <x:c r="E224" s="2" t="n">
        <x:v>1</x:v>
      </x:c>
      <x:c r="F224" s="2" t="n">
        <x:v>9</x:v>
      </x:c>
      <x:c r="G224" s="2" t="n">
        <x:f>COUNTIFS('Rankings'!$A$6:$A$423,B224,'Rankings'!$E$6:$E$423,"&lt;="&amp;F224)</x:f>
        <x:v>9</x:v>
      </x:c>
      <x:c r="H224" s="2" t="n">
        <x:f>SUMIFS('Rankings'!$J$6:$J$423,'Rankings'!$A$6:$A$423,B224,'Rankings'!$E$6:$E$423,"&lt;="&amp;F224)</x:f>
        <x:v>9</x:v>
      </x:c>
      <x:c r="I224" s="2" t="n">
        <x:f>G224-SUMIFS('Rankings'!$I$6:$I$423,'Rankings'!$A$6:$A$423,B224,'Rankings'!$E$6:$E$423,"&lt;="&amp;F224)</x:f>
        <x:v>0</x:v>
      </x:c>
      <x:c r="J224" s="2" t="n">
        <x:f>SUMIFS('Ratings'!$H$6:$H$1387,'Ratings'!$B$6:$B$1387,C224)</x:f>
        <x:v>22</x:v>
      </x:c>
      <x:c r="K224" s="15" t="n">
        <x:f>IF(I224&gt;0,"Unknown",H224/F224)</x:f>
        <x:v>1</x:v>
      </x:c>
      <x:c r="L224" s="15" t="n">
        <x:f>IF(J224=0,"N/A",H224/J224)</x:f>
        <x:v>0.4090909090909091</x:v>
      </x:c>
      <x:c r="M224" s="14" t="n">
        <x:f>SUMIFS('Rankings'!$L$6:$L$423,'Rankings'!$A$6:$A$423,B224,'Rankings'!$E$6:$E$423,"&lt;="&amp;F224)</x:f>
        <x:v>21.2872025495972</x:v>
      </x:c>
      <x:c r="N224" s="14" t="n">
        <x:f>SUMIFS('Ideal ranking'!$H$6:$H$365,'Ideal ranking'!$A$6:$A$365,C224,'Ideal ranking'!$B$6:$B$365,"&lt;="&amp;F224)</x:f>
        <x:v>27.315482092594365</x:v>
      </x:c>
      <x:c r="O224" s="14" t="n">
        <x:f>IF(I224&gt;0,"Unknown",IF(N224=0,"N/A",M224/N224))</x:f>
        <x:v>0.7793090554813411</x:v>
      </x:c>
      <x:c r="P224" s="15" t="n">
        <x:f>IF(G224=0,"N/A",IF(I224&gt;0,"Unknown",H224/G224))</x:f>
        <x:v>1</x:v>
      </x:c>
      <x:c r="Q224" s="2" t="n">
        <x:f>F224-G224</x:f>
        <x:v>0</x:v>
      </x:c>
    </x:row>
    <x:row r="225" ht="22" customHeight="1">
      <x:c r="A225" s="2" t="str">
        <x:v>S24-T01|10</x:v>
      </x:c>
      <x:c r="B225" s="2" t="str">
        <x:v>S24-T01</x:v>
      </x:c>
      <x:c r="C225" s="2" t="str">
        <x:v>S24</x:v>
      </x:c>
      <x:c r="D225" s="2" t="str">
        <x:v>Extension</x:v>
      </x:c>
      <x:c r="E225" s="2" t="n">
        <x:v>1</x:v>
      </x:c>
      <x:c r="F225" s="2" t="n">
        <x:v>10</x:v>
      </x:c>
      <x:c r="G225" s="2" t="n">
        <x:f>COUNTIFS('Rankings'!$A$6:$A$423,B225,'Rankings'!$E$6:$E$423,"&lt;="&amp;F225)</x:f>
        <x:v>10</x:v>
      </x:c>
      <x:c r="H225" s="2" t="n">
        <x:f>SUMIFS('Rankings'!$J$6:$J$423,'Rankings'!$A$6:$A$423,B225,'Rankings'!$E$6:$E$423,"&lt;="&amp;F225)</x:f>
        <x:v>10</x:v>
      </x:c>
      <x:c r="I225" s="2" t="n">
        <x:f>G225-SUMIFS('Rankings'!$I$6:$I$423,'Rankings'!$A$6:$A$423,B225,'Rankings'!$E$6:$E$423,"&lt;="&amp;F225)</x:f>
        <x:v>0</x:v>
      </x:c>
      <x:c r="J225" s="2" t="n">
        <x:f>SUMIFS('Ratings'!$H$6:$H$1387,'Ratings'!$B$6:$B$1387,C225)</x:f>
        <x:v>22</x:v>
      </x:c>
      <x:c r="K225" s="15" t="n">
        <x:f>IF(I225&gt;0,"Unknown",H225/F225)</x:f>
        <x:v>1</x:v>
      </x:c>
      <x:c r="L225" s="15" t="n">
        <x:f>IF(J225=0,"N/A",H225/J225)</x:f>
        <x:v>0.45454545454545453</x:v>
      </x:c>
      <x:c r="M225" s="14" t="n">
        <x:f>SUMIFS('Rankings'!$L$6:$L$423,'Rankings'!$A$6:$A$423,B225,'Rankings'!$E$6:$E$423,"&lt;="&amp;F225)</x:f>
        <x:v>22.154397028550864</x:v>
      </x:c>
      <x:c r="N225" s="14" t="n">
        <x:f>SUMIFS('Ideal ranking'!$H$6:$H$365,'Ideal ranking'!$A$6:$A$365,C225,'Ideal ranking'!$B$6:$B$365,"&lt;="&amp;F225)</x:f>
        <x:v>28.18267657154803</x:v>
      </x:c>
      <x:c r="O225" s="14" t="n">
        <x:f>IF(I225&gt;0,"Unknown",IF(N225=0,"N/A",M225/N225))</x:f>
        <x:v>0.78609982172229</x:v>
      </x:c>
      <x:c r="P225" s="15" t="n">
        <x:f>IF(G225=0,"N/A",IF(I225&gt;0,"Unknown",H225/G225))</x:f>
        <x:v>1</x:v>
      </x:c>
      <x:c r="Q225" s="2" t="n">
        <x:f>F225-G225</x:f>
        <x:v>0</x:v>
      </x:c>
    </x:row>
    <x:row r="226" ht="22" customHeight="1">
      <x:c r="A226" s="2" t="str">
        <x:v>S25-T01|1</x:v>
      </x:c>
      <x:c r="B226" s="2" t="str">
        <x:v>S25-T01</x:v>
      </x:c>
      <x:c r="C226" s="2" t="str">
        <x:v>S25</x:v>
      </x:c>
      <x:c r="D226" s="2" t="str">
        <x:v>Extension</x:v>
      </x:c>
      <x:c r="E226" s="2" t="n">
        <x:v>1</x:v>
      </x:c>
      <x:c r="F226" s="2" t="n">
        <x:v>1</x:v>
      </x:c>
      <x:c r="G226" s="2" t="n">
        <x:f>COUNTIFS('Rankings'!$A$6:$A$423,B226,'Rankings'!$E$6:$E$423,"&lt;="&amp;F226)</x:f>
        <x:v>1</x:v>
      </x:c>
      <x:c r="H226" s="2" t="n">
        <x:f>SUMIFS('Rankings'!$J$6:$J$423,'Rankings'!$A$6:$A$423,B226,'Rankings'!$E$6:$E$423,"&lt;="&amp;F226)</x:f>
        <x:v>1</x:v>
      </x:c>
      <x:c r="I226" s="2" t="n">
        <x:f>G226-SUMIFS('Rankings'!$I$6:$I$423,'Rankings'!$A$6:$A$423,B226,'Rankings'!$E$6:$E$423,"&lt;="&amp;F226)</x:f>
        <x:v>0</x:v>
      </x:c>
      <x:c r="J226" s="2" t="n">
        <x:f>SUMIFS('Ratings'!$H$6:$H$1387,'Ratings'!$B$6:$B$1387,C226)</x:f>
        <x:v>24</x:v>
      </x:c>
      <x:c r="K226" s="15" t="n">
        <x:f>IF(I226&gt;0,"Unknown",H226/F226)</x:f>
        <x:v>1</x:v>
      </x:c>
      <x:c r="L226" s="15" t="n">
        <x:f>IF(J226=0,"N/A",H226/J226)</x:f>
        <x:v>0.041666666666666664</x:v>
      </x:c>
      <x:c r="M226" s="14" t="n">
        <x:f>SUMIFS('Rankings'!$L$6:$L$423,'Rankings'!$A$6:$A$423,B226,'Rankings'!$E$6:$E$423,"&lt;="&amp;F226)</x:f>
        <x:v>7</x:v>
      </x:c>
      <x:c r="N226" s="14" t="n">
        <x:f>SUMIFS('Ideal ranking'!$H$6:$H$365,'Ideal ranking'!$A$6:$A$365,C226,'Ideal ranking'!$B$6:$B$365,"&lt;="&amp;F226)</x:f>
        <x:v>7</x:v>
      </x:c>
      <x:c r="O226" s="14" t="n">
        <x:f>IF(I226&gt;0,"Unknown",IF(N226=0,"N/A",M226/N226))</x:f>
        <x:v>1</x:v>
      </x:c>
      <x:c r="P226" s="15" t="n">
        <x:f>IF(G226=0,"N/A",IF(I226&gt;0,"Unknown",H226/G226))</x:f>
        <x:v>1</x:v>
      </x:c>
      <x:c r="Q226" s="2" t="n">
        <x:f>F226-G226</x:f>
        <x:v>0</x:v>
      </x:c>
    </x:row>
    <x:row r="227" ht="22" customHeight="1">
      <x:c r="A227" s="2" t="str">
        <x:v>S25-T01|2</x:v>
      </x:c>
      <x:c r="B227" s="2" t="str">
        <x:v>S25-T01</x:v>
      </x:c>
      <x:c r="C227" s="2" t="str">
        <x:v>S25</x:v>
      </x:c>
      <x:c r="D227" s="2" t="str">
        <x:v>Extension</x:v>
      </x:c>
      <x:c r="E227" s="2" t="n">
        <x:v>1</x:v>
      </x:c>
      <x:c r="F227" s="2" t="n">
        <x:v>2</x:v>
      </x:c>
      <x:c r="G227" s="2" t="n">
        <x:f>COUNTIFS('Rankings'!$A$6:$A$423,B227,'Rankings'!$E$6:$E$423,"&lt;="&amp;F227)</x:f>
        <x:v>2</x:v>
      </x:c>
      <x:c r="H227" s="2" t="n">
        <x:f>SUMIFS('Rankings'!$J$6:$J$423,'Rankings'!$A$6:$A$423,B227,'Rankings'!$E$6:$E$423,"&lt;="&amp;F227)</x:f>
        <x:v>2</x:v>
      </x:c>
      <x:c r="I227" s="2" t="n">
        <x:f>G227-SUMIFS('Rankings'!$I$6:$I$423,'Rankings'!$A$6:$A$423,B227,'Rankings'!$E$6:$E$423,"&lt;="&amp;F227)</x:f>
        <x:v>0</x:v>
      </x:c>
      <x:c r="J227" s="2" t="n">
        <x:f>SUMIFS('Ratings'!$H$6:$H$1387,'Ratings'!$B$6:$B$1387,C227)</x:f>
        <x:v>24</x:v>
      </x:c>
      <x:c r="K227" s="15" t="n">
        <x:f>IF(I227&gt;0,"Unknown",H227/F227)</x:f>
        <x:v>1</x:v>
      </x:c>
      <x:c r="L227" s="15" t="n">
        <x:f>IF(J227=0,"N/A",H227/J227)</x:f>
        <x:v>0.08333333333333333</x:v>
      </x:c>
      <x:c r="M227" s="14" t="n">
        <x:f>SUMIFS('Rankings'!$L$6:$L$423,'Rankings'!$A$6:$A$423,B227,'Rankings'!$E$6:$E$423,"&lt;="&amp;F227)</x:f>
        <x:v>11.416508275000202</x:v>
      </x:c>
      <x:c r="N227" s="14" t="n">
        <x:f>SUMIFS('Ideal ranking'!$H$6:$H$365,'Ideal ranking'!$A$6:$A$365,C227,'Ideal ranking'!$B$6:$B$365,"&lt;="&amp;F227)</x:f>
        <x:v>11.416508275000202</x:v>
      </x:c>
      <x:c r="O227" s="14" t="n">
        <x:f>IF(I227&gt;0,"Unknown",IF(N227=0,"N/A",M227/N227))</x:f>
        <x:v>1</x:v>
      </x:c>
      <x:c r="P227" s="15" t="n">
        <x:f>IF(G227=0,"N/A",IF(I227&gt;0,"Unknown",H227/G227))</x:f>
        <x:v>1</x:v>
      </x:c>
      <x:c r="Q227" s="2" t="n">
        <x:f>F227-G227</x:f>
        <x:v>0</x:v>
      </x:c>
    </x:row>
    <x:row r="228" ht="22" customHeight="1">
      <x:c r="A228" s="2" t="str">
        <x:v>S25-T01|3</x:v>
      </x:c>
      <x:c r="B228" s="2" t="str">
        <x:v>S25-T01</x:v>
      </x:c>
      <x:c r="C228" s="2" t="str">
        <x:v>S25</x:v>
      </x:c>
      <x:c r="D228" s="2" t="str">
        <x:v>Extension</x:v>
      </x:c>
      <x:c r="E228" s="2" t="n">
        <x:v>1</x:v>
      </x:c>
      <x:c r="F228" s="2" t="n">
        <x:v>3</x:v>
      </x:c>
      <x:c r="G228" s="2" t="n">
        <x:f>COUNTIFS('Rankings'!$A$6:$A$423,B228,'Rankings'!$E$6:$E$423,"&lt;="&amp;F228)</x:f>
        <x:v>3</x:v>
      </x:c>
      <x:c r="H228" s="2" t="n">
        <x:f>SUMIFS('Rankings'!$J$6:$J$423,'Rankings'!$A$6:$A$423,B228,'Rankings'!$E$6:$E$423,"&lt;="&amp;F228)</x:f>
        <x:v>3</x:v>
      </x:c>
      <x:c r="I228" s="2" t="n">
        <x:f>G228-SUMIFS('Rankings'!$I$6:$I$423,'Rankings'!$A$6:$A$423,B228,'Rankings'!$E$6:$E$423,"&lt;="&amp;F228)</x:f>
        <x:v>0</x:v>
      </x:c>
      <x:c r="J228" s="2" t="n">
        <x:f>SUMIFS('Ratings'!$H$6:$H$1387,'Ratings'!$B$6:$B$1387,C228)</x:f>
        <x:v>24</x:v>
      </x:c>
      <x:c r="K228" s="15" t="n">
        <x:f>IF(I228&gt;0,"Unknown",H228/F228)</x:f>
        <x:v>1</x:v>
      </x:c>
      <x:c r="L228" s="15" t="n">
        <x:f>IF(J228=0,"N/A",H228/J228)</x:f>
        <x:v>0.125</x:v>
      </x:c>
      <x:c r="M228" s="14" t="n">
        <x:f>SUMIFS('Rankings'!$L$6:$L$423,'Rankings'!$A$6:$A$423,B228,'Rankings'!$E$6:$E$423,"&lt;="&amp;F228)</x:f>
        <x:v>14.916508275000202</x:v>
      </x:c>
      <x:c r="N228" s="14" t="n">
        <x:f>SUMIFS('Ideal ranking'!$H$6:$H$365,'Ideal ranking'!$A$6:$A$365,C228,'Ideal ranking'!$B$6:$B$365,"&lt;="&amp;F228)</x:f>
        <x:v>14.916508275000202</x:v>
      </x:c>
      <x:c r="O228" s="14" t="n">
        <x:f>IF(I228&gt;0,"Unknown",IF(N228=0,"N/A",M228/N228))</x:f>
        <x:v>1</x:v>
      </x:c>
      <x:c r="P228" s="15" t="n">
        <x:f>IF(G228=0,"N/A",IF(I228&gt;0,"Unknown",H228/G228))</x:f>
        <x:v>1</x:v>
      </x:c>
      <x:c r="Q228" s="2" t="n">
        <x:f>F228-G228</x:f>
        <x:v>0</x:v>
      </x:c>
    </x:row>
    <x:row r="229" ht="22" customHeight="1">
      <x:c r="A229" s="2" t="str">
        <x:v>S25-T01|4</x:v>
      </x:c>
      <x:c r="B229" s="2" t="str">
        <x:v>S25-T01</x:v>
      </x:c>
      <x:c r="C229" s="2" t="str">
        <x:v>S25</x:v>
      </x:c>
      <x:c r="D229" s="2" t="str">
        <x:v>Extension</x:v>
      </x:c>
      <x:c r="E229" s="2" t="n">
        <x:v>1</x:v>
      </x:c>
      <x:c r="F229" s="2" t="n">
        <x:v>4</x:v>
      </x:c>
      <x:c r="G229" s="2" t="n">
        <x:f>COUNTIFS('Rankings'!$A$6:$A$423,B229,'Rankings'!$E$6:$E$423,"&lt;="&amp;F229)</x:f>
        <x:v>4</x:v>
      </x:c>
      <x:c r="H229" s="2" t="n">
        <x:f>SUMIFS('Rankings'!$J$6:$J$423,'Rankings'!$A$6:$A$423,B229,'Rankings'!$E$6:$E$423,"&lt;="&amp;F229)</x:f>
        <x:v>4</x:v>
      </x:c>
      <x:c r="I229" s="2" t="n">
        <x:f>G229-SUMIFS('Rankings'!$I$6:$I$423,'Rankings'!$A$6:$A$423,B229,'Rankings'!$E$6:$E$423,"&lt;="&amp;F229)</x:f>
        <x:v>0</x:v>
      </x:c>
      <x:c r="J229" s="2" t="n">
        <x:f>SUMIFS('Ratings'!$H$6:$H$1387,'Ratings'!$B$6:$B$1387,C229)</x:f>
        <x:v>24</x:v>
      </x:c>
      <x:c r="K229" s="15" t="n">
        <x:f>IF(I229&gt;0,"Unknown",H229/F229)</x:f>
        <x:v>1</x:v>
      </x:c>
      <x:c r="L229" s="15" t="n">
        <x:f>IF(J229=0,"N/A",H229/J229)</x:f>
        <x:v>0.16666666666666666</x:v>
      </x:c>
      <x:c r="M229" s="14" t="n">
        <x:f>SUMIFS('Rankings'!$L$6:$L$423,'Rankings'!$A$6:$A$423,B229,'Rankings'!$E$6:$E$423,"&lt;="&amp;F229)</x:f>
        <x:v>17.931244181513954</x:v>
      </x:c>
      <x:c r="N229" s="14" t="n">
        <x:f>SUMIFS('Ideal ranking'!$H$6:$H$365,'Ideal ranking'!$A$6:$A$365,C229,'Ideal ranking'!$B$6:$B$365,"&lt;="&amp;F229)</x:f>
        <x:v>17.931244181513954</x:v>
      </x:c>
      <x:c r="O229" s="14" t="n">
        <x:f>IF(I229&gt;0,"Unknown",IF(N229=0,"N/A",M229/N229))</x:f>
        <x:v>1</x:v>
      </x:c>
      <x:c r="P229" s="15" t="n">
        <x:f>IF(G229=0,"N/A",IF(I229&gt;0,"Unknown",H229/G229))</x:f>
        <x:v>1</x:v>
      </x:c>
      <x:c r="Q229" s="2" t="n">
        <x:f>F229-G229</x:f>
        <x:v>0</x:v>
      </x:c>
    </x:row>
    <x:row r="230" ht="22" customHeight="1">
      <x:c r="A230" s="2" t="str">
        <x:v>S25-T01|5</x:v>
      </x:c>
      <x:c r="B230" s="2" t="str">
        <x:v>S25-T01</x:v>
      </x:c>
      <x:c r="C230" s="2" t="str">
        <x:v>S25</x:v>
      </x:c>
      <x:c r="D230" s="2" t="str">
        <x:v>Extension</x:v>
      </x:c>
      <x:c r="E230" s="2" t="n">
        <x:v>1</x:v>
      </x:c>
      <x:c r="F230" s="2" t="n">
        <x:v>5</x:v>
      </x:c>
      <x:c r="G230" s="2" t="n">
        <x:f>COUNTIFS('Rankings'!$A$6:$A$423,B230,'Rankings'!$E$6:$E$423,"&lt;="&amp;F230)</x:f>
        <x:v>5</x:v>
      </x:c>
      <x:c r="H230" s="2" t="n">
        <x:f>SUMIFS('Rankings'!$J$6:$J$423,'Rankings'!$A$6:$A$423,B230,'Rankings'!$E$6:$E$423,"&lt;="&amp;F230)</x:f>
        <x:v>5</x:v>
      </x:c>
      <x:c r="I230" s="2" t="n">
        <x:f>G230-SUMIFS('Rankings'!$I$6:$I$423,'Rankings'!$A$6:$A$423,B230,'Rankings'!$E$6:$E$423,"&lt;="&amp;F230)</x:f>
        <x:v>0</x:v>
      </x:c>
      <x:c r="J230" s="2" t="n">
        <x:f>SUMIFS('Ratings'!$H$6:$H$1387,'Ratings'!$B$6:$B$1387,C230)</x:f>
        <x:v>24</x:v>
      </x:c>
      <x:c r="K230" s="15" t="n">
        <x:f>IF(I230&gt;0,"Unknown",H230/F230)</x:f>
        <x:v>1</x:v>
      </x:c>
      <x:c r="L230" s="15" t="n">
        <x:f>IF(J230=0,"N/A",H230/J230)</x:f>
        <x:v>0.20833333333333334</x:v>
      </x:c>
      <x:c r="M230" s="14" t="n">
        <x:f>SUMIFS('Rankings'!$L$6:$L$423,'Rankings'!$A$6:$A$423,B230,'Rankings'!$E$6:$E$423,"&lt;="&amp;F230)</x:f>
        <x:v>20.639213832155747</x:v>
      </x:c>
      <x:c r="N230" s="14" t="n">
        <x:f>SUMIFS('Ideal ranking'!$H$6:$H$365,'Ideal ranking'!$A$6:$A$365,C230,'Ideal ranking'!$B$6:$B$365,"&lt;="&amp;F230)</x:f>
        <x:v>20.639213832155747</x:v>
      </x:c>
      <x:c r="O230" s="14" t="n">
        <x:f>IF(I230&gt;0,"Unknown",IF(N230=0,"N/A",M230/N230))</x:f>
        <x:v>1</x:v>
      </x:c>
      <x:c r="P230" s="15" t="n">
        <x:f>IF(G230=0,"N/A",IF(I230&gt;0,"Unknown",H230/G230))</x:f>
        <x:v>1</x:v>
      </x:c>
      <x:c r="Q230" s="2" t="n">
        <x:f>F230-G230</x:f>
        <x:v>0</x:v>
      </x:c>
    </x:row>
    <x:row r="231" ht="22" customHeight="1">
      <x:c r="A231" s="2" t="str">
        <x:v>S25-T01|6</x:v>
      </x:c>
      <x:c r="B231" s="2" t="str">
        <x:v>S25-T01</x:v>
      </x:c>
      <x:c r="C231" s="2" t="str">
        <x:v>S25</x:v>
      </x:c>
      <x:c r="D231" s="2" t="str">
        <x:v>Extension</x:v>
      </x:c>
      <x:c r="E231" s="2" t="n">
        <x:v>1</x:v>
      </x:c>
      <x:c r="F231" s="2" t="n">
        <x:v>6</x:v>
      </x:c>
      <x:c r="G231" s="2" t="n">
        <x:f>COUNTIFS('Rankings'!$A$6:$A$423,B231,'Rankings'!$E$6:$E$423,"&lt;="&amp;F231)</x:f>
        <x:v>6</x:v>
      </x:c>
      <x:c r="H231" s="2" t="n">
        <x:f>SUMIFS('Rankings'!$J$6:$J$423,'Rankings'!$A$6:$A$423,B231,'Rankings'!$E$6:$E$423,"&lt;="&amp;F231)</x:f>
        <x:v>6</x:v>
      </x:c>
      <x:c r="I231" s="2" t="n">
        <x:f>G231-SUMIFS('Rankings'!$I$6:$I$423,'Rankings'!$A$6:$A$423,B231,'Rankings'!$E$6:$E$423,"&lt;="&amp;F231)</x:f>
        <x:v>0</x:v>
      </x:c>
      <x:c r="J231" s="2" t="n">
        <x:f>SUMIFS('Ratings'!$H$6:$H$1387,'Ratings'!$B$6:$B$1387,C231)</x:f>
        <x:v>24</x:v>
      </x:c>
      <x:c r="K231" s="15" t="n">
        <x:f>IF(I231&gt;0,"Unknown",H231/F231)</x:f>
        <x:v>1</x:v>
      </x:c>
      <x:c r="L231" s="15" t="n">
        <x:f>IF(J231=0,"N/A",H231/J231)</x:f>
        <x:v>0.25</x:v>
      </x:c>
      <x:c r="M231" s="14" t="n">
        <x:f>SUMIFS('Rankings'!$L$6:$L$423,'Rankings'!$A$6:$A$423,B231,'Rankings'!$E$6:$E$423,"&lt;="&amp;F231)</x:f>
        <x:v>23.132664141911903</x:v>
      </x:c>
      <x:c r="N231" s="14" t="n">
        <x:f>SUMIFS('Ideal ranking'!$H$6:$H$365,'Ideal ranking'!$A$6:$A$365,C231,'Ideal ranking'!$B$6:$B$365,"&lt;="&amp;F231)</x:f>
        <x:v>23.132664141911903</x:v>
      </x:c>
      <x:c r="O231" s="14" t="n">
        <x:f>IF(I231&gt;0,"Unknown",IF(N231=0,"N/A",M231/N231))</x:f>
        <x:v>1</x:v>
      </x:c>
      <x:c r="P231" s="15" t="n">
        <x:f>IF(G231=0,"N/A",IF(I231&gt;0,"Unknown",H231/G231))</x:f>
        <x:v>1</x:v>
      </x:c>
      <x:c r="Q231" s="2" t="n">
        <x:f>F231-G231</x:f>
        <x:v>0</x:v>
      </x:c>
    </x:row>
    <x:row r="232" ht="22" customHeight="1">
      <x:c r="A232" s="2" t="str">
        <x:v>S25-T01|7</x:v>
      </x:c>
      <x:c r="B232" s="2" t="str">
        <x:v>S25-T01</x:v>
      </x:c>
      <x:c r="C232" s="2" t="str">
        <x:v>S25</x:v>
      </x:c>
      <x:c r="D232" s="2" t="str">
        <x:v>Extension</x:v>
      </x:c>
      <x:c r="E232" s="2" t="n">
        <x:v>1</x:v>
      </x:c>
      <x:c r="F232" s="2" t="n">
        <x:v>7</x:v>
      </x:c>
      <x:c r="G232" s="2" t="n">
        <x:f>COUNTIFS('Rankings'!$A$6:$A$423,B232,'Rankings'!$E$6:$E$423,"&lt;="&amp;F232)</x:f>
        <x:v>7</x:v>
      </x:c>
      <x:c r="H232" s="2" t="n">
        <x:f>SUMIFS('Rankings'!$J$6:$J$423,'Rankings'!$A$6:$A$423,B232,'Rankings'!$E$6:$E$423,"&lt;="&amp;F232)</x:f>
        <x:v>7</x:v>
      </x:c>
      <x:c r="I232" s="2" t="n">
        <x:f>G232-SUMIFS('Rankings'!$I$6:$I$423,'Rankings'!$A$6:$A$423,B232,'Rankings'!$E$6:$E$423,"&lt;="&amp;F232)</x:f>
        <x:v>0</x:v>
      </x:c>
      <x:c r="J232" s="2" t="n">
        <x:f>SUMIFS('Ratings'!$H$6:$H$1387,'Ratings'!$B$6:$B$1387,C232)</x:f>
        <x:v>24</x:v>
      </x:c>
      <x:c r="K232" s="15" t="n">
        <x:f>IF(I232&gt;0,"Unknown",H232/F232)</x:f>
        <x:v>1</x:v>
      </x:c>
      <x:c r="L232" s="15" t="n">
        <x:f>IF(J232=0,"N/A",H232/J232)</x:f>
        <x:v>0.2916666666666667</x:v>
      </x:c>
      <x:c r="M232" s="14" t="n">
        <x:f>SUMIFS('Rankings'!$L$6:$L$423,'Rankings'!$A$6:$A$423,B232,'Rankings'!$E$6:$E$423,"&lt;="&amp;F232)</x:f>
        <x:v>25.465997475245235</x:v>
      </x:c>
      <x:c r="N232" s="14" t="n">
        <x:f>SUMIFS('Ideal ranking'!$H$6:$H$365,'Ideal ranking'!$A$6:$A$365,C232,'Ideal ranking'!$B$6:$B$365,"&lt;="&amp;F232)</x:f>
        <x:v>25.465997475245235</x:v>
      </x:c>
      <x:c r="O232" s="14" t="n">
        <x:f>IF(I232&gt;0,"Unknown",IF(N232=0,"N/A",M232/N232))</x:f>
        <x:v>1</x:v>
      </x:c>
      <x:c r="P232" s="15" t="n">
        <x:f>IF(G232=0,"N/A",IF(I232&gt;0,"Unknown",H232/G232))</x:f>
        <x:v>1</x:v>
      </x:c>
      <x:c r="Q232" s="2" t="n">
        <x:f>F232-G232</x:f>
        <x:v>0</x:v>
      </x:c>
    </x:row>
    <x:row r="233" ht="22" customHeight="1">
      <x:c r="A233" s="2" t="str">
        <x:v>S25-T01|8</x:v>
      </x:c>
      <x:c r="B233" s="2" t="str">
        <x:v>S25-T01</x:v>
      </x:c>
      <x:c r="C233" s="2" t="str">
        <x:v>S25</x:v>
      </x:c>
      <x:c r="D233" s="2" t="str">
        <x:v>Extension</x:v>
      </x:c>
      <x:c r="E233" s="2" t="n">
        <x:v>1</x:v>
      </x:c>
      <x:c r="F233" s="2" t="n">
        <x:v>8</x:v>
      </x:c>
      <x:c r="G233" s="2" t="n">
        <x:f>COUNTIFS('Rankings'!$A$6:$A$423,B233,'Rankings'!$E$6:$E$423,"&lt;="&amp;F233)</x:f>
        <x:v>8</x:v>
      </x:c>
      <x:c r="H233" s="2" t="n">
        <x:f>SUMIFS('Rankings'!$J$6:$J$423,'Rankings'!$A$6:$A$423,B233,'Rankings'!$E$6:$E$423,"&lt;="&amp;F233)</x:f>
        <x:v>8</x:v>
      </x:c>
      <x:c r="I233" s="2" t="n">
        <x:f>G233-SUMIFS('Rankings'!$I$6:$I$423,'Rankings'!$A$6:$A$423,B233,'Rankings'!$E$6:$E$423,"&lt;="&amp;F233)</x:f>
        <x:v>0</x:v>
      </x:c>
      <x:c r="J233" s="2" t="n">
        <x:f>SUMIFS('Ratings'!$H$6:$H$1387,'Ratings'!$B$6:$B$1387,C233)</x:f>
        <x:v>24</x:v>
      </x:c>
      <x:c r="K233" s="15" t="n">
        <x:f>IF(I233&gt;0,"Unknown",H233/F233)</x:f>
        <x:v>1</x:v>
      </x:c>
      <x:c r="L233" s="15" t="n">
        <x:f>IF(J233=0,"N/A",H233/J233)</x:f>
        <x:v>0.3333333333333333</x:v>
      </x:c>
      <x:c r="M233" s="14" t="n">
        <x:f>SUMIFS('Rankings'!$L$6:$L$423,'Rankings'!$A$6:$A$423,B233,'Rankings'!$E$6:$E$423,"&lt;="&amp;F233)</x:f>
        <x:v>27.674251612745337</x:v>
      </x:c>
      <x:c r="N233" s="14" t="n">
        <x:f>SUMIFS('Ideal ranking'!$H$6:$H$365,'Ideal ranking'!$A$6:$A$365,C233,'Ideal ranking'!$B$6:$B$365,"&lt;="&amp;F233)</x:f>
        <x:v>27.674251612745337</x:v>
      </x:c>
      <x:c r="O233" s="14" t="n">
        <x:f>IF(I233&gt;0,"Unknown",IF(N233=0,"N/A",M233/N233))</x:f>
        <x:v>1</x:v>
      </x:c>
      <x:c r="P233" s="15" t="n">
        <x:f>IF(G233=0,"N/A",IF(I233&gt;0,"Unknown",H233/G233))</x:f>
        <x:v>1</x:v>
      </x:c>
      <x:c r="Q233" s="2" t="n">
        <x:f>F233-G233</x:f>
        <x:v>0</x:v>
      </x:c>
    </x:row>
    <x:row r="234" ht="22" customHeight="1">
      <x:c r="A234" s="2" t="str">
        <x:v>S25-T01|9</x:v>
      </x:c>
      <x:c r="B234" s="2" t="str">
        <x:v>S25-T01</x:v>
      </x:c>
      <x:c r="C234" s="2" t="str">
        <x:v>S25</x:v>
      </x:c>
      <x:c r="D234" s="2" t="str">
        <x:v>Extension</x:v>
      </x:c>
      <x:c r="E234" s="2" t="n">
        <x:v>1</x:v>
      </x:c>
      <x:c r="F234" s="2" t="n">
        <x:v>9</x:v>
      </x:c>
      <x:c r="G234" s="2" t="n">
        <x:f>COUNTIFS('Rankings'!$A$6:$A$423,B234,'Rankings'!$E$6:$E$423,"&lt;="&amp;F234)</x:f>
        <x:v>9</x:v>
      </x:c>
      <x:c r="H234" s="2" t="n">
        <x:f>SUMIFS('Rankings'!$J$6:$J$423,'Rankings'!$A$6:$A$423,B234,'Rankings'!$E$6:$E$423,"&lt;="&amp;F234)</x:f>
        <x:v>9</x:v>
      </x:c>
      <x:c r="I234" s="2" t="n">
        <x:f>G234-SUMIFS('Rankings'!$I$6:$I$423,'Rankings'!$A$6:$A$423,B234,'Rankings'!$E$6:$E$423,"&lt;="&amp;F234)</x:f>
        <x:v>0</x:v>
      </x:c>
      <x:c r="J234" s="2" t="n">
        <x:f>SUMIFS('Ratings'!$H$6:$H$1387,'Ratings'!$B$6:$B$1387,C234)</x:f>
        <x:v>24</x:v>
      </x:c>
      <x:c r="K234" s="15" t="n">
        <x:f>IF(I234&gt;0,"Unknown",H234/F234)</x:f>
        <x:v>1</x:v>
      </x:c>
      <x:c r="L234" s="15" t="n">
        <x:f>IF(J234=0,"N/A",H234/J234)</x:f>
        <x:v>0.375</x:v>
      </x:c>
      <x:c r="M234" s="14" t="n">
        <x:f>SUMIFS('Rankings'!$L$6:$L$423,'Rankings'!$A$6:$A$423,B234,'Rankings'!$E$6:$E$423,"&lt;="&amp;F234)</x:f>
        <x:v>29.781461582393206</x:v>
      </x:c>
      <x:c r="N234" s="14" t="n">
        <x:f>SUMIFS('Ideal ranking'!$H$6:$H$365,'Ideal ranking'!$A$6:$A$365,C234,'Ideal ranking'!$B$6:$B$365,"&lt;="&amp;F234)</x:f>
        <x:v>29.781461582393206</x:v>
      </x:c>
      <x:c r="O234" s="14" t="n">
        <x:f>IF(I234&gt;0,"Unknown",IF(N234=0,"N/A",M234/N234))</x:f>
        <x:v>1</x:v>
      </x:c>
      <x:c r="P234" s="15" t="n">
        <x:f>IF(G234=0,"N/A",IF(I234&gt;0,"Unknown",H234/G234))</x:f>
        <x:v>1</x:v>
      </x:c>
      <x:c r="Q234" s="2" t="n">
        <x:f>F234-G234</x:f>
        <x:v>0</x:v>
      </x:c>
    </x:row>
    <x:row r="235" ht="22" customHeight="1">
      <x:c r="A235" s="2" t="str">
        <x:v>S25-T01|10</x:v>
      </x:c>
      <x:c r="B235" s="2" t="str">
        <x:v>S25-T01</x:v>
      </x:c>
      <x:c r="C235" s="2" t="str">
        <x:v>S25</x:v>
      </x:c>
      <x:c r="D235" s="2" t="str">
        <x:v>Extension</x:v>
      </x:c>
      <x:c r="E235" s="2" t="n">
        <x:v>1</x:v>
      </x:c>
      <x:c r="F235" s="2" t="n">
        <x:v>10</x:v>
      </x:c>
      <x:c r="G235" s="2" t="n">
        <x:f>COUNTIFS('Rankings'!$A$6:$A$423,B235,'Rankings'!$E$6:$E$423,"&lt;="&amp;F235)</x:f>
        <x:v>10</x:v>
      </x:c>
      <x:c r="H235" s="2" t="n">
        <x:f>SUMIFS('Rankings'!$J$6:$J$423,'Rankings'!$A$6:$A$423,B235,'Rankings'!$E$6:$E$423,"&lt;="&amp;F235)</x:f>
        <x:v>10</x:v>
      </x:c>
      <x:c r="I235" s="2" t="n">
        <x:f>G235-SUMIFS('Rankings'!$I$6:$I$423,'Rankings'!$A$6:$A$423,B235,'Rankings'!$E$6:$E$423,"&lt;="&amp;F235)</x:f>
        <x:v>0</x:v>
      </x:c>
      <x:c r="J235" s="2" t="n">
        <x:f>SUMIFS('Ratings'!$H$6:$H$1387,'Ratings'!$B$6:$B$1387,C235)</x:f>
        <x:v>24</x:v>
      </x:c>
      <x:c r="K235" s="15" t="n">
        <x:f>IF(I235&gt;0,"Unknown",H235/F235)</x:f>
        <x:v>1</x:v>
      </x:c>
      <x:c r="L235" s="15" t="n">
        <x:f>IF(J235=0,"N/A",H235/J235)</x:f>
        <x:v>0.4166666666666667</x:v>
      </x:c>
      <x:c r="M235" s="14" t="n">
        <x:f>SUMIFS('Rankings'!$L$6:$L$423,'Rankings'!$A$6:$A$423,B235,'Rankings'!$E$6:$E$423,"&lt;="&amp;F235)</x:f>
        <x:v>31.80491536661842</x:v>
      </x:c>
      <x:c r="N235" s="14" t="n">
        <x:f>SUMIFS('Ideal ranking'!$H$6:$H$365,'Ideal ranking'!$A$6:$A$365,C235,'Ideal ranking'!$B$6:$B$365,"&lt;="&amp;F235)</x:f>
        <x:v>31.80491536661842</x:v>
      </x:c>
      <x:c r="O235" s="14" t="n">
        <x:f>IF(I235&gt;0,"Unknown",IF(N235=0,"N/A",M235/N235))</x:f>
        <x:v>1</x:v>
      </x:c>
      <x:c r="P235" s="15" t="n">
        <x:f>IF(G235=0,"N/A",IF(I235&gt;0,"Unknown",H235/G235))</x:f>
        <x:v>1</x:v>
      </x:c>
      <x:c r="Q235" s="2" t="n">
        <x:f>F235-G235</x:f>
        <x:v>0</x:v>
      </x:c>
    </x:row>
    <x:row r="236" ht="22" customHeight="1">
      <x:c r="A236" s="2" t="str">
        <x:v>S26-T01|1</x:v>
      </x:c>
      <x:c r="B236" s="2" t="str">
        <x:v>S26-T01</x:v>
      </x:c>
      <x:c r="C236" s="2" t="str">
        <x:v>S26</x:v>
      </x:c>
      <x:c r="D236" s="2" t="str">
        <x:v>Extension</x:v>
      </x:c>
      <x:c r="E236" s="2" t="n">
        <x:v>1</x:v>
      </x:c>
      <x:c r="F236" s="2" t="n">
        <x:v>1</x:v>
      </x:c>
      <x:c r="G236" s="2" t="n">
        <x:f>COUNTIFS('Rankings'!$A$6:$A$423,B236,'Rankings'!$E$6:$E$423,"&lt;="&amp;F236)</x:f>
        <x:v>1</x:v>
      </x:c>
      <x:c r="H236" s="2" t="n">
        <x:f>SUMIFS('Rankings'!$J$6:$J$423,'Rankings'!$A$6:$A$423,B236,'Rankings'!$E$6:$E$423,"&lt;="&amp;F236)</x:f>
        <x:v>1</x:v>
      </x:c>
      <x:c r="I236" s="2" t="n">
        <x:f>G236-SUMIFS('Rankings'!$I$6:$I$423,'Rankings'!$A$6:$A$423,B236,'Rankings'!$E$6:$E$423,"&lt;="&amp;F236)</x:f>
        <x:v>0</x:v>
      </x:c>
      <x:c r="J236" s="2" t="n">
        <x:f>SUMIFS('Ratings'!$H$6:$H$1387,'Ratings'!$B$6:$B$1387,C236)</x:f>
        <x:v>3</x:v>
      </x:c>
      <x:c r="K236" s="15" t="n">
        <x:f>IF(I236&gt;0,"Unknown",H236/F236)</x:f>
        <x:v>1</x:v>
      </x:c>
      <x:c r="L236" s="15" t="n">
        <x:f>IF(J236=0,"N/A",H236/J236)</x:f>
        <x:v>0.3333333333333333</x:v>
      </x:c>
      <x:c r="M236" s="14" t="n">
        <x:f>SUMIFS('Rankings'!$L$6:$L$423,'Rankings'!$A$6:$A$423,B236,'Rankings'!$E$6:$E$423,"&lt;="&amp;F236)</x:f>
        <x:v>3</x:v>
      </x:c>
      <x:c r="N236" s="14" t="n">
        <x:f>SUMIFS('Ideal ranking'!$H$6:$H$365,'Ideal ranking'!$A$6:$A$365,C236,'Ideal ranking'!$B$6:$B$365,"&lt;="&amp;F236)</x:f>
        <x:v>3</x:v>
      </x:c>
      <x:c r="O236" s="14" t="n">
        <x:f>IF(I236&gt;0,"Unknown",IF(N236=0,"N/A",M236/N236))</x:f>
        <x:v>1</x:v>
      </x:c>
      <x:c r="P236" s="15" t="n">
        <x:f>IF(G236=0,"N/A",IF(I236&gt;0,"Unknown",H236/G236))</x:f>
        <x:v>1</x:v>
      </x:c>
      <x:c r="Q236" s="2" t="n">
        <x:f>F236-G236</x:f>
        <x:v>0</x:v>
      </x:c>
    </x:row>
    <x:row r="237" ht="22" customHeight="1">
      <x:c r="A237" s="2" t="str">
        <x:v>S26-T01|2</x:v>
      </x:c>
      <x:c r="B237" s="2" t="str">
        <x:v>S26-T01</x:v>
      </x:c>
      <x:c r="C237" s="2" t="str">
        <x:v>S26</x:v>
      </x:c>
      <x:c r="D237" s="2" t="str">
        <x:v>Extension</x:v>
      </x:c>
      <x:c r="E237" s="2" t="n">
        <x:v>1</x:v>
      </x:c>
      <x:c r="F237" s="2" t="n">
        <x:v>2</x:v>
      </x:c>
      <x:c r="G237" s="2" t="n">
        <x:f>COUNTIFS('Rankings'!$A$6:$A$423,B237,'Rankings'!$E$6:$E$423,"&lt;="&amp;F237)</x:f>
        <x:v>2</x:v>
      </x:c>
      <x:c r="H237" s="2" t="n">
        <x:f>SUMIFS('Rankings'!$J$6:$J$423,'Rankings'!$A$6:$A$423,B237,'Rankings'!$E$6:$E$423,"&lt;="&amp;F237)</x:f>
        <x:v>2</x:v>
      </x:c>
      <x:c r="I237" s="2" t="n">
        <x:f>G237-SUMIFS('Rankings'!$I$6:$I$423,'Rankings'!$A$6:$A$423,B237,'Rankings'!$E$6:$E$423,"&lt;="&amp;F237)</x:f>
        <x:v>0</x:v>
      </x:c>
      <x:c r="J237" s="2" t="n">
        <x:f>SUMIFS('Ratings'!$H$6:$H$1387,'Ratings'!$B$6:$B$1387,C237)</x:f>
        <x:v>3</x:v>
      </x:c>
      <x:c r="K237" s="15" t="n">
        <x:f>IF(I237&gt;0,"Unknown",H237/F237)</x:f>
        <x:v>1</x:v>
      </x:c>
      <x:c r="L237" s="15" t="n">
        <x:f>IF(J237=0,"N/A",H237/J237)</x:f>
        <x:v>0.6666666666666666</x:v>
      </x:c>
      <x:c r="M237" s="14" t="n">
        <x:f>SUMIFS('Rankings'!$L$6:$L$423,'Rankings'!$A$6:$A$423,B237,'Rankings'!$E$6:$E$423,"&lt;="&amp;F237)</x:f>
        <x:v>4.892789260714372</x:v>
      </x:c>
      <x:c r="N237" s="14" t="n">
        <x:f>SUMIFS('Ideal ranking'!$H$6:$H$365,'Ideal ranking'!$A$6:$A$365,C237,'Ideal ranking'!$B$6:$B$365,"&lt;="&amp;F237)</x:f>
        <x:v>4.892789260714372</x:v>
      </x:c>
      <x:c r="O237" s="14" t="n">
        <x:f>IF(I237&gt;0,"Unknown",IF(N237=0,"N/A",M237/N237))</x:f>
        <x:v>1</x:v>
      </x:c>
      <x:c r="P237" s="15" t="n">
        <x:f>IF(G237=0,"N/A",IF(I237&gt;0,"Unknown",H237/G237))</x:f>
        <x:v>1</x:v>
      </x:c>
      <x:c r="Q237" s="2" t="n">
        <x:f>F237-G237</x:f>
        <x:v>0</x:v>
      </x:c>
    </x:row>
    <x:row r="238" ht="22" customHeight="1">
      <x:c r="A238" s="2" t="str">
        <x:v>S26-T01|3</x:v>
      </x:c>
      <x:c r="B238" s="2" t="str">
        <x:v>S26-T01</x:v>
      </x:c>
      <x:c r="C238" s="2" t="str">
        <x:v>S26</x:v>
      </x:c>
      <x:c r="D238" s="2" t="str">
        <x:v>Extension</x:v>
      </x:c>
      <x:c r="E238" s="2" t="n">
        <x:v>1</x:v>
      </x:c>
      <x:c r="F238" s="2" t="n">
        <x:v>3</x:v>
      </x:c>
      <x:c r="G238" s="2" t="n">
        <x:f>COUNTIFS('Rankings'!$A$6:$A$423,B238,'Rankings'!$E$6:$E$423,"&lt;="&amp;F238)</x:f>
        <x:v>3</x:v>
      </x:c>
      <x:c r="H238" s="2" t="n">
        <x:f>SUMIFS('Rankings'!$J$6:$J$423,'Rankings'!$A$6:$A$423,B238,'Rankings'!$E$6:$E$423,"&lt;="&amp;F238)</x:f>
        <x:v>3</x:v>
      </x:c>
      <x:c r="I238" s="2" t="n">
        <x:f>G238-SUMIFS('Rankings'!$I$6:$I$423,'Rankings'!$A$6:$A$423,B238,'Rankings'!$E$6:$E$423,"&lt;="&amp;F238)</x:f>
        <x:v>0</x:v>
      </x:c>
      <x:c r="J238" s="2" t="n">
        <x:f>SUMIFS('Ratings'!$H$6:$H$1387,'Ratings'!$B$6:$B$1387,C238)</x:f>
        <x:v>3</x:v>
      </x:c>
      <x:c r="K238" s="15" t="n">
        <x:f>IF(I238&gt;0,"Unknown",H238/F238)</x:f>
        <x:v>1</x:v>
      </x:c>
      <x:c r="L238" s="15" t="n">
        <x:f>IF(J238=0,"N/A",H238/J238)</x:f>
        <x:v>1</x:v>
      </x:c>
      <x:c r="M238" s="14" t="n">
        <x:f>SUMIFS('Rankings'!$L$6:$L$423,'Rankings'!$A$6:$A$423,B238,'Rankings'!$E$6:$E$423,"&lt;="&amp;F238)</x:f>
        <x:v>6.392789260714372</x:v>
      </x:c>
      <x:c r="N238" s="14" t="n">
        <x:f>SUMIFS('Ideal ranking'!$H$6:$H$365,'Ideal ranking'!$A$6:$A$365,C238,'Ideal ranking'!$B$6:$B$365,"&lt;="&amp;F238)</x:f>
        <x:v>6.392789260714372</x:v>
      </x:c>
      <x:c r="O238" s="14" t="n">
        <x:f>IF(I238&gt;0,"Unknown",IF(N238=0,"N/A",M238/N238))</x:f>
        <x:v>1</x:v>
      </x:c>
      <x:c r="P238" s="15" t="n">
        <x:f>IF(G238=0,"N/A",IF(I238&gt;0,"Unknown",H238/G238))</x:f>
        <x:v>1</x:v>
      </x:c>
      <x:c r="Q238" s="2" t="n">
        <x:f>F238-G238</x:f>
        <x:v>0</x:v>
      </x:c>
    </x:row>
    <x:row r="239" ht="22" customHeight="1">
      <x:c r="A239" s="2" t="str">
        <x:v>S26-T01|4</x:v>
      </x:c>
      <x:c r="B239" s="2" t="str">
        <x:v>S26-T01</x:v>
      </x:c>
      <x:c r="C239" s="2" t="str">
        <x:v>S26</x:v>
      </x:c>
      <x:c r="D239" s="2" t="str">
        <x:v>Extension</x:v>
      </x:c>
      <x:c r="E239" s="2" t="n">
        <x:v>1</x:v>
      </x:c>
      <x:c r="F239" s="2" t="n">
        <x:v>4</x:v>
      </x:c>
      <x:c r="G239" s="2" t="n">
        <x:f>COUNTIFS('Rankings'!$A$6:$A$423,B239,'Rankings'!$E$6:$E$423,"&lt;="&amp;F239)</x:f>
        <x:v>4</x:v>
      </x:c>
      <x:c r="H239" s="2" t="n">
        <x:f>SUMIFS('Rankings'!$J$6:$J$423,'Rankings'!$A$6:$A$423,B239,'Rankings'!$E$6:$E$423,"&lt;="&amp;F239)</x:f>
        <x:v>3</x:v>
      </x:c>
      <x:c r="I239" s="2" t="n">
        <x:f>G239-SUMIFS('Rankings'!$I$6:$I$423,'Rankings'!$A$6:$A$423,B239,'Rankings'!$E$6:$E$423,"&lt;="&amp;F239)</x:f>
        <x:v>0</x:v>
      </x:c>
      <x:c r="J239" s="2" t="n">
        <x:f>SUMIFS('Ratings'!$H$6:$H$1387,'Ratings'!$B$6:$B$1387,C239)</x:f>
        <x:v>3</x:v>
      </x:c>
      <x:c r="K239" s="15" t="n">
        <x:f>IF(I239&gt;0,"Unknown",H239/F239)</x:f>
        <x:v>0.75</x:v>
      </x:c>
      <x:c r="L239" s="15" t="n">
        <x:f>IF(J239=0,"N/A",H239/J239)</x:f>
        <x:v>1</x:v>
      </x:c>
      <x:c r="M239" s="14" t="n">
        <x:f>SUMIFS('Rankings'!$L$6:$L$423,'Rankings'!$A$6:$A$423,B239,'Rankings'!$E$6:$E$423,"&lt;="&amp;F239)</x:f>
        <x:v>6.823465818787765</x:v>
      </x:c>
      <x:c r="N239" s="14" t="n">
        <x:f>SUMIFS('Ideal ranking'!$H$6:$H$365,'Ideal ranking'!$A$6:$A$365,C239,'Ideal ranking'!$B$6:$B$365,"&lt;="&amp;F239)</x:f>
        <x:v>6.823465818787765</x:v>
      </x:c>
      <x:c r="O239" s="14" t="n">
        <x:f>IF(I239&gt;0,"Unknown",IF(N239=0,"N/A",M239/N239))</x:f>
        <x:v>1</x:v>
      </x:c>
      <x:c r="P239" s="15" t="n">
        <x:f>IF(G239=0,"N/A",IF(I239&gt;0,"Unknown",H239/G239))</x:f>
        <x:v>0.75</x:v>
      </x:c>
      <x:c r="Q239" s="2" t="n">
        <x:f>F239-G239</x:f>
        <x:v>0</x:v>
      </x:c>
    </x:row>
    <x:row r="240" ht="22" customHeight="1">
      <x:c r="A240" s="2" t="str">
        <x:v>S26-T01|5</x:v>
      </x:c>
      <x:c r="B240" s="2" t="str">
        <x:v>S26-T01</x:v>
      </x:c>
      <x:c r="C240" s="2" t="str">
        <x:v>S26</x:v>
      </x:c>
      <x:c r="D240" s="2" t="str">
        <x:v>Extension</x:v>
      </x:c>
      <x:c r="E240" s="2" t="n">
        <x:v>1</x:v>
      </x:c>
      <x:c r="F240" s="2" t="n">
        <x:v>5</x:v>
      </x:c>
      <x:c r="G240" s="2" t="n">
        <x:f>COUNTIFS('Rankings'!$A$6:$A$423,B240,'Rankings'!$E$6:$E$423,"&lt;="&amp;F240)</x:f>
        <x:v>5</x:v>
      </x:c>
      <x:c r="H240" s="2" t="n">
        <x:f>SUMIFS('Rankings'!$J$6:$J$423,'Rankings'!$A$6:$A$423,B240,'Rankings'!$E$6:$E$423,"&lt;="&amp;F240)</x:f>
        <x:v>3</x:v>
      </x:c>
      <x:c r="I240" s="2" t="n">
        <x:f>G240-SUMIFS('Rankings'!$I$6:$I$423,'Rankings'!$A$6:$A$423,B240,'Rankings'!$E$6:$E$423,"&lt;="&amp;F240)</x:f>
        <x:v>0</x:v>
      </x:c>
      <x:c r="J240" s="2" t="n">
        <x:f>SUMIFS('Ratings'!$H$6:$H$1387,'Ratings'!$B$6:$B$1387,C240)</x:f>
        <x:v>3</x:v>
      </x:c>
      <x:c r="K240" s="15" t="n">
        <x:f>IF(I240&gt;0,"Unknown",H240/F240)</x:f>
        <x:v>0.6</x:v>
      </x:c>
      <x:c r="L240" s="15" t="n">
        <x:f>IF(J240=0,"N/A",H240/J240)</x:f>
        <x:v>1</x:v>
      </x:c>
      <x:c r="M240" s="14" t="n">
        <x:f>SUMIFS('Rankings'!$L$6:$L$423,'Rankings'!$A$6:$A$423,B240,'Rankings'!$E$6:$E$423,"&lt;="&amp;F240)</x:f>
        <x:v>7.210318626022307</x:v>
      </x:c>
      <x:c r="N240" s="14" t="n">
        <x:f>SUMIFS('Ideal ranking'!$H$6:$H$365,'Ideal ranking'!$A$6:$A$365,C240,'Ideal ranking'!$B$6:$B$365,"&lt;="&amp;F240)</x:f>
        <x:v>7.210318626022307</x:v>
      </x:c>
      <x:c r="O240" s="14" t="n">
        <x:f>IF(I240&gt;0,"Unknown",IF(N240=0,"N/A",M240/N240))</x:f>
        <x:v>1</x:v>
      </x:c>
      <x:c r="P240" s="15" t="n">
        <x:f>IF(G240=0,"N/A",IF(I240&gt;0,"Unknown",H240/G240))</x:f>
        <x:v>0.6</x:v>
      </x:c>
      <x:c r="Q240" s="2" t="n">
        <x:f>F240-G240</x:f>
        <x:v>0</x:v>
      </x:c>
    </x:row>
    <x:row r="241" ht="22" customHeight="1">
      <x:c r="A241" s="2" t="str">
        <x:v>S26-T01|6</x:v>
      </x:c>
      <x:c r="B241" s="2" t="str">
        <x:v>S26-T01</x:v>
      </x:c>
      <x:c r="C241" s="2" t="str">
        <x:v>S26</x:v>
      </x:c>
      <x:c r="D241" s="2" t="str">
        <x:v>Extension</x:v>
      </x:c>
      <x:c r="E241" s="2" t="n">
        <x:v>1</x:v>
      </x:c>
      <x:c r="F241" s="2" t="n">
        <x:v>6</x:v>
      </x:c>
      <x:c r="G241" s="2" t="n">
        <x:f>COUNTIFS('Rankings'!$A$6:$A$423,B241,'Rankings'!$E$6:$E$423,"&lt;="&amp;F241)</x:f>
        <x:v>6</x:v>
      </x:c>
      <x:c r="H241" s="2" t="n">
        <x:f>SUMIFS('Rankings'!$J$6:$J$423,'Rankings'!$A$6:$A$423,B241,'Rankings'!$E$6:$E$423,"&lt;="&amp;F241)</x:f>
        <x:v>3</x:v>
      </x:c>
      <x:c r="I241" s="2" t="n">
        <x:f>G241-SUMIFS('Rankings'!$I$6:$I$423,'Rankings'!$A$6:$A$423,B241,'Rankings'!$E$6:$E$423,"&lt;="&amp;F241)</x:f>
        <x:v>0</x:v>
      </x:c>
      <x:c r="J241" s="2" t="n">
        <x:f>SUMIFS('Ratings'!$H$6:$H$1387,'Ratings'!$B$6:$B$1387,C241)</x:f>
        <x:v>3</x:v>
      </x:c>
      <x:c r="K241" s="15" t="n">
        <x:f>IF(I241&gt;0,"Unknown",H241/F241)</x:f>
        <x:v>0.5</x:v>
      </x:c>
      <x:c r="L241" s="15" t="n">
        <x:f>IF(J241=0,"N/A",H241/J241)</x:f>
        <x:v>1</x:v>
      </x:c>
      <x:c r="M241" s="14" t="n">
        <x:f>SUMIFS('Rankings'!$L$6:$L$423,'Rankings'!$A$6:$A$423,B241,'Rankings'!$E$6:$E$423,"&lt;="&amp;F241)</x:f>
        <x:v>7.566525813130329</x:v>
      </x:c>
      <x:c r="N241" s="14" t="n">
        <x:f>SUMIFS('Ideal ranking'!$H$6:$H$365,'Ideal ranking'!$A$6:$A$365,C241,'Ideal ranking'!$B$6:$B$365,"&lt;="&amp;F241)</x:f>
        <x:v>7.566525813130329</x:v>
      </x:c>
      <x:c r="O241" s="14" t="n">
        <x:f>IF(I241&gt;0,"Unknown",IF(N241=0,"N/A",M241/N241))</x:f>
        <x:v>1</x:v>
      </x:c>
      <x:c r="P241" s="15" t="n">
        <x:f>IF(G241=0,"N/A",IF(I241&gt;0,"Unknown",H241/G241))</x:f>
        <x:v>0.5</x:v>
      </x:c>
      <x:c r="Q241" s="2" t="n">
        <x:f>F241-G241</x:f>
        <x:v>0</x:v>
      </x:c>
    </x:row>
    <x:row r="242" ht="22" customHeight="1">
      <x:c r="A242" s="2" t="str">
        <x:v>S26-T01|7</x:v>
      </x:c>
      <x:c r="B242" s="2" t="str">
        <x:v>S26-T01</x:v>
      </x:c>
      <x:c r="C242" s="2" t="str">
        <x:v>S26</x:v>
      </x:c>
      <x:c r="D242" s="2" t="str">
        <x:v>Extension</x:v>
      </x:c>
      <x:c r="E242" s="2" t="n">
        <x:v>1</x:v>
      </x:c>
      <x:c r="F242" s="2" t="n">
        <x:v>7</x:v>
      </x:c>
      <x:c r="G242" s="2" t="n">
        <x:f>COUNTIFS('Rankings'!$A$6:$A$423,B242,'Rankings'!$E$6:$E$423,"&lt;="&amp;F242)</x:f>
        <x:v>7</x:v>
      </x:c>
      <x:c r="H242" s="2" t="n">
        <x:f>SUMIFS('Rankings'!$J$6:$J$423,'Rankings'!$A$6:$A$423,B242,'Rankings'!$E$6:$E$423,"&lt;="&amp;F242)</x:f>
        <x:v>3</x:v>
      </x:c>
      <x:c r="I242" s="2" t="n">
        <x:f>G242-SUMIFS('Rankings'!$I$6:$I$423,'Rankings'!$A$6:$A$423,B242,'Rankings'!$E$6:$E$423,"&lt;="&amp;F242)</x:f>
        <x:v>0</x:v>
      </x:c>
      <x:c r="J242" s="2" t="n">
        <x:f>SUMIFS('Ratings'!$H$6:$H$1387,'Ratings'!$B$6:$B$1387,C242)</x:f>
        <x:v>3</x:v>
      </x:c>
      <x:c r="K242" s="15" t="n">
        <x:f>IF(I242&gt;0,"Unknown",H242/F242)</x:f>
        <x:v>0.42857142857142855</x:v>
      </x:c>
      <x:c r="L242" s="15" t="n">
        <x:f>IF(J242=0,"N/A",H242/J242)</x:f>
        <x:v>1</x:v>
      </x:c>
      <x:c r="M242" s="14" t="n">
        <x:f>SUMIFS('Rankings'!$L$6:$L$423,'Rankings'!$A$6:$A$423,B242,'Rankings'!$E$6:$E$423,"&lt;="&amp;F242)</x:f>
        <x:v>7.899859146463662</x:v>
      </x:c>
      <x:c r="N242" s="14" t="n">
        <x:f>SUMIFS('Ideal ranking'!$H$6:$H$365,'Ideal ranking'!$A$6:$A$365,C242,'Ideal ranking'!$B$6:$B$365,"&lt;="&amp;F242)</x:f>
        <x:v>7.899859146463662</x:v>
      </x:c>
      <x:c r="O242" s="14" t="n">
        <x:f>IF(I242&gt;0,"Unknown",IF(N242=0,"N/A",M242/N242))</x:f>
        <x:v>1</x:v>
      </x:c>
      <x:c r="P242" s="15" t="n">
        <x:f>IF(G242=0,"N/A",IF(I242&gt;0,"Unknown",H242/G242))</x:f>
        <x:v>0.42857142857142855</x:v>
      </x:c>
      <x:c r="Q242" s="2" t="n">
        <x:f>F242-G242</x:f>
        <x:v>0</x:v>
      </x:c>
    </x:row>
    <x:row r="243" ht="22" customHeight="1">
      <x:c r="A243" s="2" t="str">
        <x:v>S26-T01|8</x:v>
      </x:c>
      <x:c r="B243" s="2" t="str">
        <x:v>S26-T01</x:v>
      </x:c>
      <x:c r="C243" s="2" t="str">
        <x:v>S26</x:v>
      </x:c>
      <x:c r="D243" s="2" t="str">
        <x:v>Extension</x:v>
      </x:c>
      <x:c r="E243" s="2" t="n">
        <x:v>1</x:v>
      </x:c>
      <x:c r="F243" s="2" t="n">
        <x:v>8</x:v>
      </x:c>
      <x:c r="G243" s="2" t="n">
        <x:f>COUNTIFS('Rankings'!$A$6:$A$423,B243,'Rankings'!$E$6:$E$423,"&lt;="&amp;F243)</x:f>
        <x:v>8</x:v>
      </x:c>
      <x:c r="H243" s="2" t="n">
        <x:f>SUMIFS('Rankings'!$J$6:$J$423,'Rankings'!$A$6:$A$423,B243,'Rankings'!$E$6:$E$423,"&lt;="&amp;F243)</x:f>
        <x:v>3</x:v>
      </x:c>
      <x:c r="I243" s="2" t="n">
        <x:f>G243-SUMIFS('Rankings'!$I$6:$I$423,'Rankings'!$A$6:$A$423,B243,'Rankings'!$E$6:$E$423,"&lt;="&amp;F243)</x:f>
        <x:v>0</x:v>
      </x:c>
      <x:c r="J243" s="2" t="n">
        <x:f>SUMIFS('Ratings'!$H$6:$H$1387,'Ratings'!$B$6:$B$1387,C243)</x:f>
        <x:v>3</x:v>
      </x:c>
      <x:c r="K243" s="15" t="n">
        <x:f>IF(I243&gt;0,"Unknown",H243/F243)</x:f>
        <x:v>0.375</x:v>
      </x:c>
      <x:c r="L243" s="15" t="n">
        <x:f>IF(J243=0,"N/A",H243/J243)</x:f>
        <x:v>1</x:v>
      </x:c>
      <x:c r="M243" s="14" t="n">
        <x:f>SUMIFS('Rankings'!$L$6:$L$423,'Rankings'!$A$6:$A$423,B243,'Rankings'!$E$6:$E$423,"&lt;="&amp;F243)</x:f>
        <x:v>8.21532402324939</x:v>
      </x:c>
      <x:c r="N243" s="14" t="n">
        <x:f>SUMIFS('Ideal ranking'!$H$6:$H$365,'Ideal ranking'!$A$6:$A$365,C243,'Ideal ranking'!$B$6:$B$365,"&lt;="&amp;F243)</x:f>
        <x:v>8.21532402324939</x:v>
      </x:c>
      <x:c r="O243" s="14" t="n">
        <x:f>IF(I243&gt;0,"Unknown",IF(N243=0,"N/A",M243/N243))</x:f>
        <x:v>1</x:v>
      </x:c>
      <x:c r="P243" s="15" t="n">
        <x:f>IF(G243=0,"N/A",IF(I243&gt;0,"Unknown",H243/G243))</x:f>
        <x:v>0.375</x:v>
      </x:c>
      <x:c r="Q243" s="2" t="n">
        <x:f>F243-G243</x:f>
        <x:v>0</x:v>
      </x:c>
    </x:row>
    <x:row r="244" ht="22" customHeight="1">
      <x:c r="A244" s="2" t="str">
        <x:v>S26-T01|9</x:v>
      </x:c>
      <x:c r="B244" s="2" t="str">
        <x:v>S26-T01</x:v>
      </x:c>
      <x:c r="C244" s="2" t="str">
        <x:v>S26</x:v>
      </x:c>
      <x:c r="D244" s="2" t="str">
        <x:v>Extension</x:v>
      </x:c>
      <x:c r="E244" s="2" t="n">
        <x:v>1</x:v>
      </x:c>
      <x:c r="F244" s="2" t="n">
        <x:v>9</x:v>
      </x:c>
      <x:c r="G244" s="2" t="n">
        <x:f>COUNTIFS('Rankings'!$A$6:$A$423,B244,'Rankings'!$E$6:$E$423,"&lt;="&amp;F244)</x:f>
        <x:v>9</x:v>
      </x:c>
      <x:c r="H244" s="2" t="n">
        <x:f>SUMIFS('Rankings'!$J$6:$J$423,'Rankings'!$A$6:$A$423,B244,'Rankings'!$E$6:$E$423,"&lt;="&amp;F244)</x:f>
        <x:v>3</x:v>
      </x:c>
      <x:c r="I244" s="2" t="n">
        <x:f>G244-SUMIFS('Rankings'!$I$6:$I$423,'Rankings'!$A$6:$A$423,B244,'Rankings'!$E$6:$E$423,"&lt;="&amp;F244)</x:f>
        <x:v>0</x:v>
      </x:c>
      <x:c r="J244" s="2" t="n">
        <x:f>SUMIFS('Ratings'!$H$6:$H$1387,'Ratings'!$B$6:$B$1387,C244)</x:f>
        <x:v>3</x:v>
      </x:c>
      <x:c r="K244" s="15" t="n">
        <x:f>IF(I244&gt;0,"Unknown",H244/F244)</x:f>
        <x:v>0.3333333333333333</x:v>
      </x:c>
      <x:c r="L244" s="15" t="n">
        <x:f>IF(J244=0,"N/A",H244/J244)</x:f>
        <x:v>1</x:v>
      </x:c>
      <x:c r="M244" s="14" t="n">
        <x:f>SUMIFS('Rankings'!$L$6:$L$423,'Rankings'!$A$6:$A$423,B244,'Rankings'!$E$6:$E$423,"&lt;="&amp;F244)</x:f>
        <x:v>8.516354018913372</x:v>
      </x:c>
      <x:c r="N244" s="14" t="n">
        <x:f>SUMIFS('Ideal ranking'!$H$6:$H$365,'Ideal ranking'!$A$6:$A$365,C244,'Ideal ranking'!$B$6:$B$365,"&lt;="&amp;F244)</x:f>
        <x:v>8.516354018913372</x:v>
      </x:c>
      <x:c r="O244" s="14" t="n">
        <x:f>IF(I244&gt;0,"Unknown",IF(N244=0,"N/A",M244/N244))</x:f>
        <x:v>1</x:v>
      </x:c>
      <x:c r="P244" s="15" t="n">
        <x:f>IF(G244=0,"N/A",IF(I244&gt;0,"Unknown",H244/G244))</x:f>
        <x:v>0.3333333333333333</x:v>
      </x:c>
      <x:c r="Q244" s="2" t="n">
        <x:f>F244-G244</x:f>
        <x:v>0</x:v>
      </x:c>
    </x:row>
    <x:row r="245" ht="22" customHeight="1">
      <x:c r="A245" s="2" t="str">
        <x:v>S26-T01|10</x:v>
      </x:c>
      <x:c r="B245" s="2" t="str">
        <x:v>S26-T01</x:v>
      </x:c>
      <x:c r="C245" s="2" t="str">
        <x:v>S26</x:v>
      </x:c>
      <x:c r="D245" s="2" t="str">
        <x:v>Extension</x:v>
      </x:c>
      <x:c r="E245" s="2" t="n">
        <x:v>1</x:v>
      </x:c>
      <x:c r="F245" s="2" t="n">
        <x:v>10</x:v>
      </x:c>
      <x:c r="G245" s="2" t="n">
        <x:f>COUNTIFS('Rankings'!$A$6:$A$423,B245,'Rankings'!$E$6:$E$423,"&lt;="&amp;F245)</x:f>
        <x:v>10</x:v>
      </x:c>
      <x:c r="H245" s="2" t="n">
        <x:f>SUMIFS('Rankings'!$J$6:$J$423,'Rankings'!$A$6:$A$423,B245,'Rankings'!$E$6:$E$423,"&lt;="&amp;F245)</x:f>
        <x:v>3</x:v>
      </x:c>
      <x:c r="I245" s="2" t="n">
        <x:f>G245-SUMIFS('Rankings'!$I$6:$I$423,'Rankings'!$A$6:$A$423,B245,'Rankings'!$E$6:$E$423,"&lt;="&amp;F245)</x:f>
        <x:v>0</x:v>
      </x:c>
      <x:c r="J245" s="2" t="n">
        <x:f>SUMIFS('Ratings'!$H$6:$H$1387,'Ratings'!$B$6:$B$1387,C245)</x:f>
        <x:v>3</x:v>
      </x:c>
      <x:c r="K245" s="15" t="n">
        <x:f>IF(I245&gt;0,"Unknown",H245/F245)</x:f>
        <x:v>0.3</x:v>
      </x:c>
      <x:c r="L245" s="15" t="n">
        <x:f>IF(J245=0,"N/A",H245/J245)</x:f>
        <x:v>1</x:v>
      </x:c>
      <x:c r="M245" s="14" t="n">
        <x:f>SUMIFS('Rankings'!$L$6:$L$423,'Rankings'!$A$6:$A$423,B245,'Rankings'!$E$6:$E$423,"&lt;="&amp;F245)</x:f>
        <x:v>8.80541884523126</x:v>
      </x:c>
      <x:c r="N245" s="14" t="n">
        <x:f>SUMIFS('Ideal ranking'!$H$6:$H$365,'Ideal ranking'!$A$6:$A$365,C245,'Ideal ranking'!$B$6:$B$365,"&lt;="&amp;F245)</x:f>
        <x:v>8.80541884523126</x:v>
      </x:c>
      <x:c r="O245" s="14" t="n">
        <x:f>IF(I245&gt;0,"Unknown",IF(N245=0,"N/A",M245/N245))</x:f>
        <x:v>1</x:v>
      </x:c>
      <x:c r="P245" s="15" t="n">
        <x:f>IF(G245=0,"N/A",IF(I245&gt;0,"Unknown",H245/G245))</x:f>
        <x:v>0.3</x:v>
      </x:c>
      <x:c r="Q245" s="2" t="n">
        <x:f>F245-G245</x:f>
        <x:v>0</x:v>
      </x:c>
    </x:row>
    <x:row r="246" ht="22" customHeight="1">
      <x:c r="A246" s="2" t="str">
        <x:v>S27-T01|1</x:v>
      </x:c>
      <x:c r="B246" s="2" t="str">
        <x:v>S27-T01</x:v>
      </x:c>
      <x:c r="C246" s="2" t="str">
        <x:v>S27</x:v>
      </x:c>
      <x:c r="D246" s="2" t="str">
        <x:v>Extension</x:v>
      </x:c>
      <x:c r="E246" s="2" t="n">
        <x:v>1</x:v>
      </x:c>
      <x:c r="F246" s="2" t="n">
        <x:v>1</x:v>
      </x:c>
      <x:c r="G246" s="2" t="n">
        <x:f>COUNTIFS('Rankings'!$A$6:$A$423,B246,'Rankings'!$E$6:$E$423,"&lt;="&amp;F246)</x:f>
        <x:v>1</x:v>
      </x:c>
      <x:c r="H246" s="2" t="n">
        <x:f>SUMIFS('Rankings'!$J$6:$J$423,'Rankings'!$A$6:$A$423,B246,'Rankings'!$E$6:$E$423,"&lt;="&amp;F246)</x:f>
        <x:v>1</x:v>
      </x:c>
      <x:c r="I246" s="2" t="n">
        <x:f>G246-SUMIFS('Rankings'!$I$6:$I$423,'Rankings'!$A$6:$A$423,B246,'Rankings'!$E$6:$E$423,"&lt;="&amp;F246)</x:f>
        <x:v>0</x:v>
      </x:c>
      <x:c r="J246" s="2" t="n">
        <x:f>SUMIFS('Ratings'!$H$6:$H$1387,'Ratings'!$B$6:$B$1387,C246)</x:f>
        <x:v>46</x:v>
      </x:c>
      <x:c r="K246" s="15" t="n">
        <x:f>IF(I246&gt;0,"Unknown",H246/F246)</x:f>
        <x:v>1</x:v>
      </x:c>
      <x:c r="L246" s="15" t="n">
        <x:f>IF(J246=0,"N/A",H246/J246)</x:f>
        <x:v>0.021739130434782608</x:v>
      </x:c>
      <x:c r="M246" s="14" t="n">
        <x:f>SUMIFS('Rankings'!$L$6:$L$423,'Rankings'!$A$6:$A$423,B246,'Rankings'!$E$6:$E$423,"&lt;="&amp;F246)</x:f>
        <x:v>7</x:v>
      </x:c>
      <x:c r="N246" s="14" t="n">
        <x:f>SUMIFS('Ideal ranking'!$H$6:$H$365,'Ideal ranking'!$A$6:$A$365,C246,'Ideal ranking'!$B$6:$B$365,"&lt;="&amp;F246)</x:f>
        <x:v>7</x:v>
      </x:c>
      <x:c r="O246" s="14" t="n">
        <x:f>IF(I246&gt;0,"Unknown",IF(N246=0,"N/A",M246/N246))</x:f>
        <x:v>1</x:v>
      </x:c>
      <x:c r="P246" s="15" t="n">
        <x:f>IF(G246=0,"N/A",IF(I246&gt;0,"Unknown",H246/G246))</x:f>
        <x:v>1</x:v>
      </x:c>
      <x:c r="Q246" s="2" t="n">
        <x:f>F246-G246</x:f>
        <x:v>0</x:v>
      </x:c>
    </x:row>
    <x:row r="247" ht="22" customHeight="1">
      <x:c r="A247" s="2" t="str">
        <x:v>S27-T01|2</x:v>
      </x:c>
      <x:c r="B247" s="2" t="str">
        <x:v>S27-T01</x:v>
      </x:c>
      <x:c r="C247" s="2" t="str">
        <x:v>S27</x:v>
      </x:c>
      <x:c r="D247" s="2" t="str">
        <x:v>Extension</x:v>
      </x:c>
      <x:c r="E247" s="2" t="n">
        <x:v>1</x:v>
      </x:c>
      <x:c r="F247" s="2" t="n">
        <x:v>2</x:v>
      </x:c>
      <x:c r="G247" s="2" t="n">
        <x:f>COUNTIFS('Rankings'!$A$6:$A$423,B247,'Rankings'!$E$6:$E$423,"&lt;="&amp;F247)</x:f>
        <x:v>2</x:v>
      </x:c>
      <x:c r="H247" s="2" t="n">
        <x:f>SUMIFS('Rankings'!$J$6:$J$423,'Rankings'!$A$6:$A$423,B247,'Rankings'!$E$6:$E$423,"&lt;="&amp;F247)</x:f>
        <x:v>2</x:v>
      </x:c>
      <x:c r="I247" s="2" t="n">
        <x:f>G247-SUMIFS('Rankings'!$I$6:$I$423,'Rankings'!$A$6:$A$423,B247,'Rankings'!$E$6:$E$423,"&lt;="&amp;F247)</x:f>
        <x:v>0</x:v>
      </x:c>
      <x:c r="J247" s="2" t="n">
        <x:f>SUMIFS('Ratings'!$H$6:$H$1387,'Ratings'!$B$6:$B$1387,C247)</x:f>
        <x:v>46</x:v>
      </x:c>
      <x:c r="K247" s="15" t="n">
        <x:f>IF(I247&gt;0,"Unknown",H247/F247)</x:f>
        <x:v>1</x:v>
      </x:c>
      <x:c r="L247" s="15" t="n">
        <x:f>IF(J247=0,"N/A",H247/J247)</x:f>
        <x:v>0.043478260869565216</x:v>
      </x:c>
      <x:c r="M247" s="14" t="n">
        <x:f>SUMIFS('Rankings'!$L$6:$L$423,'Rankings'!$A$6:$A$423,B247,'Rankings'!$E$6:$E$423,"&lt;="&amp;F247)</x:f>
        <x:v>11.416508275000202</x:v>
      </x:c>
      <x:c r="N247" s="14" t="n">
        <x:f>SUMIFS('Ideal ranking'!$H$6:$H$365,'Ideal ranking'!$A$6:$A$365,C247,'Ideal ranking'!$B$6:$B$365,"&lt;="&amp;F247)</x:f>
        <x:v>11.416508275000202</x:v>
      </x:c>
      <x:c r="O247" s="14" t="n">
        <x:f>IF(I247&gt;0,"Unknown",IF(N247=0,"N/A",M247/N247))</x:f>
        <x:v>1</x:v>
      </x:c>
      <x:c r="P247" s="15" t="n">
        <x:f>IF(G247=0,"N/A",IF(I247&gt;0,"Unknown",H247/G247))</x:f>
        <x:v>1</x:v>
      </x:c>
      <x:c r="Q247" s="2" t="n">
        <x:f>F247-G247</x:f>
        <x:v>0</x:v>
      </x:c>
    </x:row>
    <x:row r="248" ht="22" customHeight="1">
      <x:c r="A248" s="2" t="str">
        <x:v>S27-T01|3</x:v>
      </x:c>
      <x:c r="B248" s="2" t="str">
        <x:v>S27-T01</x:v>
      </x:c>
      <x:c r="C248" s="2" t="str">
        <x:v>S27</x:v>
      </x:c>
      <x:c r="D248" s="2" t="str">
        <x:v>Extension</x:v>
      </x:c>
      <x:c r="E248" s="2" t="n">
        <x:v>1</x:v>
      </x:c>
      <x:c r="F248" s="2" t="n">
        <x:v>3</x:v>
      </x:c>
      <x:c r="G248" s="2" t="n">
        <x:f>COUNTIFS('Rankings'!$A$6:$A$423,B248,'Rankings'!$E$6:$E$423,"&lt;="&amp;F248)</x:f>
        <x:v>3</x:v>
      </x:c>
      <x:c r="H248" s="2" t="n">
        <x:f>SUMIFS('Rankings'!$J$6:$J$423,'Rankings'!$A$6:$A$423,B248,'Rankings'!$E$6:$E$423,"&lt;="&amp;F248)</x:f>
        <x:v>3</x:v>
      </x:c>
      <x:c r="I248" s="2" t="n">
        <x:f>G248-SUMIFS('Rankings'!$I$6:$I$423,'Rankings'!$A$6:$A$423,B248,'Rankings'!$E$6:$E$423,"&lt;="&amp;F248)</x:f>
        <x:v>0</x:v>
      </x:c>
      <x:c r="J248" s="2" t="n">
        <x:f>SUMIFS('Ratings'!$H$6:$H$1387,'Ratings'!$B$6:$B$1387,C248)</x:f>
        <x:v>46</x:v>
      </x:c>
      <x:c r="K248" s="15" t="n">
        <x:f>IF(I248&gt;0,"Unknown",H248/F248)</x:f>
        <x:v>1</x:v>
      </x:c>
      <x:c r="L248" s="15" t="n">
        <x:f>IF(J248=0,"N/A",H248/J248)</x:f>
        <x:v>0.06521739130434782</x:v>
      </x:c>
      <x:c r="M248" s="14" t="n">
        <x:f>SUMIFS('Rankings'!$L$6:$L$423,'Rankings'!$A$6:$A$423,B248,'Rankings'!$E$6:$E$423,"&lt;="&amp;F248)</x:f>
        <x:v>14.916508275000202</x:v>
      </x:c>
      <x:c r="N248" s="14" t="n">
        <x:f>SUMIFS('Ideal ranking'!$H$6:$H$365,'Ideal ranking'!$A$6:$A$365,C248,'Ideal ranking'!$B$6:$B$365,"&lt;="&amp;F248)</x:f>
        <x:v>14.916508275000202</x:v>
      </x:c>
      <x:c r="O248" s="14" t="n">
        <x:f>IF(I248&gt;0,"Unknown",IF(N248=0,"N/A",M248/N248))</x:f>
        <x:v>1</x:v>
      </x:c>
      <x:c r="P248" s="15" t="n">
        <x:f>IF(G248=0,"N/A",IF(I248&gt;0,"Unknown",H248/G248))</x:f>
        <x:v>1</x:v>
      </x:c>
      <x:c r="Q248" s="2" t="n">
        <x:f>F248-G248</x:f>
        <x:v>0</x:v>
      </x:c>
    </x:row>
    <x:row r="249" ht="22" customHeight="1">
      <x:c r="A249" s="2" t="str">
        <x:v>S27-T01|4</x:v>
      </x:c>
      <x:c r="B249" s="2" t="str">
        <x:v>S27-T01</x:v>
      </x:c>
      <x:c r="C249" s="2" t="str">
        <x:v>S27</x:v>
      </x:c>
      <x:c r="D249" s="2" t="str">
        <x:v>Extension</x:v>
      </x:c>
      <x:c r="E249" s="2" t="n">
        <x:v>1</x:v>
      </x:c>
      <x:c r="F249" s="2" t="n">
        <x:v>4</x:v>
      </x:c>
      <x:c r="G249" s="2" t="n">
        <x:f>COUNTIFS('Rankings'!$A$6:$A$423,B249,'Rankings'!$E$6:$E$423,"&lt;="&amp;F249)</x:f>
        <x:v>4</x:v>
      </x:c>
      <x:c r="H249" s="2" t="n">
        <x:f>SUMIFS('Rankings'!$J$6:$J$423,'Rankings'!$A$6:$A$423,B249,'Rankings'!$E$6:$E$423,"&lt;="&amp;F249)</x:f>
        <x:v>4</x:v>
      </x:c>
      <x:c r="I249" s="2" t="n">
        <x:f>G249-SUMIFS('Rankings'!$I$6:$I$423,'Rankings'!$A$6:$A$423,B249,'Rankings'!$E$6:$E$423,"&lt;="&amp;F249)</x:f>
        <x:v>0</x:v>
      </x:c>
      <x:c r="J249" s="2" t="n">
        <x:f>SUMIFS('Ratings'!$H$6:$H$1387,'Ratings'!$B$6:$B$1387,C249)</x:f>
        <x:v>46</x:v>
      </x:c>
      <x:c r="K249" s="15" t="n">
        <x:f>IF(I249&gt;0,"Unknown",H249/F249)</x:f>
        <x:v>1</x:v>
      </x:c>
      <x:c r="L249" s="15" t="n">
        <x:f>IF(J249=0,"N/A",H249/J249)</x:f>
        <x:v>0.08695652173913043</x:v>
      </x:c>
      <x:c r="M249" s="14" t="n">
        <x:f>SUMIFS('Rankings'!$L$6:$L$423,'Rankings'!$A$6:$A$423,B249,'Rankings'!$E$6:$E$423,"&lt;="&amp;F249)</x:f>
        <x:v>17.931244181513954</x:v>
      </x:c>
      <x:c r="N249" s="14" t="n">
        <x:f>SUMIFS('Ideal ranking'!$H$6:$H$365,'Ideal ranking'!$A$6:$A$365,C249,'Ideal ranking'!$B$6:$B$365,"&lt;="&amp;F249)</x:f>
        <x:v>17.931244181513954</x:v>
      </x:c>
      <x:c r="O249" s="14" t="n">
        <x:f>IF(I249&gt;0,"Unknown",IF(N249=0,"N/A",M249/N249))</x:f>
        <x:v>1</x:v>
      </x:c>
      <x:c r="P249" s="15" t="n">
        <x:f>IF(G249=0,"N/A",IF(I249&gt;0,"Unknown",H249/G249))</x:f>
        <x:v>1</x:v>
      </x:c>
      <x:c r="Q249" s="2" t="n">
        <x:f>F249-G249</x:f>
        <x:v>0</x:v>
      </x:c>
    </x:row>
    <x:row r="250" ht="22" customHeight="1">
      <x:c r="A250" s="2" t="str">
        <x:v>S27-T01|5</x:v>
      </x:c>
      <x:c r="B250" s="2" t="str">
        <x:v>S27-T01</x:v>
      </x:c>
      <x:c r="C250" s="2" t="str">
        <x:v>S27</x:v>
      </x:c>
      <x:c r="D250" s="2" t="str">
        <x:v>Extension</x:v>
      </x:c>
      <x:c r="E250" s="2" t="n">
        <x:v>1</x:v>
      </x:c>
      <x:c r="F250" s="2" t="n">
        <x:v>5</x:v>
      </x:c>
      <x:c r="G250" s="2" t="n">
        <x:f>COUNTIFS('Rankings'!$A$6:$A$423,B250,'Rankings'!$E$6:$E$423,"&lt;="&amp;F250)</x:f>
        <x:v>5</x:v>
      </x:c>
      <x:c r="H250" s="2" t="n">
        <x:f>SUMIFS('Rankings'!$J$6:$J$423,'Rankings'!$A$6:$A$423,B250,'Rankings'!$E$6:$E$423,"&lt;="&amp;F250)</x:f>
        <x:v>5</x:v>
      </x:c>
      <x:c r="I250" s="2" t="n">
        <x:f>G250-SUMIFS('Rankings'!$I$6:$I$423,'Rankings'!$A$6:$A$423,B250,'Rankings'!$E$6:$E$423,"&lt;="&amp;F250)</x:f>
        <x:v>0</x:v>
      </x:c>
      <x:c r="J250" s="2" t="n">
        <x:f>SUMIFS('Ratings'!$H$6:$H$1387,'Ratings'!$B$6:$B$1387,C250)</x:f>
        <x:v>46</x:v>
      </x:c>
      <x:c r="K250" s="15" t="n">
        <x:f>IF(I250&gt;0,"Unknown",H250/F250)</x:f>
        <x:v>1</x:v>
      </x:c>
      <x:c r="L250" s="15" t="n">
        <x:f>IF(J250=0,"N/A",H250/J250)</x:f>
        <x:v>0.10869565217391304</x:v>
      </x:c>
      <x:c r="M250" s="14" t="n">
        <x:f>SUMIFS('Rankings'!$L$6:$L$423,'Rankings'!$A$6:$A$423,B250,'Rankings'!$E$6:$E$423,"&lt;="&amp;F250)</x:f>
        <x:v>20.639213832155747</x:v>
      </x:c>
      <x:c r="N250" s="14" t="n">
        <x:f>SUMIFS('Ideal ranking'!$H$6:$H$365,'Ideal ranking'!$A$6:$A$365,C250,'Ideal ranking'!$B$6:$B$365,"&lt;="&amp;F250)</x:f>
        <x:v>20.639213832155747</x:v>
      </x:c>
      <x:c r="O250" s="14" t="n">
        <x:f>IF(I250&gt;0,"Unknown",IF(N250=0,"N/A",M250/N250))</x:f>
        <x:v>1</x:v>
      </x:c>
      <x:c r="P250" s="15" t="n">
        <x:f>IF(G250=0,"N/A",IF(I250&gt;0,"Unknown",H250/G250))</x:f>
        <x:v>1</x:v>
      </x:c>
      <x:c r="Q250" s="2" t="n">
        <x:f>F250-G250</x:f>
        <x:v>0</x:v>
      </x:c>
    </x:row>
    <x:row r="251" ht="22" customHeight="1">
      <x:c r="A251" s="2" t="str">
        <x:v>S27-T01|6</x:v>
      </x:c>
      <x:c r="B251" s="2" t="str">
        <x:v>S27-T01</x:v>
      </x:c>
      <x:c r="C251" s="2" t="str">
        <x:v>S27</x:v>
      </x:c>
      <x:c r="D251" s="2" t="str">
        <x:v>Extension</x:v>
      </x:c>
      <x:c r="E251" s="2" t="n">
        <x:v>1</x:v>
      </x:c>
      <x:c r="F251" s="2" t="n">
        <x:v>6</x:v>
      </x:c>
      <x:c r="G251" s="2" t="n">
        <x:f>COUNTIFS('Rankings'!$A$6:$A$423,B251,'Rankings'!$E$6:$E$423,"&lt;="&amp;F251)</x:f>
        <x:v>6</x:v>
      </x:c>
      <x:c r="H251" s="2" t="n">
        <x:f>SUMIFS('Rankings'!$J$6:$J$423,'Rankings'!$A$6:$A$423,B251,'Rankings'!$E$6:$E$423,"&lt;="&amp;F251)</x:f>
        <x:v>6</x:v>
      </x:c>
      <x:c r="I251" s="2" t="n">
        <x:f>G251-SUMIFS('Rankings'!$I$6:$I$423,'Rankings'!$A$6:$A$423,B251,'Rankings'!$E$6:$E$423,"&lt;="&amp;F251)</x:f>
        <x:v>0</x:v>
      </x:c>
      <x:c r="J251" s="2" t="n">
        <x:f>SUMIFS('Ratings'!$H$6:$H$1387,'Ratings'!$B$6:$B$1387,C251)</x:f>
        <x:v>46</x:v>
      </x:c>
      <x:c r="K251" s="15" t="n">
        <x:f>IF(I251&gt;0,"Unknown",H251/F251)</x:f>
        <x:v>1</x:v>
      </x:c>
      <x:c r="L251" s="15" t="n">
        <x:f>IF(J251=0,"N/A",H251/J251)</x:f>
        <x:v>0.13043478260869565</x:v>
      </x:c>
      <x:c r="M251" s="14" t="n">
        <x:f>SUMIFS('Rankings'!$L$6:$L$423,'Rankings'!$A$6:$A$423,B251,'Rankings'!$E$6:$E$423,"&lt;="&amp;F251)</x:f>
        <x:v>23.132664141911903</x:v>
      </x:c>
      <x:c r="N251" s="14" t="n">
        <x:f>SUMIFS('Ideal ranking'!$H$6:$H$365,'Ideal ranking'!$A$6:$A$365,C251,'Ideal ranking'!$B$6:$B$365,"&lt;="&amp;F251)</x:f>
        <x:v>23.132664141911903</x:v>
      </x:c>
      <x:c r="O251" s="14" t="n">
        <x:f>IF(I251&gt;0,"Unknown",IF(N251=0,"N/A",M251/N251))</x:f>
        <x:v>1</x:v>
      </x:c>
      <x:c r="P251" s="15" t="n">
        <x:f>IF(G251=0,"N/A",IF(I251&gt;0,"Unknown",H251/G251))</x:f>
        <x:v>1</x:v>
      </x:c>
      <x:c r="Q251" s="2" t="n">
        <x:f>F251-G251</x:f>
        <x:v>0</x:v>
      </x:c>
    </x:row>
    <x:row r="252" ht="22" customHeight="1">
      <x:c r="A252" s="2" t="str">
        <x:v>S27-T01|7</x:v>
      </x:c>
      <x:c r="B252" s="2" t="str">
        <x:v>S27-T01</x:v>
      </x:c>
      <x:c r="C252" s="2" t="str">
        <x:v>S27</x:v>
      </x:c>
      <x:c r="D252" s="2" t="str">
        <x:v>Extension</x:v>
      </x:c>
      <x:c r="E252" s="2" t="n">
        <x:v>1</x:v>
      </x:c>
      <x:c r="F252" s="2" t="n">
        <x:v>7</x:v>
      </x:c>
      <x:c r="G252" s="2" t="n">
        <x:f>COUNTIFS('Rankings'!$A$6:$A$423,B252,'Rankings'!$E$6:$E$423,"&lt;="&amp;F252)</x:f>
        <x:v>7</x:v>
      </x:c>
      <x:c r="H252" s="2" t="n">
        <x:f>SUMIFS('Rankings'!$J$6:$J$423,'Rankings'!$A$6:$A$423,B252,'Rankings'!$E$6:$E$423,"&lt;="&amp;F252)</x:f>
        <x:v>7</x:v>
      </x:c>
      <x:c r="I252" s="2" t="n">
        <x:f>G252-SUMIFS('Rankings'!$I$6:$I$423,'Rankings'!$A$6:$A$423,B252,'Rankings'!$E$6:$E$423,"&lt;="&amp;F252)</x:f>
        <x:v>0</x:v>
      </x:c>
      <x:c r="J252" s="2" t="n">
        <x:f>SUMIFS('Ratings'!$H$6:$H$1387,'Ratings'!$B$6:$B$1387,C252)</x:f>
        <x:v>46</x:v>
      </x:c>
      <x:c r="K252" s="15" t="n">
        <x:f>IF(I252&gt;0,"Unknown",H252/F252)</x:f>
        <x:v>1</x:v>
      </x:c>
      <x:c r="L252" s="15" t="n">
        <x:f>IF(J252=0,"N/A",H252/J252)</x:f>
        <x:v>0.15217391304347827</x:v>
      </x:c>
      <x:c r="M252" s="14" t="n">
        <x:f>SUMIFS('Rankings'!$L$6:$L$423,'Rankings'!$A$6:$A$423,B252,'Rankings'!$E$6:$E$423,"&lt;="&amp;F252)</x:f>
        <x:v>25.465997475245235</x:v>
      </x:c>
      <x:c r="N252" s="14" t="n">
        <x:f>SUMIFS('Ideal ranking'!$H$6:$H$365,'Ideal ranking'!$A$6:$A$365,C252,'Ideal ranking'!$B$6:$B$365,"&lt;="&amp;F252)</x:f>
        <x:v>25.465997475245235</x:v>
      </x:c>
      <x:c r="O252" s="14" t="n">
        <x:f>IF(I252&gt;0,"Unknown",IF(N252=0,"N/A",M252/N252))</x:f>
        <x:v>1</x:v>
      </x:c>
      <x:c r="P252" s="15" t="n">
        <x:f>IF(G252=0,"N/A",IF(I252&gt;0,"Unknown",H252/G252))</x:f>
        <x:v>1</x:v>
      </x:c>
      <x:c r="Q252" s="2" t="n">
        <x:f>F252-G252</x:f>
        <x:v>0</x:v>
      </x:c>
    </x:row>
    <x:row r="253" ht="22" customHeight="1">
      <x:c r="A253" s="2" t="str">
        <x:v>S27-T01|8</x:v>
      </x:c>
      <x:c r="B253" s="2" t="str">
        <x:v>S27-T01</x:v>
      </x:c>
      <x:c r="C253" s="2" t="str">
        <x:v>S27</x:v>
      </x:c>
      <x:c r="D253" s="2" t="str">
        <x:v>Extension</x:v>
      </x:c>
      <x:c r="E253" s="2" t="n">
        <x:v>1</x:v>
      </x:c>
      <x:c r="F253" s="2" t="n">
        <x:v>8</x:v>
      </x:c>
      <x:c r="G253" s="2" t="n">
        <x:f>COUNTIFS('Rankings'!$A$6:$A$423,B253,'Rankings'!$E$6:$E$423,"&lt;="&amp;F253)</x:f>
        <x:v>8</x:v>
      </x:c>
      <x:c r="H253" s="2" t="n">
        <x:f>SUMIFS('Rankings'!$J$6:$J$423,'Rankings'!$A$6:$A$423,B253,'Rankings'!$E$6:$E$423,"&lt;="&amp;F253)</x:f>
        <x:v>8</x:v>
      </x:c>
      <x:c r="I253" s="2" t="n">
        <x:f>G253-SUMIFS('Rankings'!$I$6:$I$423,'Rankings'!$A$6:$A$423,B253,'Rankings'!$E$6:$E$423,"&lt;="&amp;F253)</x:f>
        <x:v>0</x:v>
      </x:c>
      <x:c r="J253" s="2" t="n">
        <x:f>SUMIFS('Ratings'!$H$6:$H$1387,'Ratings'!$B$6:$B$1387,C253)</x:f>
        <x:v>46</x:v>
      </x:c>
      <x:c r="K253" s="15" t="n">
        <x:f>IF(I253&gt;0,"Unknown",H253/F253)</x:f>
        <x:v>1</x:v>
      </x:c>
      <x:c r="L253" s="15" t="n">
        <x:f>IF(J253=0,"N/A",H253/J253)</x:f>
        <x:v>0.17391304347826086</x:v>
      </x:c>
      <x:c r="M253" s="14" t="n">
        <x:f>SUMIFS('Rankings'!$L$6:$L$423,'Rankings'!$A$6:$A$423,B253,'Rankings'!$E$6:$E$423,"&lt;="&amp;F253)</x:f>
        <x:v>27.674251612745337</x:v>
      </x:c>
      <x:c r="N253" s="14" t="n">
        <x:f>SUMIFS('Ideal ranking'!$H$6:$H$365,'Ideal ranking'!$A$6:$A$365,C253,'Ideal ranking'!$B$6:$B$365,"&lt;="&amp;F253)</x:f>
        <x:v>27.674251612745337</x:v>
      </x:c>
      <x:c r="O253" s="14" t="n">
        <x:f>IF(I253&gt;0,"Unknown",IF(N253=0,"N/A",M253/N253))</x:f>
        <x:v>1</x:v>
      </x:c>
      <x:c r="P253" s="15" t="n">
        <x:f>IF(G253=0,"N/A",IF(I253&gt;0,"Unknown",H253/G253))</x:f>
        <x:v>1</x:v>
      </x:c>
      <x:c r="Q253" s="2" t="n">
        <x:f>F253-G253</x:f>
        <x:v>0</x:v>
      </x:c>
    </x:row>
    <x:row r="254" ht="22" customHeight="1">
      <x:c r="A254" s="2" t="str">
        <x:v>S27-T01|9</x:v>
      </x:c>
      <x:c r="B254" s="2" t="str">
        <x:v>S27-T01</x:v>
      </x:c>
      <x:c r="C254" s="2" t="str">
        <x:v>S27</x:v>
      </x:c>
      <x:c r="D254" s="2" t="str">
        <x:v>Extension</x:v>
      </x:c>
      <x:c r="E254" s="2" t="n">
        <x:v>1</x:v>
      </x:c>
      <x:c r="F254" s="2" t="n">
        <x:v>9</x:v>
      </x:c>
      <x:c r="G254" s="2" t="n">
        <x:f>COUNTIFS('Rankings'!$A$6:$A$423,B254,'Rankings'!$E$6:$E$423,"&lt;="&amp;F254)</x:f>
        <x:v>9</x:v>
      </x:c>
      <x:c r="H254" s="2" t="n">
        <x:f>SUMIFS('Rankings'!$J$6:$J$423,'Rankings'!$A$6:$A$423,B254,'Rankings'!$E$6:$E$423,"&lt;="&amp;F254)</x:f>
        <x:v>9</x:v>
      </x:c>
      <x:c r="I254" s="2" t="n">
        <x:f>G254-SUMIFS('Rankings'!$I$6:$I$423,'Rankings'!$A$6:$A$423,B254,'Rankings'!$E$6:$E$423,"&lt;="&amp;F254)</x:f>
        <x:v>0</x:v>
      </x:c>
      <x:c r="J254" s="2" t="n">
        <x:f>SUMIFS('Ratings'!$H$6:$H$1387,'Ratings'!$B$6:$B$1387,C254)</x:f>
        <x:v>46</x:v>
      </x:c>
      <x:c r="K254" s="15" t="n">
        <x:f>IF(I254&gt;0,"Unknown",H254/F254)</x:f>
        <x:v>1</x:v>
      </x:c>
      <x:c r="L254" s="15" t="n">
        <x:f>IF(J254=0,"N/A",H254/J254)</x:f>
        <x:v>0.1956521739130435</x:v>
      </x:c>
      <x:c r="M254" s="14" t="n">
        <x:f>SUMIFS('Rankings'!$L$6:$L$423,'Rankings'!$A$6:$A$423,B254,'Rankings'!$E$6:$E$423,"&lt;="&amp;F254)</x:f>
        <x:v>29.781461582393206</x:v>
      </x:c>
      <x:c r="N254" s="14" t="n">
        <x:f>SUMIFS('Ideal ranking'!$H$6:$H$365,'Ideal ranking'!$A$6:$A$365,C254,'Ideal ranking'!$B$6:$B$365,"&lt;="&amp;F254)</x:f>
        <x:v>29.781461582393206</x:v>
      </x:c>
      <x:c r="O254" s="14" t="n">
        <x:f>IF(I254&gt;0,"Unknown",IF(N254=0,"N/A",M254/N254))</x:f>
        <x:v>1</x:v>
      </x:c>
      <x:c r="P254" s="15" t="n">
        <x:f>IF(G254=0,"N/A",IF(I254&gt;0,"Unknown",H254/G254))</x:f>
        <x:v>1</x:v>
      </x:c>
      <x:c r="Q254" s="2" t="n">
        <x:f>F254-G254</x:f>
        <x:v>0</x:v>
      </x:c>
    </x:row>
    <x:row r="255" ht="22" customHeight="1">
      <x:c r="A255" s="2" t="str">
        <x:v>S27-T01|10</x:v>
      </x:c>
      <x:c r="B255" s="2" t="str">
        <x:v>S27-T01</x:v>
      </x:c>
      <x:c r="C255" s="2" t="str">
        <x:v>S27</x:v>
      </x:c>
      <x:c r="D255" s="2" t="str">
        <x:v>Extension</x:v>
      </x:c>
      <x:c r="E255" s="2" t="n">
        <x:v>1</x:v>
      </x:c>
      <x:c r="F255" s="2" t="n">
        <x:v>10</x:v>
      </x:c>
      <x:c r="G255" s="2" t="n">
        <x:f>COUNTIFS('Rankings'!$A$6:$A$423,B255,'Rankings'!$E$6:$E$423,"&lt;="&amp;F255)</x:f>
        <x:v>10</x:v>
      </x:c>
      <x:c r="H255" s="2" t="n">
        <x:f>SUMIFS('Rankings'!$J$6:$J$423,'Rankings'!$A$6:$A$423,B255,'Rankings'!$E$6:$E$423,"&lt;="&amp;F255)</x:f>
        <x:v>10</x:v>
      </x:c>
      <x:c r="I255" s="2" t="n">
        <x:f>G255-SUMIFS('Rankings'!$I$6:$I$423,'Rankings'!$A$6:$A$423,B255,'Rankings'!$E$6:$E$423,"&lt;="&amp;F255)</x:f>
        <x:v>0</x:v>
      </x:c>
      <x:c r="J255" s="2" t="n">
        <x:f>SUMIFS('Ratings'!$H$6:$H$1387,'Ratings'!$B$6:$B$1387,C255)</x:f>
        <x:v>46</x:v>
      </x:c>
      <x:c r="K255" s="15" t="n">
        <x:f>IF(I255&gt;0,"Unknown",H255/F255)</x:f>
        <x:v>1</x:v>
      </x:c>
      <x:c r="L255" s="15" t="n">
        <x:f>IF(J255=0,"N/A",H255/J255)</x:f>
        <x:v>0.21739130434782608</x:v>
      </x:c>
      <x:c r="M255" s="14" t="n">
        <x:f>SUMIFS('Rankings'!$L$6:$L$423,'Rankings'!$A$6:$A$423,B255,'Rankings'!$E$6:$E$423,"&lt;="&amp;F255)</x:f>
        <x:v>31.80491536661842</x:v>
      </x:c>
      <x:c r="N255" s="14" t="n">
        <x:f>SUMIFS('Ideal ranking'!$H$6:$H$365,'Ideal ranking'!$A$6:$A$365,C255,'Ideal ranking'!$B$6:$B$365,"&lt;="&amp;F255)</x:f>
        <x:v>31.80491536661842</x:v>
      </x:c>
      <x:c r="O255" s="14" t="n">
        <x:f>IF(I255&gt;0,"Unknown",IF(N255=0,"N/A",M255/N255))</x:f>
        <x:v>1</x:v>
      </x:c>
      <x:c r="P255" s="15" t="n">
        <x:f>IF(G255=0,"N/A",IF(I255&gt;0,"Unknown",H255/G255))</x:f>
        <x:v>1</x:v>
      </x:c>
      <x:c r="Q255" s="2" t="n">
        <x:f>F255-G255</x:f>
        <x:v>0</x:v>
      </x:c>
    </x:row>
    <x:row r="256" ht="22" customHeight="1">
      <x:c r="A256" s="2" t="str">
        <x:v>S28-T01|1</x:v>
      </x:c>
      <x:c r="B256" s="2" t="str">
        <x:v>S28-T01</x:v>
      </x:c>
      <x:c r="C256" s="2" t="str">
        <x:v>S28</x:v>
      </x:c>
      <x:c r="D256" s="2" t="str">
        <x:v>Extension</x:v>
      </x:c>
      <x:c r="E256" s="2" t="n">
        <x:v>1</x:v>
      </x:c>
      <x:c r="F256" s="2" t="n">
        <x:v>1</x:v>
      </x:c>
      <x:c r="G256" s="2" t="n">
        <x:f>COUNTIFS('Rankings'!$A$6:$A$423,B256,'Rankings'!$E$6:$E$423,"&lt;="&amp;F256)</x:f>
        <x:v>1</x:v>
      </x:c>
      <x:c r="H256" s="2" t="n">
        <x:f>SUMIFS('Rankings'!$J$6:$J$423,'Rankings'!$A$6:$A$423,B256,'Rankings'!$E$6:$E$423,"&lt;="&amp;F256)</x:f>
        <x:v>1</x:v>
      </x:c>
      <x:c r="I256" s="2" t="n">
        <x:f>G256-SUMIFS('Rankings'!$I$6:$I$423,'Rankings'!$A$6:$A$423,B256,'Rankings'!$E$6:$E$423,"&lt;="&amp;F256)</x:f>
        <x:v>0</x:v>
      </x:c>
      <x:c r="J256" s="2" t="n">
        <x:f>SUMIFS('Ratings'!$H$6:$H$1387,'Ratings'!$B$6:$B$1387,C256)</x:f>
        <x:v>23</x:v>
      </x:c>
      <x:c r="K256" s="15" t="n">
        <x:f>IF(I256&gt;0,"Unknown",H256/F256)</x:f>
        <x:v>1</x:v>
      </x:c>
      <x:c r="L256" s="15" t="n">
        <x:f>IF(J256=0,"N/A",H256/J256)</x:f>
        <x:v>0.043478260869565216</x:v>
      </x:c>
      <x:c r="M256" s="14" t="n">
        <x:f>SUMIFS('Rankings'!$L$6:$L$423,'Rankings'!$A$6:$A$423,B256,'Rankings'!$E$6:$E$423,"&lt;="&amp;F256)</x:f>
        <x:v>7</x:v>
      </x:c>
      <x:c r="N256" s="14" t="n">
        <x:f>SUMIFS('Ideal ranking'!$H$6:$H$365,'Ideal ranking'!$A$6:$A$365,C256,'Ideal ranking'!$B$6:$B$365,"&lt;="&amp;F256)</x:f>
        <x:v>7</x:v>
      </x:c>
      <x:c r="O256" s="14" t="n">
        <x:f>IF(I256&gt;0,"Unknown",IF(N256=0,"N/A",M256/N256))</x:f>
        <x:v>1</x:v>
      </x:c>
      <x:c r="P256" s="15" t="n">
        <x:f>IF(G256=0,"N/A",IF(I256&gt;0,"Unknown",H256/G256))</x:f>
        <x:v>1</x:v>
      </x:c>
      <x:c r="Q256" s="2" t="n">
        <x:f>F256-G256</x:f>
        <x:v>0</x:v>
      </x:c>
    </x:row>
    <x:row r="257" ht="22" customHeight="1">
      <x:c r="A257" s="2" t="str">
        <x:v>S28-T01|2</x:v>
      </x:c>
      <x:c r="B257" s="2" t="str">
        <x:v>S28-T01</x:v>
      </x:c>
      <x:c r="C257" s="2" t="str">
        <x:v>S28</x:v>
      </x:c>
      <x:c r="D257" s="2" t="str">
        <x:v>Extension</x:v>
      </x:c>
      <x:c r="E257" s="2" t="n">
        <x:v>1</x:v>
      </x:c>
      <x:c r="F257" s="2" t="n">
        <x:v>2</x:v>
      </x:c>
      <x:c r="G257" s="2" t="n">
        <x:f>COUNTIFS('Rankings'!$A$6:$A$423,B257,'Rankings'!$E$6:$E$423,"&lt;="&amp;F257)</x:f>
        <x:v>2</x:v>
      </x:c>
      <x:c r="H257" s="2" t="n">
        <x:f>SUMIFS('Rankings'!$J$6:$J$423,'Rankings'!$A$6:$A$423,B257,'Rankings'!$E$6:$E$423,"&lt;="&amp;F257)</x:f>
        <x:v>2</x:v>
      </x:c>
      <x:c r="I257" s="2" t="n">
        <x:f>G257-SUMIFS('Rankings'!$I$6:$I$423,'Rankings'!$A$6:$A$423,B257,'Rankings'!$E$6:$E$423,"&lt;="&amp;F257)</x:f>
        <x:v>0</x:v>
      </x:c>
      <x:c r="J257" s="2" t="n">
        <x:f>SUMIFS('Ratings'!$H$6:$H$1387,'Ratings'!$B$6:$B$1387,C257)</x:f>
        <x:v>23</x:v>
      </x:c>
      <x:c r="K257" s="15" t="n">
        <x:f>IF(I257&gt;0,"Unknown",H257/F257)</x:f>
        <x:v>1</x:v>
      </x:c>
      <x:c r="L257" s="15" t="n">
        <x:f>IF(J257=0,"N/A",H257/J257)</x:f>
        <x:v>0.08695652173913043</x:v>
      </x:c>
      <x:c r="M257" s="14" t="n">
        <x:f>SUMIFS('Rankings'!$L$6:$L$423,'Rankings'!$A$6:$A$423,B257,'Rankings'!$E$6:$E$423,"&lt;="&amp;F257)</x:f>
        <x:v>11.416508275000202</x:v>
      </x:c>
      <x:c r="N257" s="14" t="n">
        <x:f>SUMIFS('Ideal ranking'!$H$6:$H$365,'Ideal ranking'!$A$6:$A$365,C257,'Ideal ranking'!$B$6:$B$365,"&lt;="&amp;F257)</x:f>
        <x:v>11.416508275000202</x:v>
      </x:c>
      <x:c r="O257" s="14" t="n">
        <x:f>IF(I257&gt;0,"Unknown",IF(N257=0,"N/A",M257/N257))</x:f>
        <x:v>1</x:v>
      </x:c>
      <x:c r="P257" s="15" t="n">
        <x:f>IF(G257=0,"N/A",IF(I257&gt;0,"Unknown",H257/G257))</x:f>
        <x:v>1</x:v>
      </x:c>
      <x:c r="Q257" s="2" t="n">
        <x:f>F257-G257</x:f>
        <x:v>0</x:v>
      </x:c>
    </x:row>
    <x:row r="258" ht="22" customHeight="1">
      <x:c r="A258" s="2" t="str">
        <x:v>S28-T01|3</x:v>
      </x:c>
      <x:c r="B258" s="2" t="str">
        <x:v>S28-T01</x:v>
      </x:c>
      <x:c r="C258" s="2" t="str">
        <x:v>S28</x:v>
      </x:c>
      <x:c r="D258" s="2" t="str">
        <x:v>Extension</x:v>
      </x:c>
      <x:c r="E258" s="2" t="n">
        <x:v>1</x:v>
      </x:c>
      <x:c r="F258" s="2" t="n">
        <x:v>3</x:v>
      </x:c>
      <x:c r="G258" s="2" t="n">
        <x:f>COUNTIFS('Rankings'!$A$6:$A$423,B258,'Rankings'!$E$6:$E$423,"&lt;="&amp;F258)</x:f>
        <x:v>3</x:v>
      </x:c>
      <x:c r="H258" s="2" t="n">
        <x:f>SUMIFS('Rankings'!$J$6:$J$423,'Rankings'!$A$6:$A$423,B258,'Rankings'!$E$6:$E$423,"&lt;="&amp;F258)</x:f>
        <x:v>3</x:v>
      </x:c>
      <x:c r="I258" s="2" t="n">
        <x:f>G258-SUMIFS('Rankings'!$I$6:$I$423,'Rankings'!$A$6:$A$423,B258,'Rankings'!$E$6:$E$423,"&lt;="&amp;F258)</x:f>
        <x:v>0</x:v>
      </x:c>
      <x:c r="J258" s="2" t="n">
        <x:f>SUMIFS('Ratings'!$H$6:$H$1387,'Ratings'!$B$6:$B$1387,C258)</x:f>
        <x:v>23</x:v>
      </x:c>
      <x:c r="K258" s="15" t="n">
        <x:f>IF(I258&gt;0,"Unknown",H258/F258)</x:f>
        <x:v>1</x:v>
      </x:c>
      <x:c r="L258" s="15" t="n">
        <x:f>IF(J258=0,"N/A",H258/J258)</x:f>
        <x:v>0.13043478260869565</x:v>
      </x:c>
      <x:c r="M258" s="14" t="n">
        <x:f>SUMIFS('Rankings'!$L$6:$L$423,'Rankings'!$A$6:$A$423,B258,'Rankings'!$E$6:$E$423,"&lt;="&amp;F258)</x:f>
        <x:v>14.916508275000202</x:v>
      </x:c>
      <x:c r="N258" s="14" t="n">
        <x:f>SUMIFS('Ideal ranking'!$H$6:$H$365,'Ideal ranking'!$A$6:$A$365,C258,'Ideal ranking'!$B$6:$B$365,"&lt;="&amp;F258)</x:f>
        <x:v>14.916508275000202</x:v>
      </x:c>
      <x:c r="O258" s="14" t="n">
        <x:f>IF(I258&gt;0,"Unknown",IF(N258=0,"N/A",M258/N258))</x:f>
        <x:v>1</x:v>
      </x:c>
      <x:c r="P258" s="15" t="n">
        <x:f>IF(G258=0,"N/A",IF(I258&gt;0,"Unknown",H258/G258))</x:f>
        <x:v>1</x:v>
      </x:c>
      <x:c r="Q258" s="2" t="n">
        <x:f>F258-G258</x:f>
        <x:v>0</x:v>
      </x:c>
    </x:row>
    <x:row r="259" ht="22" customHeight="1">
      <x:c r="A259" s="2" t="str">
        <x:v>S28-T01|4</x:v>
      </x:c>
      <x:c r="B259" s="2" t="str">
        <x:v>S28-T01</x:v>
      </x:c>
      <x:c r="C259" s="2" t="str">
        <x:v>S28</x:v>
      </x:c>
      <x:c r="D259" s="2" t="str">
        <x:v>Extension</x:v>
      </x:c>
      <x:c r="E259" s="2" t="n">
        <x:v>1</x:v>
      </x:c>
      <x:c r="F259" s="2" t="n">
        <x:v>4</x:v>
      </x:c>
      <x:c r="G259" s="2" t="n">
        <x:f>COUNTIFS('Rankings'!$A$6:$A$423,B259,'Rankings'!$E$6:$E$423,"&lt;="&amp;F259)</x:f>
        <x:v>4</x:v>
      </x:c>
      <x:c r="H259" s="2" t="n">
        <x:f>SUMIFS('Rankings'!$J$6:$J$423,'Rankings'!$A$6:$A$423,B259,'Rankings'!$E$6:$E$423,"&lt;="&amp;F259)</x:f>
        <x:v>4</x:v>
      </x:c>
      <x:c r="I259" s="2" t="n">
        <x:f>G259-SUMIFS('Rankings'!$I$6:$I$423,'Rankings'!$A$6:$A$423,B259,'Rankings'!$E$6:$E$423,"&lt;="&amp;F259)</x:f>
        <x:v>0</x:v>
      </x:c>
      <x:c r="J259" s="2" t="n">
        <x:f>SUMIFS('Ratings'!$H$6:$H$1387,'Ratings'!$B$6:$B$1387,C259)</x:f>
        <x:v>23</x:v>
      </x:c>
      <x:c r="K259" s="15" t="n">
        <x:f>IF(I259&gt;0,"Unknown",H259/F259)</x:f>
        <x:v>1</x:v>
      </x:c>
      <x:c r="L259" s="15" t="n">
        <x:f>IF(J259=0,"N/A",H259/J259)</x:f>
        <x:v>0.17391304347826086</x:v>
      </x:c>
      <x:c r="M259" s="14" t="n">
        <x:f>SUMIFS('Rankings'!$L$6:$L$423,'Rankings'!$A$6:$A$423,B259,'Rankings'!$E$6:$E$423,"&lt;="&amp;F259)</x:f>
        <x:v>17.931244181513954</x:v>
      </x:c>
      <x:c r="N259" s="14" t="n">
        <x:f>SUMIFS('Ideal ranking'!$H$6:$H$365,'Ideal ranking'!$A$6:$A$365,C259,'Ideal ranking'!$B$6:$B$365,"&lt;="&amp;F259)</x:f>
        <x:v>17.931244181513954</x:v>
      </x:c>
      <x:c r="O259" s="14" t="n">
        <x:f>IF(I259&gt;0,"Unknown",IF(N259=0,"N/A",M259/N259))</x:f>
        <x:v>1</x:v>
      </x:c>
      <x:c r="P259" s="15" t="n">
        <x:f>IF(G259=0,"N/A",IF(I259&gt;0,"Unknown",H259/G259))</x:f>
        <x:v>1</x:v>
      </x:c>
      <x:c r="Q259" s="2" t="n">
        <x:f>F259-G259</x:f>
        <x:v>0</x:v>
      </x:c>
    </x:row>
    <x:row r="260" ht="22" customHeight="1">
      <x:c r="A260" s="2" t="str">
        <x:v>S28-T01|5</x:v>
      </x:c>
      <x:c r="B260" s="2" t="str">
        <x:v>S28-T01</x:v>
      </x:c>
      <x:c r="C260" s="2" t="str">
        <x:v>S28</x:v>
      </x:c>
      <x:c r="D260" s="2" t="str">
        <x:v>Extension</x:v>
      </x:c>
      <x:c r="E260" s="2" t="n">
        <x:v>1</x:v>
      </x:c>
      <x:c r="F260" s="2" t="n">
        <x:v>5</x:v>
      </x:c>
      <x:c r="G260" s="2" t="n">
        <x:f>COUNTIFS('Rankings'!$A$6:$A$423,B260,'Rankings'!$E$6:$E$423,"&lt;="&amp;F260)</x:f>
        <x:v>5</x:v>
      </x:c>
      <x:c r="H260" s="2" t="n">
        <x:f>SUMIFS('Rankings'!$J$6:$J$423,'Rankings'!$A$6:$A$423,B260,'Rankings'!$E$6:$E$423,"&lt;="&amp;F260)</x:f>
        <x:v>5</x:v>
      </x:c>
      <x:c r="I260" s="2" t="n">
        <x:f>G260-SUMIFS('Rankings'!$I$6:$I$423,'Rankings'!$A$6:$A$423,B260,'Rankings'!$E$6:$E$423,"&lt;="&amp;F260)</x:f>
        <x:v>0</x:v>
      </x:c>
      <x:c r="J260" s="2" t="n">
        <x:f>SUMIFS('Ratings'!$H$6:$H$1387,'Ratings'!$B$6:$B$1387,C260)</x:f>
        <x:v>23</x:v>
      </x:c>
      <x:c r="K260" s="15" t="n">
        <x:f>IF(I260&gt;0,"Unknown",H260/F260)</x:f>
        <x:v>1</x:v>
      </x:c>
      <x:c r="L260" s="15" t="n">
        <x:f>IF(J260=0,"N/A",H260/J260)</x:f>
        <x:v>0.21739130434782608</x:v>
      </x:c>
      <x:c r="M260" s="14" t="n">
        <x:f>SUMIFS('Rankings'!$L$6:$L$423,'Rankings'!$A$6:$A$423,B260,'Rankings'!$E$6:$E$423,"&lt;="&amp;F260)</x:f>
        <x:v>20.639213832155747</x:v>
      </x:c>
      <x:c r="N260" s="14" t="n">
        <x:f>SUMIFS('Ideal ranking'!$H$6:$H$365,'Ideal ranking'!$A$6:$A$365,C260,'Ideal ranking'!$B$6:$B$365,"&lt;="&amp;F260)</x:f>
        <x:v>20.639213832155747</x:v>
      </x:c>
      <x:c r="O260" s="14" t="n">
        <x:f>IF(I260&gt;0,"Unknown",IF(N260=0,"N/A",M260/N260))</x:f>
        <x:v>1</x:v>
      </x:c>
      <x:c r="P260" s="15" t="n">
        <x:f>IF(G260=0,"N/A",IF(I260&gt;0,"Unknown",H260/G260))</x:f>
        <x:v>1</x:v>
      </x:c>
      <x:c r="Q260" s="2" t="n">
        <x:f>F260-G260</x:f>
        <x:v>0</x:v>
      </x:c>
    </x:row>
    <x:row r="261" ht="22" customHeight="1">
      <x:c r="A261" s="2" t="str">
        <x:v>S28-T01|6</x:v>
      </x:c>
      <x:c r="B261" s="2" t="str">
        <x:v>S28-T01</x:v>
      </x:c>
      <x:c r="C261" s="2" t="str">
        <x:v>S28</x:v>
      </x:c>
      <x:c r="D261" s="2" t="str">
        <x:v>Extension</x:v>
      </x:c>
      <x:c r="E261" s="2" t="n">
        <x:v>1</x:v>
      </x:c>
      <x:c r="F261" s="2" t="n">
        <x:v>6</x:v>
      </x:c>
      <x:c r="G261" s="2" t="n">
        <x:f>COUNTIFS('Rankings'!$A$6:$A$423,B261,'Rankings'!$E$6:$E$423,"&lt;="&amp;F261)</x:f>
        <x:v>6</x:v>
      </x:c>
      <x:c r="H261" s="2" t="n">
        <x:f>SUMIFS('Rankings'!$J$6:$J$423,'Rankings'!$A$6:$A$423,B261,'Rankings'!$E$6:$E$423,"&lt;="&amp;F261)</x:f>
        <x:v>6</x:v>
      </x:c>
      <x:c r="I261" s="2" t="n">
        <x:f>G261-SUMIFS('Rankings'!$I$6:$I$423,'Rankings'!$A$6:$A$423,B261,'Rankings'!$E$6:$E$423,"&lt;="&amp;F261)</x:f>
        <x:v>0</x:v>
      </x:c>
      <x:c r="J261" s="2" t="n">
        <x:f>SUMIFS('Ratings'!$H$6:$H$1387,'Ratings'!$B$6:$B$1387,C261)</x:f>
        <x:v>23</x:v>
      </x:c>
      <x:c r="K261" s="15" t="n">
        <x:f>IF(I261&gt;0,"Unknown",H261/F261)</x:f>
        <x:v>1</x:v>
      </x:c>
      <x:c r="L261" s="15" t="n">
        <x:f>IF(J261=0,"N/A",H261/J261)</x:f>
        <x:v>0.2608695652173913</x:v>
      </x:c>
      <x:c r="M261" s="14" t="n">
        <x:f>SUMIFS('Rankings'!$L$6:$L$423,'Rankings'!$A$6:$A$423,B261,'Rankings'!$E$6:$E$423,"&lt;="&amp;F261)</x:f>
        <x:v>23.132664141911903</x:v>
      </x:c>
      <x:c r="N261" s="14" t="n">
        <x:f>SUMIFS('Ideal ranking'!$H$6:$H$365,'Ideal ranking'!$A$6:$A$365,C261,'Ideal ranking'!$B$6:$B$365,"&lt;="&amp;F261)</x:f>
        <x:v>23.132664141911903</x:v>
      </x:c>
      <x:c r="O261" s="14" t="n">
        <x:f>IF(I261&gt;0,"Unknown",IF(N261=0,"N/A",M261/N261))</x:f>
        <x:v>1</x:v>
      </x:c>
      <x:c r="P261" s="15" t="n">
        <x:f>IF(G261=0,"N/A",IF(I261&gt;0,"Unknown",H261/G261))</x:f>
        <x:v>1</x:v>
      </x:c>
      <x:c r="Q261" s="2" t="n">
        <x:f>F261-G261</x:f>
        <x:v>0</x:v>
      </x:c>
    </x:row>
    <x:row r="262" ht="22" customHeight="1">
      <x:c r="A262" s="2" t="str">
        <x:v>S28-T01|7</x:v>
      </x:c>
      <x:c r="B262" s="2" t="str">
        <x:v>S28-T01</x:v>
      </x:c>
      <x:c r="C262" s="2" t="str">
        <x:v>S28</x:v>
      </x:c>
      <x:c r="D262" s="2" t="str">
        <x:v>Extension</x:v>
      </x:c>
      <x:c r="E262" s="2" t="n">
        <x:v>1</x:v>
      </x:c>
      <x:c r="F262" s="2" t="n">
        <x:v>7</x:v>
      </x:c>
      <x:c r="G262" s="2" t="n">
        <x:f>COUNTIFS('Rankings'!$A$6:$A$423,B262,'Rankings'!$E$6:$E$423,"&lt;="&amp;F262)</x:f>
        <x:v>7</x:v>
      </x:c>
      <x:c r="H262" s="2" t="n">
        <x:f>SUMIFS('Rankings'!$J$6:$J$423,'Rankings'!$A$6:$A$423,B262,'Rankings'!$E$6:$E$423,"&lt;="&amp;F262)</x:f>
        <x:v>7</x:v>
      </x:c>
      <x:c r="I262" s="2" t="n">
        <x:f>G262-SUMIFS('Rankings'!$I$6:$I$423,'Rankings'!$A$6:$A$423,B262,'Rankings'!$E$6:$E$423,"&lt;="&amp;F262)</x:f>
        <x:v>0</x:v>
      </x:c>
      <x:c r="J262" s="2" t="n">
        <x:f>SUMIFS('Ratings'!$H$6:$H$1387,'Ratings'!$B$6:$B$1387,C262)</x:f>
        <x:v>23</x:v>
      </x:c>
      <x:c r="K262" s="15" t="n">
        <x:f>IF(I262&gt;0,"Unknown",H262/F262)</x:f>
        <x:v>1</x:v>
      </x:c>
      <x:c r="L262" s="15" t="n">
        <x:f>IF(J262=0,"N/A",H262/J262)</x:f>
        <x:v>0.30434782608695654</x:v>
      </x:c>
      <x:c r="M262" s="14" t="n">
        <x:f>SUMIFS('Rankings'!$L$6:$L$423,'Rankings'!$A$6:$A$423,B262,'Rankings'!$E$6:$E$423,"&lt;="&amp;F262)</x:f>
        <x:v>25.465997475245235</x:v>
      </x:c>
      <x:c r="N262" s="14" t="n">
        <x:f>SUMIFS('Ideal ranking'!$H$6:$H$365,'Ideal ranking'!$A$6:$A$365,C262,'Ideal ranking'!$B$6:$B$365,"&lt;="&amp;F262)</x:f>
        <x:v>25.465997475245235</x:v>
      </x:c>
      <x:c r="O262" s="14" t="n">
        <x:f>IF(I262&gt;0,"Unknown",IF(N262=0,"N/A",M262/N262))</x:f>
        <x:v>1</x:v>
      </x:c>
      <x:c r="P262" s="15" t="n">
        <x:f>IF(G262=0,"N/A",IF(I262&gt;0,"Unknown",H262/G262))</x:f>
        <x:v>1</x:v>
      </x:c>
      <x:c r="Q262" s="2" t="n">
        <x:f>F262-G262</x:f>
        <x:v>0</x:v>
      </x:c>
    </x:row>
    <x:row r="263" ht="22" customHeight="1">
      <x:c r="A263" s="2" t="str">
        <x:v>S28-T01|8</x:v>
      </x:c>
      <x:c r="B263" s="2" t="str">
        <x:v>S28-T01</x:v>
      </x:c>
      <x:c r="C263" s="2" t="str">
        <x:v>S28</x:v>
      </x:c>
      <x:c r="D263" s="2" t="str">
        <x:v>Extension</x:v>
      </x:c>
      <x:c r="E263" s="2" t="n">
        <x:v>1</x:v>
      </x:c>
      <x:c r="F263" s="2" t="n">
        <x:v>8</x:v>
      </x:c>
      <x:c r="G263" s="2" t="n">
        <x:f>COUNTIFS('Rankings'!$A$6:$A$423,B263,'Rankings'!$E$6:$E$423,"&lt;="&amp;F263)</x:f>
        <x:v>8</x:v>
      </x:c>
      <x:c r="H263" s="2" t="n">
        <x:f>SUMIFS('Rankings'!$J$6:$J$423,'Rankings'!$A$6:$A$423,B263,'Rankings'!$E$6:$E$423,"&lt;="&amp;F263)</x:f>
        <x:v>8</x:v>
      </x:c>
      <x:c r="I263" s="2" t="n">
        <x:f>G263-SUMIFS('Rankings'!$I$6:$I$423,'Rankings'!$A$6:$A$423,B263,'Rankings'!$E$6:$E$423,"&lt;="&amp;F263)</x:f>
        <x:v>0</x:v>
      </x:c>
      <x:c r="J263" s="2" t="n">
        <x:f>SUMIFS('Ratings'!$H$6:$H$1387,'Ratings'!$B$6:$B$1387,C263)</x:f>
        <x:v>23</x:v>
      </x:c>
      <x:c r="K263" s="15" t="n">
        <x:f>IF(I263&gt;0,"Unknown",H263/F263)</x:f>
        <x:v>1</x:v>
      </x:c>
      <x:c r="L263" s="15" t="n">
        <x:f>IF(J263=0,"N/A",H263/J263)</x:f>
        <x:v>0.34782608695652173</x:v>
      </x:c>
      <x:c r="M263" s="14" t="n">
        <x:f>SUMIFS('Rankings'!$L$6:$L$423,'Rankings'!$A$6:$A$423,B263,'Rankings'!$E$6:$E$423,"&lt;="&amp;F263)</x:f>
        <x:v>27.674251612745337</x:v>
      </x:c>
      <x:c r="N263" s="14" t="n">
        <x:f>SUMIFS('Ideal ranking'!$H$6:$H$365,'Ideal ranking'!$A$6:$A$365,C263,'Ideal ranking'!$B$6:$B$365,"&lt;="&amp;F263)</x:f>
        <x:v>27.674251612745337</x:v>
      </x:c>
      <x:c r="O263" s="14" t="n">
        <x:f>IF(I263&gt;0,"Unknown",IF(N263=0,"N/A",M263/N263))</x:f>
        <x:v>1</x:v>
      </x:c>
      <x:c r="P263" s="15" t="n">
        <x:f>IF(G263=0,"N/A",IF(I263&gt;0,"Unknown",H263/G263))</x:f>
        <x:v>1</x:v>
      </x:c>
      <x:c r="Q263" s="2" t="n">
        <x:f>F263-G263</x:f>
        <x:v>0</x:v>
      </x:c>
    </x:row>
    <x:row r="264" ht="22" customHeight="1">
      <x:c r="A264" s="2" t="str">
        <x:v>S28-T01|9</x:v>
      </x:c>
      <x:c r="B264" s="2" t="str">
        <x:v>S28-T01</x:v>
      </x:c>
      <x:c r="C264" s="2" t="str">
        <x:v>S28</x:v>
      </x:c>
      <x:c r="D264" s="2" t="str">
        <x:v>Extension</x:v>
      </x:c>
      <x:c r="E264" s="2" t="n">
        <x:v>1</x:v>
      </x:c>
      <x:c r="F264" s="2" t="n">
        <x:v>9</x:v>
      </x:c>
      <x:c r="G264" s="2" t="n">
        <x:f>COUNTIFS('Rankings'!$A$6:$A$423,B264,'Rankings'!$E$6:$E$423,"&lt;="&amp;F264)</x:f>
        <x:v>9</x:v>
      </x:c>
      <x:c r="H264" s="2" t="n">
        <x:f>SUMIFS('Rankings'!$J$6:$J$423,'Rankings'!$A$6:$A$423,B264,'Rankings'!$E$6:$E$423,"&lt;="&amp;F264)</x:f>
        <x:v>9</x:v>
      </x:c>
      <x:c r="I264" s="2" t="n">
        <x:f>G264-SUMIFS('Rankings'!$I$6:$I$423,'Rankings'!$A$6:$A$423,B264,'Rankings'!$E$6:$E$423,"&lt;="&amp;F264)</x:f>
        <x:v>0</x:v>
      </x:c>
      <x:c r="J264" s="2" t="n">
        <x:f>SUMIFS('Ratings'!$H$6:$H$1387,'Ratings'!$B$6:$B$1387,C264)</x:f>
        <x:v>23</x:v>
      </x:c>
      <x:c r="K264" s="15" t="n">
        <x:f>IF(I264&gt;0,"Unknown",H264/F264)</x:f>
        <x:v>1</x:v>
      </x:c>
      <x:c r="L264" s="15" t="n">
        <x:f>IF(J264=0,"N/A",H264/J264)</x:f>
        <x:v>0.391304347826087</x:v>
      </x:c>
      <x:c r="M264" s="14" t="n">
        <x:f>SUMIFS('Rankings'!$L$6:$L$423,'Rankings'!$A$6:$A$423,B264,'Rankings'!$E$6:$E$423,"&lt;="&amp;F264)</x:f>
        <x:v>29.781461582393206</x:v>
      </x:c>
      <x:c r="N264" s="14" t="n">
        <x:f>SUMIFS('Ideal ranking'!$H$6:$H$365,'Ideal ranking'!$A$6:$A$365,C264,'Ideal ranking'!$B$6:$B$365,"&lt;="&amp;F264)</x:f>
        <x:v>29.781461582393206</x:v>
      </x:c>
      <x:c r="O264" s="14" t="n">
        <x:f>IF(I264&gt;0,"Unknown",IF(N264=0,"N/A",M264/N264))</x:f>
        <x:v>1</x:v>
      </x:c>
      <x:c r="P264" s="15" t="n">
        <x:f>IF(G264=0,"N/A",IF(I264&gt;0,"Unknown",H264/G264))</x:f>
        <x:v>1</x:v>
      </x:c>
      <x:c r="Q264" s="2" t="n">
        <x:f>F264-G264</x:f>
        <x:v>0</x:v>
      </x:c>
    </x:row>
    <x:row r="265" ht="22" customHeight="1">
      <x:c r="A265" s="2" t="str">
        <x:v>S28-T01|10</x:v>
      </x:c>
      <x:c r="B265" s="2" t="str">
        <x:v>S28-T01</x:v>
      </x:c>
      <x:c r="C265" s="2" t="str">
        <x:v>S28</x:v>
      </x:c>
      <x:c r="D265" s="2" t="str">
        <x:v>Extension</x:v>
      </x:c>
      <x:c r="E265" s="2" t="n">
        <x:v>1</x:v>
      </x:c>
      <x:c r="F265" s="2" t="n">
        <x:v>10</x:v>
      </x:c>
      <x:c r="G265" s="2" t="n">
        <x:f>COUNTIFS('Rankings'!$A$6:$A$423,B265,'Rankings'!$E$6:$E$423,"&lt;="&amp;F265)</x:f>
        <x:v>10</x:v>
      </x:c>
      <x:c r="H265" s="2" t="n">
        <x:f>SUMIFS('Rankings'!$J$6:$J$423,'Rankings'!$A$6:$A$423,B265,'Rankings'!$E$6:$E$423,"&lt;="&amp;F265)</x:f>
        <x:v>10</x:v>
      </x:c>
      <x:c r="I265" s="2" t="n">
        <x:f>G265-SUMIFS('Rankings'!$I$6:$I$423,'Rankings'!$A$6:$A$423,B265,'Rankings'!$E$6:$E$423,"&lt;="&amp;F265)</x:f>
        <x:v>0</x:v>
      </x:c>
      <x:c r="J265" s="2" t="n">
        <x:f>SUMIFS('Ratings'!$H$6:$H$1387,'Ratings'!$B$6:$B$1387,C265)</x:f>
        <x:v>23</x:v>
      </x:c>
      <x:c r="K265" s="15" t="n">
        <x:f>IF(I265&gt;0,"Unknown",H265/F265)</x:f>
        <x:v>1</x:v>
      </x:c>
      <x:c r="L265" s="15" t="n">
        <x:f>IF(J265=0,"N/A",H265/J265)</x:f>
        <x:v>0.43478260869565216</x:v>
      </x:c>
      <x:c r="M265" s="14" t="n">
        <x:f>SUMIFS('Rankings'!$L$6:$L$423,'Rankings'!$A$6:$A$423,B265,'Rankings'!$E$6:$E$423,"&lt;="&amp;F265)</x:f>
        <x:v>31.80491536661842</x:v>
      </x:c>
      <x:c r="N265" s="14" t="n">
        <x:f>SUMIFS('Ideal ranking'!$H$6:$H$365,'Ideal ranking'!$A$6:$A$365,C265,'Ideal ranking'!$B$6:$B$365,"&lt;="&amp;F265)</x:f>
        <x:v>31.80491536661842</x:v>
      </x:c>
      <x:c r="O265" s="14" t="n">
        <x:f>IF(I265&gt;0,"Unknown",IF(N265=0,"N/A",M265/N265))</x:f>
        <x:v>1</x:v>
      </x:c>
      <x:c r="P265" s="15" t="n">
        <x:f>IF(G265=0,"N/A",IF(I265&gt;0,"Unknown",H265/G265))</x:f>
        <x:v>1</x:v>
      </x:c>
      <x:c r="Q265" s="2" t="n">
        <x:f>F265-G265</x:f>
        <x:v>0</x:v>
      </x:c>
    </x:row>
    <x:row r="266" ht="22" customHeight="1">
      <x:c r="A266" s="2" t="str">
        <x:v>S29-T01|1</x:v>
      </x:c>
      <x:c r="B266" s="2" t="str">
        <x:v>S29-T01</x:v>
      </x:c>
      <x:c r="C266" s="2" t="str">
        <x:v>S29</x:v>
      </x:c>
      <x:c r="D266" s="2" t="str">
        <x:v>Extension</x:v>
      </x:c>
      <x:c r="E266" s="2" t="n">
        <x:v>1</x:v>
      </x:c>
      <x:c r="F266" s="2" t="n">
        <x:v>1</x:v>
      </x:c>
      <x:c r="G266" s="2" t="n">
        <x:f>COUNTIFS('Rankings'!$A$6:$A$423,B266,'Rankings'!$E$6:$E$423,"&lt;="&amp;F266)</x:f>
        <x:v>1</x:v>
      </x:c>
      <x:c r="H266" s="2" t="n">
        <x:f>SUMIFS('Rankings'!$J$6:$J$423,'Rankings'!$A$6:$A$423,B266,'Rankings'!$E$6:$E$423,"&lt;="&amp;F266)</x:f>
        <x:v>1</x:v>
      </x:c>
      <x:c r="I266" s="2" t="n">
        <x:f>G266-SUMIFS('Rankings'!$I$6:$I$423,'Rankings'!$A$6:$A$423,B266,'Rankings'!$E$6:$E$423,"&lt;="&amp;F266)</x:f>
        <x:v>0</x:v>
      </x:c>
      <x:c r="J266" s="2" t="n">
        <x:f>SUMIFS('Ratings'!$H$6:$H$1387,'Ratings'!$B$6:$B$1387,C266)</x:f>
        <x:v>29</x:v>
      </x:c>
      <x:c r="K266" s="15" t="n">
        <x:f>IF(I266&gt;0,"Unknown",H266/F266)</x:f>
        <x:v>1</x:v>
      </x:c>
      <x:c r="L266" s="15" t="n">
        <x:f>IF(J266=0,"N/A",H266/J266)</x:f>
        <x:v>0.034482758620689655</x:v>
      </x:c>
      <x:c r="M266" s="14" t="n">
        <x:f>SUMIFS('Rankings'!$L$6:$L$423,'Rankings'!$A$6:$A$423,B266,'Rankings'!$E$6:$E$423,"&lt;="&amp;F266)</x:f>
        <x:v>7</x:v>
      </x:c>
      <x:c r="N266" s="14" t="n">
        <x:f>SUMIFS('Ideal ranking'!$H$6:$H$365,'Ideal ranking'!$A$6:$A$365,C266,'Ideal ranking'!$B$6:$B$365,"&lt;="&amp;F266)</x:f>
        <x:v>7</x:v>
      </x:c>
      <x:c r="O266" s="14" t="n">
        <x:f>IF(I266&gt;0,"Unknown",IF(N266=0,"N/A",M266/N266))</x:f>
        <x:v>1</x:v>
      </x:c>
      <x:c r="P266" s="15" t="n">
        <x:f>IF(G266=0,"N/A",IF(I266&gt;0,"Unknown",H266/G266))</x:f>
        <x:v>1</x:v>
      </x:c>
      <x:c r="Q266" s="2" t="n">
        <x:f>F266-G266</x:f>
        <x:v>0</x:v>
      </x:c>
    </x:row>
    <x:row r="267" ht="22" customHeight="1">
      <x:c r="A267" s="2" t="str">
        <x:v>S29-T01|2</x:v>
      </x:c>
      <x:c r="B267" s="2" t="str">
        <x:v>S29-T01</x:v>
      </x:c>
      <x:c r="C267" s="2" t="str">
        <x:v>S29</x:v>
      </x:c>
      <x:c r="D267" s="2" t="str">
        <x:v>Extension</x:v>
      </x:c>
      <x:c r="E267" s="2" t="n">
        <x:v>1</x:v>
      </x:c>
      <x:c r="F267" s="2" t="n">
        <x:v>2</x:v>
      </x:c>
      <x:c r="G267" s="2" t="n">
        <x:f>COUNTIFS('Rankings'!$A$6:$A$423,B267,'Rankings'!$E$6:$E$423,"&lt;="&amp;F267)</x:f>
        <x:v>2</x:v>
      </x:c>
      <x:c r="H267" s="2" t="n">
        <x:f>SUMIFS('Rankings'!$J$6:$J$423,'Rankings'!$A$6:$A$423,B267,'Rankings'!$E$6:$E$423,"&lt;="&amp;F267)</x:f>
        <x:v>2</x:v>
      </x:c>
      <x:c r="I267" s="2" t="n">
        <x:f>G267-SUMIFS('Rankings'!$I$6:$I$423,'Rankings'!$A$6:$A$423,B267,'Rankings'!$E$6:$E$423,"&lt;="&amp;F267)</x:f>
        <x:v>0</x:v>
      </x:c>
      <x:c r="J267" s="2" t="n">
        <x:f>SUMIFS('Ratings'!$H$6:$H$1387,'Ratings'!$B$6:$B$1387,C267)</x:f>
        <x:v>29</x:v>
      </x:c>
      <x:c r="K267" s="15" t="n">
        <x:f>IF(I267&gt;0,"Unknown",H267/F267)</x:f>
        <x:v>1</x:v>
      </x:c>
      <x:c r="L267" s="15" t="n">
        <x:f>IF(J267=0,"N/A",H267/J267)</x:f>
        <x:v>0.06896551724137931</x:v>
      </x:c>
      <x:c r="M267" s="14" t="n">
        <x:f>SUMIFS('Rankings'!$L$6:$L$423,'Rankings'!$A$6:$A$423,B267,'Rankings'!$E$6:$E$423,"&lt;="&amp;F267)</x:f>
        <x:v>11.416508275000202</x:v>
      </x:c>
      <x:c r="N267" s="14" t="n">
        <x:f>SUMIFS('Ideal ranking'!$H$6:$H$365,'Ideal ranking'!$A$6:$A$365,C267,'Ideal ranking'!$B$6:$B$365,"&lt;="&amp;F267)</x:f>
        <x:v>11.416508275000202</x:v>
      </x:c>
      <x:c r="O267" s="14" t="n">
        <x:f>IF(I267&gt;0,"Unknown",IF(N267=0,"N/A",M267/N267))</x:f>
        <x:v>1</x:v>
      </x:c>
      <x:c r="P267" s="15" t="n">
        <x:f>IF(G267=0,"N/A",IF(I267&gt;0,"Unknown",H267/G267))</x:f>
        <x:v>1</x:v>
      </x:c>
      <x:c r="Q267" s="2" t="n">
        <x:f>F267-G267</x:f>
        <x:v>0</x:v>
      </x:c>
    </x:row>
    <x:row r="268" ht="22" customHeight="1">
      <x:c r="A268" s="2" t="str">
        <x:v>S29-T01|3</x:v>
      </x:c>
      <x:c r="B268" s="2" t="str">
        <x:v>S29-T01</x:v>
      </x:c>
      <x:c r="C268" s="2" t="str">
        <x:v>S29</x:v>
      </x:c>
      <x:c r="D268" s="2" t="str">
        <x:v>Extension</x:v>
      </x:c>
      <x:c r="E268" s="2" t="n">
        <x:v>1</x:v>
      </x:c>
      <x:c r="F268" s="2" t="n">
        <x:v>3</x:v>
      </x:c>
      <x:c r="G268" s="2" t="n">
        <x:f>COUNTIFS('Rankings'!$A$6:$A$423,B268,'Rankings'!$E$6:$E$423,"&lt;="&amp;F268)</x:f>
        <x:v>3</x:v>
      </x:c>
      <x:c r="H268" s="2" t="n">
        <x:f>SUMIFS('Rankings'!$J$6:$J$423,'Rankings'!$A$6:$A$423,B268,'Rankings'!$E$6:$E$423,"&lt;="&amp;F268)</x:f>
        <x:v>3</x:v>
      </x:c>
      <x:c r="I268" s="2" t="n">
        <x:f>G268-SUMIFS('Rankings'!$I$6:$I$423,'Rankings'!$A$6:$A$423,B268,'Rankings'!$E$6:$E$423,"&lt;="&amp;F268)</x:f>
        <x:v>0</x:v>
      </x:c>
      <x:c r="J268" s="2" t="n">
        <x:f>SUMIFS('Ratings'!$H$6:$H$1387,'Ratings'!$B$6:$B$1387,C268)</x:f>
        <x:v>29</x:v>
      </x:c>
      <x:c r="K268" s="15" t="n">
        <x:f>IF(I268&gt;0,"Unknown",H268/F268)</x:f>
        <x:v>1</x:v>
      </x:c>
      <x:c r="L268" s="15" t="n">
        <x:f>IF(J268=0,"N/A",H268/J268)</x:f>
        <x:v>0.10344827586206896</x:v>
      </x:c>
      <x:c r="M268" s="14" t="n">
        <x:f>SUMIFS('Rankings'!$L$6:$L$423,'Rankings'!$A$6:$A$423,B268,'Rankings'!$E$6:$E$423,"&lt;="&amp;F268)</x:f>
        <x:v>14.916508275000202</x:v>
      </x:c>
      <x:c r="N268" s="14" t="n">
        <x:f>SUMIFS('Ideal ranking'!$H$6:$H$365,'Ideal ranking'!$A$6:$A$365,C268,'Ideal ranking'!$B$6:$B$365,"&lt;="&amp;F268)</x:f>
        <x:v>14.916508275000202</x:v>
      </x:c>
      <x:c r="O268" s="14" t="n">
        <x:f>IF(I268&gt;0,"Unknown",IF(N268=0,"N/A",M268/N268))</x:f>
        <x:v>1</x:v>
      </x:c>
      <x:c r="P268" s="15" t="n">
        <x:f>IF(G268=0,"N/A",IF(I268&gt;0,"Unknown",H268/G268))</x:f>
        <x:v>1</x:v>
      </x:c>
      <x:c r="Q268" s="2" t="n">
        <x:f>F268-G268</x:f>
        <x:v>0</x:v>
      </x:c>
    </x:row>
    <x:row r="269" ht="22" customHeight="1">
      <x:c r="A269" s="2" t="str">
        <x:v>S29-T01|4</x:v>
      </x:c>
      <x:c r="B269" s="2" t="str">
        <x:v>S29-T01</x:v>
      </x:c>
      <x:c r="C269" s="2" t="str">
        <x:v>S29</x:v>
      </x:c>
      <x:c r="D269" s="2" t="str">
        <x:v>Extension</x:v>
      </x:c>
      <x:c r="E269" s="2" t="n">
        <x:v>1</x:v>
      </x:c>
      <x:c r="F269" s="2" t="n">
        <x:v>4</x:v>
      </x:c>
      <x:c r="G269" s="2" t="n">
        <x:f>COUNTIFS('Rankings'!$A$6:$A$423,B269,'Rankings'!$E$6:$E$423,"&lt;="&amp;F269)</x:f>
        <x:v>4</x:v>
      </x:c>
      <x:c r="H269" s="2" t="n">
        <x:f>SUMIFS('Rankings'!$J$6:$J$423,'Rankings'!$A$6:$A$423,B269,'Rankings'!$E$6:$E$423,"&lt;="&amp;F269)</x:f>
        <x:v>4</x:v>
      </x:c>
      <x:c r="I269" s="2" t="n">
        <x:f>G269-SUMIFS('Rankings'!$I$6:$I$423,'Rankings'!$A$6:$A$423,B269,'Rankings'!$E$6:$E$423,"&lt;="&amp;F269)</x:f>
        <x:v>0</x:v>
      </x:c>
      <x:c r="J269" s="2" t="n">
        <x:f>SUMIFS('Ratings'!$H$6:$H$1387,'Ratings'!$B$6:$B$1387,C269)</x:f>
        <x:v>29</x:v>
      </x:c>
      <x:c r="K269" s="15" t="n">
        <x:f>IF(I269&gt;0,"Unknown",H269/F269)</x:f>
        <x:v>1</x:v>
      </x:c>
      <x:c r="L269" s="15" t="n">
        <x:f>IF(J269=0,"N/A",H269/J269)</x:f>
        <x:v>0.13793103448275862</x:v>
      </x:c>
      <x:c r="M269" s="14" t="n">
        <x:f>SUMIFS('Rankings'!$L$6:$L$423,'Rankings'!$A$6:$A$423,B269,'Rankings'!$E$6:$E$423,"&lt;="&amp;F269)</x:f>
        <x:v>16.208537949220382</x:v>
      </x:c>
      <x:c r="N269" s="14" t="n">
        <x:f>SUMIFS('Ideal ranking'!$H$6:$H$365,'Ideal ranking'!$A$6:$A$365,C269,'Ideal ranking'!$B$6:$B$365,"&lt;="&amp;F269)</x:f>
        <x:v>16.208537949220382</x:v>
      </x:c>
      <x:c r="O269" s="14" t="n">
        <x:f>IF(I269&gt;0,"Unknown",IF(N269=0,"N/A",M269/N269))</x:f>
        <x:v>1</x:v>
      </x:c>
      <x:c r="P269" s="15" t="n">
        <x:f>IF(G269=0,"N/A",IF(I269&gt;0,"Unknown",H269/G269))</x:f>
        <x:v>1</x:v>
      </x:c>
      <x:c r="Q269" s="2" t="n">
        <x:f>F269-G269</x:f>
        <x:v>0</x:v>
      </x:c>
    </x:row>
    <x:row r="270" ht="22" customHeight="1">
      <x:c r="A270" s="2" t="str">
        <x:v>S29-T01|5</x:v>
      </x:c>
      <x:c r="B270" s="2" t="str">
        <x:v>S29-T01</x:v>
      </x:c>
      <x:c r="C270" s="2" t="str">
        <x:v>S29</x:v>
      </x:c>
      <x:c r="D270" s="2" t="str">
        <x:v>Extension</x:v>
      </x:c>
      <x:c r="E270" s="2" t="n">
        <x:v>1</x:v>
      </x:c>
      <x:c r="F270" s="2" t="n">
        <x:v>5</x:v>
      </x:c>
      <x:c r="G270" s="2" t="n">
        <x:f>COUNTIFS('Rankings'!$A$6:$A$423,B270,'Rankings'!$E$6:$E$423,"&lt;="&amp;F270)</x:f>
        <x:v>5</x:v>
      </x:c>
      <x:c r="H270" s="2" t="n">
        <x:f>SUMIFS('Rankings'!$J$6:$J$423,'Rankings'!$A$6:$A$423,B270,'Rankings'!$E$6:$E$423,"&lt;="&amp;F270)</x:f>
        <x:v>5</x:v>
      </x:c>
      <x:c r="I270" s="2" t="n">
        <x:f>G270-SUMIFS('Rankings'!$I$6:$I$423,'Rankings'!$A$6:$A$423,B270,'Rankings'!$E$6:$E$423,"&lt;="&amp;F270)</x:f>
        <x:v>0</x:v>
      </x:c>
      <x:c r="J270" s="2" t="n">
        <x:f>SUMIFS('Ratings'!$H$6:$H$1387,'Ratings'!$B$6:$B$1387,C270)</x:f>
        <x:v>29</x:v>
      </x:c>
      <x:c r="K270" s="15" t="n">
        <x:f>IF(I270&gt;0,"Unknown",H270/F270)</x:f>
        <x:v>1</x:v>
      </x:c>
      <x:c r="L270" s="15" t="n">
        <x:f>IF(J270=0,"N/A",H270/J270)</x:f>
        <x:v>0.1724137931034483</x:v>
      </x:c>
      <x:c r="M270" s="14" t="n">
        <x:f>SUMIFS('Rankings'!$L$6:$L$423,'Rankings'!$A$6:$A$423,B270,'Rankings'!$E$6:$E$423,"&lt;="&amp;F270)</x:f>
        <x:v>17.369096370924005</x:v>
      </x:c>
      <x:c r="N270" s="14" t="n">
        <x:f>SUMIFS('Ideal ranking'!$H$6:$H$365,'Ideal ranking'!$A$6:$A$365,C270,'Ideal ranking'!$B$6:$B$365,"&lt;="&amp;F270)</x:f>
        <x:v>17.369096370924005</x:v>
      </x:c>
      <x:c r="O270" s="14" t="n">
        <x:f>IF(I270&gt;0,"Unknown",IF(N270=0,"N/A",M270/N270))</x:f>
        <x:v>1</x:v>
      </x:c>
      <x:c r="P270" s="15" t="n">
        <x:f>IF(G270=0,"N/A",IF(I270&gt;0,"Unknown",H270/G270))</x:f>
        <x:v>1</x:v>
      </x:c>
      <x:c r="Q270" s="2" t="n">
        <x:f>F270-G270</x:f>
        <x:v>0</x:v>
      </x:c>
    </x:row>
    <x:row r="271" ht="22" customHeight="1">
      <x:c r="A271" s="2" t="str">
        <x:v>S29-T01|6</x:v>
      </x:c>
      <x:c r="B271" s="2" t="str">
        <x:v>S29-T01</x:v>
      </x:c>
      <x:c r="C271" s="2" t="str">
        <x:v>S29</x:v>
      </x:c>
      <x:c r="D271" s="2" t="str">
        <x:v>Extension</x:v>
      </x:c>
      <x:c r="E271" s="2" t="n">
        <x:v>1</x:v>
      </x:c>
      <x:c r="F271" s="2" t="n">
        <x:v>6</x:v>
      </x:c>
      <x:c r="G271" s="2" t="n">
        <x:f>COUNTIFS('Rankings'!$A$6:$A$423,B271,'Rankings'!$E$6:$E$423,"&lt;="&amp;F271)</x:f>
        <x:v>6</x:v>
      </x:c>
      <x:c r="H271" s="2" t="n">
        <x:f>SUMIFS('Rankings'!$J$6:$J$423,'Rankings'!$A$6:$A$423,B271,'Rankings'!$E$6:$E$423,"&lt;="&amp;F271)</x:f>
        <x:v>6</x:v>
      </x:c>
      <x:c r="I271" s="2" t="n">
        <x:f>G271-SUMIFS('Rankings'!$I$6:$I$423,'Rankings'!$A$6:$A$423,B271,'Rankings'!$E$6:$E$423,"&lt;="&amp;F271)</x:f>
        <x:v>0</x:v>
      </x:c>
      <x:c r="J271" s="2" t="n">
        <x:f>SUMIFS('Ratings'!$H$6:$H$1387,'Ratings'!$B$6:$B$1387,C271)</x:f>
        <x:v>29</x:v>
      </x:c>
      <x:c r="K271" s="15" t="n">
        <x:f>IF(I271&gt;0,"Unknown",H271/F271)</x:f>
        <x:v>1</x:v>
      </x:c>
      <x:c r="L271" s="15" t="n">
        <x:f>IF(J271=0,"N/A",H271/J271)</x:f>
        <x:v>0.20689655172413793</x:v>
      </x:c>
      <x:c r="M271" s="14" t="n">
        <x:f>SUMIFS('Rankings'!$L$6:$L$423,'Rankings'!$A$6:$A$423,B271,'Rankings'!$E$6:$E$423,"&lt;="&amp;F271)</x:f>
        <x:v>18.43771793224807</x:v>
      </x:c>
      <x:c r="N271" s="14" t="n">
        <x:f>SUMIFS('Ideal ranking'!$H$6:$H$365,'Ideal ranking'!$A$6:$A$365,C271,'Ideal ranking'!$B$6:$B$365,"&lt;="&amp;F271)</x:f>
        <x:v>18.43771793224807</x:v>
      </x:c>
      <x:c r="O271" s="14" t="n">
        <x:f>IF(I271&gt;0,"Unknown",IF(N271=0,"N/A",M271/N271))</x:f>
        <x:v>1</x:v>
      </x:c>
      <x:c r="P271" s="15" t="n">
        <x:f>IF(G271=0,"N/A",IF(I271&gt;0,"Unknown",H271/G271))</x:f>
        <x:v>1</x:v>
      </x:c>
      <x:c r="Q271" s="2" t="n">
        <x:f>F271-G271</x:f>
        <x:v>0</x:v>
      </x:c>
    </x:row>
    <x:row r="272" ht="22" customHeight="1">
      <x:c r="A272" s="2" t="str">
        <x:v>S29-T01|7</x:v>
      </x:c>
      <x:c r="B272" s="2" t="str">
        <x:v>S29-T01</x:v>
      </x:c>
      <x:c r="C272" s="2" t="str">
        <x:v>S29</x:v>
      </x:c>
      <x:c r="D272" s="2" t="str">
        <x:v>Extension</x:v>
      </x:c>
      <x:c r="E272" s="2" t="n">
        <x:v>1</x:v>
      </x:c>
      <x:c r="F272" s="2" t="n">
        <x:v>7</x:v>
      </x:c>
      <x:c r="G272" s="2" t="n">
        <x:f>COUNTIFS('Rankings'!$A$6:$A$423,B272,'Rankings'!$E$6:$E$423,"&lt;="&amp;F272)</x:f>
        <x:v>7</x:v>
      </x:c>
      <x:c r="H272" s="2" t="n">
        <x:f>SUMIFS('Rankings'!$J$6:$J$423,'Rankings'!$A$6:$A$423,B272,'Rankings'!$E$6:$E$423,"&lt;="&amp;F272)</x:f>
        <x:v>7</x:v>
      </x:c>
      <x:c r="I272" s="2" t="n">
        <x:f>G272-SUMIFS('Rankings'!$I$6:$I$423,'Rankings'!$A$6:$A$423,B272,'Rankings'!$E$6:$E$423,"&lt;="&amp;F272)</x:f>
        <x:v>0</x:v>
      </x:c>
      <x:c r="J272" s="2" t="n">
        <x:f>SUMIFS('Ratings'!$H$6:$H$1387,'Ratings'!$B$6:$B$1387,C272)</x:f>
        <x:v>29</x:v>
      </x:c>
      <x:c r="K272" s="15" t="n">
        <x:f>IF(I272&gt;0,"Unknown",H272/F272)</x:f>
        <x:v>1</x:v>
      </x:c>
      <x:c r="L272" s="15" t="n">
        <x:f>IF(J272=0,"N/A",H272/J272)</x:f>
        <x:v>0.2413793103448276</x:v>
      </x:c>
      <x:c r="M272" s="14" t="n">
        <x:f>SUMIFS('Rankings'!$L$6:$L$423,'Rankings'!$A$6:$A$423,B272,'Rankings'!$E$6:$E$423,"&lt;="&amp;F272)</x:f>
        <x:v>19.43771793224807</x:v>
      </x:c>
      <x:c r="N272" s="14" t="n">
        <x:f>SUMIFS('Ideal ranking'!$H$6:$H$365,'Ideal ranking'!$A$6:$A$365,C272,'Ideal ranking'!$B$6:$B$365,"&lt;="&amp;F272)</x:f>
        <x:v>19.43771793224807</x:v>
      </x:c>
      <x:c r="O272" s="14" t="n">
        <x:f>IF(I272&gt;0,"Unknown",IF(N272=0,"N/A",M272/N272))</x:f>
        <x:v>1</x:v>
      </x:c>
      <x:c r="P272" s="15" t="n">
        <x:f>IF(G272=0,"N/A",IF(I272&gt;0,"Unknown",H272/G272))</x:f>
        <x:v>1</x:v>
      </x:c>
      <x:c r="Q272" s="2" t="n">
        <x:f>F272-G272</x:f>
        <x:v>0</x:v>
      </x:c>
    </x:row>
    <x:row r="273" ht="22" customHeight="1">
      <x:c r="A273" s="2" t="str">
        <x:v>S29-T01|8</x:v>
      </x:c>
      <x:c r="B273" s="2" t="str">
        <x:v>S29-T01</x:v>
      </x:c>
      <x:c r="C273" s="2" t="str">
        <x:v>S29</x:v>
      </x:c>
      <x:c r="D273" s="2" t="str">
        <x:v>Extension</x:v>
      </x:c>
      <x:c r="E273" s="2" t="n">
        <x:v>1</x:v>
      </x:c>
      <x:c r="F273" s="2" t="n">
        <x:v>8</x:v>
      </x:c>
      <x:c r="G273" s="2" t="n">
        <x:f>COUNTIFS('Rankings'!$A$6:$A$423,B273,'Rankings'!$E$6:$E$423,"&lt;="&amp;F273)</x:f>
        <x:v>8</x:v>
      </x:c>
      <x:c r="H273" s="2" t="n">
        <x:f>SUMIFS('Rankings'!$J$6:$J$423,'Rankings'!$A$6:$A$423,B273,'Rankings'!$E$6:$E$423,"&lt;="&amp;F273)</x:f>
        <x:v>8</x:v>
      </x:c>
      <x:c r="I273" s="2" t="n">
        <x:f>G273-SUMIFS('Rankings'!$I$6:$I$423,'Rankings'!$A$6:$A$423,B273,'Rankings'!$E$6:$E$423,"&lt;="&amp;F273)</x:f>
        <x:v>0</x:v>
      </x:c>
      <x:c r="J273" s="2" t="n">
        <x:f>SUMIFS('Ratings'!$H$6:$H$1387,'Ratings'!$B$6:$B$1387,C273)</x:f>
        <x:v>29</x:v>
      </x:c>
      <x:c r="K273" s="15" t="n">
        <x:f>IF(I273&gt;0,"Unknown",H273/F273)</x:f>
        <x:v>1</x:v>
      </x:c>
      <x:c r="L273" s="15" t="n">
        <x:f>IF(J273=0,"N/A",H273/J273)</x:f>
        <x:v>0.27586206896551724</x:v>
      </x:c>
      <x:c r="M273" s="14" t="n">
        <x:f>SUMIFS('Rankings'!$L$6:$L$423,'Rankings'!$A$6:$A$423,B273,'Rankings'!$E$6:$E$423,"&lt;="&amp;F273)</x:f>
        <x:v>20.384112562605257</x:v>
      </x:c>
      <x:c r="N273" s="14" t="n">
        <x:f>SUMIFS('Ideal ranking'!$H$6:$H$365,'Ideal ranking'!$A$6:$A$365,C273,'Ideal ranking'!$B$6:$B$365,"&lt;="&amp;F273)</x:f>
        <x:v>20.384112562605257</x:v>
      </x:c>
      <x:c r="O273" s="14" t="n">
        <x:f>IF(I273&gt;0,"Unknown",IF(N273=0,"N/A",M273/N273))</x:f>
        <x:v>1</x:v>
      </x:c>
      <x:c r="P273" s="15" t="n">
        <x:f>IF(G273=0,"N/A",IF(I273&gt;0,"Unknown",H273/G273))</x:f>
        <x:v>1</x:v>
      </x:c>
      <x:c r="Q273" s="2" t="n">
        <x:f>F273-G273</x:f>
        <x:v>0</x:v>
      </x:c>
    </x:row>
    <x:row r="274" ht="22" customHeight="1">
      <x:c r="A274" s="2" t="str">
        <x:v>S29-T01|9</x:v>
      </x:c>
      <x:c r="B274" s="2" t="str">
        <x:v>S29-T01</x:v>
      </x:c>
      <x:c r="C274" s="2" t="str">
        <x:v>S29</x:v>
      </x:c>
      <x:c r="D274" s="2" t="str">
        <x:v>Extension</x:v>
      </x:c>
      <x:c r="E274" s="2" t="n">
        <x:v>1</x:v>
      </x:c>
      <x:c r="F274" s="2" t="n">
        <x:v>9</x:v>
      </x:c>
      <x:c r="G274" s="2" t="n">
        <x:f>COUNTIFS('Rankings'!$A$6:$A$423,B274,'Rankings'!$E$6:$E$423,"&lt;="&amp;F274)</x:f>
        <x:v>9</x:v>
      </x:c>
      <x:c r="H274" s="2" t="n">
        <x:f>SUMIFS('Rankings'!$J$6:$J$423,'Rankings'!$A$6:$A$423,B274,'Rankings'!$E$6:$E$423,"&lt;="&amp;F274)</x:f>
        <x:v>9</x:v>
      </x:c>
      <x:c r="I274" s="2" t="n">
        <x:f>G274-SUMIFS('Rankings'!$I$6:$I$423,'Rankings'!$A$6:$A$423,B274,'Rankings'!$E$6:$E$423,"&lt;="&amp;F274)</x:f>
        <x:v>0</x:v>
      </x:c>
      <x:c r="J274" s="2" t="n">
        <x:f>SUMIFS('Ratings'!$H$6:$H$1387,'Ratings'!$B$6:$B$1387,C274)</x:f>
        <x:v>29</x:v>
      </x:c>
      <x:c r="K274" s="15" t="n">
        <x:f>IF(I274&gt;0,"Unknown",H274/F274)</x:f>
        <x:v>1</x:v>
      </x:c>
      <x:c r="L274" s="15" t="n">
        <x:f>IF(J274=0,"N/A",H274/J274)</x:f>
        <x:v>0.3103448275862069</x:v>
      </x:c>
      <x:c r="M274" s="14" t="n">
        <x:f>SUMIFS('Rankings'!$L$6:$L$423,'Rankings'!$A$6:$A$423,B274,'Rankings'!$E$6:$E$423,"&lt;="&amp;F274)</x:f>
        <x:v>21.2872025495972</x:v>
      </x:c>
      <x:c r="N274" s="14" t="n">
        <x:f>SUMIFS('Ideal ranking'!$H$6:$H$365,'Ideal ranking'!$A$6:$A$365,C274,'Ideal ranking'!$B$6:$B$365,"&lt;="&amp;F274)</x:f>
        <x:v>21.2872025495972</x:v>
      </x:c>
      <x:c r="O274" s="14" t="n">
        <x:f>IF(I274&gt;0,"Unknown",IF(N274=0,"N/A",M274/N274))</x:f>
        <x:v>1</x:v>
      </x:c>
      <x:c r="P274" s="15" t="n">
        <x:f>IF(G274=0,"N/A",IF(I274&gt;0,"Unknown",H274/G274))</x:f>
        <x:v>1</x:v>
      </x:c>
      <x:c r="Q274" s="2" t="n">
        <x:f>F274-G274</x:f>
        <x:v>0</x:v>
      </x:c>
    </x:row>
    <x:row r="275" ht="22" customHeight="1">
      <x:c r="A275" s="2" t="str">
        <x:v>S29-T01|10</x:v>
      </x:c>
      <x:c r="B275" s="2" t="str">
        <x:v>S29-T01</x:v>
      </x:c>
      <x:c r="C275" s="2" t="str">
        <x:v>S29</x:v>
      </x:c>
      <x:c r="D275" s="2" t="str">
        <x:v>Extension</x:v>
      </x:c>
      <x:c r="E275" s="2" t="n">
        <x:v>1</x:v>
      </x:c>
      <x:c r="F275" s="2" t="n">
        <x:v>10</x:v>
      </x:c>
      <x:c r="G275" s="2" t="n">
        <x:f>COUNTIFS('Rankings'!$A$6:$A$423,B275,'Rankings'!$E$6:$E$423,"&lt;="&amp;F275)</x:f>
        <x:v>10</x:v>
      </x:c>
      <x:c r="H275" s="2" t="n">
        <x:f>SUMIFS('Rankings'!$J$6:$J$423,'Rankings'!$A$6:$A$423,B275,'Rankings'!$E$6:$E$423,"&lt;="&amp;F275)</x:f>
        <x:v>10</x:v>
      </x:c>
      <x:c r="I275" s="2" t="n">
        <x:f>G275-SUMIFS('Rankings'!$I$6:$I$423,'Rankings'!$A$6:$A$423,B275,'Rankings'!$E$6:$E$423,"&lt;="&amp;F275)</x:f>
        <x:v>0</x:v>
      </x:c>
      <x:c r="J275" s="2" t="n">
        <x:f>SUMIFS('Ratings'!$H$6:$H$1387,'Ratings'!$B$6:$B$1387,C275)</x:f>
        <x:v>29</x:v>
      </x:c>
      <x:c r="K275" s="15" t="n">
        <x:f>IF(I275&gt;0,"Unknown",H275/F275)</x:f>
        <x:v>1</x:v>
      </x:c>
      <x:c r="L275" s="15" t="n">
        <x:f>IF(J275=0,"N/A",H275/J275)</x:f>
        <x:v>0.3448275862068966</x:v>
      </x:c>
      <x:c r="M275" s="14" t="n">
        <x:f>SUMIFS('Rankings'!$L$6:$L$423,'Rankings'!$A$6:$A$423,B275,'Rankings'!$E$6:$E$423,"&lt;="&amp;F275)</x:f>
        <x:v>22.154397028550864</x:v>
      </x:c>
      <x:c r="N275" s="14" t="n">
        <x:f>SUMIFS('Ideal ranking'!$H$6:$H$365,'Ideal ranking'!$A$6:$A$365,C275,'Ideal ranking'!$B$6:$B$365,"&lt;="&amp;F275)</x:f>
        <x:v>22.154397028550864</x:v>
      </x:c>
      <x:c r="O275" s="14" t="n">
        <x:f>IF(I275&gt;0,"Unknown",IF(N275=0,"N/A",M275/N275))</x:f>
        <x:v>1</x:v>
      </x:c>
      <x:c r="P275" s="15" t="n">
        <x:f>IF(G275=0,"N/A",IF(I275&gt;0,"Unknown",H275/G275))</x:f>
        <x:v>1</x:v>
      </x:c>
      <x:c r="Q275" s="2" t="n">
        <x:f>F275-G275</x:f>
        <x:v>0</x:v>
      </x:c>
    </x:row>
    <x:row r="276" ht="22" customHeight="1">
      <x:c r="A276" s="2" t="str">
        <x:v>S30-T01|1</x:v>
      </x:c>
      <x:c r="B276" s="2" t="str">
        <x:v>S30-T01</x:v>
      </x:c>
      <x:c r="C276" s="2" t="str">
        <x:v>S30</x:v>
      </x:c>
      <x:c r="D276" s="2" t="str">
        <x:v>Extension</x:v>
      </x:c>
      <x:c r="E276" s="2" t="n">
        <x:v>1</x:v>
      </x:c>
      <x:c r="F276" s="2" t="n">
        <x:v>1</x:v>
      </x:c>
      <x:c r="G276" s="2" t="n">
        <x:f>COUNTIFS('Rankings'!$A$6:$A$423,B276,'Rankings'!$E$6:$E$423,"&lt;="&amp;F276)</x:f>
        <x:v>1</x:v>
      </x:c>
      <x:c r="H276" s="2" t="n">
        <x:f>SUMIFS('Rankings'!$J$6:$J$423,'Rankings'!$A$6:$A$423,B276,'Rankings'!$E$6:$E$423,"&lt;="&amp;F276)</x:f>
        <x:v>1</x:v>
      </x:c>
      <x:c r="I276" s="2" t="n">
        <x:f>G276-SUMIFS('Rankings'!$I$6:$I$423,'Rankings'!$A$6:$A$423,B276,'Rankings'!$E$6:$E$423,"&lt;="&amp;F276)</x:f>
        <x:v>0</x:v>
      </x:c>
      <x:c r="J276" s="2" t="n">
        <x:f>SUMIFS('Ratings'!$H$6:$H$1387,'Ratings'!$B$6:$B$1387,C276)</x:f>
        <x:v>23</x:v>
      </x:c>
      <x:c r="K276" s="15" t="n">
        <x:f>IF(I276&gt;0,"Unknown",H276/F276)</x:f>
        <x:v>1</x:v>
      </x:c>
      <x:c r="L276" s="15" t="n">
        <x:f>IF(J276=0,"N/A",H276/J276)</x:f>
        <x:v>0.043478260869565216</x:v>
      </x:c>
      <x:c r="M276" s="14" t="n">
        <x:f>SUMIFS('Rankings'!$L$6:$L$423,'Rankings'!$A$6:$A$423,B276,'Rankings'!$E$6:$E$423,"&lt;="&amp;F276)</x:f>
        <x:v>7</x:v>
      </x:c>
      <x:c r="N276" s="14" t="n">
        <x:f>SUMIFS('Ideal ranking'!$H$6:$H$365,'Ideal ranking'!$A$6:$A$365,C276,'Ideal ranking'!$B$6:$B$365,"&lt;="&amp;F276)</x:f>
        <x:v>7</x:v>
      </x:c>
      <x:c r="O276" s="14" t="n">
        <x:f>IF(I276&gt;0,"Unknown",IF(N276=0,"N/A",M276/N276))</x:f>
        <x:v>1</x:v>
      </x:c>
      <x:c r="P276" s="15" t="n">
        <x:f>IF(G276=0,"N/A",IF(I276&gt;0,"Unknown",H276/G276))</x:f>
        <x:v>1</x:v>
      </x:c>
      <x:c r="Q276" s="2" t="n">
        <x:f>F276-G276</x:f>
        <x:v>0</x:v>
      </x:c>
    </x:row>
    <x:row r="277" ht="22" customHeight="1">
      <x:c r="A277" s="2" t="str">
        <x:v>S30-T01|2</x:v>
      </x:c>
      <x:c r="B277" s="2" t="str">
        <x:v>S30-T01</x:v>
      </x:c>
      <x:c r="C277" s="2" t="str">
        <x:v>S30</x:v>
      </x:c>
      <x:c r="D277" s="2" t="str">
        <x:v>Extension</x:v>
      </x:c>
      <x:c r="E277" s="2" t="n">
        <x:v>1</x:v>
      </x:c>
      <x:c r="F277" s="2" t="n">
        <x:v>2</x:v>
      </x:c>
      <x:c r="G277" s="2" t="n">
        <x:f>COUNTIFS('Rankings'!$A$6:$A$423,B277,'Rankings'!$E$6:$E$423,"&lt;="&amp;F277)</x:f>
        <x:v>2</x:v>
      </x:c>
      <x:c r="H277" s="2" t="n">
        <x:f>SUMIFS('Rankings'!$J$6:$J$423,'Rankings'!$A$6:$A$423,B277,'Rankings'!$E$6:$E$423,"&lt;="&amp;F277)</x:f>
        <x:v>2</x:v>
      </x:c>
      <x:c r="I277" s="2" t="n">
        <x:f>G277-SUMIFS('Rankings'!$I$6:$I$423,'Rankings'!$A$6:$A$423,B277,'Rankings'!$E$6:$E$423,"&lt;="&amp;F277)</x:f>
        <x:v>0</x:v>
      </x:c>
      <x:c r="J277" s="2" t="n">
        <x:f>SUMIFS('Ratings'!$H$6:$H$1387,'Ratings'!$B$6:$B$1387,C277)</x:f>
        <x:v>23</x:v>
      </x:c>
      <x:c r="K277" s="15" t="n">
        <x:f>IF(I277&gt;0,"Unknown",H277/F277)</x:f>
        <x:v>1</x:v>
      </x:c>
      <x:c r="L277" s="15" t="n">
        <x:f>IF(J277=0,"N/A",H277/J277)</x:f>
        <x:v>0.08695652173913043</x:v>
      </x:c>
      <x:c r="M277" s="14" t="n">
        <x:f>SUMIFS('Rankings'!$L$6:$L$423,'Rankings'!$A$6:$A$423,B277,'Rankings'!$E$6:$E$423,"&lt;="&amp;F277)</x:f>
        <x:v>11.416508275000202</x:v>
      </x:c>
      <x:c r="N277" s="14" t="n">
        <x:f>SUMIFS('Ideal ranking'!$H$6:$H$365,'Ideal ranking'!$A$6:$A$365,C277,'Ideal ranking'!$B$6:$B$365,"&lt;="&amp;F277)</x:f>
        <x:v>11.416508275000202</x:v>
      </x:c>
      <x:c r="O277" s="14" t="n">
        <x:f>IF(I277&gt;0,"Unknown",IF(N277=0,"N/A",M277/N277))</x:f>
        <x:v>1</x:v>
      </x:c>
      <x:c r="P277" s="15" t="n">
        <x:f>IF(G277=0,"N/A",IF(I277&gt;0,"Unknown",H277/G277))</x:f>
        <x:v>1</x:v>
      </x:c>
      <x:c r="Q277" s="2" t="n">
        <x:f>F277-G277</x:f>
        <x:v>0</x:v>
      </x:c>
    </x:row>
    <x:row r="278" ht="22" customHeight="1">
      <x:c r="A278" s="2" t="str">
        <x:v>S30-T01|3</x:v>
      </x:c>
      <x:c r="B278" s="2" t="str">
        <x:v>S30-T01</x:v>
      </x:c>
      <x:c r="C278" s="2" t="str">
        <x:v>S30</x:v>
      </x:c>
      <x:c r="D278" s="2" t="str">
        <x:v>Extension</x:v>
      </x:c>
      <x:c r="E278" s="2" t="n">
        <x:v>1</x:v>
      </x:c>
      <x:c r="F278" s="2" t="n">
        <x:v>3</x:v>
      </x:c>
      <x:c r="G278" s="2" t="n">
        <x:f>COUNTIFS('Rankings'!$A$6:$A$423,B278,'Rankings'!$E$6:$E$423,"&lt;="&amp;F278)</x:f>
        <x:v>3</x:v>
      </x:c>
      <x:c r="H278" s="2" t="n">
        <x:f>SUMIFS('Rankings'!$J$6:$J$423,'Rankings'!$A$6:$A$423,B278,'Rankings'!$E$6:$E$423,"&lt;="&amp;F278)</x:f>
        <x:v>3</x:v>
      </x:c>
      <x:c r="I278" s="2" t="n">
        <x:f>G278-SUMIFS('Rankings'!$I$6:$I$423,'Rankings'!$A$6:$A$423,B278,'Rankings'!$E$6:$E$423,"&lt;="&amp;F278)</x:f>
        <x:v>0</x:v>
      </x:c>
      <x:c r="J278" s="2" t="n">
        <x:f>SUMIFS('Ratings'!$H$6:$H$1387,'Ratings'!$B$6:$B$1387,C278)</x:f>
        <x:v>23</x:v>
      </x:c>
      <x:c r="K278" s="15" t="n">
        <x:f>IF(I278&gt;0,"Unknown",H278/F278)</x:f>
        <x:v>1</x:v>
      </x:c>
      <x:c r="L278" s="15" t="n">
        <x:f>IF(J278=0,"N/A",H278/J278)</x:f>
        <x:v>0.13043478260869565</x:v>
      </x:c>
      <x:c r="M278" s="14" t="n">
        <x:f>SUMIFS('Rankings'!$L$6:$L$423,'Rankings'!$A$6:$A$423,B278,'Rankings'!$E$6:$E$423,"&lt;="&amp;F278)</x:f>
        <x:v>14.916508275000202</x:v>
      </x:c>
      <x:c r="N278" s="14" t="n">
        <x:f>SUMIFS('Ideal ranking'!$H$6:$H$365,'Ideal ranking'!$A$6:$A$365,C278,'Ideal ranking'!$B$6:$B$365,"&lt;="&amp;F278)</x:f>
        <x:v>14.916508275000202</x:v>
      </x:c>
      <x:c r="O278" s="14" t="n">
        <x:f>IF(I278&gt;0,"Unknown",IF(N278=0,"N/A",M278/N278))</x:f>
        <x:v>1</x:v>
      </x:c>
      <x:c r="P278" s="15" t="n">
        <x:f>IF(G278=0,"N/A",IF(I278&gt;0,"Unknown",H278/G278))</x:f>
        <x:v>1</x:v>
      </x:c>
      <x:c r="Q278" s="2" t="n">
        <x:f>F278-G278</x:f>
        <x:v>0</x:v>
      </x:c>
    </x:row>
    <x:row r="279" ht="22" customHeight="1">
      <x:c r="A279" s="2" t="str">
        <x:v>S30-T01|4</x:v>
      </x:c>
      <x:c r="B279" s="2" t="str">
        <x:v>S30-T01</x:v>
      </x:c>
      <x:c r="C279" s="2" t="str">
        <x:v>S30</x:v>
      </x:c>
      <x:c r="D279" s="2" t="str">
        <x:v>Extension</x:v>
      </x:c>
      <x:c r="E279" s="2" t="n">
        <x:v>1</x:v>
      </x:c>
      <x:c r="F279" s="2" t="n">
        <x:v>4</x:v>
      </x:c>
      <x:c r="G279" s="2" t="n">
        <x:f>COUNTIFS('Rankings'!$A$6:$A$423,B279,'Rankings'!$E$6:$E$423,"&lt;="&amp;F279)</x:f>
        <x:v>4</x:v>
      </x:c>
      <x:c r="H279" s="2" t="n">
        <x:f>SUMIFS('Rankings'!$J$6:$J$423,'Rankings'!$A$6:$A$423,B279,'Rankings'!$E$6:$E$423,"&lt;="&amp;F279)</x:f>
        <x:v>4</x:v>
      </x:c>
      <x:c r="I279" s="2" t="n">
        <x:f>G279-SUMIFS('Rankings'!$I$6:$I$423,'Rankings'!$A$6:$A$423,B279,'Rankings'!$E$6:$E$423,"&lt;="&amp;F279)</x:f>
        <x:v>0</x:v>
      </x:c>
      <x:c r="J279" s="2" t="n">
        <x:f>SUMIFS('Ratings'!$H$6:$H$1387,'Ratings'!$B$6:$B$1387,C279)</x:f>
        <x:v>23</x:v>
      </x:c>
      <x:c r="K279" s="15" t="n">
        <x:f>IF(I279&gt;0,"Unknown",H279/F279)</x:f>
        <x:v>1</x:v>
      </x:c>
      <x:c r="L279" s="15" t="n">
        <x:f>IF(J279=0,"N/A",H279/J279)</x:f>
        <x:v>0.17391304347826086</x:v>
      </x:c>
      <x:c r="M279" s="14" t="n">
        <x:f>SUMIFS('Rankings'!$L$6:$L$423,'Rankings'!$A$6:$A$423,B279,'Rankings'!$E$6:$E$423,"&lt;="&amp;F279)</x:f>
        <x:v>17.931244181513954</x:v>
      </x:c>
      <x:c r="N279" s="14" t="n">
        <x:f>SUMIFS('Ideal ranking'!$H$6:$H$365,'Ideal ranking'!$A$6:$A$365,C279,'Ideal ranking'!$B$6:$B$365,"&lt;="&amp;F279)</x:f>
        <x:v>17.931244181513954</x:v>
      </x:c>
      <x:c r="O279" s="14" t="n">
        <x:f>IF(I279&gt;0,"Unknown",IF(N279=0,"N/A",M279/N279))</x:f>
        <x:v>1</x:v>
      </x:c>
      <x:c r="P279" s="15" t="n">
        <x:f>IF(G279=0,"N/A",IF(I279&gt;0,"Unknown",H279/G279))</x:f>
        <x:v>1</x:v>
      </x:c>
      <x:c r="Q279" s="2" t="n">
        <x:f>F279-G279</x:f>
        <x:v>0</x:v>
      </x:c>
    </x:row>
    <x:row r="280" ht="22" customHeight="1">
      <x:c r="A280" s="2" t="str">
        <x:v>S30-T01|5</x:v>
      </x:c>
      <x:c r="B280" s="2" t="str">
        <x:v>S30-T01</x:v>
      </x:c>
      <x:c r="C280" s="2" t="str">
        <x:v>S30</x:v>
      </x:c>
      <x:c r="D280" s="2" t="str">
        <x:v>Extension</x:v>
      </x:c>
      <x:c r="E280" s="2" t="n">
        <x:v>1</x:v>
      </x:c>
      <x:c r="F280" s="2" t="n">
        <x:v>5</x:v>
      </x:c>
      <x:c r="G280" s="2" t="n">
        <x:f>COUNTIFS('Rankings'!$A$6:$A$423,B280,'Rankings'!$E$6:$E$423,"&lt;="&amp;F280)</x:f>
        <x:v>5</x:v>
      </x:c>
      <x:c r="H280" s="2" t="n">
        <x:f>SUMIFS('Rankings'!$J$6:$J$423,'Rankings'!$A$6:$A$423,B280,'Rankings'!$E$6:$E$423,"&lt;="&amp;F280)</x:f>
        <x:v>5</x:v>
      </x:c>
      <x:c r="I280" s="2" t="n">
        <x:f>G280-SUMIFS('Rankings'!$I$6:$I$423,'Rankings'!$A$6:$A$423,B280,'Rankings'!$E$6:$E$423,"&lt;="&amp;F280)</x:f>
        <x:v>0</x:v>
      </x:c>
      <x:c r="J280" s="2" t="n">
        <x:f>SUMIFS('Ratings'!$H$6:$H$1387,'Ratings'!$B$6:$B$1387,C280)</x:f>
        <x:v>23</x:v>
      </x:c>
      <x:c r="K280" s="15" t="n">
        <x:f>IF(I280&gt;0,"Unknown",H280/F280)</x:f>
        <x:v>1</x:v>
      </x:c>
      <x:c r="L280" s="15" t="n">
        <x:f>IF(J280=0,"N/A",H280/J280)</x:f>
        <x:v>0.21739130434782608</x:v>
      </x:c>
      <x:c r="M280" s="14" t="n">
        <x:f>SUMIFS('Rankings'!$L$6:$L$423,'Rankings'!$A$6:$A$423,B280,'Rankings'!$E$6:$E$423,"&lt;="&amp;F280)</x:f>
        <x:v>20.639213832155747</x:v>
      </x:c>
      <x:c r="N280" s="14" t="n">
        <x:f>SUMIFS('Ideal ranking'!$H$6:$H$365,'Ideal ranking'!$A$6:$A$365,C280,'Ideal ranking'!$B$6:$B$365,"&lt;="&amp;F280)</x:f>
        <x:v>20.639213832155747</x:v>
      </x:c>
      <x:c r="O280" s="14" t="n">
        <x:f>IF(I280&gt;0,"Unknown",IF(N280=0,"N/A",M280/N280))</x:f>
        <x:v>1</x:v>
      </x:c>
      <x:c r="P280" s="15" t="n">
        <x:f>IF(G280=0,"N/A",IF(I280&gt;0,"Unknown",H280/G280))</x:f>
        <x:v>1</x:v>
      </x:c>
      <x:c r="Q280" s="2" t="n">
        <x:f>F280-G280</x:f>
        <x:v>0</x:v>
      </x:c>
    </x:row>
    <x:row r="281" ht="22" customHeight="1">
      <x:c r="A281" s="2" t="str">
        <x:v>S30-T01|6</x:v>
      </x:c>
      <x:c r="B281" s="2" t="str">
        <x:v>S30-T01</x:v>
      </x:c>
      <x:c r="C281" s="2" t="str">
        <x:v>S30</x:v>
      </x:c>
      <x:c r="D281" s="2" t="str">
        <x:v>Extension</x:v>
      </x:c>
      <x:c r="E281" s="2" t="n">
        <x:v>1</x:v>
      </x:c>
      <x:c r="F281" s="2" t="n">
        <x:v>6</x:v>
      </x:c>
      <x:c r="G281" s="2" t="n">
        <x:f>COUNTIFS('Rankings'!$A$6:$A$423,B281,'Rankings'!$E$6:$E$423,"&lt;="&amp;F281)</x:f>
        <x:v>6</x:v>
      </x:c>
      <x:c r="H281" s="2" t="n">
        <x:f>SUMIFS('Rankings'!$J$6:$J$423,'Rankings'!$A$6:$A$423,B281,'Rankings'!$E$6:$E$423,"&lt;="&amp;F281)</x:f>
        <x:v>6</x:v>
      </x:c>
      <x:c r="I281" s="2" t="n">
        <x:f>G281-SUMIFS('Rankings'!$I$6:$I$423,'Rankings'!$A$6:$A$423,B281,'Rankings'!$E$6:$E$423,"&lt;="&amp;F281)</x:f>
        <x:v>0</x:v>
      </x:c>
      <x:c r="J281" s="2" t="n">
        <x:f>SUMIFS('Ratings'!$H$6:$H$1387,'Ratings'!$B$6:$B$1387,C281)</x:f>
        <x:v>23</x:v>
      </x:c>
      <x:c r="K281" s="15" t="n">
        <x:f>IF(I281&gt;0,"Unknown",H281/F281)</x:f>
        <x:v>1</x:v>
      </x:c>
      <x:c r="L281" s="15" t="n">
        <x:f>IF(J281=0,"N/A",H281/J281)</x:f>
        <x:v>0.2608695652173913</x:v>
      </x:c>
      <x:c r="M281" s="14" t="n">
        <x:f>SUMIFS('Rankings'!$L$6:$L$423,'Rankings'!$A$6:$A$423,B281,'Rankings'!$E$6:$E$423,"&lt;="&amp;F281)</x:f>
        <x:v>23.132664141911903</x:v>
      </x:c>
      <x:c r="N281" s="14" t="n">
        <x:f>SUMIFS('Ideal ranking'!$H$6:$H$365,'Ideal ranking'!$A$6:$A$365,C281,'Ideal ranking'!$B$6:$B$365,"&lt;="&amp;F281)</x:f>
        <x:v>23.132664141911903</x:v>
      </x:c>
      <x:c r="O281" s="14" t="n">
        <x:f>IF(I281&gt;0,"Unknown",IF(N281=0,"N/A",M281/N281))</x:f>
        <x:v>1</x:v>
      </x:c>
      <x:c r="P281" s="15" t="n">
        <x:f>IF(G281=0,"N/A",IF(I281&gt;0,"Unknown",H281/G281))</x:f>
        <x:v>1</x:v>
      </x:c>
      <x:c r="Q281" s="2" t="n">
        <x:f>F281-G281</x:f>
        <x:v>0</x:v>
      </x:c>
    </x:row>
    <x:row r="282" ht="22" customHeight="1">
      <x:c r="A282" s="2" t="str">
        <x:v>S30-T01|7</x:v>
      </x:c>
      <x:c r="B282" s="2" t="str">
        <x:v>S30-T01</x:v>
      </x:c>
      <x:c r="C282" s="2" t="str">
        <x:v>S30</x:v>
      </x:c>
      <x:c r="D282" s="2" t="str">
        <x:v>Extension</x:v>
      </x:c>
      <x:c r="E282" s="2" t="n">
        <x:v>1</x:v>
      </x:c>
      <x:c r="F282" s="2" t="n">
        <x:v>7</x:v>
      </x:c>
      <x:c r="G282" s="2" t="n">
        <x:f>COUNTIFS('Rankings'!$A$6:$A$423,B282,'Rankings'!$E$6:$E$423,"&lt;="&amp;F282)</x:f>
        <x:v>7</x:v>
      </x:c>
      <x:c r="H282" s="2" t="n">
        <x:f>SUMIFS('Rankings'!$J$6:$J$423,'Rankings'!$A$6:$A$423,B282,'Rankings'!$E$6:$E$423,"&lt;="&amp;F282)</x:f>
        <x:v>7</x:v>
      </x:c>
      <x:c r="I282" s="2" t="n">
        <x:f>G282-SUMIFS('Rankings'!$I$6:$I$423,'Rankings'!$A$6:$A$423,B282,'Rankings'!$E$6:$E$423,"&lt;="&amp;F282)</x:f>
        <x:v>0</x:v>
      </x:c>
      <x:c r="J282" s="2" t="n">
        <x:f>SUMIFS('Ratings'!$H$6:$H$1387,'Ratings'!$B$6:$B$1387,C282)</x:f>
        <x:v>23</x:v>
      </x:c>
      <x:c r="K282" s="15" t="n">
        <x:f>IF(I282&gt;0,"Unknown",H282/F282)</x:f>
        <x:v>1</x:v>
      </x:c>
      <x:c r="L282" s="15" t="n">
        <x:f>IF(J282=0,"N/A",H282/J282)</x:f>
        <x:v>0.30434782608695654</x:v>
      </x:c>
      <x:c r="M282" s="14" t="n">
        <x:f>SUMIFS('Rankings'!$L$6:$L$423,'Rankings'!$A$6:$A$423,B282,'Rankings'!$E$6:$E$423,"&lt;="&amp;F282)</x:f>
        <x:v>25.465997475245235</x:v>
      </x:c>
      <x:c r="N282" s="14" t="n">
        <x:f>SUMIFS('Ideal ranking'!$H$6:$H$365,'Ideal ranking'!$A$6:$A$365,C282,'Ideal ranking'!$B$6:$B$365,"&lt;="&amp;F282)</x:f>
        <x:v>25.465997475245235</x:v>
      </x:c>
      <x:c r="O282" s="14" t="n">
        <x:f>IF(I282&gt;0,"Unknown",IF(N282=0,"N/A",M282/N282))</x:f>
        <x:v>1</x:v>
      </x:c>
      <x:c r="P282" s="15" t="n">
        <x:f>IF(G282=0,"N/A",IF(I282&gt;0,"Unknown",H282/G282))</x:f>
        <x:v>1</x:v>
      </x:c>
      <x:c r="Q282" s="2" t="n">
        <x:f>F282-G282</x:f>
        <x:v>0</x:v>
      </x:c>
    </x:row>
    <x:row r="283" ht="22" customHeight="1">
      <x:c r="A283" s="2" t="str">
        <x:v>S30-T01|8</x:v>
      </x:c>
      <x:c r="B283" s="2" t="str">
        <x:v>S30-T01</x:v>
      </x:c>
      <x:c r="C283" s="2" t="str">
        <x:v>S30</x:v>
      </x:c>
      <x:c r="D283" s="2" t="str">
        <x:v>Extension</x:v>
      </x:c>
      <x:c r="E283" s="2" t="n">
        <x:v>1</x:v>
      </x:c>
      <x:c r="F283" s="2" t="n">
        <x:v>8</x:v>
      </x:c>
      <x:c r="G283" s="2" t="n">
        <x:f>COUNTIFS('Rankings'!$A$6:$A$423,B283,'Rankings'!$E$6:$E$423,"&lt;="&amp;F283)</x:f>
        <x:v>8</x:v>
      </x:c>
      <x:c r="H283" s="2" t="n">
        <x:f>SUMIFS('Rankings'!$J$6:$J$423,'Rankings'!$A$6:$A$423,B283,'Rankings'!$E$6:$E$423,"&lt;="&amp;F283)</x:f>
        <x:v>8</x:v>
      </x:c>
      <x:c r="I283" s="2" t="n">
        <x:f>G283-SUMIFS('Rankings'!$I$6:$I$423,'Rankings'!$A$6:$A$423,B283,'Rankings'!$E$6:$E$423,"&lt;="&amp;F283)</x:f>
        <x:v>0</x:v>
      </x:c>
      <x:c r="J283" s="2" t="n">
        <x:f>SUMIFS('Ratings'!$H$6:$H$1387,'Ratings'!$B$6:$B$1387,C283)</x:f>
        <x:v>23</x:v>
      </x:c>
      <x:c r="K283" s="15" t="n">
        <x:f>IF(I283&gt;0,"Unknown",H283/F283)</x:f>
        <x:v>1</x:v>
      </x:c>
      <x:c r="L283" s="15" t="n">
        <x:f>IF(J283=0,"N/A",H283/J283)</x:f>
        <x:v>0.34782608695652173</x:v>
      </x:c>
      <x:c r="M283" s="14" t="n">
        <x:f>SUMIFS('Rankings'!$L$6:$L$423,'Rankings'!$A$6:$A$423,B283,'Rankings'!$E$6:$E$423,"&lt;="&amp;F283)</x:f>
        <x:v>27.674251612745337</x:v>
      </x:c>
      <x:c r="N283" s="14" t="n">
        <x:f>SUMIFS('Ideal ranking'!$H$6:$H$365,'Ideal ranking'!$A$6:$A$365,C283,'Ideal ranking'!$B$6:$B$365,"&lt;="&amp;F283)</x:f>
        <x:v>27.674251612745337</x:v>
      </x:c>
      <x:c r="O283" s="14" t="n">
        <x:f>IF(I283&gt;0,"Unknown",IF(N283=0,"N/A",M283/N283))</x:f>
        <x:v>1</x:v>
      </x:c>
      <x:c r="P283" s="15" t="n">
        <x:f>IF(G283=0,"N/A",IF(I283&gt;0,"Unknown",H283/G283))</x:f>
        <x:v>1</x:v>
      </x:c>
      <x:c r="Q283" s="2" t="n">
        <x:f>F283-G283</x:f>
        <x:v>0</x:v>
      </x:c>
    </x:row>
    <x:row r="284" ht="22" customHeight="1">
      <x:c r="A284" s="2" t="str">
        <x:v>S30-T01|9</x:v>
      </x:c>
      <x:c r="B284" s="2" t="str">
        <x:v>S30-T01</x:v>
      </x:c>
      <x:c r="C284" s="2" t="str">
        <x:v>S30</x:v>
      </x:c>
      <x:c r="D284" s="2" t="str">
        <x:v>Extension</x:v>
      </x:c>
      <x:c r="E284" s="2" t="n">
        <x:v>1</x:v>
      </x:c>
      <x:c r="F284" s="2" t="n">
        <x:v>9</x:v>
      </x:c>
      <x:c r="G284" s="2" t="n">
        <x:f>COUNTIFS('Rankings'!$A$6:$A$423,B284,'Rankings'!$E$6:$E$423,"&lt;="&amp;F284)</x:f>
        <x:v>9</x:v>
      </x:c>
      <x:c r="H284" s="2" t="n">
        <x:f>SUMIFS('Rankings'!$J$6:$J$423,'Rankings'!$A$6:$A$423,B284,'Rankings'!$E$6:$E$423,"&lt;="&amp;F284)</x:f>
        <x:v>9</x:v>
      </x:c>
      <x:c r="I284" s="2" t="n">
        <x:f>G284-SUMIFS('Rankings'!$I$6:$I$423,'Rankings'!$A$6:$A$423,B284,'Rankings'!$E$6:$E$423,"&lt;="&amp;F284)</x:f>
        <x:v>0</x:v>
      </x:c>
      <x:c r="J284" s="2" t="n">
        <x:f>SUMIFS('Ratings'!$H$6:$H$1387,'Ratings'!$B$6:$B$1387,C284)</x:f>
        <x:v>23</x:v>
      </x:c>
      <x:c r="K284" s="15" t="n">
        <x:f>IF(I284&gt;0,"Unknown",H284/F284)</x:f>
        <x:v>1</x:v>
      </x:c>
      <x:c r="L284" s="15" t="n">
        <x:f>IF(J284=0,"N/A",H284/J284)</x:f>
        <x:v>0.391304347826087</x:v>
      </x:c>
      <x:c r="M284" s="14" t="n">
        <x:f>SUMIFS('Rankings'!$L$6:$L$423,'Rankings'!$A$6:$A$423,B284,'Rankings'!$E$6:$E$423,"&lt;="&amp;F284)</x:f>
        <x:v>29.781461582393206</x:v>
      </x:c>
      <x:c r="N284" s="14" t="n">
        <x:f>SUMIFS('Ideal ranking'!$H$6:$H$365,'Ideal ranking'!$A$6:$A$365,C284,'Ideal ranking'!$B$6:$B$365,"&lt;="&amp;F284)</x:f>
        <x:v>29.781461582393206</x:v>
      </x:c>
      <x:c r="O284" s="14" t="n">
        <x:f>IF(I284&gt;0,"Unknown",IF(N284=0,"N/A",M284/N284))</x:f>
        <x:v>1</x:v>
      </x:c>
      <x:c r="P284" s="15" t="n">
        <x:f>IF(G284=0,"N/A",IF(I284&gt;0,"Unknown",H284/G284))</x:f>
        <x:v>1</x:v>
      </x:c>
      <x:c r="Q284" s="2" t="n">
        <x:f>F284-G284</x:f>
        <x:v>0</x:v>
      </x:c>
    </x:row>
    <x:row r="285" ht="22" customHeight="1">
      <x:c r="A285" s="2" t="str">
        <x:v>S30-T01|10</x:v>
      </x:c>
      <x:c r="B285" s="2" t="str">
        <x:v>S30-T01</x:v>
      </x:c>
      <x:c r="C285" s="2" t="str">
        <x:v>S30</x:v>
      </x:c>
      <x:c r="D285" s="2" t="str">
        <x:v>Extension</x:v>
      </x:c>
      <x:c r="E285" s="2" t="n">
        <x:v>1</x:v>
      </x:c>
      <x:c r="F285" s="2" t="n">
        <x:v>10</x:v>
      </x:c>
      <x:c r="G285" s="2" t="n">
        <x:f>COUNTIFS('Rankings'!$A$6:$A$423,B285,'Rankings'!$E$6:$E$423,"&lt;="&amp;F285)</x:f>
        <x:v>10</x:v>
      </x:c>
      <x:c r="H285" s="2" t="n">
        <x:f>SUMIFS('Rankings'!$J$6:$J$423,'Rankings'!$A$6:$A$423,B285,'Rankings'!$E$6:$E$423,"&lt;="&amp;F285)</x:f>
        <x:v>10</x:v>
      </x:c>
      <x:c r="I285" s="2" t="n">
        <x:f>G285-SUMIFS('Rankings'!$I$6:$I$423,'Rankings'!$A$6:$A$423,B285,'Rankings'!$E$6:$E$423,"&lt;="&amp;F285)</x:f>
        <x:v>0</x:v>
      </x:c>
      <x:c r="J285" s="2" t="n">
        <x:f>SUMIFS('Ratings'!$H$6:$H$1387,'Ratings'!$B$6:$B$1387,C285)</x:f>
        <x:v>23</x:v>
      </x:c>
      <x:c r="K285" s="15" t="n">
        <x:f>IF(I285&gt;0,"Unknown",H285/F285)</x:f>
        <x:v>1</x:v>
      </x:c>
      <x:c r="L285" s="15" t="n">
        <x:f>IF(J285=0,"N/A",H285/J285)</x:f>
        <x:v>0.43478260869565216</x:v>
      </x:c>
      <x:c r="M285" s="14" t="n">
        <x:f>SUMIFS('Rankings'!$L$6:$L$423,'Rankings'!$A$6:$A$423,B285,'Rankings'!$E$6:$E$423,"&lt;="&amp;F285)</x:f>
        <x:v>31.80491536661842</x:v>
      </x:c>
      <x:c r="N285" s="14" t="n">
        <x:f>SUMIFS('Ideal ranking'!$H$6:$H$365,'Ideal ranking'!$A$6:$A$365,C285,'Ideal ranking'!$B$6:$B$365,"&lt;="&amp;F285)</x:f>
        <x:v>31.80491536661842</x:v>
      </x:c>
      <x:c r="O285" s="14" t="n">
        <x:f>IF(I285&gt;0,"Unknown",IF(N285=0,"N/A",M285/N285))</x:f>
        <x:v>1</x:v>
      </x:c>
      <x:c r="P285" s="15" t="n">
        <x:f>IF(G285=0,"N/A",IF(I285&gt;0,"Unknown",H285/G285))</x:f>
        <x:v>1</x:v>
      </x:c>
      <x:c r="Q285" s="2" t="n">
        <x:f>F285-G285</x:f>
        <x:v>0</x:v>
      </x:c>
    </x:row>
    <x:row r="286" ht="22" customHeight="1">
      <x:c r="A286" s="2" t="str">
        <x:v>S31-T01|1</x:v>
      </x:c>
      <x:c r="B286" s="2" t="str">
        <x:v>S31-T01</x:v>
      </x:c>
      <x:c r="C286" s="2" t="str">
        <x:v>S31</x:v>
      </x:c>
      <x:c r="D286" s="2" t="str">
        <x:v>Extension</x:v>
      </x:c>
      <x:c r="E286" s="2" t="n">
        <x:v>1</x:v>
      </x:c>
      <x:c r="F286" s="2" t="n">
        <x:v>1</x:v>
      </x:c>
      <x:c r="G286" s="2" t="n">
        <x:f>COUNTIFS('Rankings'!$A$6:$A$423,B286,'Rankings'!$E$6:$E$423,"&lt;="&amp;F286)</x:f>
        <x:v>1</x:v>
      </x:c>
      <x:c r="H286" s="2" t="n">
        <x:f>SUMIFS('Rankings'!$J$6:$J$423,'Rankings'!$A$6:$A$423,B286,'Rankings'!$E$6:$E$423,"&lt;="&amp;F286)</x:f>
        <x:v>1</x:v>
      </x:c>
      <x:c r="I286" s="2" t="n">
        <x:f>G286-SUMIFS('Rankings'!$I$6:$I$423,'Rankings'!$A$6:$A$423,B286,'Rankings'!$E$6:$E$423,"&lt;="&amp;F286)</x:f>
        <x:v>0</x:v>
      </x:c>
      <x:c r="J286" s="2" t="n">
        <x:f>SUMIFS('Ratings'!$H$6:$H$1387,'Ratings'!$B$6:$B$1387,C286)</x:f>
        <x:v>24</x:v>
      </x:c>
      <x:c r="K286" s="15" t="n">
        <x:f>IF(I286&gt;0,"Unknown",H286/F286)</x:f>
        <x:v>1</x:v>
      </x:c>
      <x:c r="L286" s="15" t="n">
        <x:f>IF(J286=0,"N/A",H286/J286)</x:f>
        <x:v>0.041666666666666664</x:v>
      </x:c>
      <x:c r="M286" s="14" t="n">
        <x:f>SUMIFS('Rankings'!$L$6:$L$423,'Rankings'!$A$6:$A$423,B286,'Rankings'!$E$6:$E$423,"&lt;="&amp;F286)</x:f>
        <x:v>7</x:v>
      </x:c>
      <x:c r="N286" s="14" t="n">
        <x:f>SUMIFS('Ideal ranking'!$H$6:$H$365,'Ideal ranking'!$A$6:$A$365,C286,'Ideal ranking'!$B$6:$B$365,"&lt;="&amp;F286)</x:f>
        <x:v>7</x:v>
      </x:c>
      <x:c r="O286" s="14" t="n">
        <x:f>IF(I286&gt;0,"Unknown",IF(N286=0,"N/A",M286/N286))</x:f>
        <x:v>1</x:v>
      </x:c>
      <x:c r="P286" s="15" t="n">
        <x:f>IF(G286=0,"N/A",IF(I286&gt;0,"Unknown",H286/G286))</x:f>
        <x:v>1</x:v>
      </x:c>
      <x:c r="Q286" s="2" t="n">
        <x:f>F286-G286</x:f>
        <x:v>0</x:v>
      </x:c>
    </x:row>
    <x:row r="287" ht="22" customHeight="1">
      <x:c r="A287" s="2" t="str">
        <x:v>S31-T01|2</x:v>
      </x:c>
      <x:c r="B287" s="2" t="str">
        <x:v>S31-T01</x:v>
      </x:c>
      <x:c r="C287" s="2" t="str">
        <x:v>S31</x:v>
      </x:c>
      <x:c r="D287" s="2" t="str">
        <x:v>Extension</x:v>
      </x:c>
      <x:c r="E287" s="2" t="n">
        <x:v>1</x:v>
      </x:c>
      <x:c r="F287" s="2" t="n">
        <x:v>2</x:v>
      </x:c>
      <x:c r="G287" s="2" t="n">
        <x:f>COUNTIFS('Rankings'!$A$6:$A$423,B287,'Rankings'!$E$6:$E$423,"&lt;="&amp;F287)</x:f>
        <x:v>2</x:v>
      </x:c>
      <x:c r="H287" s="2" t="n">
        <x:f>SUMIFS('Rankings'!$J$6:$J$423,'Rankings'!$A$6:$A$423,B287,'Rankings'!$E$6:$E$423,"&lt;="&amp;F287)</x:f>
        <x:v>2</x:v>
      </x:c>
      <x:c r="I287" s="2" t="n">
        <x:f>G287-SUMIFS('Rankings'!$I$6:$I$423,'Rankings'!$A$6:$A$423,B287,'Rankings'!$E$6:$E$423,"&lt;="&amp;F287)</x:f>
        <x:v>0</x:v>
      </x:c>
      <x:c r="J287" s="2" t="n">
        <x:f>SUMIFS('Ratings'!$H$6:$H$1387,'Ratings'!$B$6:$B$1387,C287)</x:f>
        <x:v>24</x:v>
      </x:c>
      <x:c r="K287" s="15" t="n">
        <x:f>IF(I287&gt;0,"Unknown",H287/F287)</x:f>
        <x:v>1</x:v>
      </x:c>
      <x:c r="L287" s="15" t="n">
        <x:f>IF(J287=0,"N/A",H287/J287)</x:f>
        <x:v>0.08333333333333333</x:v>
      </x:c>
      <x:c r="M287" s="14" t="n">
        <x:f>SUMIFS('Rankings'!$L$6:$L$423,'Rankings'!$A$6:$A$423,B287,'Rankings'!$E$6:$E$423,"&lt;="&amp;F287)</x:f>
        <x:v>11.416508275000202</x:v>
      </x:c>
      <x:c r="N287" s="14" t="n">
        <x:f>SUMIFS('Ideal ranking'!$H$6:$H$365,'Ideal ranking'!$A$6:$A$365,C287,'Ideal ranking'!$B$6:$B$365,"&lt;="&amp;F287)</x:f>
        <x:v>11.416508275000202</x:v>
      </x:c>
      <x:c r="O287" s="14" t="n">
        <x:f>IF(I287&gt;0,"Unknown",IF(N287=0,"N/A",M287/N287))</x:f>
        <x:v>1</x:v>
      </x:c>
      <x:c r="P287" s="15" t="n">
        <x:f>IF(G287=0,"N/A",IF(I287&gt;0,"Unknown",H287/G287))</x:f>
        <x:v>1</x:v>
      </x:c>
      <x:c r="Q287" s="2" t="n">
        <x:f>F287-G287</x:f>
        <x:v>0</x:v>
      </x:c>
    </x:row>
    <x:row r="288" ht="22" customHeight="1">
      <x:c r="A288" s="2" t="str">
        <x:v>S31-T01|3</x:v>
      </x:c>
      <x:c r="B288" s="2" t="str">
        <x:v>S31-T01</x:v>
      </x:c>
      <x:c r="C288" s="2" t="str">
        <x:v>S31</x:v>
      </x:c>
      <x:c r="D288" s="2" t="str">
        <x:v>Extension</x:v>
      </x:c>
      <x:c r="E288" s="2" t="n">
        <x:v>1</x:v>
      </x:c>
      <x:c r="F288" s="2" t="n">
        <x:v>3</x:v>
      </x:c>
      <x:c r="G288" s="2" t="n">
        <x:f>COUNTIFS('Rankings'!$A$6:$A$423,B288,'Rankings'!$E$6:$E$423,"&lt;="&amp;F288)</x:f>
        <x:v>3</x:v>
      </x:c>
      <x:c r="H288" s="2" t="n">
        <x:f>SUMIFS('Rankings'!$J$6:$J$423,'Rankings'!$A$6:$A$423,B288,'Rankings'!$E$6:$E$423,"&lt;="&amp;F288)</x:f>
        <x:v>3</x:v>
      </x:c>
      <x:c r="I288" s="2" t="n">
        <x:f>G288-SUMIFS('Rankings'!$I$6:$I$423,'Rankings'!$A$6:$A$423,B288,'Rankings'!$E$6:$E$423,"&lt;="&amp;F288)</x:f>
        <x:v>0</x:v>
      </x:c>
      <x:c r="J288" s="2" t="n">
        <x:f>SUMIFS('Ratings'!$H$6:$H$1387,'Ratings'!$B$6:$B$1387,C288)</x:f>
        <x:v>24</x:v>
      </x:c>
      <x:c r="K288" s="15" t="n">
        <x:f>IF(I288&gt;0,"Unknown",H288/F288)</x:f>
        <x:v>1</x:v>
      </x:c>
      <x:c r="L288" s="15" t="n">
        <x:f>IF(J288=0,"N/A",H288/J288)</x:f>
        <x:v>0.125</x:v>
      </x:c>
      <x:c r="M288" s="14" t="n">
        <x:f>SUMIFS('Rankings'!$L$6:$L$423,'Rankings'!$A$6:$A$423,B288,'Rankings'!$E$6:$E$423,"&lt;="&amp;F288)</x:f>
        <x:v>14.916508275000202</x:v>
      </x:c>
      <x:c r="N288" s="14" t="n">
        <x:f>SUMIFS('Ideal ranking'!$H$6:$H$365,'Ideal ranking'!$A$6:$A$365,C288,'Ideal ranking'!$B$6:$B$365,"&lt;="&amp;F288)</x:f>
        <x:v>14.916508275000202</x:v>
      </x:c>
      <x:c r="O288" s="14" t="n">
        <x:f>IF(I288&gt;0,"Unknown",IF(N288=0,"N/A",M288/N288))</x:f>
        <x:v>1</x:v>
      </x:c>
      <x:c r="P288" s="15" t="n">
        <x:f>IF(G288=0,"N/A",IF(I288&gt;0,"Unknown",H288/G288))</x:f>
        <x:v>1</x:v>
      </x:c>
      <x:c r="Q288" s="2" t="n">
        <x:f>F288-G288</x:f>
        <x:v>0</x:v>
      </x:c>
    </x:row>
    <x:row r="289" ht="22" customHeight="1">
      <x:c r="A289" s="2" t="str">
        <x:v>S31-T01|4</x:v>
      </x:c>
      <x:c r="B289" s="2" t="str">
        <x:v>S31-T01</x:v>
      </x:c>
      <x:c r="C289" s="2" t="str">
        <x:v>S31</x:v>
      </x:c>
      <x:c r="D289" s="2" t="str">
        <x:v>Extension</x:v>
      </x:c>
      <x:c r="E289" s="2" t="n">
        <x:v>1</x:v>
      </x:c>
      <x:c r="F289" s="2" t="n">
        <x:v>4</x:v>
      </x:c>
      <x:c r="G289" s="2" t="n">
        <x:f>COUNTIFS('Rankings'!$A$6:$A$423,B289,'Rankings'!$E$6:$E$423,"&lt;="&amp;F289)</x:f>
        <x:v>4</x:v>
      </x:c>
      <x:c r="H289" s="2" t="n">
        <x:f>SUMIFS('Rankings'!$J$6:$J$423,'Rankings'!$A$6:$A$423,B289,'Rankings'!$E$6:$E$423,"&lt;="&amp;F289)</x:f>
        <x:v>4</x:v>
      </x:c>
      <x:c r="I289" s="2" t="n">
        <x:f>G289-SUMIFS('Rankings'!$I$6:$I$423,'Rankings'!$A$6:$A$423,B289,'Rankings'!$E$6:$E$423,"&lt;="&amp;F289)</x:f>
        <x:v>0</x:v>
      </x:c>
      <x:c r="J289" s="2" t="n">
        <x:f>SUMIFS('Ratings'!$H$6:$H$1387,'Ratings'!$B$6:$B$1387,C289)</x:f>
        <x:v>24</x:v>
      </x:c>
      <x:c r="K289" s="15" t="n">
        <x:f>IF(I289&gt;0,"Unknown",H289/F289)</x:f>
        <x:v>1</x:v>
      </x:c>
      <x:c r="L289" s="15" t="n">
        <x:f>IF(J289=0,"N/A",H289/J289)</x:f>
        <x:v>0.16666666666666666</x:v>
      </x:c>
      <x:c r="M289" s="14" t="n">
        <x:f>SUMIFS('Rankings'!$L$6:$L$423,'Rankings'!$A$6:$A$423,B289,'Rankings'!$E$6:$E$423,"&lt;="&amp;F289)</x:f>
        <x:v>17.931244181513954</x:v>
      </x:c>
      <x:c r="N289" s="14" t="n">
        <x:f>SUMIFS('Ideal ranking'!$H$6:$H$365,'Ideal ranking'!$A$6:$A$365,C289,'Ideal ranking'!$B$6:$B$365,"&lt;="&amp;F289)</x:f>
        <x:v>17.931244181513954</x:v>
      </x:c>
      <x:c r="O289" s="14" t="n">
        <x:f>IF(I289&gt;0,"Unknown",IF(N289=0,"N/A",M289/N289))</x:f>
        <x:v>1</x:v>
      </x:c>
      <x:c r="P289" s="15" t="n">
        <x:f>IF(G289=0,"N/A",IF(I289&gt;0,"Unknown",H289/G289))</x:f>
        <x:v>1</x:v>
      </x:c>
      <x:c r="Q289" s="2" t="n">
        <x:f>F289-G289</x:f>
        <x:v>0</x:v>
      </x:c>
    </x:row>
    <x:row r="290" ht="22" customHeight="1">
      <x:c r="A290" s="2" t="str">
        <x:v>S31-T01|5</x:v>
      </x:c>
      <x:c r="B290" s="2" t="str">
        <x:v>S31-T01</x:v>
      </x:c>
      <x:c r="C290" s="2" t="str">
        <x:v>S31</x:v>
      </x:c>
      <x:c r="D290" s="2" t="str">
        <x:v>Extension</x:v>
      </x:c>
      <x:c r="E290" s="2" t="n">
        <x:v>1</x:v>
      </x:c>
      <x:c r="F290" s="2" t="n">
        <x:v>5</x:v>
      </x:c>
      <x:c r="G290" s="2" t="n">
        <x:f>COUNTIFS('Rankings'!$A$6:$A$423,B290,'Rankings'!$E$6:$E$423,"&lt;="&amp;F290)</x:f>
        <x:v>5</x:v>
      </x:c>
      <x:c r="H290" s="2" t="n">
        <x:f>SUMIFS('Rankings'!$J$6:$J$423,'Rankings'!$A$6:$A$423,B290,'Rankings'!$E$6:$E$423,"&lt;="&amp;F290)</x:f>
        <x:v>5</x:v>
      </x:c>
      <x:c r="I290" s="2" t="n">
        <x:f>G290-SUMIFS('Rankings'!$I$6:$I$423,'Rankings'!$A$6:$A$423,B290,'Rankings'!$E$6:$E$423,"&lt;="&amp;F290)</x:f>
        <x:v>0</x:v>
      </x:c>
      <x:c r="J290" s="2" t="n">
        <x:f>SUMIFS('Ratings'!$H$6:$H$1387,'Ratings'!$B$6:$B$1387,C290)</x:f>
        <x:v>24</x:v>
      </x:c>
      <x:c r="K290" s="15" t="n">
        <x:f>IF(I290&gt;0,"Unknown",H290/F290)</x:f>
        <x:v>1</x:v>
      </x:c>
      <x:c r="L290" s="15" t="n">
        <x:f>IF(J290=0,"N/A",H290/J290)</x:f>
        <x:v>0.20833333333333334</x:v>
      </x:c>
      <x:c r="M290" s="14" t="n">
        <x:f>SUMIFS('Rankings'!$L$6:$L$423,'Rankings'!$A$6:$A$423,B290,'Rankings'!$E$6:$E$423,"&lt;="&amp;F290)</x:f>
        <x:v>20.639213832155747</x:v>
      </x:c>
      <x:c r="N290" s="14" t="n">
        <x:f>SUMIFS('Ideal ranking'!$H$6:$H$365,'Ideal ranking'!$A$6:$A$365,C290,'Ideal ranking'!$B$6:$B$365,"&lt;="&amp;F290)</x:f>
        <x:v>20.639213832155747</x:v>
      </x:c>
      <x:c r="O290" s="14" t="n">
        <x:f>IF(I290&gt;0,"Unknown",IF(N290=0,"N/A",M290/N290))</x:f>
        <x:v>1</x:v>
      </x:c>
      <x:c r="P290" s="15" t="n">
        <x:f>IF(G290=0,"N/A",IF(I290&gt;0,"Unknown",H290/G290))</x:f>
        <x:v>1</x:v>
      </x:c>
      <x:c r="Q290" s="2" t="n">
        <x:f>F290-G290</x:f>
        <x:v>0</x:v>
      </x:c>
    </x:row>
    <x:row r="291" ht="22" customHeight="1">
      <x:c r="A291" s="2" t="str">
        <x:v>S31-T01|6</x:v>
      </x:c>
      <x:c r="B291" s="2" t="str">
        <x:v>S31-T01</x:v>
      </x:c>
      <x:c r="C291" s="2" t="str">
        <x:v>S31</x:v>
      </x:c>
      <x:c r="D291" s="2" t="str">
        <x:v>Extension</x:v>
      </x:c>
      <x:c r="E291" s="2" t="n">
        <x:v>1</x:v>
      </x:c>
      <x:c r="F291" s="2" t="n">
        <x:v>6</x:v>
      </x:c>
      <x:c r="G291" s="2" t="n">
        <x:f>COUNTIFS('Rankings'!$A$6:$A$423,B291,'Rankings'!$E$6:$E$423,"&lt;="&amp;F291)</x:f>
        <x:v>6</x:v>
      </x:c>
      <x:c r="H291" s="2" t="n">
        <x:f>SUMIFS('Rankings'!$J$6:$J$423,'Rankings'!$A$6:$A$423,B291,'Rankings'!$E$6:$E$423,"&lt;="&amp;F291)</x:f>
        <x:v>6</x:v>
      </x:c>
      <x:c r="I291" s="2" t="n">
        <x:f>G291-SUMIFS('Rankings'!$I$6:$I$423,'Rankings'!$A$6:$A$423,B291,'Rankings'!$E$6:$E$423,"&lt;="&amp;F291)</x:f>
        <x:v>0</x:v>
      </x:c>
      <x:c r="J291" s="2" t="n">
        <x:f>SUMIFS('Ratings'!$H$6:$H$1387,'Ratings'!$B$6:$B$1387,C291)</x:f>
        <x:v>24</x:v>
      </x:c>
      <x:c r="K291" s="15" t="n">
        <x:f>IF(I291&gt;0,"Unknown",H291/F291)</x:f>
        <x:v>1</x:v>
      </x:c>
      <x:c r="L291" s="15" t="n">
        <x:f>IF(J291=0,"N/A",H291/J291)</x:f>
        <x:v>0.25</x:v>
      </x:c>
      <x:c r="M291" s="14" t="n">
        <x:f>SUMIFS('Rankings'!$L$6:$L$423,'Rankings'!$A$6:$A$423,B291,'Rankings'!$E$6:$E$423,"&lt;="&amp;F291)</x:f>
        <x:v>23.132664141911903</x:v>
      </x:c>
      <x:c r="N291" s="14" t="n">
        <x:f>SUMIFS('Ideal ranking'!$H$6:$H$365,'Ideal ranking'!$A$6:$A$365,C291,'Ideal ranking'!$B$6:$B$365,"&lt;="&amp;F291)</x:f>
        <x:v>23.132664141911903</x:v>
      </x:c>
      <x:c r="O291" s="14" t="n">
        <x:f>IF(I291&gt;0,"Unknown",IF(N291=0,"N/A",M291/N291))</x:f>
        <x:v>1</x:v>
      </x:c>
      <x:c r="P291" s="15" t="n">
        <x:f>IF(G291=0,"N/A",IF(I291&gt;0,"Unknown",H291/G291))</x:f>
        <x:v>1</x:v>
      </x:c>
      <x:c r="Q291" s="2" t="n">
        <x:f>F291-G291</x:f>
        <x:v>0</x:v>
      </x:c>
    </x:row>
    <x:row r="292" ht="22" customHeight="1">
      <x:c r="A292" s="2" t="str">
        <x:v>S31-T01|7</x:v>
      </x:c>
      <x:c r="B292" s="2" t="str">
        <x:v>S31-T01</x:v>
      </x:c>
      <x:c r="C292" s="2" t="str">
        <x:v>S31</x:v>
      </x:c>
      <x:c r="D292" s="2" t="str">
        <x:v>Extension</x:v>
      </x:c>
      <x:c r="E292" s="2" t="n">
        <x:v>1</x:v>
      </x:c>
      <x:c r="F292" s="2" t="n">
        <x:v>7</x:v>
      </x:c>
      <x:c r="G292" s="2" t="n">
        <x:f>COUNTIFS('Rankings'!$A$6:$A$423,B292,'Rankings'!$E$6:$E$423,"&lt;="&amp;F292)</x:f>
        <x:v>7</x:v>
      </x:c>
      <x:c r="H292" s="2" t="n">
        <x:f>SUMIFS('Rankings'!$J$6:$J$423,'Rankings'!$A$6:$A$423,B292,'Rankings'!$E$6:$E$423,"&lt;="&amp;F292)</x:f>
        <x:v>7</x:v>
      </x:c>
      <x:c r="I292" s="2" t="n">
        <x:f>G292-SUMIFS('Rankings'!$I$6:$I$423,'Rankings'!$A$6:$A$423,B292,'Rankings'!$E$6:$E$423,"&lt;="&amp;F292)</x:f>
        <x:v>0</x:v>
      </x:c>
      <x:c r="J292" s="2" t="n">
        <x:f>SUMIFS('Ratings'!$H$6:$H$1387,'Ratings'!$B$6:$B$1387,C292)</x:f>
        <x:v>24</x:v>
      </x:c>
      <x:c r="K292" s="15" t="n">
        <x:f>IF(I292&gt;0,"Unknown",H292/F292)</x:f>
        <x:v>1</x:v>
      </x:c>
      <x:c r="L292" s="15" t="n">
        <x:f>IF(J292=0,"N/A",H292/J292)</x:f>
        <x:v>0.2916666666666667</x:v>
      </x:c>
      <x:c r="M292" s="14" t="n">
        <x:f>SUMIFS('Rankings'!$L$6:$L$423,'Rankings'!$A$6:$A$423,B292,'Rankings'!$E$6:$E$423,"&lt;="&amp;F292)</x:f>
        <x:v>25.465997475245235</x:v>
      </x:c>
      <x:c r="N292" s="14" t="n">
        <x:f>SUMIFS('Ideal ranking'!$H$6:$H$365,'Ideal ranking'!$A$6:$A$365,C292,'Ideal ranking'!$B$6:$B$365,"&lt;="&amp;F292)</x:f>
        <x:v>25.465997475245235</x:v>
      </x:c>
      <x:c r="O292" s="14" t="n">
        <x:f>IF(I292&gt;0,"Unknown",IF(N292=0,"N/A",M292/N292))</x:f>
        <x:v>1</x:v>
      </x:c>
      <x:c r="P292" s="15" t="n">
        <x:f>IF(G292=0,"N/A",IF(I292&gt;0,"Unknown",H292/G292))</x:f>
        <x:v>1</x:v>
      </x:c>
      <x:c r="Q292" s="2" t="n">
        <x:f>F292-G292</x:f>
        <x:v>0</x:v>
      </x:c>
    </x:row>
    <x:row r="293" ht="22" customHeight="1">
      <x:c r="A293" s="2" t="str">
        <x:v>S31-T01|8</x:v>
      </x:c>
      <x:c r="B293" s="2" t="str">
        <x:v>S31-T01</x:v>
      </x:c>
      <x:c r="C293" s="2" t="str">
        <x:v>S31</x:v>
      </x:c>
      <x:c r="D293" s="2" t="str">
        <x:v>Extension</x:v>
      </x:c>
      <x:c r="E293" s="2" t="n">
        <x:v>1</x:v>
      </x:c>
      <x:c r="F293" s="2" t="n">
        <x:v>8</x:v>
      </x:c>
      <x:c r="G293" s="2" t="n">
        <x:f>COUNTIFS('Rankings'!$A$6:$A$423,B293,'Rankings'!$E$6:$E$423,"&lt;="&amp;F293)</x:f>
        <x:v>8</x:v>
      </x:c>
      <x:c r="H293" s="2" t="n">
        <x:f>SUMIFS('Rankings'!$J$6:$J$423,'Rankings'!$A$6:$A$423,B293,'Rankings'!$E$6:$E$423,"&lt;="&amp;F293)</x:f>
        <x:v>8</x:v>
      </x:c>
      <x:c r="I293" s="2" t="n">
        <x:f>G293-SUMIFS('Rankings'!$I$6:$I$423,'Rankings'!$A$6:$A$423,B293,'Rankings'!$E$6:$E$423,"&lt;="&amp;F293)</x:f>
        <x:v>0</x:v>
      </x:c>
      <x:c r="J293" s="2" t="n">
        <x:f>SUMIFS('Ratings'!$H$6:$H$1387,'Ratings'!$B$6:$B$1387,C293)</x:f>
        <x:v>24</x:v>
      </x:c>
      <x:c r="K293" s="15" t="n">
        <x:f>IF(I293&gt;0,"Unknown",H293/F293)</x:f>
        <x:v>1</x:v>
      </x:c>
      <x:c r="L293" s="15" t="n">
        <x:f>IF(J293=0,"N/A",H293/J293)</x:f>
        <x:v>0.3333333333333333</x:v>
      </x:c>
      <x:c r="M293" s="14" t="n">
        <x:f>SUMIFS('Rankings'!$L$6:$L$423,'Rankings'!$A$6:$A$423,B293,'Rankings'!$E$6:$E$423,"&lt;="&amp;F293)</x:f>
        <x:v>27.674251612745337</x:v>
      </x:c>
      <x:c r="N293" s="14" t="n">
        <x:f>SUMIFS('Ideal ranking'!$H$6:$H$365,'Ideal ranking'!$A$6:$A$365,C293,'Ideal ranking'!$B$6:$B$365,"&lt;="&amp;F293)</x:f>
        <x:v>27.674251612745337</x:v>
      </x:c>
      <x:c r="O293" s="14" t="n">
        <x:f>IF(I293&gt;0,"Unknown",IF(N293=0,"N/A",M293/N293))</x:f>
        <x:v>1</x:v>
      </x:c>
      <x:c r="P293" s="15" t="n">
        <x:f>IF(G293=0,"N/A",IF(I293&gt;0,"Unknown",H293/G293))</x:f>
        <x:v>1</x:v>
      </x:c>
      <x:c r="Q293" s="2" t="n">
        <x:f>F293-G293</x:f>
        <x:v>0</x:v>
      </x:c>
    </x:row>
    <x:row r="294" ht="22" customHeight="1">
      <x:c r="A294" s="2" t="str">
        <x:v>S31-T01|9</x:v>
      </x:c>
      <x:c r="B294" s="2" t="str">
        <x:v>S31-T01</x:v>
      </x:c>
      <x:c r="C294" s="2" t="str">
        <x:v>S31</x:v>
      </x:c>
      <x:c r="D294" s="2" t="str">
        <x:v>Extension</x:v>
      </x:c>
      <x:c r="E294" s="2" t="n">
        <x:v>1</x:v>
      </x:c>
      <x:c r="F294" s="2" t="n">
        <x:v>9</x:v>
      </x:c>
      <x:c r="G294" s="2" t="n">
        <x:f>COUNTIFS('Rankings'!$A$6:$A$423,B294,'Rankings'!$E$6:$E$423,"&lt;="&amp;F294)</x:f>
        <x:v>9</x:v>
      </x:c>
      <x:c r="H294" s="2" t="n">
        <x:f>SUMIFS('Rankings'!$J$6:$J$423,'Rankings'!$A$6:$A$423,B294,'Rankings'!$E$6:$E$423,"&lt;="&amp;F294)</x:f>
        <x:v>9</x:v>
      </x:c>
      <x:c r="I294" s="2" t="n">
        <x:f>G294-SUMIFS('Rankings'!$I$6:$I$423,'Rankings'!$A$6:$A$423,B294,'Rankings'!$E$6:$E$423,"&lt;="&amp;F294)</x:f>
        <x:v>0</x:v>
      </x:c>
      <x:c r="J294" s="2" t="n">
        <x:f>SUMIFS('Ratings'!$H$6:$H$1387,'Ratings'!$B$6:$B$1387,C294)</x:f>
        <x:v>24</x:v>
      </x:c>
      <x:c r="K294" s="15" t="n">
        <x:f>IF(I294&gt;0,"Unknown",H294/F294)</x:f>
        <x:v>1</x:v>
      </x:c>
      <x:c r="L294" s="15" t="n">
        <x:f>IF(J294=0,"N/A",H294/J294)</x:f>
        <x:v>0.375</x:v>
      </x:c>
      <x:c r="M294" s="14" t="n">
        <x:f>SUMIFS('Rankings'!$L$6:$L$423,'Rankings'!$A$6:$A$423,B294,'Rankings'!$E$6:$E$423,"&lt;="&amp;F294)</x:f>
        <x:v>29.781461582393206</x:v>
      </x:c>
      <x:c r="N294" s="14" t="n">
        <x:f>SUMIFS('Ideal ranking'!$H$6:$H$365,'Ideal ranking'!$A$6:$A$365,C294,'Ideal ranking'!$B$6:$B$365,"&lt;="&amp;F294)</x:f>
        <x:v>29.781461582393206</x:v>
      </x:c>
      <x:c r="O294" s="14" t="n">
        <x:f>IF(I294&gt;0,"Unknown",IF(N294=0,"N/A",M294/N294))</x:f>
        <x:v>1</x:v>
      </x:c>
      <x:c r="P294" s="15" t="n">
        <x:f>IF(G294=0,"N/A",IF(I294&gt;0,"Unknown",H294/G294))</x:f>
        <x:v>1</x:v>
      </x:c>
      <x:c r="Q294" s="2" t="n">
        <x:f>F294-G294</x:f>
        <x:v>0</x:v>
      </x:c>
    </x:row>
    <x:row r="295" ht="22" customHeight="1">
      <x:c r="A295" s="2" t="str">
        <x:v>S31-T01|10</x:v>
      </x:c>
      <x:c r="B295" s="2" t="str">
        <x:v>S31-T01</x:v>
      </x:c>
      <x:c r="C295" s="2" t="str">
        <x:v>S31</x:v>
      </x:c>
      <x:c r="D295" s="2" t="str">
        <x:v>Extension</x:v>
      </x:c>
      <x:c r="E295" s="2" t="n">
        <x:v>1</x:v>
      </x:c>
      <x:c r="F295" s="2" t="n">
        <x:v>10</x:v>
      </x:c>
      <x:c r="G295" s="2" t="n">
        <x:f>COUNTIFS('Rankings'!$A$6:$A$423,B295,'Rankings'!$E$6:$E$423,"&lt;="&amp;F295)</x:f>
        <x:v>10</x:v>
      </x:c>
      <x:c r="H295" s="2" t="n">
        <x:f>SUMIFS('Rankings'!$J$6:$J$423,'Rankings'!$A$6:$A$423,B295,'Rankings'!$E$6:$E$423,"&lt;="&amp;F295)</x:f>
        <x:v>10</x:v>
      </x:c>
      <x:c r="I295" s="2" t="n">
        <x:f>G295-SUMIFS('Rankings'!$I$6:$I$423,'Rankings'!$A$6:$A$423,B295,'Rankings'!$E$6:$E$423,"&lt;="&amp;F295)</x:f>
        <x:v>0</x:v>
      </x:c>
      <x:c r="J295" s="2" t="n">
        <x:f>SUMIFS('Ratings'!$H$6:$H$1387,'Ratings'!$B$6:$B$1387,C295)</x:f>
        <x:v>24</x:v>
      </x:c>
      <x:c r="K295" s="15" t="n">
        <x:f>IF(I295&gt;0,"Unknown",H295/F295)</x:f>
        <x:v>1</x:v>
      </x:c>
      <x:c r="L295" s="15" t="n">
        <x:f>IF(J295=0,"N/A",H295/J295)</x:f>
        <x:v>0.4166666666666667</x:v>
      </x:c>
      <x:c r="M295" s="14" t="n">
        <x:f>SUMIFS('Rankings'!$L$6:$L$423,'Rankings'!$A$6:$A$423,B295,'Rankings'!$E$6:$E$423,"&lt;="&amp;F295)</x:f>
        <x:v>31.80491536661842</x:v>
      </x:c>
      <x:c r="N295" s="14" t="n">
        <x:f>SUMIFS('Ideal ranking'!$H$6:$H$365,'Ideal ranking'!$A$6:$A$365,C295,'Ideal ranking'!$B$6:$B$365,"&lt;="&amp;F295)</x:f>
        <x:v>31.80491536661842</x:v>
      </x:c>
      <x:c r="O295" s="14" t="n">
        <x:f>IF(I295&gt;0,"Unknown",IF(N295=0,"N/A",M295/N295))</x:f>
        <x:v>1</x:v>
      </x:c>
      <x:c r="P295" s="15" t="n">
        <x:f>IF(G295=0,"N/A",IF(I295&gt;0,"Unknown",H295/G295))</x:f>
        <x:v>1</x:v>
      </x:c>
      <x:c r="Q295" s="2" t="n">
        <x:f>F295-G295</x:f>
        <x:v>0</x:v>
      </x:c>
    </x:row>
    <x:row r="296" ht="22" customHeight="1">
      <x:c r="A296" s="2" t="str">
        <x:v>S32-T01|1</x:v>
      </x:c>
      <x:c r="B296" s="2" t="str">
        <x:v>S32-T01</x:v>
      </x:c>
      <x:c r="C296" s="2" t="str">
        <x:v>S32</x:v>
      </x:c>
      <x:c r="D296" s="2" t="str">
        <x:v>Extension</x:v>
      </x:c>
      <x:c r="E296" s="2" t="n">
        <x:v>1</x:v>
      </x:c>
      <x:c r="F296" s="2" t="n">
        <x:v>1</x:v>
      </x:c>
      <x:c r="G296" s="2" t="n">
        <x:f>COUNTIFS('Rankings'!$A$6:$A$423,B296,'Rankings'!$E$6:$E$423,"&lt;="&amp;F296)</x:f>
        <x:v>1</x:v>
      </x:c>
      <x:c r="H296" s="2" t="n">
        <x:f>SUMIFS('Rankings'!$J$6:$J$423,'Rankings'!$A$6:$A$423,B296,'Rankings'!$E$6:$E$423,"&lt;="&amp;F296)</x:f>
        <x:v>1</x:v>
      </x:c>
      <x:c r="I296" s="2" t="n">
        <x:f>G296-SUMIFS('Rankings'!$I$6:$I$423,'Rankings'!$A$6:$A$423,B296,'Rankings'!$E$6:$E$423,"&lt;="&amp;F296)</x:f>
        <x:v>0</x:v>
      </x:c>
      <x:c r="J296" s="2" t="n">
        <x:f>SUMIFS('Ratings'!$H$6:$H$1387,'Ratings'!$B$6:$B$1387,C296)</x:f>
        <x:v>23</x:v>
      </x:c>
      <x:c r="K296" s="15" t="n">
        <x:f>IF(I296&gt;0,"Unknown",H296/F296)</x:f>
        <x:v>1</x:v>
      </x:c>
      <x:c r="L296" s="15" t="n">
        <x:f>IF(J296=0,"N/A",H296/J296)</x:f>
        <x:v>0.043478260869565216</x:v>
      </x:c>
      <x:c r="M296" s="14" t="n">
        <x:f>SUMIFS('Rankings'!$L$6:$L$423,'Rankings'!$A$6:$A$423,B296,'Rankings'!$E$6:$E$423,"&lt;="&amp;F296)</x:f>
        <x:v>7</x:v>
      </x:c>
      <x:c r="N296" s="14" t="n">
        <x:f>SUMIFS('Ideal ranking'!$H$6:$H$365,'Ideal ranking'!$A$6:$A$365,C296,'Ideal ranking'!$B$6:$B$365,"&lt;="&amp;F296)</x:f>
        <x:v>7</x:v>
      </x:c>
      <x:c r="O296" s="14" t="n">
        <x:f>IF(I296&gt;0,"Unknown",IF(N296=0,"N/A",M296/N296))</x:f>
        <x:v>1</x:v>
      </x:c>
      <x:c r="P296" s="15" t="n">
        <x:f>IF(G296=0,"N/A",IF(I296&gt;0,"Unknown",H296/G296))</x:f>
        <x:v>1</x:v>
      </x:c>
      <x:c r="Q296" s="2" t="n">
        <x:f>F296-G296</x:f>
        <x:v>0</x:v>
      </x:c>
    </x:row>
    <x:row r="297" ht="22" customHeight="1">
      <x:c r="A297" s="2" t="str">
        <x:v>S32-T01|2</x:v>
      </x:c>
      <x:c r="B297" s="2" t="str">
        <x:v>S32-T01</x:v>
      </x:c>
      <x:c r="C297" s="2" t="str">
        <x:v>S32</x:v>
      </x:c>
      <x:c r="D297" s="2" t="str">
        <x:v>Extension</x:v>
      </x:c>
      <x:c r="E297" s="2" t="n">
        <x:v>1</x:v>
      </x:c>
      <x:c r="F297" s="2" t="n">
        <x:v>2</x:v>
      </x:c>
      <x:c r="G297" s="2" t="n">
        <x:f>COUNTIFS('Rankings'!$A$6:$A$423,B297,'Rankings'!$E$6:$E$423,"&lt;="&amp;F297)</x:f>
        <x:v>2</x:v>
      </x:c>
      <x:c r="H297" s="2" t="n">
        <x:f>SUMIFS('Rankings'!$J$6:$J$423,'Rankings'!$A$6:$A$423,B297,'Rankings'!$E$6:$E$423,"&lt;="&amp;F297)</x:f>
        <x:v>2</x:v>
      </x:c>
      <x:c r="I297" s="2" t="n">
        <x:f>G297-SUMIFS('Rankings'!$I$6:$I$423,'Rankings'!$A$6:$A$423,B297,'Rankings'!$E$6:$E$423,"&lt;="&amp;F297)</x:f>
        <x:v>0</x:v>
      </x:c>
      <x:c r="J297" s="2" t="n">
        <x:f>SUMIFS('Ratings'!$H$6:$H$1387,'Ratings'!$B$6:$B$1387,C297)</x:f>
        <x:v>23</x:v>
      </x:c>
      <x:c r="K297" s="15" t="n">
        <x:f>IF(I297&gt;0,"Unknown",H297/F297)</x:f>
        <x:v>1</x:v>
      </x:c>
      <x:c r="L297" s="15" t="n">
        <x:f>IF(J297=0,"N/A",H297/J297)</x:f>
        <x:v>0.08695652173913043</x:v>
      </x:c>
      <x:c r="M297" s="14" t="n">
        <x:f>SUMIFS('Rankings'!$L$6:$L$423,'Rankings'!$A$6:$A$423,B297,'Rankings'!$E$6:$E$423,"&lt;="&amp;F297)</x:f>
        <x:v>11.416508275000202</x:v>
      </x:c>
      <x:c r="N297" s="14" t="n">
        <x:f>SUMIFS('Ideal ranking'!$H$6:$H$365,'Ideal ranking'!$A$6:$A$365,C297,'Ideal ranking'!$B$6:$B$365,"&lt;="&amp;F297)</x:f>
        <x:v>11.416508275000202</x:v>
      </x:c>
      <x:c r="O297" s="14" t="n">
        <x:f>IF(I297&gt;0,"Unknown",IF(N297=0,"N/A",M297/N297))</x:f>
        <x:v>1</x:v>
      </x:c>
      <x:c r="P297" s="15" t="n">
        <x:f>IF(G297=0,"N/A",IF(I297&gt;0,"Unknown",H297/G297))</x:f>
        <x:v>1</x:v>
      </x:c>
      <x:c r="Q297" s="2" t="n">
        <x:f>F297-G297</x:f>
        <x:v>0</x:v>
      </x:c>
    </x:row>
    <x:row r="298" ht="22" customHeight="1">
      <x:c r="A298" s="2" t="str">
        <x:v>S32-T01|3</x:v>
      </x:c>
      <x:c r="B298" s="2" t="str">
        <x:v>S32-T01</x:v>
      </x:c>
      <x:c r="C298" s="2" t="str">
        <x:v>S32</x:v>
      </x:c>
      <x:c r="D298" s="2" t="str">
        <x:v>Extension</x:v>
      </x:c>
      <x:c r="E298" s="2" t="n">
        <x:v>1</x:v>
      </x:c>
      <x:c r="F298" s="2" t="n">
        <x:v>3</x:v>
      </x:c>
      <x:c r="G298" s="2" t="n">
        <x:f>COUNTIFS('Rankings'!$A$6:$A$423,B298,'Rankings'!$E$6:$E$423,"&lt;="&amp;F298)</x:f>
        <x:v>3</x:v>
      </x:c>
      <x:c r="H298" s="2" t="n">
        <x:f>SUMIFS('Rankings'!$J$6:$J$423,'Rankings'!$A$6:$A$423,B298,'Rankings'!$E$6:$E$423,"&lt;="&amp;F298)</x:f>
        <x:v>3</x:v>
      </x:c>
      <x:c r="I298" s="2" t="n">
        <x:f>G298-SUMIFS('Rankings'!$I$6:$I$423,'Rankings'!$A$6:$A$423,B298,'Rankings'!$E$6:$E$423,"&lt;="&amp;F298)</x:f>
        <x:v>0</x:v>
      </x:c>
      <x:c r="J298" s="2" t="n">
        <x:f>SUMIFS('Ratings'!$H$6:$H$1387,'Ratings'!$B$6:$B$1387,C298)</x:f>
        <x:v>23</x:v>
      </x:c>
      <x:c r="K298" s="15" t="n">
        <x:f>IF(I298&gt;0,"Unknown",H298/F298)</x:f>
        <x:v>1</x:v>
      </x:c>
      <x:c r="L298" s="15" t="n">
        <x:f>IF(J298=0,"N/A",H298/J298)</x:f>
        <x:v>0.13043478260869565</x:v>
      </x:c>
      <x:c r="M298" s="14" t="n">
        <x:f>SUMIFS('Rankings'!$L$6:$L$423,'Rankings'!$A$6:$A$423,B298,'Rankings'!$E$6:$E$423,"&lt;="&amp;F298)</x:f>
        <x:v>14.916508275000202</x:v>
      </x:c>
      <x:c r="N298" s="14" t="n">
        <x:f>SUMIFS('Ideal ranking'!$H$6:$H$365,'Ideal ranking'!$A$6:$A$365,C298,'Ideal ranking'!$B$6:$B$365,"&lt;="&amp;F298)</x:f>
        <x:v>14.916508275000202</x:v>
      </x:c>
      <x:c r="O298" s="14" t="n">
        <x:f>IF(I298&gt;0,"Unknown",IF(N298=0,"N/A",M298/N298))</x:f>
        <x:v>1</x:v>
      </x:c>
      <x:c r="P298" s="15" t="n">
        <x:f>IF(G298=0,"N/A",IF(I298&gt;0,"Unknown",H298/G298))</x:f>
        <x:v>1</x:v>
      </x:c>
      <x:c r="Q298" s="2" t="n">
        <x:f>F298-G298</x:f>
        <x:v>0</x:v>
      </x:c>
    </x:row>
    <x:row r="299" ht="22" customHeight="1">
      <x:c r="A299" s="2" t="str">
        <x:v>S32-T01|4</x:v>
      </x:c>
      <x:c r="B299" s="2" t="str">
        <x:v>S32-T01</x:v>
      </x:c>
      <x:c r="C299" s="2" t="str">
        <x:v>S32</x:v>
      </x:c>
      <x:c r="D299" s="2" t="str">
        <x:v>Extension</x:v>
      </x:c>
      <x:c r="E299" s="2" t="n">
        <x:v>1</x:v>
      </x:c>
      <x:c r="F299" s="2" t="n">
        <x:v>4</x:v>
      </x:c>
      <x:c r="G299" s="2" t="n">
        <x:f>COUNTIFS('Rankings'!$A$6:$A$423,B299,'Rankings'!$E$6:$E$423,"&lt;="&amp;F299)</x:f>
        <x:v>4</x:v>
      </x:c>
      <x:c r="H299" s="2" t="n">
        <x:f>SUMIFS('Rankings'!$J$6:$J$423,'Rankings'!$A$6:$A$423,B299,'Rankings'!$E$6:$E$423,"&lt;="&amp;F299)</x:f>
        <x:v>4</x:v>
      </x:c>
      <x:c r="I299" s="2" t="n">
        <x:f>G299-SUMIFS('Rankings'!$I$6:$I$423,'Rankings'!$A$6:$A$423,B299,'Rankings'!$E$6:$E$423,"&lt;="&amp;F299)</x:f>
        <x:v>0</x:v>
      </x:c>
      <x:c r="J299" s="2" t="n">
        <x:f>SUMIFS('Ratings'!$H$6:$H$1387,'Ratings'!$B$6:$B$1387,C299)</x:f>
        <x:v>23</x:v>
      </x:c>
      <x:c r="K299" s="15" t="n">
        <x:f>IF(I299&gt;0,"Unknown",H299/F299)</x:f>
        <x:v>1</x:v>
      </x:c>
      <x:c r="L299" s="15" t="n">
        <x:f>IF(J299=0,"N/A",H299/J299)</x:f>
        <x:v>0.17391304347826086</x:v>
      </x:c>
      <x:c r="M299" s="14" t="n">
        <x:f>SUMIFS('Rankings'!$L$6:$L$423,'Rankings'!$A$6:$A$423,B299,'Rankings'!$E$6:$E$423,"&lt;="&amp;F299)</x:f>
        <x:v>17.931244181513954</x:v>
      </x:c>
      <x:c r="N299" s="14" t="n">
        <x:f>SUMIFS('Ideal ranking'!$H$6:$H$365,'Ideal ranking'!$A$6:$A$365,C299,'Ideal ranking'!$B$6:$B$365,"&lt;="&amp;F299)</x:f>
        <x:v>17.931244181513954</x:v>
      </x:c>
      <x:c r="O299" s="14" t="n">
        <x:f>IF(I299&gt;0,"Unknown",IF(N299=0,"N/A",M299/N299))</x:f>
        <x:v>1</x:v>
      </x:c>
      <x:c r="P299" s="15" t="n">
        <x:f>IF(G299=0,"N/A",IF(I299&gt;0,"Unknown",H299/G299))</x:f>
        <x:v>1</x:v>
      </x:c>
      <x:c r="Q299" s="2" t="n">
        <x:f>F299-G299</x:f>
        <x:v>0</x:v>
      </x:c>
    </x:row>
    <x:row r="300" ht="22" customHeight="1">
      <x:c r="A300" s="2" t="str">
        <x:v>S32-T01|5</x:v>
      </x:c>
      <x:c r="B300" s="2" t="str">
        <x:v>S32-T01</x:v>
      </x:c>
      <x:c r="C300" s="2" t="str">
        <x:v>S32</x:v>
      </x:c>
      <x:c r="D300" s="2" t="str">
        <x:v>Extension</x:v>
      </x:c>
      <x:c r="E300" s="2" t="n">
        <x:v>1</x:v>
      </x:c>
      <x:c r="F300" s="2" t="n">
        <x:v>5</x:v>
      </x:c>
      <x:c r="G300" s="2" t="n">
        <x:f>COUNTIFS('Rankings'!$A$6:$A$423,B300,'Rankings'!$E$6:$E$423,"&lt;="&amp;F300)</x:f>
        <x:v>5</x:v>
      </x:c>
      <x:c r="H300" s="2" t="n">
        <x:f>SUMIFS('Rankings'!$J$6:$J$423,'Rankings'!$A$6:$A$423,B300,'Rankings'!$E$6:$E$423,"&lt;="&amp;F300)</x:f>
        <x:v>5</x:v>
      </x:c>
      <x:c r="I300" s="2" t="n">
        <x:f>G300-SUMIFS('Rankings'!$I$6:$I$423,'Rankings'!$A$6:$A$423,B300,'Rankings'!$E$6:$E$423,"&lt;="&amp;F300)</x:f>
        <x:v>0</x:v>
      </x:c>
      <x:c r="J300" s="2" t="n">
        <x:f>SUMIFS('Ratings'!$H$6:$H$1387,'Ratings'!$B$6:$B$1387,C300)</x:f>
        <x:v>23</x:v>
      </x:c>
      <x:c r="K300" s="15" t="n">
        <x:f>IF(I300&gt;0,"Unknown",H300/F300)</x:f>
        <x:v>1</x:v>
      </x:c>
      <x:c r="L300" s="15" t="n">
        <x:f>IF(J300=0,"N/A",H300/J300)</x:f>
        <x:v>0.21739130434782608</x:v>
      </x:c>
      <x:c r="M300" s="14" t="n">
        <x:f>SUMIFS('Rankings'!$L$6:$L$423,'Rankings'!$A$6:$A$423,B300,'Rankings'!$E$6:$E$423,"&lt;="&amp;F300)</x:f>
        <x:v>20.639213832155747</x:v>
      </x:c>
      <x:c r="N300" s="14" t="n">
        <x:f>SUMIFS('Ideal ranking'!$H$6:$H$365,'Ideal ranking'!$A$6:$A$365,C300,'Ideal ranking'!$B$6:$B$365,"&lt;="&amp;F300)</x:f>
        <x:v>20.639213832155747</x:v>
      </x:c>
      <x:c r="O300" s="14" t="n">
        <x:f>IF(I300&gt;0,"Unknown",IF(N300=0,"N/A",M300/N300))</x:f>
        <x:v>1</x:v>
      </x:c>
      <x:c r="P300" s="15" t="n">
        <x:f>IF(G300=0,"N/A",IF(I300&gt;0,"Unknown",H300/G300))</x:f>
        <x:v>1</x:v>
      </x:c>
      <x:c r="Q300" s="2" t="n">
        <x:f>F300-G300</x:f>
        <x:v>0</x:v>
      </x:c>
    </x:row>
    <x:row r="301" ht="22" customHeight="1">
      <x:c r="A301" s="2" t="str">
        <x:v>S32-T01|6</x:v>
      </x:c>
      <x:c r="B301" s="2" t="str">
        <x:v>S32-T01</x:v>
      </x:c>
      <x:c r="C301" s="2" t="str">
        <x:v>S32</x:v>
      </x:c>
      <x:c r="D301" s="2" t="str">
        <x:v>Extension</x:v>
      </x:c>
      <x:c r="E301" s="2" t="n">
        <x:v>1</x:v>
      </x:c>
      <x:c r="F301" s="2" t="n">
        <x:v>6</x:v>
      </x:c>
      <x:c r="G301" s="2" t="n">
        <x:f>COUNTIFS('Rankings'!$A$6:$A$423,B301,'Rankings'!$E$6:$E$423,"&lt;="&amp;F301)</x:f>
        <x:v>6</x:v>
      </x:c>
      <x:c r="H301" s="2" t="n">
        <x:f>SUMIFS('Rankings'!$J$6:$J$423,'Rankings'!$A$6:$A$423,B301,'Rankings'!$E$6:$E$423,"&lt;="&amp;F301)</x:f>
        <x:v>6</x:v>
      </x:c>
      <x:c r="I301" s="2" t="n">
        <x:f>G301-SUMIFS('Rankings'!$I$6:$I$423,'Rankings'!$A$6:$A$423,B301,'Rankings'!$E$6:$E$423,"&lt;="&amp;F301)</x:f>
        <x:v>0</x:v>
      </x:c>
      <x:c r="J301" s="2" t="n">
        <x:f>SUMIFS('Ratings'!$H$6:$H$1387,'Ratings'!$B$6:$B$1387,C301)</x:f>
        <x:v>23</x:v>
      </x:c>
      <x:c r="K301" s="15" t="n">
        <x:f>IF(I301&gt;0,"Unknown",H301/F301)</x:f>
        <x:v>1</x:v>
      </x:c>
      <x:c r="L301" s="15" t="n">
        <x:f>IF(J301=0,"N/A",H301/J301)</x:f>
        <x:v>0.2608695652173913</x:v>
      </x:c>
      <x:c r="M301" s="14" t="n">
        <x:f>SUMIFS('Rankings'!$L$6:$L$423,'Rankings'!$A$6:$A$423,B301,'Rankings'!$E$6:$E$423,"&lt;="&amp;F301)</x:f>
        <x:v>23.132664141911903</x:v>
      </x:c>
      <x:c r="N301" s="14" t="n">
        <x:f>SUMIFS('Ideal ranking'!$H$6:$H$365,'Ideal ranking'!$A$6:$A$365,C301,'Ideal ranking'!$B$6:$B$365,"&lt;="&amp;F301)</x:f>
        <x:v>23.132664141911903</x:v>
      </x:c>
      <x:c r="O301" s="14" t="n">
        <x:f>IF(I301&gt;0,"Unknown",IF(N301=0,"N/A",M301/N301))</x:f>
        <x:v>1</x:v>
      </x:c>
      <x:c r="P301" s="15" t="n">
        <x:f>IF(G301=0,"N/A",IF(I301&gt;0,"Unknown",H301/G301))</x:f>
        <x:v>1</x:v>
      </x:c>
      <x:c r="Q301" s="2" t="n">
        <x:f>F301-G301</x:f>
        <x:v>0</x:v>
      </x:c>
    </x:row>
    <x:row r="302" ht="22" customHeight="1">
      <x:c r="A302" s="2" t="str">
        <x:v>S32-T01|7</x:v>
      </x:c>
      <x:c r="B302" s="2" t="str">
        <x:v>S32-T01</x:v>
      </x:c>
      <x:c r="C302" s="2" t="str">
        <x:v>S32</x:v>
      </x:c>
      <x:c r="D302" s="2" t="str">
        <x:v>Extension</x:v>
      </x:c>
      <x:c r="E302" s="2" t="n">
        <x:v>1</x:v>
      </x:c>
      <x:c r="F302" s="2" t="n">
        <x:v>7</x:v>
      </x:c>
      <x:c r="G302" s="2" t="n">
        <x:f>COUNTIFS('Rankings'!$A$6:$A$423,B302,'Rankings'!$E$6:$E$423,"&lt;="&amp;F302)</x:f>
        <x:v>7</x:v>
      </x:c>
      <x:c r="H302" s="2" t="n">
        <x:f>SUMIFS('Rankings'!$J$6:$J$423,'Rankings'!$A$6:$A$423,B302,'Rankings'!$E$6:$E$423,"&lt;="&amp;F302)</x:f>
        <x:v>7</x:v>
      </x:c>
      <x:c r="I302" s="2" t="n">
        <x:f>G302-SUMIFS('Rankings'!$I$6:$I$423,'Rankings'!$A$6:$A$423,B302,'Rankings'!$E$6:$E$423,"&lt;="&amp;F302)</x:f>
        <x:v>0</x:v>
      </x:c>
      <x:c r="J302" s="2" t="n">
        <x:f>SUMIFS('Ratings'!$H$6:$H$1387,'Ratings'!$B$6:$B$1387,C302)</x:f>
        <x:v>23</x:v>
      </x:c>
      <x:c r="K302" s="15" t="n">
        <x:f>IF(I302&gt;0,"Unknown",H302/F302)</x:f>
        <x:v>1</x:v>
      </x:c>
      <x:c r="L302" s="15" t="n">
        <x:f>IF(J302=0,"N/A",H302/J302)</x:f>
        <x:v>0.30434782608695654</x:v>
      </x:c>
      <x:c r="M302" s="14" t="n">
        <x:f>SUMIFS('Rankings'!$L$6:$L$423,'Rankings'!$A$6:$A$423,B302,'Rankings'!$E$6:$E$423,"&lt;="&amp;F302)</x:f>
        <x:v>25.465997475245235</x:v>
      </x:c>
      <x:c r="N302" s="14" t="n">
        <x:f>SUMIFS('Ideal ranking'!$H$6:$H$365,'Ideal ranking'!$A$6:$A$365,C302,'Ideal ranking'!$B$6:$B$365,"&lt;="&amp;F302)</x:f>
        <x:v>25.465997475245235</x:v>
      </x:c>
      <x:c r="O302" s="14" t="n">
        <x:f>IF(I302&gt;0,"Unknown",IF(N302=0,"N/A",M302/N302))</x:f>
        <x:v>1</x:v>
      </x:c>
      <x:c r="P302" s="15" t="n">
        <x:f>IF(G302=0,"N/A",IF(I302&gt;0,"Unknown",H302/G302))</x:f>
        <x:v>1</x:v>
      </x:c>
      <x:c r="Q302" s="2" t="n">
        <x:f>F302-G302</x:f>
        <x:v>0</x:v>
      </x:c>
    </x:row>
    <x:row r="303" ht="22" customHeight="1">
      <x:c r="A303" s="2" t="str">
        <x:v>S32-T01|8</x:v>
      </x:c>
      <x:c r="B303" s="2" t="str">
        <x:v>S32-T01</x:v>
      </x:c>
      <x:c r="C303" s="2" t="str">
        <x:v>S32</x:v>
      </x:c>
      <x:c r="D303" s="2" t="str">
        <x:v>Extension</x:v>
      </x:c>
      <x:c r="E303" s="2" t="n">
        <x:v>1</x:v>
      </x:c>
      <x:c r="F303" s="2" t="n">
        <x:v>8</x:v>
      </x:c>
      <x:c r="G303" s="2" t="n">
        <x:f>COUNTIFS('Rankings'!$A$6:$A$423,B303,'Rankings'!$E$6:$E$423,"&lt;="&amp;F303)</x:f>
        <x:v>8</x:v>
      </x:c>
      <x:c r="H303" s="2" t="n">
        <x:f>SUMIFS('Rankings'!$J$6:$J$423,'Rankings'!$A$6:$A$423,B303,'Rankings'!$E$6:$E$423,"&lt;="&amp;F303)</x:f>
        <x:v>8</x:v>
      </x:c>
      <x:c r="I303" s="2" t="n">
        <x:f>G303-SUMIFS('Rankings'!$I$6:$I$423,'Rankings'!$A$6:$A$423,B303,'Rankings'!$E$6:$E$423,"&lt;="&amp;F303)</x:f>
        <x:v>0</x:v>
      </x:c>
      <x:c r="J303" s="2" t="n">
        <x:f>SUMIFS('Ratings'!$H$6:$H$1387,'Ratings'!$B$6:$B$1387,C303)</x:f>
        <x:v>23</x:v>
      </x:c>
      <x:c r="K303" s="15" t="n">
        <x:f>IF(I303&gt;0,"Unknown",H303/F303)</x:f>
        <x:v>1</x:v>
      </x:c>
      <x:c r="L303" s="15" t="n">
        <x:f>IF(J303=0,"N/A",H303/J303)</x:f>
        <x:v>0.34782608695652173</x:v>
      </x:c>
      <x:c r="M303" s="14" t="n">
        <x:f>SUMIFS('Rankings'!$L$6:$L$423,'Rankings'!$A$6:$A$423,B303,'Rankings'!$E$6:$E$423,"&lt;="&amp;F303)</x:f>
        <x:v>27.674251612745337</x:v>
      </x:c>
      <x:c r="N303" s="14" t="n">
        <x:f>SUMIFS('Ideal ranking'!$H$6:$H$365,'Ideal ranking'!$A$6:$A$365,C303,'Ideal ranking'!$B$6:$B$365,"&lt;="&amp;F303)</x:f>
        <x:v>27.674251612745337</x:v>
      </x:c>
      <x:c r="O303" s="14" t="n">
        <x:f>IF(I303&gt;0,"Unknown",IF(N303=0,"N/A",M303/N303))</x:f>
        <x:v>1</x:v>
      </x:c>
      <x:c r="P303" s="15" t="n">
        <x:f>IF(G303=0,"N/A",IF(I303&gt;0,"Unknown",H303/G303))</x:f>
        <x:v>1</x:v>
      </x:c>
      <x:c r="Q303" s="2" t="n">
        <x:f>F303-G303</x:f>
        <x:v>0</x:v>
      </x:c>
    </x:row>
    <x:row r="304" ht="22" customHeight="1">
      <x:c r="A304" s="2" t="str">
        <x:v>S32-T01|9</x:v>
      </x:c>
      <x:c r="B304" s="2" t="str">
        <x:v>S32-T01</x:v>
      </x:c>
      <x:c r="C304" s="2" t="str">
        <x:v>S32</x:v>
      </x:c>
      <x:c r="D304" s="2" t="str">
        <x:v>Extension</x:v>
      </x:c>
      <x:c r="E304" s="2" t="n">
        <x:v>1</x:v>
      </x:c>
      <x:c r="F304" s="2" t="n">
        <x:v>9</x:v>
      </x:c>
      <x:c r="G304" s="2" t="n">
        <x:f>COUNTIFS('Rankings'!$A$6:$A$423,B304,'Rankings'!$E$6:$E$423,"&lt;="&amp;F304)</x:f>
        <x:v>9</x:v>
      </x:c>
      <x:c r="H304" s="2" t="n">
        <x:f>SUMIFS('Rankings'!$J$6:$J$423,'Rankings'!$A$6:$A$423,B304,'Rankings'!$E$6:$E$423,"&lt;="&amp;F304)</x:f>
        <x:v>9</x:v>
      </x:c>
      <x:c r="I304" s="2" t="n">
        <x:f>G304-SUMIFS('Rankings'!$I$6:$I$423,'Rankings'!$A$6:$A$423,B304,'Rankings'!$E$6:$E$423,"&lt;="&amp;F304)</x:f>
        <x:v>0</x:v>
      </x:c>
      <x:c r="J304" s="2" t="n">
        <x:f>SUMIFS('Ratings'!$H$6:$H$1387,'Ratings'!$B$6:$B$1387,C304)</x:f>
        <x:v>23</x:v>
      </x:c>
      <x:c r="K304" s="15" t="n">
        <x:f>IF(I304&gt;0,"Unknown",H304/F304)</x:f>
        <x:v>1</x:v>
      </x:c>
      <x:c r="L304" s="15" t="n">
        <x:f>IF(J304=0,"N/A",H304/J304)</x:f>
        <x:v>0.391304347826087</x:v>
      </x:c>
      <x:c r="M304" s="14" t="n">
        <x:f>SUMIFS('Rankings'!$L$6:$L$423,'Rankings'!$A$6:$A$423,B304,'Rankings'!$E$6:$E$423,"&lt;="&amp;F304)</x:f>
        <x:v>29.781461582393206</x:v>
      </x:c>
      <x:c r="N304" s="14" t="n">
        <x:f>SUMIFS('Ideal ranking'!$H$6:$H$365,'Ideal ranking'!$A$6:$A$365,C304,'Ideal ranking'!$B$6:$B$365,"&lt;="&amp;F304)</x:f>
        <x:v>29.781461582393206</x:v>
      </x:c>
      <x:c r="O304" s="14" t="n">
        <x:f>IF(I304&gt;0,"Unknown",IF(N304=0,"N/A",M304/N304))</x:f>
        <x:v>1</x:v>
      </x:c>
      <x:c r="P304" s="15" t="n">
        <x:f>IF(G304=0,"N/A",IF(I304&gt;0,"Unknown",H304/G304))</x:f>
        <x:v>1</x:v>
      </x:c>
      <x:c r="Q304" s="2" t="n">
        <x:f>F304-G304</x:f>
        <x:v>0</x:v>
      </x:c>
    </x:row>
    <x:row r="305" ht="22" customHeight="1">
      <x:c r="A305" s="2" t="str">
        <x:v>S32-T01|10</x:v>
      </x:c>
      <x:c r="B305" s="2" t="str">
        <x:v>S32-T01</x:v>
      </x:c>
      <x:c r="C305" s="2" t="str">
        <x:v>S32</x:v>
      </x:c>
      <x:c r="D305" s="2" t="str">
        <x:v>Extension</x:v>
      </x:c>
      <x:c r="E305" s="2" t="n">
        <x:v>1</x:v>
      </x:c>
      <x:c r="F305" s="2" t="n">
        <x:v>10</x:v>
      </x:c>
      <x:c r="G305" s="2" t="n">
        <x:f>COUNTIFS('Rankings'!$A$6:$A$423,B305,'Rankings'!$E$6:$E$423,"&lt;="&amp;F305)</x:f>
        <x:v>10</x:v>
      </x:c>
      <x:c r="H305" s="2" t="n">
        <x:f>SUMIFS('Rankings'!$J$6:$J$423,'Rankings'!$A$6:$A$423,B305,'Rankings'!$E$6:$E$423,"&lt;="&amp;F305)</x:f>
        <x:v>10</x:v>
      </x:c>
      <x:c r="I305" s="2" t="n">
        <x:f>G305-SUMIFS('Rankings'!$I$6:$I$423,'Rankings'!$A$6:$A$423,B305,'Rankings'!$E$6:$E$423,"&lt;="&amp;F305)</x:f>
        <x:v>0</x:v>
      </x:c>
      <x:c r="J305" s="2" t="n">
        <x:f>SUMIFS('Ratings'!$H$6:$H$1387,'Ratings'!$B$6:$B$1387,C305)</x:f>
        <x:v>23</x:v>
      </x:c>
      <x:c r="K305" s="15" t="n">
        <x:f>IF(I305&gt;0,"Unknown",H305/F305)</x:f>
        <x:v>1</x:v>
      </x:c>
      <x:c r="L305" s="15" t="n">
        <x:f>IF(J305=0,"N/A",H305/J305)</x:f>
        <x:v>0.43478260869565216</x:v>
      </x:c>
      <x:c r="M305" s="14" t="n">
        <x:f>SUMIFS('Rankings'!$L$6:$L$423,'Rankings'!$A$6:$A$423,B305,'Rankings'!$E$6:$E$423,"&lt;="&amp;F305)</x:f>
        <x:v>31.80491536661842</x:v>
      </x:c>
      <x:c r="N305" s="14" t="n">
        <x:f>SUMIFS('Ideal ranking'!$H$6:$H$365,'Ideal ranking'!$A$6:$A$365,C305,'Ideal ranking'!$B$6:$B$365,"&lt;="&amp;F305)</x:f>
        <x:v>31.80491536661842</x:v>
      </x:c>
      <x:c r="O305" s="14" t="n">
        <x:f>IF(I305&gt;0,"Unknown",IF(N305=0,"N/A",M305/N305))</x:f>
        <x:v>1</x:v>
      </x:c>
      <x:c r="P305" s="15" t="n">
        <x:f>IF(G305=0,"N/A",IF(I305&gt;0,"Unknown",H305/G305))</x:f>
        <x:v>1</x:v>
      </x:c>
      <x:c r="Q305" s="2" t="n">
        <x:f>F305-G305</x:f>
        <x:v>0</x:v>
      </x:c>
    </x:row>
    <x:row r="306" ht="22" customHeight="1">
      <x:c r="A306" s="2" t="str">
        <x:v>S33-T01|1</x:v>
      </x:c>
      <x:c r="B306" s="2" t="str">
        <x:v>S33-T01</x:v>
      </x:c>
      <x:c r="C306" s="2" t="str">
        <x:v>S33</x:v>
      </x:c>
      <x:c r="D306" s="2" t="str">
        <x:v>Extension</x:v>
      </x:c>
      <x:c r="E306" s="2" t="n">
        <x:v>1</x:v>
      </x:c>
      <x:c r="F306" s="2" t="n">
        <x:v>1</x:v>
      </x:c>
      <x:c r="G306" s="2" t="n">
        <x:f>COUNTIFS('Rankings'!$A$6:$A$423,B306,'Rankings'!$E$6:$E$423,"&lt;="&amp;F306)</x:f>
        <x:v>1</x:v>
      </x:c>
      <x:c r="H306" s="2" t="n">
        <x:f>SUMIFS('Rankings'!$J$6:$J$423,'Rankings'!$A$6:$A$423,B306,'Rankings'!$E$6:$E$423,"&lt;="&amp;F306)</x:f>
        <x:v>1</x:v>
      </x:c>
      <x:c r="I306" s="2" t="n">
        <x:f>G306-SUMIFS('Rankings'!$I$6:$I$423,'Rankings'!$A$6:$A$423,B306,'Rankings'!$E$6:$E$423,"&lt;="&amp;F306)</x:f>
        <x:v>0</x:v>
      </x:c>
      <x:c r="J306" s="2" t="n">
        <x:f>SUMIFS('Ratings'!$H$6:$H$1387,'Ratings'!$B$6:$B$1387,C306)</x:f>
        <x:v>1</x:v>
      </x:c>
      <x:c r="K306" s="15" t="n">
        <x:f>IF(I306&gt;0,"Unknown",H306/F306)</x:f>
        <x:v>1</x:v>
      </x:c>
      <x:c r="L306" s="15" t="n">
        <x:f>IF(J306=0,"N/A",H306/J306)</x:f>
        <x:v>1</x:v>
      </x:c>
      <x:c r="M306" s="14" t="n">
        <x:f>SUMIFS('Rankings'!$L$6:$L$423,'Rankings'!$A$6:$A$423,B306,'Rankings'!$E$6:$E$423,"&lt;="&amp;F306)</x:f>
        <x:v>3</x:v>
      </x:c>
      <x:c r="N306" s="14" t="n">
        <x:f>SUMIFS('Ideal ranking'!$H$6:$H$365,'Ideal ranking'!$A$6:$A$365,C306,'Ideal ranking'!$B$6:$B$365,"&lt;="&amp;F306)</x:f>
        <x:v>3</x:v>
      </x:c>
      <x:c r="O306" s="14" t="n">
        <x:f>IF(I306&gt;0,"Unknown",IF(N306=0,"N/A",M306/N306))</x:f>
        <x:v>1</x:v>
      </x:c>
      <x:c r="P306" s="15" t="n">
        <x:f>IF(G306=0,"N/A",IF(I306&gt;0,"Unknown",H306/G306))</x:f>
        <x:v>1</x:v>
      </x:c>
      <x:c r="Q306" s="2" t="n">
        <x:f>F306-G306</x:f>
        <x:v>0</x:v>
      </x:c>
    </x:row>
    <x:row r="307" ht="22" customHeight="1">
      <x:c r="A307" s="2" t="str">
        <x:v>S33-T01|2</x:v>
      </x:c>
      <x:c r="B307" s="2" t="str">
        <x:v>S33-T01</x:v>
      </x:c>
      <x:c r="C307" s="2" t="str">
        <x:v>S33</x:v>
      </x:c>
      <x:c r="D307" s="2" t="str">
        <x:v>Extension</x:v>
      </x:c>
      <x:c r="E307" s="2" t="n">
        <x:v>1</x:v>
      </x:c>
      <x:c r="F307" s="2" t="n">
        <x:v>2</x:v>
      </x:c>
      <x:c r="G307" s="2" t="n">
        <x:f>COUNTIFS('Rankings'!$A$6:$A$423,B307,'Rankings'!$E$6:$E$423,"&lt;="&amp;F307)</x:f>
        <x:v>2</x:v>
      </x:c>
      <x:c r="H307" s="2" t="n">
        <x:f>SUMIFS('Rankings'!$J$6:$J$423,'Rankings'!$A$6:$A$423,B307,'Rankings'!$E$6:$E$423,"&lt;="&amp;F307)</x:f>
        <x:v>1</x:v>
      </x:c>
      <x:c r="I307" s="2" t="n">
        <x:f>G307-SUMIFS('Rankings'!$I$6:$I$423,'Rankings'!$A$6:$A$423,B307,'Rankings'!$E$6:$E$423,"&lt;="&amp;F307)</x:f>
        <x:v>0</x:v>
      </x:c>
      <x:c r="J307" s="2" t="n">
        <x:f>SUMIFS('Ratings'!$H$6:$H$1387,'Ratings'!$B$6:$B$1387,C307)</x:f>
        <x:v>1</x:v>
      </x:c>
      <x:c r="K307" s="15" t="n">
        <x:f>IF(I307&gt;0,"Unknown",H307/F307)</x:f>
        <x:v>0.5</x:v>
      </x:c>
      <x:c r="L307" s="15" t="n">
        <x:f>IF(J307=0,"N/A",H307/J307)</x:f>
        <x:v>1</x:v>
      </x:c>
      <x:c r="M307" s="14" t="n">
        <x:f>SUMIFS('Rankings'!$L$6:$L$423,'Rankings'!$A$6:$A$423,B307,'Rankings'!$E$6:$E$423,"&lt;="&amp;F307)</x:f>
        <x:v>3.6309297535714578</x:v>
      </x:c>
      <x:c r="N307" s="14" t="n">
        <x:f>SUMIFS('Ideal ranking'!$H$6:$H$365,'Ideal ranking'!$A$6:$A$365,C307,'Ideal ranking'!$B$6:$B$365,"&lt;="&amp;F307)</x:f>
        <x:v>3.6309297535714578</x:v>
      </x:c>
      <x:c r="O307" s="14" t="n">
        <x:f>IF(I307&gt;0,"Unknown",IF(N307=0,"N/A",M307/N307))</x:f>
        <x:v>1</x:v>
      </x:c>
      <x:c r="P307" s="15" t="n">
        <x:f>IF(G307=0,"N/A",IF(I307&gt;0,"Unknown",H307/G307))</x:f>
        <x:v>0.5</x:v>
      </x:c>
      <x:c r="Q307" s="2" t="n">
        <x:f>F307-G307</x:f>
        <x:v>0</x:v>
      </x:c>
    </x:row>
    <x:row r="308" ht="22" customHeight="1">
      <x:c r="A308" s="2" t="str">
        <x:v>S33-T01|3</x:v>
      </x:c>
      <x:c r="B308" s="2" t="str">
        <x:v>S33-T01</x:v>
      </x:c>
      <x:c r="C308" s="2" t="str">
        <x:v>S33</x:v>
      </x:c>
      <x:c r="D308" s="2" t="str">
        <x:v>Extension</x:v>
      </x:c>
      <x:c r="E308" s="2" t="n">
        <x:v>1</x:v>
      </x:c>
      <x:c r="F308" s="2" t="n">
        <x:v>3</x:v>
      </x:c>
      <x:c r="G308" s="2" t="n">
        <x:f>COUNTIFS('Rankings'!$A$6:$A$423,B308,'Rankings'!$E$6:$E$423,"&lt;="&amp;F308)</x:f>
        <x:v>3</x:v>
      </x:c>
      <x:c r="H308" s="2" t="n">
        <x:f>SUMIFS('Rankings'!$J$6:$J$423,'Rankings'!$A$6:$A$423,B308,'Rankings'!$E$6:$E$423,"&lt;="&amp;F308)</x:f>
        <x:v>1</x:v>
      </x:c>
      <x:c r="I308" s="2" t="n">
        <x:f>G308-SUMIFS('Rankings'!$I$6:$I$423,'Rankings'!$A$6:$A$423,B308,'Rankings'!$E$6:$E$423,"&lt;="&amp;F308)</x:f>
        <x:v>0</x:v>
      </x:c>
      <x:c r="J308" s="2" t="n">
        <x:f>SUMIFS('Ratings'!$H$6:$H$1387,'Ratings'!$B$6:$B$1387,C308)</x:f>
        <x:v>1</x:v>
      </x:c>
      <x:c r="K308" s="15" t="n">
        <x:f>IF(I308&gt;0,"Unknown",H308/F308)</x:f>
        <x:v>0.3333333333333333</x:v>
      </x:c>
      <x:c r="L308" s="15" t="n">
        <x:f>IF(J308=0,"N/A",H308/J308)</x:f>
        <x:v>1</x:v>
      </x:c>
      <x:c r="M308" s="14" t="n">
        <x:f>SUMIFS('Rankings'!$L$6:$L$423,'Rankings'!$A$6:$A$423,B308,'Rankings'!$E$6:$E$423,"&lt;="&amp;F308)</x:f>
        <x:v>4.130929753571458</x:v>
      </x:c>
      <x:c r="N308" s="14" t="n">
        <x:f>SUMIFS('Ideal ranking'!$H$6:$H$365,'Ideal ranking'!$A$6:$A$365,C308,'Ideal ranking'!$B$6:$B$365,"&lt;="&amp;F308)</x:f>
        <x:v>4.130929753571458</x:v>
      </x:c>
      <x:c r="O308" s="14" t="n">
        <x:f>IF(I308&gt;0,"Unknown",IF(N308=0,"N/A",M308/N308))</x:f>
        <x:v>1</x:v>
      </x:c>
      <x:c r="P308" s="15" t="n">
        <x:f>IF(G308=0,"N/A",IF(I308&gt;0,"Unknown",H308/G308))</x:f>
        <x:v>0.3333333333333333</x:v>
      </x:c>
      <x:c r="Q308" s="2" t="n">
        <x:f>F308-G308</x:f>
        <x:v>0</x:v>
      </x:c>
    </x:row>
    <x:row r="309" ht="22" customHeight="1">
      <x:c r="A309" s="2" t="str">
        <x:v>S33-T01|4</x:v>
      </x:c>
      <x:c r="B309" s="2" t="str">
        <x:v>S33-T01</x:v>
      </x:c>
      <x:c r="C309" s="2" t="str">
        <x:v>S33</x:v>
      </x:c>
      <x:c r="D309" s="2" t="str">
        <x:v>Extension</x:v>
      </x:c>
      <x:c r="E309" s="2" t="n">
        <x:v>1</x:v>
      </x:c>
      <x:c r="F309" s="2" t="n">
        <x:v>4</x:v>
      </x:c>
      <x:c r="G309" s="2" t="n">
        <x:f>COUNTIFS('Rankings'!$A$6:$A$423,B309,'Rankings'!$E$6:$E$423,"&lt;="&amp;F309)</x:f>
        <x:v>3</x:v>
      </x:c>
      <x:c r="H309" s="2" t="n">
        <x:f>SUMIFS('Rankings'!$J$6:$J$423,'Rankings'!$A$6:$A$423,B309,'Rankings'!$E$6:$E$423,"&lt;="&amp;F309)</x:f>
        <x:v>1</x:v>
      </x:c>
      <x:c r="I309" s="2" t="n">
        <x:f>G309-SUMIFS('Rankings'!$I$6:$I$423,'Rankings'!$A$6:$A$423,B309,'Rankings'!$E$6:$E$423,"&lt;="&amp;F309)</x:f>
        <x:v>0</x:v>
      </x:c>
      <x:c r="J309" s="2" t="n">
        <x:f>SUMIFS('Ratings'!$H$6:$H$1387,'Ratings'!$B$6:$B$1387,C309)</x:f>
        <x:v>1</x:v>
      </x:c>
      <x:c r="K309" s="15" t="n">
        <x:f>IF(I309&gt;0,"Unknown",H309/F309)</x:f>
        <x:v>0.25</x:v>
      </x:c>
      <x:c r="L309" s="15" t="n">
        <x:f>IF(J309=0,"N/A",H309/J309)</x:f>
        <x:v>1</x:v>
      </x:c>
      <x:c r="M309" s="14" t="n">
        <x:f>SUMIFS('Rankings'!$L$6:$L$423,'Rankings'!$A$6:$A$423,B309,'Rankings'!$E$6:$E$423,"&lt;="&amp;F309)</x:f>
        <x:v>4.130929753571458</x:v>
      </x:c>
      <x:c r="N309" s="14" t="n">
        <x:f>SUMIFS('Ideal ranking'!$H$6:$H$365,'Ideal ranking'!$A$6:$A$365,C309,'Ideal ranking'!$B$6:$B$365,"&lt;="&amp;F309)</x:f>
        <x:v>4.130929753571458</x:v>
      </x:c>
      <x:c r="O309" s="14" t="n">
        <x:f>IF(I309&gt;0,"Unknown",IF(N309=0,"N/A",M309/N309))</x:f>
        <x:v>1</x:v>
      </x:c>
      <x:c r="P309" s="15" t="n">
        <x:f>IF(G309=0,"N/A",IF(I309&gt;0,"Unknown",H309/G309))</x:f>
        <x:v>0.3333333333333333</x:v>
      </x:c>
      <x:c r="Q309" s="2" t="n">
        <x:f>F309-G309</x:f>
        <x:v>1</x:v>
      </x:c>
    </x:row>
    <x:row r="310" ht="22" customHeight="1">
      <x:c r="A310" s="2" t="str">
        <x:v>S33-T01|5</x:v>
      </x:c>
      <x:c r="B310" s="2" t="str">
        <x:v>S33-T01</x:v>
      </x:c>
      <x:c r="C310" s="2" t="str">
        <x:v>S33</x:v>
      </x:c>
      <x:c r="D310" s="2" t="str">
        <x:v>Extension</x:v>
      </x:c>
      <x:c r="E310" s="2" t="n">
        <x:v>1</x:v>
      </x:c>
      <x:c r="F310" s="2" t="n">
        <x:v>5</x:v>
      </x:c>
      <x:c r="G310" s="2" t="n">
        <x:f>COUNTIFS('Rankings'!$A$6:$A$423,B310,'Rankings'!$E$6:$E$423,"&lt;="&amp;F310)</x:f>
        <x:v>3</x:v>
      </x:c>
      <x:c r="H310" s="2" t="n">
        <x:f>SUMIFS('Rankings'!$J$6:$J$423,'Rankings'!$A$6:$A$423,B310,'Rankings'!$E$6:$E$423,"&lt;="&amp;F310)</x:f>
        <x:v>1</x:v>
      </x:c>
      <x:c r="I310" s="2" t="n">
        <x:f>G310-SUMIFS('Rankings'!$I$6:$I$423,'Rankings'!$A$6:$A$423,B310,'Rankings'!$E$6:$E$423,"&lt;="&amp;F310)</x:f>
        <x:v>0</x:v>
      </x:c>
      <x:c r="J310" s="2" t="n">
        <x:f>SUMIFS('Ratings'!$H$6:$H$1387,'Ratings'!$B$6:$B$1387,C310)</x:f>
        <x:v>1</x:v>
      </x:c>
      <x:c r="K310" s="15" t="n">
        <x:f>IF(I310&gt;0,"Unknown",H310/F310)</x:f>
        <x:v>0.2</x:v>
      </x:c>
      <x:c r="L310" s="15" t="n">
        <x:f>IF(J310=0,"N/A",H310/J310)</x:f>
        <x:v>1</x:v>
      </x:c>
      <x:c r="M310" s="14" t="n">
        <x:f>SUMIFS('Rankings'!$L$6:$L$423,'Rankings'!$A$6:$A$423,B310,'Rankings'!$E$6:$E$423,"&lt;="&amp;F310)</x:f>
        <x:v>4.130929753571458</x:v>
      </x:c>
      <x:c r="N310" s="14" t="n">
        <x:f>SUMIFS('Ideal ranking'!$H$6:$H$365,'Ideal ranking'!$A$6:$A$365,C310,'Ideal ranking'!$B$6:$B$365,"&lt;="&amp;F310)</x:f>
        <x:v>4.130929753571458</x:v>
      </x:c>
      <x:c r="O310" s="14" t="n">
        <x:f>IF(I310&gt;0,"Unknown",IF(N310=0,"N/A",M310/N310))</x:f>
        <x:v>1</x:v>
      </x:c>
      <x:c r="P310" s="15" t="n">
        <x:f>IF(G310=0,"N/A",IF(I310&gt;0,"Unknown",H310/G310))</x:f>
        <x:v>0.3333333333333333</x:v>
      </x:c>
      <x:c r="Q310" s="2" t="n">
        <x:f>F310-G310</x:f>
        <x:v>2</x:v>
      </x:c>
    </x:row>
    <x:row r="311" ht="22" customHeight="1">
      <x:c r="A311" s="2" t="str">
        <x:v>S33-T01|6</x:v>
      </x:c>
      <x:c r="B311" s="2" t="str">
        <x:v>S33-T01</x:v>
      </x:c>
      <x:c r="C311" s="2" t="str">
        <x:v>S33</x:v>
      </x:c>
      <x:c r="D311" s="2" t="str">
        <x:v>Extension</x:v>
      </x:c>
      <x:c r="E311" s="2" t="n">
        <x:v>1</x:v>
      </x:c>
      <x:c r="F311" s="2" t="n">
        <x:v>6</x:v>
      </x:c>
      <x:c r="G311" s="2" t="n">
        <x:f>COUNTIFS('Rankings'!$A$6:$A$423,B311,'Rankings'!$E$6:$E$423,"&lt;="&amp;F311)</x:f>
        <x:v>3</x:v>
      </x:c>
      <x:c r="H311" s="2" t="n">
        <x:f>SUMIFS('Rankings'!$J$6:$J$423,'Rankings'!$A$6:$A$423,B311,'Rankings'!$E$6:$E$423,"&lt;="&amp;F311)</x:f>
        <x:v>1</x:v>
      </x:c>
      <x:c r="I311" s="2" t="n">
        <x:f>G311-SUMIFS('Rankings'!$I$6:$I$423,'Rankings'!$A$6:$A$423,B311,'Rankings'!$E$6:$E$423,"&lt;="&amp;F311)</x:f>
        <x:v>0</x:v>
      </x:c>
      <x:c r="J311" s="2" t="n">
        <x:f>SUMIFS('Ratings'!$H$6:$H$1387,'Ratings'!$B$6:$B$1387,C311)</x:f>
        <x:v>1</x:v>
      </x:c>
      <x:c r="K311" s="15" t="n">
        <x:f>IF(I311&gt;0,"Unknown",H311/F311)</x:f>
        <x:v>0.16666666666666666</x:v>
      </x:c>
      <x:c r="L311" s="15" t="n">
        <x:f>IF(J311=0,"N/A",H311/J311)</x:f>
        <x:v>1</x:v>
      </x:c>
      <x:c r="M311" s="14" t="n">
        <x:f>SUMIFS('Rankings'!$L$6:$L$423,'Rankings'!$A$6:$A$423,B311,'Rankings'!$E$6:$E$423,"&lt;="&amp;F311)</x:f>
        <x:v>4.130929753571458</x:v>
      </x:c>
      <x:c r="N311" s="14" t="n">
        <x:f>SUMIFS('Ideal ranking'!$H$6:$H$365,'Ideal ranking'!$A$6:$A$365,C311,'Ideal ranking'!$B$6:$B$365,"&lt;="&amp;F311)</x:f>
        <x:v>4.130929753571458</x:v>
      </x:c>
      <x:c r="O311" s="14" t="n">
        <x:f>IF(I311&gt;0,"Unknown",IF(N311=0,"N/A",M311/N311))</x:f>
        <x:v>1</x:v>
      </x:c>
      <x:c r="P311" s="15" t="n">
        <x:f>IF(G311=0,"N/A",IF(I311&gt;0,"Unknown",H311/G311))</x:f>
        <x:v>0.3333333333333333</x:v>
      </x:c>
      <x:c r="Q311" s="2" t="n">
        <x:f>F311-G311</x:f>
        <x:v>3</x:v>
      </x:c>
    </x:row>
    <x:row r="312" ht="22" customHeight="1">
      <x:c r="A312" s="2" t="str">
        <x:v>S33-T01|7</x:v>
      </x:c>
      <x:c r="B312" s="2" t="str">
        <x:v>S33-T01</x:v>
      </x:c>
      <x:c r="C312" s="2" t="str">
        <x:v>S33</x:v>
      </x:c>
      <x:c r="D312" s="2" t="str">
        <x:v>Extension</x:v>
      </x:c>
      <x:c r="E312" s="2" t="n">
        <x:v>1</x:v>
      </x:c>
      <x:c r="F312" s="2" t="n">
        <x:v>7</x:v>
      </x:c>
      <x:c r="G312" s="2" t="n">
        <x:f>COUNTIFS('Rankings'!$A$6:$A$423,B312,'Rankings'!$E$6:$E$423,"&lt;="&amp;F312)</x:f>
        <x:v>3</x:v>
      </x:c>
      <x:c r="H312" s="2" t="n">
        <x:f>SUMIFS('Rankings'!$J$6:$J$423,'Rankings'!$A$6:$A$423,B312,'Rankings'!$E$6:$E$423,"&lt;="&amp;F312)</x:f>
        <x:v>1</x:v>
      </x:c>
      <x:c r="I312" s="2" t="n">
        <x:f>G312-SUMIFS('Rankings'!$I$6:$I$423,'Rankings'!$A$6:$A$423,B312,'Rankings'!$E$6:$E$423,"&lt;="&amp;F312)</x:f>
        <x:v>0</x:v>
      </x:c>
      <x:c r="J312" s="2" t="n">
        <x:f>SUMIFS('Ratings'!$H$6:$H$1387,'Ratings'!$B$6:$B$1387,C312)</x:f>
        <x:v>1</x:v>
      </x:c>
      <x:c r="K312" s="15" t="n">
        <x:f>IF(I312&gt;0,"Unknown",H312/F312)</x:f>
        <x:v>0.14285714285714285</x:v>
      </x:c>
      <x:c r="L312" s="15" t="n">
        <x:f>IF(J312=0,"N/A",H312/J312)</x:f>
        <x:v>1</x:v>
      </x:c>
      <x:c r="M312" s="14" t="n">
        <x:f>SUMIFS('Rankings'!$L$6:$L$423,'Rankings'!$A$6:$A$423,B312,'Rankings'!$E$6:$E$423,"&lt;="&amp;F312)</x:f>
        <x:v>4.130929753571458</x:v>
      </x:c>
      <x:c r="N312" s="14" t="n">
        <x:f>SUMIFS('Ideal ranking'!$H$6:$H$365,'Ideal ranking'!$A$6:$A$365,C312,'Ideal ranking'!$B$6:$B$365,"&lt;="&amp;F312)</x:f>
        <x:v>4.130929753571458</x:v>
      </x:c>
      <x:c r="O312" s="14" t="n">
        <x:f>IF(I312&gt;0,"Unknown",IF(N312=0,"N/A",M312/N312))</x:f>
        <x:v>1</x:v>
      </x:c>
      <x:c r="P312" s="15" t="n">
        <x:f>IF(G312=0,"N/A",IF(I312&gt;0,"Unknown",H312/G312))</x:f>
        <x:v>0.3333333333333333</x:v>
      </x:c>
      <x:c r="Q312" s="2" t="n">
        <x:f>F312-G312</x:f>
        <x:v>4</x:v>
      </x:c>
    </x:row>
    <x:row r="313" ht="22" customHeight="1">
      <x:c r="A313" s="2" t="str">
        <x:v>S33-T01|8</x:v>
      </x:c>
      <x:c r="B313" s="2" t="str">
        <x:v>S33-T01</x:v>
      </x:c>
      <x:c r="C313" s="2" t="str">
        <x:v>S33</x:v>
      </x:c>
      <x:c r="D313" s="2" t="str">
        <x:v>Extension</x:v>
      </x:c>
      <x:c r="E313" s="2" t="n">
        <x:v>1</x:v>
      </x:c>
      <x:c r="F313" s="2" t="n">
        <x:v>8</x:v>
      </x:c>
      <x:c r="G313" s="2" t="n">
        <x:f>COUNTIFS('Rankings'!$A$6:$A$423,B313,'Rankings'!$E$6:$E$423,"&lt;="&amp;F313)</x:f>
        <x:v>3</x:v>
      </x:c>
      <x:c r="H313" s="2" t="n">
        <x:f>SUMIFS('Rankings'!$J$6:$J$423,'Rankings'!$A$6:$A$423,B313,'Rankings'!$E$6:$E$423,"&lt;="&amp;F313)</x:f>
        <x:v>1</x:v>
      </x:c>
      <x:c r="I313" s="2" t="n">
        <x:f>G313-SUMIFS('Rankings'!$I$6:$I$423,'Rankings'!$A$6:$A$423,B313,'Rankings'!$E$6:$E$423,"&lt;="&amp;F313)</x:f>
        <x:v>0</x:v>
      </x:c>
      <x:c r="J313" s="2" t="n">
        <x:f>SUMIFS('Ratings'!$H$6:$H$1387,'Ratings'!$B$6:$B$1387,C313)</x:f>
        <x:v>1</x:v>
      </x:c>
      <x:c r="K313" s="15" t="n">
        <x:f>IF(I313&gt;0,"Unknown",H313/F313)</x:f>
        <x:v>0.125</x:v>
      </x:c>
      <x:c r="L313" s="15" t="n">
        <x:f>IF(J313=0,"N/A",H313/J313)</x:f>
        <x:v>1</x:v>
      </x:c>
      <x:c r="M313" s="14" t="n">
        <x:f>SUMIFS('Rankings'!$L$6:$L$423,'Rankings'!$A$6:$A$423,B313,'Rankings'!$E$6:$E$423,"&lt;="&amp;F313)</x:f>
        <x:v>4.130929753571458</x:v>
      </x:c>
      <x:c r="N313" s="14" t="n">
        <x:f>SUMIFS('Ideal ranking'!$H$6:$H$365,'Ideal ranking'!$A$6:$A$365,C313,'Ideal ranking'!$B$6:$B$365,"&lt;="&amp;F313)</x:f>
        <x:v>4.130929753571458</x:v>
      </x:c>
      <x:c r="O313" s="14" t="n">
        <x:f>IF(I313&gt;0,"Unknown",IF(N313=0,"N/A",M313/N313))</x:f>
        <x:v>1</x:v>
      </x:c>
      <x:c r="P313" s="15" t="n">
        <x:f>IF(G313=0,"N/A",IF(I313&gt;0,"Unknown",H313/G313))</x:f>
        <x:v>0.3333333333333333</x:v>
      </x:c>
      <x:c r="Q313" s="2" t="n">
        <x:f>F313-G313</x:f>
        <x:v>5</x:v>
      </x:c>
    </x:row>
    <x:row r="314" ht="22" customHeight="1">
      <x:c r="A314" s="2" t="str">
        <x:v>S33-T01|9</x:v>
      </x:c>
      <x:c r="B314" s="2" t="str">
        <x:v>S33-T01</x:v>
      </x:c>
      <x:c r="C314" s="2" t="str">
        <x:v>S33</x:v>
      </x:c>
      <x:c r="D314" s="2" t="str">
        <x:v>Extension</x:v>
      </x:c>
      <x:c r="E314" s="2" t="n">
        <x:v>1</x:v>
      </x:c>
      <x:c r="F314" s="2" t="n">
        <x:v>9</x:v>
      </x:c>
      <x:c r="G314" s="2" t="n">
        <x:f>COUNTIFS('Rankings'!$A$6:$A$423,B314,'Rankings'!$E$6:$E$423,"&lt;="&amp;F314)</x:f>
        <x:v>3</x:v>
      </x:c>
      <x:c r="H314" s="2" t="n">
        <x:f>SUMIFS('Rankings'!$J$6:$J$423,'Rankings'!$A$6:$A$423,B314,'Rankings'!$E$6:$E$423,"&lt;="&amp;F314)</x:f>
        <x:v>1</x:v>
      </x:c>
      <x:c r="I314" s="2" t="n">
        <x:f>G314-SUMIFS('Rankings'!$I$6:$I$423,'Rankings'!$A$6:$A$423,B314,'Rankings'!$E$6:$E$423,"&lt;="&amp;F314)</x:f>
        <x:v>0</x:v>
      </x:c>
      <x:c r="J314" s="2" t="n">
        <x:f>SUMIFS('Ratings'!$H$6:$H$1387,'Ratings'!$B$6:$B$1387,C314)</x:f>
        <x:v>1</x:v>
      </x:c>
      <x:c r="K314" s="15" t="n">
        <x:f>IF(I314&gt;0,"Unknown",H314/F314)</x:f>
        <x:v>0.1111111111111111</x:v>
      </x:c>
      <x:c r="L314" s="15" t="n">
        <x:f>IF(J314=0,"N/A",H314/J314)</x:f>
        <x:v>1</x:v>
      </x:c>
      <x:c r="M314" s="14" t="n">
        <x:f>SUMIFS('Rankings'!$L$6:$L$423,'Rankings'!$A$6:$A$423,B314,'Rankings'!$E$6:$E$423,"&lt;="&amp;F314)</x:f>
        <x:v>4.130929753571458</x:v>
      </x:c>
      <x:c r="N314" s="14" t="n">
        <x:f>SUMIFS('Ideal ranking'!$H$6:$H$365,'Ideal ranking'!$A$6:$A$365,C314,'Ideal ranking'!$B$6:$B$365,"&lt;="&amp;F314)</x:f>
        <x:v>4.130929753571458</x:v>
      </x:c>
      <x:c r="O314" s="14" t="n">
        <x:f>IF(I314&gt;0,"Unknown",IF(N314=0,"N/A",M314/N314))</x:f>
        <x:v>1</x:v>
      </x:c>
      <x:c r="P314" s="15" t="n">
        <x:f>IF(G314=0,"N/A",IF(I314&gt;0,"Unknown",H314/G314))</x:f>
        <x:v>0.3333333333333333</x:v>
      </x:c>
      <x:c r="Q314" s="2" t="n">
        <x:f>F314-G314</x:f>
        <x:v>6</x:v>
      </x:c>
    </x:row>
    <x:row r="315" ht="22" customHeight="1">
      <x:c r="A315" s="2" t="str">
        <x:v>S33-T01|10</x:v>
      </x:c>
      <x:c r="B315" s="2" t="str">
        <x:v>S33-T01</x:v>
      </x:c>
      <x:c r="C315" s="2" t="str">
        <x:v>S33</x:v>
      </x:c>
      <x:c r="D315" s="2" t="str">
        <x:v>Extension</x:v>
      </x:c>
      <x:c r="E315" s="2" t="n">
        <x:v>1</x:v>
      </x:c>
      <x:c r="F315" s="2" t="n">
        <x:v>10</x:v>
      </x:c>
      <x:c r="G315" s="2" t="n">
        <x:f>COUNTIFS('Rankings'!$A$6:$A$423,B315,'Rankings'!$E$6:$E$423,"&lt;="&amp;F315)</x:f>
        <x:v>3</x:v>
      </x:c>
      <x:c r="H315" s="2" t="n">
        <x:f>SUMIFS('Rankings'!$J$6:$J$423,'Rankings'!$A$6:$A$423,B315,'Rankings'!$E$6:$E$423,"&lt;="&amp;F315)</x:f>
        <x:v>1</x:v>
      </x:c>
      <x:c r="I315" s="2" t="n">
        <x:f>G315-SUMIFS('Rankings'!$I$6:$I$423,'Rankings'!$A$6:$A$423,B315,'Rankings'!$E$6:$E$423,"&lt;="&amp;F315)</x:f>
        <x:v>0</x:v>
      </x:c>
      <x:c r="J315" s="2" t="n">
        <x:f>SUMIFS('Ratings'!$H$6:$H$1387,'Ratings'!$B$6:$B$1387,C315)</x:f>
        <x:v>1</x:v>
      </x:c>
      <x:c r="K315" s="15" t="n">
        <x:f>IF(I315&gt;0,"Unknown",H315/F315)</x:f>
        <x:v>0.1</x:v>
      </x:c>
      <x:c r="L315" s="15" t="n">
        <x:f>IF(J315=0,"N/A",H315/J315)</x:f>
        <x:v>1</x:v>
      </x:c>
      <x:c r="M315" s="14" t="n">
        <x:f>SUMIFS('Rankings'!$L$6:$L$423,'Rankings'!$A$6:$A$423,B315,'Rankings'!$E$6:$E$423,"&lt;="&amp;F315)</x:f>
        <x:v>4.130929753571458</x:v>
      </x:c>
      <x:c r="N315" s="14" t="n">
        <x:f>SUMIFS('Ideal ranking'!$H$6:$H$365,'Ideal ranking'!$A$6:$A$365,C315,'Ideal ranking'!$B$6:$B$365,"&lt;="&amp;F315)</x:f>
        <x:v>4.130929753571458</x:v>
      </x:c>
      <x:c r="O315" s="14" t="n">
        <x:f>IF(I315&gt;0,"Unknown",IF(N315=0,"N/A",M315/N315))</x:f>
        <x:v>1</x:v>
      </x:c>
      <x:c r="P315" s="15" t="n">
        <x:f>IF(G315=0,"N/A",IF(I315&gt;0,"Unknown",H315/G315))</x:f>
        <x:v>0.3333333333333333</x:v>
      </x:c>
      <x:c r="Q315" s="2" t="n">
        <x:f>F315-G315</x:f>
        <x:v>7</x:v>
      </x:c>
    </x:row>
    <x:row r="316" ht="22" customHeight="1">
      <x:c r="A316" s="2" t="str">
        <x:v>S35-T01|1</x:v>
      </x:c>
      <x:c r="B316" s="2" t="str">
        <x:v>S35-T01</x:v>
      </x:c>
      <x:c r="C316" s="2" t="str">
        <x:v>S35</x:v>
      </x:c>
      <x:c r="D316" s="2" t="str">
        <x:v>Extension</x:v>
      </x:c>
      <x:c r="E316" s="2" t="n">
        <x:v>1</x:v>
      </x:c>
      <x:c r="F316" s="2" t="n">
        <x:v>1</x:v>
      </x:c>
      <x:c r="G316" s="2" t="n">
        <x:f>COUNTIFS('Rankings'!$A$6:$A$423,B316,'Rankings'!$E$6:$E$423,"&lt;="&amp;F316)</x:f>
        <x:v>1</x:v>
      </x:c>
      <x:c r="H316" s="2" t="n">
        <x:f>SUMIFS('Rankings'!$J$6:$J$423,'Rankings'!$A$6:$A$423,B316,'Rankings'!$E$6:$E$423,"&lt;="&amp;F316)</x:f>
        <x:v>1</x:v>
      </x:c>
      <x:c r="I316" s="2" t="n">
        <x:f>G316-SUMIFS('Rankings'!$I$6:$I$423,'Rankings'!$A$6:$A$423,B316,'Rankings'!$E$6:$E$423,"&lt;="&amp;F316)</x:f>
        <x:v>0</x:v>
      </x:c>
      <x:c r="J316" s="2" t="n">
        <x:f>SUMIFS('Ratings'!$H$6:$H$1387,'Ratings'!$B$6:$B$1387,C316)</x:f>
        <x:v>1</x:v>
      </x:c>
      <x:c r="K316" s="15" t="n">
        <x:f>IF(I316&gt;0,"Unknown",H316/F316)</x:f>
        <x:v>1</x:v>
      </x:c>
      <x:c r="L316" s="15" t="n">
        <x:f>IF(J316=0,"N/A",H316/J316)</x:f>
        <x:v>1</x:v>
      </x:c>
      <x:c r="M316" s="14" t="n">
        <x:f>SUMIFS('Rankings'!$L$6:$L$423,'Rankings'!$A$6:$A$423,B316,'Rankings'!$E$6:$E$423,"&lt;="&amp;F316)</x:f>
        <x:v>7</x:v>
      </x:c>
      <x:c r="N316" s="14" t="n">
        <x:f>SUMIFS('Ideal ranking'!$H$6:$H$365,'Ideal ranking'!$A$6:$A$365,C316,'Ideal ranking'!$B$6:$B$365,"&lt;="&amp;F316)</x:f>
        <x:v>7</x:v>
      </x:c>
      <x:c r="O316" s="14" t="n">
        <x:f>IF(I316&gt;0,"Unknown",IF(N316=0,"N/A",M316/N316))</x:f>
        <x:v>1</x:v>
      </x:c>
      <x:c r="P316" s="15" t="n">
        <x:f>IF(G316=0,"N/A",IF(I316&gt;0,"Unknown",H316/G316))</x:f>
        <x:v>1</x:v>
      </x:c>
      <x:c r="Q316" s="2" t="n">
        <x:f>F316-G316</x:f>
        <x:v>0</x:v>
      </x:c>
    </x:row>
    <x:row r="317" ht="22" customHeight="1">
      <x:c r="A317" s="2" t="str">
        <x:v>S35-T01|2</x:v>
      </x:c>
      <x:c r="B317" s="2" t="str">
        <x:v>S35-T01</x:v>
      </x:c>
      <x:c r="C317" s="2" t="str">
        <x:v>S35</x:v>
      </x:c>
      <x:c r="D317" s="2" t="str">
        <x:v>Extension</x:v>
      </x:c>
      <x:c r="E317" s="2" t="n">
        <x:v>1</x:v>
      </x:c>
      <x:c r="F317" s="2" t="n">
        <x:v>2</x:v>
      </x:c>
      <x:c r="G317" s="2" t="n">
        <x:f>COUNTIFS('Rankings'!$A$6:$A$423,B317,'Rankings'!$E$6:$E$423,"&lt;="&amp;F317)</x:f>
        <x:v>2</x:v>
      </x:c>
      <x:c r="H317" s="2" t="n">
        <x:f>SUMIFS('Rankings'!$J$6:$J$423,'Rankings'!$A$6:$A$423,B317,'Rankings'!$E$6:$E$423,"&lt;="&amp;F317)</x:f>
        <x:v>1</x:v>
      </x:c>
      <x:c r="I317" s="2" t="n">
        <x:f>G317-SUMIFS('Rankings'!$I$6:$I$423,'Rankings'!$A$6:$A$423,B317,'Rankings'!$E$6:$E$423,"&lt;="&amp;F317)</x:f>
        <x:v>0</x:v>
      </x:c>
      <x:c r="J317" s="2" t="n">
        <x:f>SUMIFS('Ratings'!$H$6:$H$1387,'Ratings'!$B$6:$B$1387,C317)</x:f>
        <x:v>1</x:v>
      </x:c>
      <x:c r="K317" s="15" t="n">
        <x:f>IF(I317&gt;0,"Unknown",H317/F317)</x:f>
        <x:v>0.5</x:v>
      </x:c>
      <x:c r="L317" s="15" t="n">
        <x:f>IF(J317=0,"N/A",H317/J317)</x:f>
        <x:v>1</x:v>
      </x:c>
      <x:c r="M317" s="14" t="n">
        <x:f>SUMIFS('Rankings'!$L$6:$L$423,'Rankings'!$A$6:$A$423,B317,'Rankings'!$E$6:$E$423,"&lt;="&amp;F317)</x:f>
        <x:v>7.630929753571458</x:v>
      </x:c>
      <x:c r="N317" s="14" t="n">
        <x:f>SUMIFS('Ideal ranking'!$H$6:$H$365,'Ideal ranking'!$A$6:$A$365,C317,'Ideal ranking'!$B$6:$B$365,"&lt;="&amp;F317)</x:f>
        <x:v>7.630929753571458</x:v>
      </x:c>
      <x:c r="O317" s="14" t="n">
        <x:f>IF(I317&gt;0,"Unknown",IF(N317=0,"N/A",M317/N317))</x:f>
        <x:v>1</x:v>
      </x:c>
      <x:c r="P317" s="15" t="n">
        <x:f>IF(G317=0,"N/A",IF(I317&gt;0,"Unknown",H317/G317))</x:f>
        <x:v>0.5</x:v>
      </x:c>
      <x:c r="Q317" s="2" t="n">
        <x:f>F317-G317</x:f>
        <x:v>0</x:v>
      </x:c>
    </x:row>
    <x:row r="318" ht="22" customHeight="1">
      <x:c r="A318" s="2" t="str">
        <x:v>S35-T01|3</x:v>
      </x:c>
      <x:c r="B318" s="2" t="str">
        <x:v>S35-T01</x:v>
      </x:c>
      <x:c r="C318" s="2" t="str">
        <x:v>S35</x:v>
      </x:c>
      <x:c r="D318" s="2" t="str">
        <x:v>Extension</x:v>
      </x:c>
      <x:c r="E318" s="2" t="n">
        <x:v>1</x:v>
      </x:c>
      <x:c r="F318" s="2" t="n">
        <x:v>3</x:v>
      </x:c>
      <x:c r="G318" s="2" t="n">
        <x:f>COUNTIFS('Rankings'!$A$6:$A$423,B318,'Rankings'!$E$6:$E$423,"&lt;="&amp;F318)</x:f>
        <x:v>2</x:v>
      </x:c>
      <x:c r="H318" s="2" t="n">
        <x:f>SUMIFS('Rankings'!$J$6:$J$423,'Rankings'!$A$6:$A$423,B318,'Rankings'!$E$6:$E$423,"&lt;="&amp;F318)</x:f>
        <x:v>1</x:v>
      </x:c>
      <x:c r="I318" s="2" t="n">
        <x:f>G318-SUMIFS('Rankings'!$I$6:$I$423,'Rankings'!$A$6:$A$423,B318,'Rankings'!$E$6:$E$423,"&lt;="&amp;F318)</x:f>
        <x:v>0</x:v>
      </x:c>
      <x:c r="J318" s="2" t="n">
        <x:f>SUMIFS('Ratings'!$H$6:$H$1387,'Ratings'!$B$6:$B$1387,C318)</x:f>
        <x:v>1</x:v>
      </x:c>
      <x:c r="K318" s="15" t="n">
        <x:f>IF(I318&gt;0,"Unknown",H318/F318)</x:f>
        <x:v>0.3333333333333333</x:v>
      </x:c>
      <x:c r="L318" s="15" t="n">
        <x:f>IF(J318=0,"N/A",H318/J318)</x:f>
        <x:v>1</x:v>
      </x:c>
      <x:c r="M318" s="14" t="n">
        <x:f>SUMIFS('Rankings'!$L$6:$L$423,'Rankings'!$A$6:$A$423,B318,'Rankings'!$E$6:$E$423,"&lt;="&amp;F318)</x:f>
        <x:v>7.630929753571458</x:v>
      </x:c>
      <x:c r="N318" s="14" t="n">
        <x:f>SUMIFS('Ideal ranking'!$H$6:$H$365,'Ideal ranking'!$A$6:$A$365,C318,'Ideal ranking'!$B$6:$B$365,"&lt;="&amp;F318)</x:f>
        <x:v>7.630929753571458</x:v>
      </x:c>
      <x:c r="O318" s="14" t="n">
        <x:f>IF(I318&gt;0,"Unknown",IF(N318=0,"N/A",M318/N318))</x:f>
        <x:v>1</x:v>
      </x:c>
      <x:c r="P318" s="15" t="n">
        <x:f>IF(G318=0,"N/A",IF(I318&gt;0,"Unknown",H318/G318))</x:f>
        <x:v>0.5</x:v>
      </x:c>
      <x:c r="Q318" s="2" t="n">
        <x:f>F318-G318</x:f>
        <x:v>1</x:v>
      </x:c>
    </x:row>
    <x:row r="319" ht="22" customHeight="1">
      <x:c r="A319" s="2" t="str">
        <x:v>S35-T01|4</x:v>
      </x:c>
      <x:c r="B319" s="2" t="str">
        <x:v>S35-T01</x:v>
      </x:c>
      <x:c r="C319" s="2" t="str">
        <x:v>S35</x:v>
      </x:c>
      <x:c r="D319" s="2" t="str">
        <x:v>Extension</x:v>
      </x:c>
      <x:c r="E319" s="2" t="n">
        <x:v>1</x:v>
      </x:c>
      <x:c r="F319" s="2" t="n">
        <x:v>4</x:v>
      </x:c>
      <x:c r="G319" s="2" t="n">
        <x:f>COUNTIFS('Rankings'!$A$6:$A$423,B319,'Rankings'!$E$6:$E$423,"&lt;="&amp;F319)</x:f>
        <x:v>2</x:v>
      </x:c>
      <x:c r="H319" s="2" t="n">
        <x:f>SUMIFS('Rankings'!$J$6:$J$423,'Rankings'!$A$6:$A$423,B319,'Rankings'!$E$6:$E$423,"&lt;="&amp;F319)</x:f>
        <x:v>1</x:v>
      </x:c>
      <x:c r="I319" s="2" t="n">
        <x:f>G319-SUMIFS('Rankings'!$I$6:$I$423,'Rankings'!$A$6:$A$423,B319,'Rankings'!$E$6:$E$423,"&lt;="&amp;F319)</x:f>
        <x:v>0</x:v>
      </x:c>
      <x:c r="J319" s="2" t="n">
        <x:f>SUMIFS('Ratings'!$H$6:$H$1387,'Ratings'!$B$6:$B$1387,C319)</x:f>
        <x:v>1</x:v>
      </x:c>
      <x:c r="K319" s="15" t="n">
        <x:f>IF(I319&gt;0,"Unknown",H319/F319)</x:f>
        <x:v>0.25</x:v>
      </x:c>
      <x:c r="L319" s="15" t="n">
        <x:f>IF(J319=0,"N/A",H319/J319)</x:f>
        <x:v>1</x:v>
      </x:c>
      <x:c r="M319" s="14" t="n">
        <x:f>SUMIFS('Rankings'!$L$6:$L$423,'Rankings'!$A$6:$A$423,B319,'Rankings'!$E$6:$E$423,"&lt;="&amp;F319)</x:f>
        <x:v>7.630929753571458</x:v>
      </x:c>
      <x:c r="N319" s="14" t="n">
        <x:f>SUMIFS('Ideal ranking'!$H$6:$H$365,'Ideal ranking'!$A$6:$A$365,C319,'Ideal ranking'!$B$6:$B$365,"&lt;="&amp;F319)</x:f>
        <x:v>7.630929753571458</x:v>
      </x:c>
      <x:c r="O319" s="14" t="n">
        <x:f>IF(I319&gt;0,"Unknown",IF(N319=0,"N/A",M319/N319))</x:f>
        <x:v>1</x:v>
      </x:c>
      <x:c r="P319" s="15" t="n">
        <x:f>IF(G319=0,"N/A",IF(I319&gt;0,"Unknown",H319/G319))</x:f>
        <x:v>0.5</x:v>
      </x:c>
      <x:c r="Q319" s="2" t="n">
        <x:f>F319-G319</x:f>
        <x:v>2</x:v>
      </x:c>
    </x:row>
    <x:row r="320" ht="22" customHeight="1">
      <x:c r="A320" s="2" t="str">
        <x:v>S35-T01|5</x:v>
      </x:c>
      <x:c r="B320" s="2" t="str">
        <x:v>S35-T01</x:v>
      </x:c>
      <x:c r="C320" s="2" t="str">
        <x:v>S35</x:v>
      </x:c>
      <x:c r="D320" s="2" t="str">
        <x:v>Extension</x:v>
      </x:c>
      <x:c r="E320" s="2" t="n">
        <x:v>1</x:v>
      </x:c>
      <x:c r="F320" s="2" t="n">
        <x:v>5</x:v>
      </x:c>
      <x:c r="G320" s="2" t="n">
        <x:f>COUNTIFS('Rankings'!$A$6:$A$423,B320,'Rankings'!$E$6:$E$423,"&lt;="&amp;F320)</x:f>
        <x:v>2</x:v>
      </x:c>
      <x:c r="H320" s="2" t="n">
        <x:f>SUMIFS('Rankings'!$J$6:$J$423,'Rankings'!$A$6:$A$423,B320,'Rankings'!$E$6:$E$423,"&lt;="&amp;F320)</x:f>
        <x:v>1</x:v>
      </x:c>
      <x:c r="I320" s="2" t="n">
        <x:f>G320-SUMIFS('Rankings'!$I$6:$I$423,'Rankings'!$A$6:$A$423,B320,'Rankings'!$E$6:$E$423,"&lt;="&amp;F320)</x:f>
        <x:v>0</x:v>
      </x:c>
      <x:c r="J320" s="2" t="n">
        <x:f>SUMIFS('Ratings'!$H$6:$H$1387,'Ratings'!$B$6:$B$1387,C320)</x:f>
        <x:v>1</x:v>
      </x:c>
      <x:c r="K320" s="15" t="n">
        <x:f>IF(I320&gt;0,"Unknown",H320/F320)</x:f>
        <x:v>0.2</x:v>
      </x:c>
      <x:c r="L320" s="15" t="n">
        <x:f>IF(J320=0,"N/A",H320/J320)</x:f>
        <x:v>1</x:v>
      </x:c>
      <x:c r="M320" s="14" t="n">
        <x:f>SUMIFS('Rankings'!$L$6:$L$423,'Rankings'!$A$6:$A$423,B320,'Rankings'!$E$6:$E$423,"&lt;="&amp;F320)</x:f>
        <x:v>7.630929753571458</x:v>
      </x:c>
      <x:c r="N320" s="14" t="n">
        <x:f>SUMIFS('Ideal ranking'!$H$6:$H$365,'Ideal ranking'!$A$6:$A$365,C320,'Ideal ranking'!$B$6:$B$365,"&lt;="&amp;F320)</x:f>
        <x:v>7.630929753571458</x:v>
      </x:c>
      <x:c r="O320" s="14" t="n">
        <x:f>IF(I320&gt;0,"Unknown",IF(N320=0,"N/A",M320/N320))</x:f>
        <x:v>1</x:v>
      </x:c>
      <x:c r="P320" s="15" t="n">
        <x:f>IF(G320=0,"N/A",IF(I320&gt;0,"Unknown",H320/G320))</x:f>
        <x:v>0.5</x:v>
      </x:c>
      <x:c r="Q320" s="2" t="n">
        <x:f>F320-G320</x:f>
        <x:v>3</x:v>
      </x:c>
    </x:row>
    <x:row r="321" ht="22" customHeight="1">
      <x:c r="A321" s="2" t="str">
        <x:v>S35-T01|6</x:v>
      </x:c>
      <x:c r="B321" s="2" t="str">
        <x:v>S35-T01</x:v>
      </x:c>
      <x:c r="C321" s="2" t="str">
        <x:v>S35</x:v>
      </x:c>
      <x:c r="D321" s="2" t="str">
        <x:v>Extension</x:v>
      </x:c>
      <x:c r="E321" s="2" t="n">
        <x:v>1</x:v>
      </x:c>
      <x:c r="F321" s="2" t="n">
        <x:v>6</x:v>
      </x:c>
      <x:c r="G321" s="2" t="n">
        <x:f>COUNTIFS('Rankings'!$A$6:$A$423,B321,'Rankings'!$E$6:$E$423,"&lt;="&amp;F321)</x:f>
        <x:v>2</x:v>
      </x:c>
      <x:c r="H321" s="2" t="n">
        <x:f>SUMIFS('Rankings'!$J$6:$J$423,'Rankings'!$A$6:$A$423,B321,'Rankings'!$E$6:$E$423,"&lt;="&amp;F321)</x:f>
        <x:v>1</x:v>
      </x:c>
      <x:c r="I321" s="2" t="n">
        <x:f>G321-SUMIFS('Rankings'!$I$6:$I$423,'Rankings'!$A$6:$A$423,B321,'Rankings'!$E$6:$E$423,"&lt;="&amp;F321)</x:f>
        <x:v>0</x:v>
      </x:c>
      <x:c r="J321" s="2" t="n">
        <x:f>SUMIFS('Ratings'!$H$6:$H$1387,'Ratings'!$B$6:$B$1387,C321)</x:f>
        <x:v>1</x:v>
      </x:c>
      <x:c r="K321" s="15" t="n">
        <x:f>IF(I321&gt;0,"Unknown",H321/F321)</x:f>
        <x:v>0.16666666666666666</x:v>
      </x:c>
      <x:c r="L321" s="15" t="n">
        <x:f>IF(J321=0,"N/A",H321/J321)</x:f>
        <x:v>1</x:v>
      </x:c>
      <x:c r="M321" s="14" t="n">
        <x:f>SUMIFS('Rankings'!$L$6:$L$423,'Rankings'!$A$6:$A$423,B321,'Rankings'!$E$6:$E$423,"&lt;="&amp;F321)</x:f>
        <x:v>7.630929753571458</x:v>
      </x:c>
      <x:c r="N321" s="14" t="n">
        <x:f>SUMIFS('Ideal ranking'!$H$6:$H$365,'Ideal ranking'!$A$6:$A$365,C321,'Ideal ranking'!$B$6:$B$365,"&lt;="&amp;F321)</x:f>
        <x:v>7.630929753571458</x:v>
      </x:c>
      <x:c r="O321" s="14" t="n">
        <x:f>IF(I321&gt;0,"Unknown",IF(N321=0,"N/A",M321/N321))</x:f>
        <x:v>1</x:v>
      </x:c>
      <x:c r="P321" s="15" t="n">
        <x:f>IF(G321=0,"N/A",IF(I321&gt;0,"Unknown",H321/G321))</x:f>
        <x:v>0.5</x:v>
      </x:c>
      <x:c r="Q321" s="2" t="n">
        <x:f>F321-G321</x:f>
        <x:v>4</x:v>
      </x:c>
    </x:row>
    <x:row r="322" ht="22" customHeight="1">
      <x:c r="A322" s="2" t="str">
        <x:v>S35-T01|7</x:v>
      </x:c>
      <x:c r="B322" s="2" t="str">
        <x:v>S35-T01</x:v>
      </x:c>
      <x:c r="C322" s="2" t="str">
        <x:v>S35</x:v>
      </x:c>
      <x:c r="D322" s="2" t="str">
        <x:v>Extension</x:v>
      </x:c>
      <x:c r="E322" s="2" t="n">
        <x:v>1</x:v>
      </x:c>
      <x:c r="F322" s="2" t="n">
        <x:v>7</x:v>
      </x:c>
      <x:c r="G322" s="2" t="n">
        <x:f>COUNTIFS('Rankings'!$A$6:$A$423,B322,'Rankings'!$E$6:$E$423,"&lt;="&amp;F322)</x:f>
        <x:v>2</x:v>
      </x:c>
      <x:c r="H322" s="2" t="n">
        <x:f>SUMIFS('Rankings'!$J$6:$J$423,'Rankings'!$A$6:$A$423,B322,'Rankings'!$E$6:$E$423,"&lt;="&amp;F322)</x:f>
        <x:v>1</x:v>
      </x:c>
      <x:c r="I322" s="2" t="n">
        <x:f>G322-SUMIFS('Rankings'!$I$6:$I$423,'Rankings'!$A$6:$A$423,B322,'Rankings'!$E$6:$E$423,"&lt;="&amp;F322)</x:f>
        <x:v>0</x:v>
      </x:c>
      <x:c r="J322" s="2" t="n">
        <x:f>SUMIFS('Ratings'!$H$6:$H$1387,'Ratings'!$B$6:$B$1387,C322)</x:f>
        <x:v>1</x:v>
      </x:c>
      <x:c r="K322" s="15" t="n">
        <x:f>IF(I322&gt;0,"Unknown",H322/F322)</x:f>
        <x:v>0.14285714285714285</x:v>
      </x:c>
      <x:c r="L322" s="15" t="n">
        <x:f>IF(J322=0,"N/A",H322/J322)</x:f>
        <x:v>1</x:v>
      </x:c>
      <x:c r="M322" s="14" t="n">
        <x:f>SUMIFS('Rankings'!$L$6:$L$423,'Rankings'!$A$6:$A$423,B322,'Rankings'!$E$6:$E$423,"&lt;="&amp;F322)</x:f>
        <x:v>7.630929753571458</x:v>
      </x:c>
      <x:c r="N322" s="14" t="n">
        <x:f>SUMIFS('Ideal ranking'!$H$6:$H$365,'Ideal ranking'!$A$6:$A$365,C322,'Ideal ranking'!$B$6:$B$365,"&lt;="&amp;F322)</x:f>
        <x:v>7.630929753571458</x:v>
      </x:c>
      <x:c r="O322" s="14" t="n">
        <x:f>IF(I322&gt;0,"Unknown",IF(N322=0,"N/A",M322/N322))</x:f>
        <x:v>1</x:v>
      </x:c>
      <x:c r="P322" s="15" t="n">
        <x:f>IF(G322=0,"N/A",IF(I322&gt;0,"Unknown",H322/G322))</x:f>
        <x:v>0.5</x:v>
      </x:c>
      <x:c r="Q322" s="2" t="n">
        <x:f>F322-G322</x:f>
        <x:v>5</x:v>
      </x:c>
    </x:row>
    <x:row r="323" ht="22" customHeight="1">
      <x:c r="A323" s="2" t="str">
        <x:v>S35-T01|8</x:v>
      </x:c>
      <x:c r="B323" s="2" t="str">
        <x:v>S35-T01</x:v>
      </x:c>
      <x:c r="C323" s="2" t="str">
        <x:v>S35</x:v>
      </x:c>
      <x:c r="D323" s="2" t="str">
        <x:v>Extension</x:v>
      </x:c>
      <x:c r="E323" s="2" t="n">
        <x:v>1</x:v>
      </x:c>
      <x:c r="F323" s="2" t="n">
        <x:v>8</x:v>
      </x:c>
      <x:c r="G323" s="2" t="n">
        <x:f>COUNTIFS('Rankings'!$A$6:$A$423,B323,'Rankings'!$E$6:$E$423,"&lt;="&amp;F323)</x:f>
        <x:v>2</x:v>
      </x:c>
      <x:c r="H323" s="2" t="n">
        <x:f>SUMIFS('Rankings'!$J$6:$J$423,'Rankings'!$A$6:$A$423,B323,'Rankings'!$E$6:$E$423,"&lt;="&amp;F323)</x:f>
        <x:v>1</x:v>
      </x:c>
      <x:c r="I323" s="2" t="n">
        <x:f>G323-SUMIFS('Rankings'!$I$6:$I$423,'Rankings'!$A$6:$A$423,B323,'Rankings'!$E$6:$E$423,"&lt;="&amp;F323)</x:f>
        <x:v>0</x:v>
      </x:c>
      <x:c r="J323" s="2" t="n">
        <x:f>SUMIFS('Ratings'!$H$6:$H$1387,'Ratings'!$B$6:$B$1387,C323)</x:f>
        <x:v>1</x:v>
      </x:c>
      <x:c r="K323" s="15" t="n">
        <x:f>IF(I323&gt;0,"Unknown",H323/F323)</x:f>
        <x:v>0.125</x:v>
      </x:c>
      <x:c r="L323" s="15" t="n">
        <x:f>IF(J323=0,"N/A",H323/J323)</x:f>
        <x:v>1</x:v>
      </x:c>
      <x:c r="M323" s="14" t="n">
        <x:f>SUMIFS('Rankings'!$L$6:$L$423,'Rankings'!$A$6:$A$423,B323,'Rankings'!$E$6:$E$423,"&lt;="&amp;F323)</x:f>
        <x:v>7.630929753571458</x:v>
      </x:c>
      <x:c r="N323" s="14" t="n">
        <x:f>SUMIFS('Ideal ranking'!$H$6:$H$365,'Ideal ranking'!$A$6:$A$365,C323,'Ideal ranking'!$B$6:$B$365,"&lt;="&amp;F323)</x:f>
        <x:v>7.630929753571458</x:v>
      </x:c>
      <x:c r="O323" s="14" t="n">
        <x:f>IF(I323&gt;0,"Unknown",IF(N323=0,"N/A",M323/N323))</x:f>
        <x:v>1</x:v>
      </x:c>
      <x:c r="P323" s="15" t="n">
        <x:f>IF(G323=0,"N/A",IF(I323&gt;0,"Unknown",H323/G323))</x:f>
        <x:v>0.5</x:v>
      </x:c>
      <x:c r="Q323" s="2" t="n">
        <x:f>F323-G323</x:f>
        <x:v>6</x:v>
      </x:c>
    </x:row>
    <x:row r="324" ht="22" customHeight="1">
      <x:c r="A324" s="2" t="str">
        <x:v>S35-T01|9</x:v>
      </x:c>
      <x:c r="B324" s="2" t="str">
        <x:v>S35-T01</x:v>
      </x:c>
      <x:c r="C324" s="2" t="str">
        <x:v>S35</x:v>
      </x:c>
      <x:c r="D324" s="2" t="str">
        <x:v>Extension</x:v>
      </x:c>
      <x:c r="E324" s="2" t="n">
        <x:v>1</x:v>
      </x:c>
      <x:c r="F324" s="2" t="n">
        <x:v>9</x:v>
      </x:c>
      <x:c r="G324" s="2" t="n">
        <x:f>COUNTIFS('Rankings'!$A$6:$A$423,B324,'Rankings'!$E$6:$E$423,"&lt;="&amp;F324)</x:f>
        <x:v>2</x:v>
      </x:c>
      <x:c r="H324" s="2" t="n">
        <x:f>SUMIFS('Rankings'!$J$6:$J$423,'Rankings'!$A$6:$A$423,B324,'Rankings'!$E$6:$E$423,"&lt;="&amp;F324)</x:f>
        <x:v>1</x:v>
      </x:c>
      <x:c r="I324" s="2" t="n">
        <x:f>G324-SUMIFS('Rankings'!$I$6:$I$423,'Rankings'!$A$6:$A$423,B324,'Rankings'!$E$6:$E$423,"&lt;="&amp;F324)</x:f>
        <x:v>0</x:v>
      </x:c>
      <x:c r="J324" s="2" t="n">
        <x:f>SUMIFS('Ratings'!$H$6:$H$1387,'Ratings'!$B$6:$B$1387,C324)</x:f>
        <x:v>1</x:v>
      </x:c>
      <x:c r="K324" s="15" t="n">
        <x:f>IF(I324&gt;0,"Unknown",H324/F324)</x:f>
        <x:v>0.1111111111111111</x:v>
      </x:c>
      <x:c r="L324" s="15" t="n">
        <x:f>IF(J324=0,"N/A",H324/J324)</x:f>
        <x:v>1</x:v>
      </x:c>
      <x:c r="M324" s="14" t="n">
        <x:f>SUMIFS('Rankings'!$L$6:$L$423,'Rankings'!$A$6:$A$423,B324,'Rankings'!$E$6:$E$423,"&lt;="&amp;F324)</x:f>
        <x:v>7.630929753571458</x:v>
      </x:c>
      <x:c r="N324" s="14" t="n">
        <x:f>SUMIFS('Ideal ranking'!$H$6:$H$365,'Ideal ranking'!$A$6:$A$365,C324,'Ideal ranking'!$B$6:$B$365,"&lt;="&amp;F324)</x:f>
        <x:v>7.630929753571458</x:v>
      </x:c>
      <x:c r="O324" s="14" t="n">
        <x:f>IF(I324&gt;0,"Unknown",IF(N324=0,"N/A",M324/N324))</x:f>
        <x:v>1</x:v>
      </x:c>
      <x:c r="P324" s="15" t="n">
        <x:f>IF(G324=0,"N/A",IF(I324&gt;0,"Unknown",H324/G324))</x:f>
        <x:v>0.5</x:v>
      </x:c>
      <x:c r="Q324" s="2" t="n">
        <x:f>F324-G324</x:f>
        <x:v>7</x:v>
      </x:c>
    </x:row>
    <x:row r="325" ht="22" customHeight="1">
      <x:c r="A325" s="2" t="str">
        <x:v>S35-T01|10</x:v>
      </x:c>
      <x:c r="B325" s="2" t="str">
        <x:v>S35-T01</x:v>
      </x:c>
      <x:c r="C325" s="2" t="str">
        <x:v>S35</x:v>
      </x:c>
      <x:c r="D325" s="2" t="str">
        <x:v>Extension</x:v>
      </x:c>
      <x:c r="E325" s="2" t="n">
        <x:v>1</x:v>
      </x:c>
      <x:c r="F325" s="2" t="n">
        <x:v>10</x:v>
      </x:c>
      <x:c r="G325" s="2" t="n">
        <x:f>COUNTIFS('Rankings'!$A$6:$A$423,B325,'Rankings'!$E$6:$E$423,"&lt;="&amp;F325)</x:f>
        <x:v>2</x:v>
      </x:c>
      <x:c r="H325" s="2" t="n">
        <x:f>SUMIFS('Rankings'!$J$6:$J$423,'Rankings'!$A$6:$A$423,B325,'Rankings'!$E$6:$E$423,"&lt;="&amp;F325)</x:f>
        <x:v>1</x:v>
      </x:c>
      <x:c r="I325" s="2" t="n">
        <x:f>G325-SUMIFS('Rankings'!$I$6:$I$423,'Rankings'!$A$6:$A$423,B325,'Rankings'!$E$6:$E$423,"&lt;="&amp;F325)</x:f>
        <x:v>0</x:v>
      </x:c>
      <x:c r="J325" s="2" t="n">
        <x:f>SUMIFS('Ratings'!$H$6:$H$1387,'Ratings'!$B$6:$B$1387,C325)</x:f>
        <x:v>1</x:v>
      </x:c>
      <x:c r="K325" s="15" t="n">
        <x:f>IF(I325&gt;0,"Unknown",H325/F325)</x:f>
        <x:v>0.1</x:v>
      </x:c>
      <x:c r="L325" s="15" t="n">
        <x:f>IF(J325=0,"N/A",H325/J325)</x:f>
        <x:v>1</x:v>
      </x:c>
      <x:c r="M325" s="14" t="n">
        <x:f>SUMIFS('Rankings'!$L$6:$L$423,'Rankings'!$A$6:$A$423,B325,'Rankings'!$E$6:$E$423,"&lt;="&amp;F325)</x:f>
        <x:v>7.630929753571458</x:v>
      </x:c>
      <x:c r="N325" s="14" t="n">
        <x:f>SUMIFS('Ideal ranking'!$H$6:$H$365,'Ideal ranking'!$A$6:$A$365,C325,'Ideal ranking'!$B$6:$B$365,"&lt;="&amp;F325)</x:f>
        <x:v>7.630929753571458</x:v>
      </x:c>
      <x:c r="O325" s="14" t="n">
        <x:f>IF(I325&gt;0,"Unknown",IF(N325=0,"N/A",M325/N325))</x:f>
        <x:v>1</x:v>
      </x:c>
      <x:c r="P325" s="15" t="n">
        <x:f>IF(G325=0,"N/A",IF(I325&gt;0,"Unknown",H325/G325))</x:f>
        <x:v>0.5</x:v>
      </x:c>
      <x:c r="Q325" s="2" t="n">
        <x:f>F325-G325</x:f>
        <x:v>8</x:v>
      </x:c>
    </x:row>
    <x:row r="326" ht="22" customHeight="1">
      <x:c r="A326" s="2" t="str">
        <x:v>S37-T01|1</x:v>
      </x:c>
      <x:c r="B326" s="2" t="str">
        <x:v>S37-T01</x:v>
      </x:c>
      <x:c r="C326" s="2" t="str">
        <x:v>S37</x:v>
      </x:c>
      <x:c r="D326" s="2" t="str">
        <x:v>Extension</x:v>
      </x:c>
      <x:c r="E326" s="2" t="n">
        <x:v>1</x:v>
      </x:c>
      <x:c r="F326" s="2" t="n">
        <x:v>1</x:v>
      </x:c>
      <x:c r="G326" s="2" t="n">
        <x:f>COUNTIFS('Rankings'!$A$6:$A$423,B326,'Rankings'!$E$6:$E$423,"&lt;="&amp;F326)</x:f>
        <x:v>1</x:v>
      </x:c>
      <x:c r="H326" s="2" t="n">
        <x:f>SUMIFS('Rankings'!$J$6:$J$423,'Rankings'!$A$6:$A$423,B326,'Rankings'!$E$6:$E$423,"&lt;="&amp;F326)</x:f>
        <x:v>1</x:v>
      </x:c>
      <x:c r="I326" s="2" t="n">
        <x:f>G326-SUMIFS('Rankings'!$I$6:$I$423,'Rankings'!$A$6:$A$423,B326,'Rankings'!$E$6:$E$423,"&lt;="&amp;F326)</x:f>
        <x:v>0</x:v>
      </x:c>
      <x:c r="J326" s="2" t="n">
        <x:f>SUMIFS('Ratings'!$H$6:$H$1387,'Ratings'!$B$6:$B$1387,C326)</x:f>
        <x:v>17</x:v>
      </x:c>
      <x:c r="K326" s="15" t="n">
        <x:f>IF(I326&gt;0,"Unknown",H326/F326)</x:f>
        <x:v>1</x:v>
      </x:c>
      <x:c r="L326" s="15" t="n">
        <x:f>IF(J326=0,"N/A",H326/J326)</x:f>
        <x:v>0.058823529411764705</x:v>
      </x:c>
      <x:c r="M326" s="14" t="n">
        <x:f>SUMIFS('Rankings'!$L$6:$L$423,'Rankings'!$A$6:$A$423,B326,'Rankings'!$E$6:$E$423,"&lt;="&amp;F326)</x:f>
        <x:v>7</x:v>
      </x:c>
      <x:c r="N326" s="14" t="n">
        <x:f>SUMIFS('Ideal ranking'!$H$6:$H$365,'Ideal ranking'!$A$6:$A$365,C326,'Ideal ranking'!$B$6:$B$365,"&lt;="&amp;F326)</x:f>
        <x:v>7</x:v>
      </x:c>
      <x:c r="O326" s="14" t="n">
        <x:f>IF(I326&gt;0,"Unknown",IF(N326=0,"N/A",M326/N326))</x:f>
        <x:v>1</x:v>
      </x:c>
      <x:c r="P326" s="15" t="n">
        <x:f>IF(G326=0,"N/A",IF(I326&gt;0,"Unknown",H326/G326))</x:f>
        <x:v>1</x:v>
      </x:c>
      <x:c r="Q326" s="2" t="n">
        <x:f>F326-G326</x:f>
        <x:v>0</x:v>
      </x:c>
    </x:row>
    <x:row r="327" ht="22" customHeight="1">
      <x:c r="A327" s="2" t="str">
        <x:v>S37-T01|2</x:v>
      </x:c>
      <x:c r="B327" s="2" t="str">
        <x:v>S37-T01</x:v>
      </x:c>
      <x:c r="C327" s="2" t="str">
        <x:v>S37</x:v>
      </x:c>
      <x:c r="D327" s="2" t="str">
        <x:v>Extension</x:v>
      </x:c>
      <x:c r="E327" s="2" t="n">
        <x:v>1</x:v>
      </x:c>
      <x:c r="F327" s="2" t="n">
        <x:v>2</x:v>
      </x:c>
      <x:c r="G327" s="2" t="n">
        <x:f>COUNTIFS('Rankings'!$A$6:$A$423,B327,'Rankings'!$E$6:$E$423,"&lt;="&amp;F327)</x:f>
        <x:v>2</x:v>
      </x:c>
      <x:c r="H327" s="2" t="n">
        <x:f>SUMIFS('Rankings'!$J$6:$J$423,'Rankings'!$A$6:$A$423,B327,'Rankings'!$E$6:$E$423,"&lt;="&amp;F327)</x:f>
        <x:v>2</x:v>
      </x:c>
      <x:c r="I327" s="2" t="n">
        <x:f>G327-SUMIFS('Rankings'!$I$6:$I$423,'Rankings'!$A$6:$A$423,B327,'Rankings'!$E$6:$E$423,"&lt;="&amp;F327)</x:f>
        <x:v>0</x:v>
      </x:c>
      <x:c r="J327" s="2" t="n">
        <x:f>SUMIFS('Ratings'!$H$6:$H$1387,'Ratings'!$B$6:$B$1387,C327)</x:f>
        <x:v>17</x:v>
      </x:c>
      <x:c r="K327" s="15" t="n">
        <x:f>IF(I327&gt;0,"Unknown",H327/F327)</x:f>
        <x:v>1</x:v>
      </x:c>
      <x:c r="L327" s="15" t="n">
        <x:f>IF(J327=0,"N/A",H327/J327)</x:f>
        <x:v>0.11764705882352941</x:v>
      </x:c>
      <x:c r="M327" s="14" t="n">
        <x:f>SUMIFS('Rankings'!$L$6:$L$423,'Rankings'!$A$6:$A$423,B327,'Rankings'!$E$6:$E$423,"&lt;="&amp;F327)</x:f>
        <x:v>11.416508275000202</x:v>
      </x:c>
      <x:c r="N327" s="14" t="n">
        <x:f>SUMIFS('Ideal ranking'!$H$6:$H$365,'Ideal ranking'!$A$6:$A$365,C327,'Ideal ranking'!$B$6:$B$365,"&lt;="&amp;F327)</x:f>
        <x:v>11.416508275000202</x:v>
      </x:c>
      <x:c r="O327" s="14" t="n">
        <x:f>IF(I327&gt;0,"Unknown",IF(N327=0,"N/A",M327/N327))</x:f>
        <x:v>1</x:v>
      </x:c>
      <x:c r="P327" s="15" t="n">
        <x:f>IF(G327=0,"N/A",IF(I327&gt;0,"Unknown",H327/G327))</x:f>
        <x:v>1</x:v>
      </x:c>
      <x:c r="Q327" s="2" t="n">
        <x:f>F327-G327</x:f>
        <x:v>0</x:v>
      </x:c>
    </x:row>
    <x:row r="328" ht="22" customHeight="1">
      <x:c r="A328" s="2" t="str">
        <x:v>S37-T01|3</x:v>
      </x:c>
      <x:c r="B328" s="2" t="str">
        <x:v>S37-T01</x:v>
      </x:c>
      <x:c r="C328" s="2" t="str">
        <x:v>S37</x:v>
      </x:c>
      <x:c r="D328" s="2" t="str">
        <x:v>Extension</x:v>
      </x:c>
      <x:c r="E328" s="2" t="n">
        <x:v>1</x:v>
      </x:c>
      <x:c r="F328" s="2" t="n">
        <x:v>3</x:v>
      </x:c>
      <x:c r="G328" s="2" t="n">
        <x:f>COUNTIFS('Rankings'!$A$6:$A$423,B328,'Rankings'!$E$6:$E$423,"&lt;="&amp;F328)</x:f>
        <x:v>3</x:v>
      </x:c>
      <x:c r="H328" s="2" t="n">
        <x:f>SUMIFS('Rankings'!$J$6:$J$423,'Rankings'!$A$6:$A$423,B328,'Rankings'!$E$6:$E$423,"&lt;="&amp;F328)</x:f>
        <x:v>3</x:v>
      </x:c>
      <x:c r="I328" s="2" t="n">
        <x:f>G328-SUMIFS('Rankings'!$I$6:$I$423,'Rankings'!$A$6:$A$423,B328,'Rankings'!$E$6:$E$423,"&lt;="&amp;F328)</x:f>
        <x:v>0</x:v>
      </x:c>
      <x:c r="J328" s="2" t="n">
        <x:f>SUMIFS('Ratings'!$H$6:$H$1387,'Ratings'!$B$6:$B$1387,C328)</x:f>
        <x:v>17</x:v>
      </x:c>
      <x:c r="K328" s="15" t="n">
        <x:f>IF(I328&gt;0,"Unknown",H328/F328)</x:f>
        <x:v>1</x:v>
      </x:c>
      <x:c r="L328" s="15" t="n">
        <x:f>IF(J328=0,"N/A",H328/J328)</x:f>
        <x:v>0.17647058823529413</x:v>
      </x:c>
      <x:c r="M328" s="14" t="n">
        <x:f>SUMIFS('Rankings'!$L$6:$L$423,'Rankings'!$A$6:$A$423,B328,'Rankings'!$E$6:$E$423,"&lt;="&amp;F328)</x:f>
        <x:v>12.916508275000202</x:v>
      </x:c>
      <x:c r="N328" s="14" t="n">
        <x:f>SUMIFS('Ideal ranking'!$H$6:$H$365,'Ideal ranking'!$A$6:$A$365,C328,'Ideal ranking'!$B$6:$B$365,"&lt;="&amp;F328)</x:f>
        <x:v>12.916508275000202</x:v>
      </x:c>
      <x:c r="O328" s="14" t="n">
        <x:f>IF(I328&gt;0,"Unknown",IF(N328=0,"N/A",M328/N328))</x:f>
        <x:v>1</x:v>
      </x:c>
      <x:c r="P328" s="15" t="n">
        <x:f>IF(G328=0,"N/A",IF(I328&gt;0,"Unknown",H328/G328))</x:f>
        <x:v>1</x:v>
      </x:c>
      <x:c r="Q328" s="2" t="n">
        <x:f>F328-G328</x:f>
        <x:v>0</x:v>
      </x:c>
    </x:row>
    <x:row r="329" ht="22" customHeight="1">
      <x:c r="A329" s="2" t="str">
        <x:v>S37-T01|4</x:v>
      </x:c>
      <x:c r="B329" s="2" t="str">
        <x:v>S37-T01</x:v>
      </x:c>
      <x:c r="C329" s="2" t="str">
        <x:v>S37</x:v>
      </x:c>
      <x:c r="D329" s="2" t="str">
        <x:v>Extension</x:v>
      </x:c>
      <x:c r="E329" s="2" t="n">
        <x:v>1</x:v>
      </x:c>
      <x:c r="F329" s="2" t="n">
        <x:v>4</x:v>
      </x:c>
      <x:c r="G329" s="2" t="n">
        <x:f>COUNTIFS('Rankings'!$A$6:$A$423,B329,'Rankings'!$E$6:$E$423,"&lt;="&amp;F329)</x:f>
        <x:v>4</x:v>
      </x:c>
      <x:c r="H329" s="2" t="n">
        <x:f>SUMIFS('Rankings'!$J$6:$J$423,'Rankings'!$A$6:$A$423,B329,'Rankings'!$E$6:$E$423,"&lt;="&amp;F329)</x:f>
        <x:v>4</x:v>
      </x:c>
      <x:c r="I329" s="2" t="n">
        <x:f>G329-SUMIFS('Rankings'!$I$6:$I$423,'Rankings'!$A$6:$A$423,B329,'Rankings'!$E$6:$E$423,"&lt;="&amp;F329)</x:f>
        <x:v>0</x:v>
      </x:c>
      <x:c r="J329" s="2" t="n">
        <x:f>SUMIFS('Ratings'!$H$6:$H$1387,'Ratings'!$B$6:$B$1387,C329)</x:f>
        <x:v>17</x:v>
      </x:c>
      <x:c r="K329" s="15" t="n">
        <x:f>IF(I329&gt;0,"Unknown",H329/F329)</x:f>
        <x:v>1</x:v>
      </x:c>
      <x:c r="L329" s="15" t="n">
        <x:f>IF(J329=0,"N/A",H329/J329)</x:f>
        <x:v>0.23529411764705882</x:v>
      </x:c>
      <x:c r="M329" s="14" t="n">
        <x:f>SUMIFS('Rankings'!$L$6:$L$423,'Rankings'!$A$6:$A$423,B329,'Rankings'!$E$6:$E$423,"&lt;="&amp;F329)</x:f>
        <x:v>14.208537949220382</x:v>
      </x:c>
      <x:c r="N329" s="14" t="n">
        <x:f>SUMIFS('Ideal ranking'!$H$6:$H$365,'Ideal ranking'!$A$6:$A$365,C329,'Ideal ranking'!$B$6:$B$365,"&lt;="&amp;F329)</x:f>
        <x:v>14.208537949220382</x:v>
      </x:c>
      <x:c r="O329" s="14" t="n">
        <x:f>IF(I329&gt;0,"Unknown",IF(N329=0,"N/A",M329/N329))</x:f>
        <x:v>1</x:v>
      </x:c>
      <x:c r="P329" s="15" t="n">
        <x:f>IF(G329=0,"N/A",IF(I329&gt;0,"Unknown",H329/G329))</x:f>
        <x:v>1</x:v>
      </x:c>
      <x:c r="Q329" s="2" t="n">
        <x:f>F329-G329</x:f>
        <x:v>0</x:v>
      </x:c>
    </x:row>
    <x:row r="330" ht="22" customHeight="1">
      <x:c r="A330" s="2" t="str">
        <x:v>S37-T01|5</x:v>
      </x:c>
      <x:c r="B330" s="2" t="str">
        <x:v>S37-T01</x:v>
      </x:c>
      <x:c r="C330" s="2" t="str">
        <x:v>S37</x:v>
      </x:c>
      <x:c r="D330" s="2" t="str">
        <x:v>Extension</x:v>
      </x:c>
      <x:c r="E330" s="2" t="n">
        <x:v>1</x:v>
      </x:c>
      <x:c r="F330" s="2" t="n">
        <x:v>5</x:v>
      </x:c>
      <x:c r="G330" s="2" t="n">
        <x:f>COUNTIFS('Rankings'!$A$6:$A$423,B330,'Rankings'!$E$6:$E$423,"&lt;="&amp;F330)</x:f>
        <x:v>5</x:v>
      </x:c>
      <x:c r="H330" s="2" t="n">
        <x:f>SUMIFS('Rankings'!$J$6:$J$423,'Rankings'!$A$6:$A$423,B330,'Rankings'!$E$6:$E$423,"&lt;="&amp;F330)</x:f>
        <x:v>5</x:v>
      </x:c>
      <x:c r="I330" s="2" t="n">
        <x:f>G330-SUMIFS('Rankings'!$I$6:$I$423,'Rankings'!$A$6:$A$423,B330,'Rankings'!$E$6:$E$423,"&lt;="&amp;F330)</x:f>
        <x:v>0</x:v>
      </x:c>
      <x:c r="J330" s="2" t="n">
        <x:f>SUMIFS('Ratings'!$H$6:$H$1387,'Ratings'!$B$6:$B$1387,C330)</x:f>
        <x:v>17</x:v>
      </x:c>
      <x:c r="K330" s="15" t="n">
        <x:f>IF(I330&gt;0,"Unknown",H330/F330)</x:f>
        <x:v>1</x:v>
      </x:c>
      <x:c r="L330" s="15" t="n">
        <x:f>IF(J330=0,"N/A",H330/J330)</x:f>
        <x:v>0.29411764705882354</x:v>
      </x:c>
      <x:c r="M330" s="14" t="n">
        <x:f>SUMIFS('Rankings'!$L$6:$L$423,'Rankings'!$A$6:$A$423,B330,'Rankings'!$E$6:$E$423,"&lt;="&amp;F330)</x:f>
        <x:v>15.369096370924007</x:v>
      </x:c>
      <x:c r="N330" s="14" t="n">
        <x:f>SUMIFS('Ideal ranking'!$H$6:$H$365,'Ideal ranking'!$A$6:$A$365,C330,'Ideal ranking'!$B$6:$B$365,"&lt;="&amp;F330)</x:f>
        <x:v>15.369096370924007</x:v>
      </x:c>
      <x:c r="O330" s="14" t="n">
        <x:f>IF(I330&gt;0,"Unknown",IF(N330=0,"N/A",M330/N330))</x:f>
        <x:v>1</x:v>
      </x:c>
      <x:c r="P330" s="15" t="n">
        <x:f>IF(G330=0,"N/A",IF(I330&gt;0,"Unknown",H330/G330))</x:f>
        <x:v>1</x:v>
      </x:c>
      <x:c r="Q330" s="2" t="n">
        <x:f>F330-G330</x:f>
        <x:v>0</x:v>
      </x:c>
    </x:row>
    <x:row r="331" ht="22" customHeight="1">
      <x:c r="A331" s="2" t="str">
        <x:v>S37-T01|6</x:v>
      </x:c>
      <x:c r="B331" s="2" t="str">
        <x:v>S37-T01</x:v>
      </x:c>
      <x:c r="C331" s="2" t="str">
        <x:v>S37</x:v>
      </x:c>
      <x:c r="D331" s="2" t="str">
        <x:v>Extension</x:v>
      </x:c>
      <x:c r="E331" s="2" t="n">
        <x:v>1</x:v>
      </x:c>
      <x:c r="F331" s="2" t="n">
        <x:v>6</x:v>
      </x:c>
      <x:c r="G331" s="2" t="n">
        <x:f>COUNTIFS('Rankings'!$A$6:$A$423,B331,'Rankings'!$E$6:$E$423,"&lt;="&amp;F331)</x:f>
        <x:v>6</x:v>
      </x:c>
      <x:c r="H331" s="2" t="n">
        <x:f>SUMIFS('Rankings'!$J$6:$J$423,'Rankings'!$A$6:$A$423,B331,'Rankings'!$E$6:$E$423,"&lt;="&amp;F331)</x:f>
        <x:v>6</x:v>
      </x:c>
      <x:c r="I331" s="2" t="n">
        <x:f>G331-SUMIFS('Rankings'!$I$6:$I$423,'Rankings'!$A$6:$A$423,B331,'Rankings'!$E$6:$E$423,"&lt;="&amp;F331)</x:f>
        <x:v>0</x:v>
      </x:c>
      <x:c r="J331" s="2" t="n">
        <x:f>SUMIFS('Ratings'!$H$6:$H$1387,'Ratings'!$B$6:$B$1387,C331)</x:f>
        <x:v>17</x:v>
      </x:c>
      <x:c r="K331" s="15" t="n">
        <x:f>IF(I331&gt;0,"Unknown",H331/F331)</x:f>
        <x:v>1</x:v>
      </x:c>
      <x:c r="L331" s="15" t="n">
        <x:f>IF(J331=0,"N/A",H331/J331)</x:f>
        <x:v>0.35294117647058826</x:v>
      </x:c>
      <x:c r="M331" s="14" t="n">
        <x:f>SUMIFS('Rankings'!$L$6:$L$423,'Rankings'!$A$6:$A$423,B331,'Rankings'!$E$6:$E$423,"&lt;="&amp;F331)</x:f>
        <x:v>16.437717932248074</x:v>
      </x:c>
      <x:c r="N331" s="14" t="n">
        <x:f>SUMIFS('Ideal ranking'!$H$6:$H$365,'Ideal ranking'!$A$6:$A$365,C331,'Ideal ranking'!$B$6:$B$365,"&lt;="&amp;F331)</x:f>
        <x:v>16.437717932248074</x:v>
      </x:c>
      <x:c r="O331" s="14" t="n">
        <x:f>IF(I331&gt;0,"Unknown",IF(N331=0,"N/A",M331/N331))</x:f>
        <x:v>1</x:v>
      </x:c>
      <x:c r="P331" s="15" t="n">
        <x:f>IF(G331=0,"N/A",IF(I331&gt;0,"Unknown",H331/G331))</x:f>
        <x:v>1</x:v>
      </x:c>
      <x:c r="Q331" s="2" t="n">
        <x:f>F331-G331</x:f>
        <x:v>0</x:v>
      </x:c>
    </x:row>
    <x:row r="332" ht="22" customHeight="1">
      <x:c r="A332" s="2" t="str">
        <x:v>S37-T01|7</x:v>
      </x:c>
      <x:c r="B332" s="2" t="str">
        <x:v>S37-T01</x:v>
      </x:c>
      <x:c r="C332" s="2" t="str">
        <x:v>S37</x:v>
      </x:c>
      <x:c r="D332" s="2" t="str">
        <x:v>Extension</x:v>
      </x:c>
      <x:c r="E332" s="2" t="n">
        <x:v>1</x:v>
      </x:c>
      <x:c r="F332" s="2" t="n">
        <x:v>7</x:v>
      </x:c>
      <x:c r="G332" s="2" t="n">
        <x:f>COUNTIFS('Rankings'!$A$6:$A$423,B332,'Rankings'!$E$6:$E$423,"&lt;="&amp;F332)</x:f>
        <x:v>7</x:v>
      </x:c>
      <x:c r="H332" s="2" t="n">
        <x:f>SUMIFS('Rankings'!$J$6:$J$423,'Rankings'!$A$6:$A$423,B332,'Rankings'!$E$6:$E$423,"&lt;="&amp;F332)</x:f>
        <x:v>7</x:v>
      </x:c>
      <x:c r="I332" s="2" t="n">
        <x:f>G332-SUMIFS('Rankings'!$I$6:$I$423,'Rankings'!$A$6:$A$423,B332,'Rankings'!$E$6:$E$423,"&lt;="&amp;F332)</x:f>
        <x:v>0</x:v>
      </x:c>
      <x:c r="J332" s="2" t="n">
        <x:f>SUMIFS('Ratings'!$H$6:$H$1387,'Ratings'!$B$6:$B$1387,C332)</x:f>
        <x:v>17</x:v>
      </x:c>
      <x:c r="K332" s="15" t="n">
        <x:f>IF(I332&gt;0,"Unknown",H332/F332)</x:f>
        <x:v>1</x:v>
      </x:c>
      <x:c r="L332" s="15" t="n">
        <x:f>IF(J332=0,"N/A",H332/J332)</x:f>
        <x:v>0.4117647058823529</x:v>
      </x:c>
      <x:c r="M332" s="14" t="n">
        <x:f>SUMIFS('Rankings'!$L$6:$L$423,'Rankings'!$A$6:$A$423,B332,'Rankings'!$E$6:$E$423,"&lt;="&amp;F332)</x:f>
        <x:v>17.437717932248074</x:v>
      </x:c>
      <x:c r="N332" s="14" t="n">
        <x:f>SUMIFS('Ideal ranking'!$H$6:$H$365,'Ideal ranking'!$A$6:$A$365,C332,'Ideal ranking'!$B$6:$B$365,"&lt;="&amp;F332)</x:f>
        <x:v>17.437717932248074</x:v>
      </x:c>
      <x:c r="O332" s="14" t="n">
        <x:f>IF(I332&gt;0,"Unknown",IF(N332=0,"N/A",M332/N332))</x:f>
        <x:v>1</x:v>
      </x:c>
      <x:c r="P332" s="15" t="n">
        <x:f>IF(G332=0,"N/A",IF(I332&gt;0,"Unknown",H332/G332))</x:f>
        <x:v>1</x:v>
      </x:c>
      <x:c r="Q332" s="2" t="n">
        <x:f>F332-G332</x:f>
        <x:v>0</x:v>
      </x:c>
    </x:row>
    <x:row r="333" ht="22" customHeight="1">
      <x:c r="A333" s="2" t="str">
        <x:v>S37-T01|8</x:v>
      </x:c>
      <x:c r="B333" s="2" t="str">
        <x:v>S37-T01</x:v>
      </x:c>
      <x:c r="C333" s="2" t="str">
        <x:v>S37</x:v>
      </x:c>
      <x:c r="D333" s="2" t="str">
        <x:v>Extension</x:v>
      </x:c>
      <x:c r="E333" s="2" t="n">
        <x:v>1</x:v>
      </x:c>
      <x:c r="F333" s="2" t="n">
        <x:v>8</x:v>
      </x:c>
      <x:c r="G333" s="2" t="n">
        <x:f>COUNTIFS('Rankings'!$A$6:$A$423,B333,'Rankings'!$E$6:$E$423,"&lt;="&amp;F333)</x:f>
        <x:v>8</x:v>
      </x:c>
      <x:c r="H333" s="2" t="n">
        <x:f>SUMIFS('Rankings'!$J$6:$J$423,'Rankings'!$A$6:$A$423,B333,'Rankings'!$E$6:$E$423,"&lt;="&amp;F333)</x:f>
        <x:v>8</x:v>
      </x:c>
      <x:c r="I333" s="2" t="n">
        <x:f>G333-SUMIFS('Rankings'!$I$6:$I$423,'Rankings'!$A$6:$A$423,B333,'Rankings'!$E$6:$E$423,"&lt;="&amp;F333)</x:f>
        <x:v>0</x:v>
      </x:c>
      <x:c r="J333" s="2" t="n">
        <x:f>SUMIFS('Ratings'!$H$6:$H$1387,'Ratings'!$B$6:$B$1387,C333)</x:f>
        <x:v>17</x:v>
      </x:c>
      <x:c r="K333" s="15" t="n">
        <x:f>IF(I333&gt;0,"Unknown",H333/F333)</x:f>
        <x:v>1</x:v>
      </x:c>
      <x:c r="L333" s="15" t="n">
        <x:f>IF(J333=0,"N/A",H333/J333)</x:f>
        <x:v>0.47058823529411764</x:v>
      </x:c>
      <x:c r="M333" s="14" t="n">
        <x:f>SUMIFS('Rankings'!$L$6:$L$423,'Rankings'!$A$6:$A$423,B333,'Rankings'!$E$6:$E$423,"&lt;="&amp;F333)</x:f>
        <x:v>18.38411256260526</x:v>
      </x:c>
      <x:c r="N333" s="14" t="n">
        <x:f>SUMIFS('Ideal ranking'!$H$6:$H$365,'Ideal ranking'!$A$6:$A$365,C333,'Ideal ranking'!$B$6:$B$365,"&lt;="&amp;F333)</x:f>
        <x:v>18.38411256260526</x:v>
      </x:c>
      <x:c r="O333" s="14" t="n">
        <x:f>IF(I333&gt;0,"Unknown",IF(N333=0,"N/A",M333/N333))</x:f>
        <x:v>1</x:v>
      </x:c>
      <x:c r="P333" s="15" t="n">
        <x:f>IF(G333=0,"N/A",IF(I333&gt;0,"Unknown",H333/G333))</x:f>
        <x:v>1</x:v>
      </x:c>
      <x:c r="Q333" s="2" t="n">
        <x:f>F333-G333</x:f>
        <x:v>0</x:v>
      </x:c>
    </x:row>
    <x:row r="334" ht="22" customHeight="1">
      <x:c r="A334" s="2" t="str">
        <x:v>S37-T01|9</x:v>
      </x:c>
      <x:c r="B334" s="2" t="str">
        <x:v>S37-T01</x:v>
      </x:c>
      <x:c r="C334" s="2" t="str">
        <x:v>S37</x:v>
      </x:c>
      <x:c r="D334" s="2" t="str">
        <x:v>Extension</x:v>
      </x:c>
      <x:c r="E334" s="2" t="n">
        <x:v>1</x:v>
      </x:c>
      <x:c r="F334" s="2" t="n">
        <x:v>9</x:v>
      </x:c>
      <x:c r="G334" s="2" t="n">
        <x:f>COUNTIFS('Rankings'!$A$6:$A$423,B334,'Rankings'!$E$6:$E$423,"&lt;="&amp;F334)</x:f>
        <x:v>9</x:v>
      </x:c>
      <x:c r="H334" s="2" t="n">
        <x:f>SUMIFS('Rankings'!$J$6:$J$423,'Rankings'!$A$6:$A$423,B334,'Rankings'!$E$6:$E$423,"&lt;="&amp;F334)</x:f>
        <x:v>9</x:v>
      </x:c>
      <x:c r="I334" s="2" t="n">
        <x:f>G334-SUMIFS('Rankings'!$I$6:$I$423,'Rankings'!$A$6:$A$423,B334,'Rankings'!$E$6:$E$423,"&lt;="&amp;F334)</x:f>
        <x:v>0</x:v>
      </x:c>
      <x:c r="J334" s="2" t="n">
        <x:f>SUMIFS('Ratings'!$H$6:$H$1387,'Ratings'!$B$6:$B$1387,C334)</x:f>
        <x:v>17</x:v>
      </x:c>
      <x:c r="K334" s="15" t="n">
        <x:f>IF(I334&gt;0,"Unknown",H334/F334)</x:f>
        <x:v>1</x:v>
      </x:c>
      <x:c r="L334" s="15" t="n">
        <x:f>IF(J334=0,"N/A",H334/J334)</x:f>
        <x:v>0.5294117647058824</x:v>
      </x:c>
      <x:c r="M334" s="14" t="n">
        <x:f>SUMIFS('Rankings'!$L$6:$L$423,'Rankings'!$A$6:$A$423,B334,'Rankings'!$E$6:$E$423,"&lt;="&amp;F334)</x:f>
        <x:v>19.287202549597204</x:v>
      </x:c>
      <x:c r="N334" s="14" t="n">
        <x:f>SUMIFS('Ideal ranking'!$H$6:$H$365,'Ideal ranking'!$A$6:$A$365,C334,'Ideal ranking'!$B$6:$B$365,"&lt;="&amp;F334)</x:f>
        <x:v>19.287202549597204</x:v>
      </x:c>
      <x:c r="O334" s="14" t="n">
        <x:f>IF(I334&gt;0,"Unknown",IF(N334=0,"N/A",M334/N334))</x:f>
        <x:v>1</x:v>
      </x:c>
      <x:c r="P334" s="15" t="n">
        <x:f>IF(G334=0,"N/A",IF(I334&gt;0,"Unknown",H334/G334))</x:f>
        <x:v>1</x:v>
      </x:c>
      <x:c r="Q334" s="2" t="n">
        <x:f>F334-G334</x:f>
        <x:v>0</x:v>
      </x:c>
    </x:row>
    <x:row r="335" ht="22" customHeight="1">
      <x:c r="A335" s="2" t="str">
        <x:v>S37-T01|10</x:v>
      </x:c>
      <x:c r="B335" s="2" t="str">
        <x:v>S37-T01</x:v>
      </x:c>
      <x:c r="C335" s="2" t="str">
        <x:v>S37</x:v>
      </x:c>
      <x:c r="D335" s="2" t="str">
        <x:v>Extension</x:v>
      </x:c>
      <x:c r="E335" s="2" t="n">
        <x:v>1</x:v>
      </x:c>
      <x:c r="F335" s="2" t="n">
        <x:v>10</x:v>
      </x:c>
      <x:c r="G335" s="2" t="n">
        <x:f>COUNTIFS('Rankings'!$A$6:$A$423,B335,'Rankings'!$E$6:$E$423,"&lt;="&amp;F335)</x:f>
        <x:v>10</x:v>
      </x:c>
      <x:c r="H335" s="2" t="n">
        <x:f>SUMIFS('Rankings'!$J$6:$J$423,'Rankings'!$A$6:$A$423,B335,'Rankings'!$E$6:$E$423,"&lt;="&amp;F335)</x:f>
        <x:v>10</x:v>
      </x:c>
      <x:c r="I335" s="2" t="n">
        <x:f>G335-SUMIFS('Rankings'!$I$6:$I$423,'Rankings'!$A$6:$A$423,B335,'Rankings'!$E$6:$E$423,"&lt;="&amp;F335)</x:f>
        <x:v>0</x:v>
      </x:c>
      <x:c r="J335" s="2" t="n">
        <x:f>SUMIFS('Ratings'!$H$6:$H$1387,'Ratings'!$B$6:$B$1387,C335)</x:f>
        <x:v>17</x:v>
      </x:c>
      <x:c r="K335" s="15" t="n">
        <x:f>IF(I335&gt;0,"Unknown",H335/F335)</x:f>
        <x:v>1</x:v>
      </x:c>
      <x:c r="L335" s="15" t="n">
        <x:f>IF(J335=0,"N/A",H335/J335)</x:f>
        <x:v>0.5882352941176471</x:v>
      </x:c>
      <x:c r="M335" s="14" t="n">
        <x:f>SUMIFS('Rankings'!$L$6:$L$423,'Rankings'!$A$6:$A$423,B335,'Rankings'!$E$6:$E$423,"&lt;="&amp;F335)</x:f>
        <x:v>20.154397028550868</x:v>
      </x:c>
      <x:c r="N335" s="14" t="n">
        <x:f>SUMIFS('Ideal ranking'!$H$6:$H$365,'Ideal ranking'!$A$6:$A$365,C335,'Ideal ranking'!$B$6:$B$365,"&lt;="&amp;F335)</x:f>
        <x:v>20.154397028550868</x:v>
      </x:c>
      <x:c r="O335" s="14" t="n">
        <x:f>IF(I335&gt;0,"Unknown",IF(N335=0,"N/A",M335/N335))</x:f>
        <x:v>1</x:v>
      </x:c>
      <x:c r="P335" s="15" t="n">
        <x:f>IF(G335=0,"N/A",IF(I335&gt;0,"Unknown",H335/G335))</x:f>
        <x:v>1</x:v>
      </x:c>
      <x:c r="Q335" s="2" t="n">
        <x:f>F335-G335</x:f>
        <x:v>0</x:v>
      </x:c>
    </x:row>
    <x:row r="336" ht="22" customHeight="1">
      <x:c r="A336" s="2" t="str">
        <x:v>S38-T01|1</x:v>
      </x:c>
      <x:c r="B336" s="2" t="str">
        <x:v>S38-T01</x:v>
      </x:c>
      <x:c r="C336" s="2" t="str">
        <x:v>S38</x:v>
      </x:c>
      <x:c r="D336" s="2" t="str">
        <x:v>Extension</x:v>
      </x:c>
      <x:c r="E336" s="2" t="n">
        <x:v>1</x:v>
      </x:c>
      <x:c r="F336" s="2" t="n">
        <x:v>1</x:v>
      </x:c>
      <x:c r="G336" s="2" t="n">
        <x:f>COUNTIFS('Rankings'!$A$6:$A$423,B336,'Rankings'!$E$6:$E$423,"&lt;="&amp;F336)</x:f>
        <x:v>1</x:v>
      </x:c>
      <x:c r="H336" s="2" t="n">
        <x:f>SUMIFS('Rankings'!$J$6:$J$423,'Rankings'!$A$6:$A$423,B336,'Rankings'!$E$6:$E$423,"&lt;="&amp;F336)</x:f>
        <x:v>1</x:v>
      </x:c>
      <x:c r="I336" s="2" t="n">
        <x:f>G336-SUMIFS('Rankings'!$I$6:$I$423,'Rankings'!$A$6:$A$423,B336,'Rankings'!$E$6:$E$423,"&lt;="&amp;F336)</x:f>
        <x:v>0</x:v>
      </x:c>
      <x:c r="J336" s="2" t="n">
        <x:f>SUMIFS('Ratings'!$H$6:$H$1387,'Ratings'!$B$6:$B$1387,C336)</x:f>
        <x:v>18</x:v>
      </x:c>
      <x:c r="K336" s="15" t="n">
        <x:f>IF(I336&gt;0,"Unknown",H336/F336)</x:f>
        <x:v>1</x:v>
      </x:c>
      <x:c r="L336" s="15" t="n">
        <x:f>IF(J336=0,"N/A",H336/J336)</x:f>
        <x:v>0.05555555555555555</x:v>
      </x:c>
      <x:c r="M336" s="14" t="n">
        <x:f>SUMIFS('Rankings'!$L$6:$L$423,'Rankings'!$A$6:$A$423,B336,'Rankings'!$E$6:$E$423,"&lt;="&amp;F336)</x:f>
        <x:v>7</x:v>
      </x:c>
      <x:c r="N336" s="14" t="n">
        <x:f>SUMIFS('Ideal ranking'!$H$6:$H$365,'Ideal ranking'!$A$6:$A$365,C336,'Ideal ranking'!$B$6:$B$365,"&lt;="&amp;F336)</x:f>
        <x:v>7</x:v>
      </x:c>
      <x:c r="O336" s="14" t="n">
        <x:f>IF(I336&gt;0,"Unknown",IF(N336=0,"N/A",M336/N336))</x:f>
        <x:v>1</x:v>
      </x:c>
      <x:c r="P336" s="15" t="n">
        <x:f>IF(G336=0,"N/A",IF(I336&gt;0,"Unknown",H336/G336))</x:f>
        <x:v>1</x:v>
      </x:c>
      <x:c r="Q336" s="2" t="n">
        <x:f>F336-G336</x:f>
        <x:v>0</x:v>
      </x:c>
    </x:row>
    <x:row r="337" ht="22" customHeight="1">
      <x:c r="A337" s="2" t="str">
        <x:v>S38-T01|2</x:v>
      </x:c>
      <x:c r="B337" s="2" t="str">
        <x:v>S38-T01</x:v>
      </x:c>
      <x:c r="C337" s="2" t="str">
        <x:v>S38</x:v>
      </x:c>
      <x:c r="D337" s="2" t="str">
        <x:v>Extension</x:v>
      </x:c>
      <x:c r="E337" s="2" t="n">
        <x:v>1</x:v>
      </x:c>
      <x:c r="F337" s="2" t="n">
        <x:v>2</x:v>
      </x:c>
      <x:c r="G337" s="2" t="n">
        <x:f>COUNTIFS('Rankings'!$A$6:$A$423,B337,'Rankings'!$E$6:$E$423,"&lt;="&amp;F337)</x:f>
        <x:v>2</x:v>
      </x:c>
      <x:c r="H337" s="2" t="n">
        <x:f>SUMIFS('Rankings'!$J$6:$J$423,'Rankings'!$A$6:$A$423,B337,'Rankings'!$E$6:$E$423,"&lt;="&amp;F337)</x:f>
        <x:v>2</x:v>
      </x:c>
      <x:c r="I337" s="2" t="n">
        <x:f>G337-SUMIFS('Rankings'!$I$6:$I$423,'Rankings'!$A$6:$A$423,B337,'Rankings'!$E$6:$E$423,"&lt;="&amp;F337)</x:f>
        <x:v>0</x:v>
      </x:c>
      <x:c r="J337" s="2" t="n">
        <x:f>SUMIFS('Ratings'!$H$6:$H$1387,'Ratings'!$B$6:$B$1387,C337)</x:f>
        <x:v>18</x:v>
      </x:c>
      <x:c r="K337" s="15" t="n">
        <x:f>IF(I337&gt;0,"Unknown",H337/F337)</x:f>
        <x:v>1</x:v>
      </x:c>
      <x:c r="L337" s="15" t="n">
        <x:f>IF(J337=0,"N/A",H337/J337)</x:f>
        <x:v>0.1111111111111111</x:v>
      </x:c>
      <x:c r="M337" s="14" t="n">
        <x:f>SUMIFS('Rankings'!$L$6:$L$423,'Rankings'!$A$6:$A$423,B337,'Rankings'!$E$6:$E$423,"&lt;="&amp;F337)</x:f>
        <x:v>11.416508275000202</x:v>
      </x:c>
      <x:c r="N337" s="14" t="n">
        <x:f>SUMIFS('Ideal ranking'!$H$6:$H$365,'Ideal ranking'!$A$6:$A$365,C337,'Ideal ranking'!$B$6:$B$365,"&lt;="&amp;F337)</x:f>
        <x:v>11.416508275000202</x:v>
      </x:c>
      <x:c r="O337" s="14" t="n">
        <x:f>IF(I337&gt;0,"Unknown",IF(N337=0,"N/A",M337/N337))</x:f>
        <x:v>1</x:v>
      </x:c>
      <x:c r="P337" s="15" t="n">
        <x:f>IF(G337=0,"N/A",IF(I337&gt;0,"Unknown",H337/G337))</x:f>
        <x:v>1</x:v>
      </x:c>
      <x:c r="Q337" s="2" t="n">
        <x:f>F337-G337</x:f>
        <x:v>0</x:v>
      </x:c>
    </x:row>
    <x:row r="338" ht="22" customHeight="1">
      <x:c r="A338" s="2" t="str">
        <x:v>S38-T01|3</x:v>
      </x:c>
      <x:c r="B338" s="2" t="str">
        <x:v>S38-T01</x:v>
      </x:c>
      <x:c r="C338" s="2" t="str">
        <x:v>S38</x:v>
      </x:c>
      <x:c r="D338" s="2" t="str">
        <x:v>Extension</x:v>
      </x:c>
      <x:c r="E338" s="2" t="n">
        <x:v>1</x:v>
      </x:c>
      <x:c r="F338" s="2" t="n">
        <x:v>3</x:v>
      </x:c>
      <x:c r="G338" s="2" t="n">
        <x:f>COUNTIFS('Rankings'!$A$6:$A$423,B338,'Rankings'!$E$6:$E$423,"&lt;="&amp;F338)</x:f>
        <x:v>3</x:v>
      </x:c>
      <x:c r="H338" s="2" t="n">
        <x:f>SUMIFS('Rankings'!$J$6:$J$423,'Rankings'!$A$6:$A$423,B338,'Rankings'!$E$6:$E$423,"&lt;="&amp;F338)</x:f>
        <x:v>3</x:v>
      </x:c>
      <x:c r="I338" s="2" t="n">
        <x:f>G338-SUMIFS('Rankings'!$I$6:$I$423,'Rankings'!$A$6:$A$423,B338,'Rankings'!$E$6:$E$423,"&lt;="&amp;F338)</x:f>
        <x:v>0</x:v>
      </x:c>
      <x:c r="J338" s="2" t="n">
        <x:f>SUMIFS('Ratings'!$H$6:$H$1387,'Ratings'!$B$6:$B$1387,C338)</x:f>
        <x:v>18</x:v>
      </x:c>
      <x:c r="K338" s="15" t="n">
        <x:f>IF(I338&gt;0,"Unknown",H338/F338)</x:f>
        <x:v>1</x:v>
      </x:c>
      <x:c r="L338" s="15" t="n">
        <x:f>IF(J338=0,"N/A",H338/J338)</x:f>
        <x:v>0.16666666666666666</x:v>
      </x:c>
      <x:c r="M338" s="14" t="n">
        <x:f>SUMIFS('Rankings'!$L$6:$L$423,'Rankings'!$A$6:$A$423,B338,'Rankings'!$E$6:$E$423,"&lt;="&amp;F338)</x:f>
        <x:v>12.916508275000202</x:v>
      </x:c>
      <x:c r="N338" s="14" t="n">
        <x:f>SUMIFS('Ideal ranking'!$H$6:$H$365,'Ideal ranking'!$A$6:$A$365,C338,'Ideal ranking'!$B$6:$B$365,"&lt;="&amp;F338)</x:f>
        <x:v>12.916508275000202</x:v>
      </x:c>
      <x:c r="O338" s="14" t="n">
        <x:f>IF(I338&gt;0,"Unknown",IF(N338=0,"N/A",M338/N338))</x:f>
        <x:v>1</x:v>
      </x:c>
      <x:c r="P338" s="15" t="n">
        <x:f>IF(G338=0,"N/A",IF(I338&gt;0,"Unknown",H338/G338))</x:f>
        <x:v>1</x:v>
      </x:c>
      <x:c r="Q338" s="2" t="n">
        <x:f>F338-G338</x:f>
        <x:v>0</x:v>
      </x:c>
    </x:row>
    <x:row r="339" ht="22" customHeight="1">
      <x:c r="A339" s="2" t="str">
        <x:v>S38-T01|4</x:v>
      </x:c>
      <x:c r="B339" s="2" t="str">
        <x:v>S38-T01</x:v>
      </x:c>
      <x:c r="C339" s="2" t="str">
        <x:v>S38</x:v>
      </x:c>
      <x:c r="D339" s="2" t="str">
        <x:v>Extension</x:v>
      </x:c>
      <x:c r="E339" s="2" t="n">
        <x:v>1</x:v>
      </x:c>
      <x:c r="F339" s="2" t="n">
        <x:v>4</x:v>
      </x:c>
      <x:c r="G339" s="2" t="n">
        <x:f>COUNTIFS('Rankings'!$A$6:$A$423,B339,'Rankings'!$E$6:$E$423,"&lt;="&amp;F339)</x:f>
        <x:v>4</x:v>
      </x:c>
      <x:c r="H339" s="2" t="n">
        <x:f>SUMIFS('Rankings'!$J$6:$J$423,'Rankings'!$A$6:$A$423,B339,'Rankings'!$E$6:$E$423,"&lt;="&amp;F339)</x:f>
        <x:v>4</x:v>
      </x:c>
      <x:c r="I339" s="2" t="n">
        <x:f>G339-SUMIFS('Rankings'!$I$6:$I$423,'Rankings'!$A$6:$A$423,B339,'Rankings'!$E$6:$E$423,"&lt;="&amp;F339)</x:f>
        <x:v>0</x:v>
      </x:c>
      <x:c r="J339" s="2" t="n">
        <x:f>SUMIFS('Ratings'!$H$6:$H$1387,'Ratings'!$B$6:$B$1387,C339)</x:f>
        <x:v>18</x:v>
      </x:c>
      <x:c r="K339" s="15" t="n">
        <x:f>IF(I339&gt;0,"Unknown",H339/F339)</x:f>
        <x:v>1</x:v>
      </x:c>
      <x:c r="L339" s="15" t="n">
        <x:f>IF(J339=0,"N/A",H339/J339)</x:f>
        <x:v>0.2222222222222222</x:v>
      </x:c>
      <x:c r="M339" s="14" t="n">
        <x:f>SUMIFS('Rankings'!$L$6:$L$423,'Rankings'!$A$6:$A$423,B339,'Rankings'!$E$6:$E$423,"&lt;="&amp;F339)</x:f>
        <x:v>14.208537949220382</x:v>
      </x:c>
      <x:c r="N339" s="14" t="n">
        <x:f>SUMIFS('Ideal ranking'!$H$6:$H$365,'Ideal ranking'!$A$6:$A$365,C339,'Ideal ranking'!$B$6:$B$365,"&lt;="&amp;F339)</x:f>
        <x:v>14.208537949220382</x:v>
      </x:c>
      <x:c r="O339" s="14" t="n">
        <x:f>IF(I339&gt;0,"Unknown",IF(N339=0,"N/A",M339/N339))</x:f>
        <x:v>1</x:v>
      </x:c>
      <x:c r="P339" s="15" t="n">
        <x:f>IF(G339=0,"N/A",IF(I339&gt;0,"Unknown",H339/G339))</x:f>
        <x:v>1</x:v>
      </x:c>
      <x:c r="Q339" s="2" t="n">
        <x:f>F339-G339</x:f>
        <x:v>0</x:v>
      </x:c>
    </x:row>
    <x:row r="340" ht="22" customHeight="1">
      <x:c r="A340" s="2" t="str">
        <x:v>S38-T01|5</x:v>
      </x:c>
      <x:c r="B340" s="2" t="str">
        <x:v>S38-T01</x:v>
      </x:c>
      <x:c r="C340" s="2" t="str">
        <x:v>S38</x:v>
      </x:c>
      <x:c r="D340" s="2" t="str">
        <x:v>Extension</x:v>
      </x:c>
      <x:c r="E340" s="2" t="n">
        <x:v>1</x:v>
      </x:c>
      <x:c r="F340" s="2" t="n">
        <x:v>5</x:v>
      </x:c>
      <x:c r="G340" s="2" t="n">
        <x:f>COUNTIFS('Rankings'!$A$6:$A$423,B340,'Rankings'!$E$6:$E$423,"&lt;="&amp;F340)</x:f>
        <x:v>5</x:v>
      </x:c>
      <x:c r="H340" s="2" t="n">
        <x:f>SUMIFS('Rankings'!$J$6:$J$423,'Rankings'!$A$6:$A$423,B340,'Rankings'!$E$6:$E$423,"&lt;="&amp;F340)</x:f>
        <x:v>5</x:v>
      </x:c>
      <x:c r="I340" s="2" t="n">
        <x:f>G340-SUMIFS('Rankings'!$I$6:$I$423,'Rankings'!$A$6:$A$423,B340,'Rankings'!$E$6:$E$423,"&lt;="&amp;F340)</x:f>
        <x:v>0</x:v>
      </x:c>
      <x:c r="J340" s="2" t="n">
        <x:f>SUMIFS('Ratings'!$H$6:$H$1387,'Ratings'!$B$6:$B$1387,C340)</x:f>
        <x:v>18</x:v>
      </x:c>
      <x:c r="K340" s="15" t="n">
        <x:f>IF(I340&gt;0,"Unknown",H340/F340)</x:f>
        <x:v>1</x:v>
      </x:c>
      <x:c r="L340" s="15" t="n">
        <x:f>IF(J340=0,"N/A",H340/J340)</x:f>
        <x:v>0.2777777777777778</x:v>
      </x:c>
      <x:c r="M340" s="14" t="n">
        <x:f>SUMIFS('Rankings'!$L$6:$L$423,'Rankings'!$A$6:$A$423,B340,'Rankings'!$E$6:$E$423,"&lt;="&amp;F340)</x:f>
        <x:v>15.369096370924007</x:v>
      </x:c>
      <x:c r="N340" s="14" t="n">
        <x:f>SUMIFS('Ideal ranking'!$H$6:$H$365,'Ideal ranking'!$A$6:$A$365,C340,'Ideal ranking'!$B$6:$B$365,"&lt;="&amp;F340)</x:f>
        <x:v>15.369096370924007</x:v>
      </x:c>
      <x:c r="O340" s="14" t="n">
        <x:f>IF(I340&gt;0,"Unknown",IF(N340=0,"N/A",M340/N340))</x:f>
        <x:v>1</x:v>
      </x:c>
      <x:c r="P340" s="15" t="n">
        <x:f>IF(G340=0,"N/A",IF(I340&gt;0,"Unknown",H340/G340))</x:f>
        <x:v>1</x:v>
      </x:c>
      <x:c r="Q340" s="2" t="n">
        <x:f>F340-G340</x:f>
        <x:v>0</x:v>
      </x:c>
    </x:row>
    <x:row r="341" ht="22" customHeight="1">
      <x:c r="A341" s="2" t="str">
        <x:v>S38-T01|6</x:v>
      </x:c>
      <x:c r="B341" s="2" t="str">
        <x:v>S38-T01</x:v>
      </x:c>
      <x:c r="C341" s="2" t="str">
        <x:v>S38</x:v>
      </x:c>
      <x:c r="D341" s="2" t="str">
        <x:v>Extension</x:v>
      </x:c>
      <x:c r="E341" s="2" t="n">
        <x:v>1</x:v>
      </x:c>
      <x:c r="F341" s="2" t="n">
        <x:v>6</x:v>
      </x:c>
      <x:c r="G341" s="2" t="n">
        <x:f>COUNTIFS('Rankings'!$A$6:$A$423,B341,'Rankings'!$E$6:$E$423,"&lt;="&amp;F341)</x:f>
        <x:v>6</x:v>
      </x:c>
      <x:c r="H341" s="2" t="n">
        <x:f>SUMIFS('Rankings'!$J$6:$J$423,'Rankings'!$A$6:$A$423,B341,'Rankings'!$E$6:$E$423,"&lt;="&amp;F341)</x:f>
        <x:v>6</x:v>
      </x:c>
      <x:c r="I341" s="2" t="n">
        <x:f>G341-SUMIFS('Rankings'!$I$6:$I$423,'Rankings'!$A$6:$A$423,B341,'Rankings'!$E$6:$E$423,"&lt;="&amp;F341)</x:f>
        <x:v>0</x:v>
      </x:c>
      <x:c r="J341" s="2" t="n">
        <x:f>SUMIFS('Ratings'!$H$6:$H$1387,'Ratings'!$B$6:$B$1387,C341)</x:f>
        <x:v>18</x:v>
      </x:c>
      <x:c r="K341" s="15" t="n">
        <x:f>IF(I341&gt;0,"Unknown",H341/F341)</x:f>
        <x:v>1</x:v>
      </x:c>
      <x:c r="L341" s="15" t="n">
        <x:f>IF(J341=0,"N/A",H341/J341)</x:f>
        <x:v>0.3333333333333333</x:v>
      </x:c>
      <x:c r="M341" s="14" t="n">
        <x:f>SUMIFS('Rankings'!$L$6:$L$423,'Rankings'!$A$6:$A$423,B341,'Rankings'!$E$6:$E$423,"&lt;="&amp;F341)</x:f>
        <x:v>16.437717932248074</x:v>
      </x:c>
      <x:c r="N341" s="14" t="n">
        <x:f>SUMIFS('Ideal ranking'!$H$6:$H$365,'Ideal ranking'!$A$6:$A$365,C341,'Ideal ranking'!$B$6:$B$365,"&lt;="&amp;F341)</x:f>
        <x:v>16.437717932248074</x:v>
      </x:c>
      <x:c r="O341" s="14" t="n">
        <x:f>IF(I341&gt;0,"Unknown",IF(N341=0,"N/A",M341/N341))</x:f>
        <x:v>1</x:v>
      </x:c>
      <x:c r="P341" s="15" t="n">
        <x:f>IF(G341=0,"N/A",IF(I341&gt;0,"Unknown",H341/G341))</x:f>
        <x:v>1</x:v>
      </x:c>
      <x:c r="Q341" s="2" t="n">
        <x:f>F341-G341</x:f>
        <x:v>0</x:v>
      </x:c>
    </x:row>
    <x:row r="342" ht="22" customHeight="1">
      <x:c r="A342" s="2" t="str">
        <x:v>S38-T01|7</x:v>
      </x:c>
      <x:c r="B342" s="2" t="str">
        <x:v>S38-T01</x:v>
      </x:c>
      <x:c r="C342" s="2" t="str">
        <x:v>S38</x:v>
      </x:c>
      <x:c r="D342" s="2" t="str">
        <x:v>Extension</x:v>
      </x:c>
      <x:c r="E342" s="2" t="n">
        <x:v>1</x:v>
      </x:c>
      <x:c r="F342" s="2" t="n">
        <x:v>7</x:v>
      </x:c>
      <x:c r="G342" s="2" t="n">
        <x:f>COUNTIFS('Rankings'!$A$6:$A$423,B342,'Rankings'!$E$6:$E$423,"&lt;="&amp;F342)</x:f>
        <x:v>7</x:v>
      </x:c>
      <x:c r="H342" s="2" t="n">
        <x:f>SUMIFS('Rankings'!$J$6:$J$423,'Rankings'!$A$6:$A$423,B342,'Rankings'!$E$6:$E$423,"&lt;="&amp;F342)</x:f>
        <x:v>7</x:v>
      </x:c>
      <x:c r="I342" s="2" t="n">
        <x:f>G342-SUMIFS('Rankings'!$I$6:$I$423,'Rankings'!$A$6:$A$423,B342,'Rankings'!$E$6:$E$423,"&lt;="&amp;F342)</x:f>
        <x:v>0</x:v>
      </x:c>
      <x:c r="J342" s="2" t="n">
        <x:f>SUMIFS('Ratings'!$H$6:$H$1387,'Ratings'!$B$6:$B$1387,C342)</x:f>
        <x:v>18</x:v>
      </x:c>
      <x:c r="K342" s="15" t="n">
        <x:f>IF(I342&gt;0,"Unknown",H342/F342)</x:f>
        <x:v>1</x:v>
      </x:c>
      <x:c r="L342" s="15" t="n">
        <x:f>IF(J342=0,"N/A",H342/J342)</x:f>
        <x:v>0.3888888888888889</x:v>
      </x:c>
      <x:c r="M342" s="14" t="n">
        <x:f>SUMIFS('Rankings'!$L$6:$L$423,'Rankings'!$A$6:$A$423,B342,'Rankings'!$E$6:$E$423,"&lt;="&amp;F342)</x:f>
        <x:v>17.437717932248074</x:v>
      </x:c>
      <x:c r="N342" s="14" t="n">
        <x:f>SUMIFS('Ideal ranking'!$H$6:$H$365,'Ideal ranking'!$A$6:$A$365,C342,'Ideal ranking'!$B$6:$B$365,"&lt;="&amp;F342)</x:f>
        <x:v>17.437717932248074</x:v>
      </x:c>
      <x:c r="O342" s="14" t="n">
        <x:f>IF(I342&gt;0,"Unknown",IF(N342=0,"N/A",M342/N342))</x:f>
        <x:v>1</x:v>
      </x:c>
      <x:c r="P342" s="15" t="n">
        <x:f>IF(G342=0,"N/A",IF(I342&gt;0,"Unknown",H342/G342))</x:f>
        <x:v>1</x:v>
      </x:c>
      <x:c r="Q342" s="2" t="n">
        <x:f>F342-G342</x:f>
        <x:v>0</x:v>
      </x:c>
    </x:row>
    <x:row r="343" ht="22" customHeight="1">
      <x:c r="A343" s="2" t="str">
        <x:v>S38-T01|8</x:v>
      </x:c>
      <x:c r="B343" s="2" t="str">
        <x:v>S38-T01</x:v>
      </x:c>
      <x:c r="C343" s="2" t="str">
        <x:v>S38</x:v>
      </x:c>
      <x:c r="D343" s="2" t="str">
        <x:v>Extension</x:v>
      </x:c>
      <x:c r="E343" s="2" t="n">
        <x:v>1</x:v>
      </x:c>
      <x:c r="F343" s="2" t="n">
        <x:v>8</x:v>
      </x:c>
      <x:c r="G343" s="2" t="n">
        <x:f>COUNTIFS('Rankings'!$A$6:$A$423,B343,'Rankings'!$E$6:$E$423,"&lt;="&amp;F343)</x:f>
        <x:v>8</x:v>
      </x:c>
      <x:c r="H343" s="2" t="n">
        <x:f>SUMIFS('Rankings'!$J$6:$J$423,'Rankings'!$A$6:$A$423,B343,'Rankings'!$E$6:$E$423,"&lt;="&amp;F343)</x:f>
        <x:v>8</x:v>
      </x:c>
      <x:c r="I343" s="2" t="n">
        <x:f>G343-SUMIFS('Rankings'!$I$6:$I$423,'Rankings'!$A$6:$A$423,B343,'Rankings'!$E$6:$E$423,"&lt;="&amp;F343)</x:f>
        <x:v>0</x:v>
      </x:c>
      <x:c r="J343" s="2" t="n">
        <x:f>SUMIFS('Ratings'!$H$6:$H$1387,'Ratings'!$B$6:$B$1387,C343)</x:f>
        <x:v>18</x:v>
      </x:c>
      <x:c r="K343" s="15" t="n">
        <x:f>IF(I343&gt;0,"Unknown",H343/F343)</x:f>
        <x:v>1</x:v>
      </x:c>
      <x:c r="L343" s="15" t="n">
        <x:f>IF(J343=0,"N/A",H343/J343)</x:f>
        <x:v>0.4444444444444444</x:v>
      </x:c>
      <x:c r="M343" s="14" t="n">
        <x:f>SUMIFS('Rankings'!$L$6:$L$423,'Rankings'!$A$6:$A$423,B343,'Rankings'!$E$6:$E$423,"&lt;="&amp;F343)</x:f>
        <x:v>18.38411256260526</x:v>
      </x:c>
      <x:c r="N343" s="14" t="n">
        <x:f>SUMIFS('Ideal ranking'!$H$6:$H$365,'Ideal ranking'!$A$6:$A$365,C343,'Ideal ranking'!$B$6:$B$365,"&lt;="&amp;F343)</x:f>
        <x:v>18.38411256260526</x:v>
      </x:c>
      <x:c r="O343" s="14" t="n">
        <x:f>IF(I343&gt;0,"Unknown",IF(N343=0,"N/A",M343/N343))</x:f>
        <x:v>1</x:v>
      </x:c>
      <x:c r="P343" s="15" t="n">
        <x:f>IF(G343=0,"N/A",IF(I343&gt;0,"Unknown",H343/G343))</x:f>
        <x:v>1</x:v>
      </x:c>
      <x:c r="Q343" s="2" t="n">
        <x:f>F343-G343</x:f>
        <x:v>0</x:v>
      </x:c>
    </x:row>
    <x:row r="344" ht="22" customHeight="1">
      <x:c r="A344" s="2" t="str">
        <x:v>S38-T01|9</x:v>
      </x:c>
      <x:c r="B344" s="2" t="str">
        <x:v>S38-T01</x:v>
      </x:c>
      <x:c r="C344" s="2" t="str">
        <x:v>S38</x:v>
      </x:c>
      <x:c r="D344" s="2" t="str">
        <x:v>Extension</x:v>
      </x:c>
      <x:c r="E344" s="2" t="n">
        <x:v>1</x:v>
      </x:c>
      <x:c r="F344" s="2" t="n">
        <x:v>9</x:v>
      </x:c>
      <x:c r="G344" s="2" t="n">
        <x:f>COUNTIFS('Rankings'!$A$6:$A$423,B344,'Rankings'!$E$6:$E$423,"&lt;="&amp;F344)</x:f>
        <x:v>9</x:v>
      </x:c>
      <x:c r="H344" s="2" t="n">
        <x:f>SUMIFS('Rankings'!$J$6:$J$423,'Rankings'!$A$6:$A$423,B344,'Rankings'!$E$6:$E$423,"&lt;="&amp;F344)</x:f>
        <x:v>9</x:v>
      </x:c>
      <x:c r="I344" s="2" t="n">
        <x:f>G344-SUMIFS('Rankings'!$I$6:$I$423,'Rankings'!$A$6:$A$423,B344,'Rankings'!$E$6:$E$423,"&lt;="&amp;F344)</x:f>
        <x:v>0</x:v>
      </x:c>
      <x:c r="J344" s="2" t="n">
        <x:f>SUMIFS('Ratings'!$H$6:$H$1387,'Ratings'!$B$6:$B$1387,C344)</x:f>
        <x:v>18</x:v>
      </x:c>
      <x:c r="K344" s="15" t="n">
        <x:f>IF(I344&gt;0,"Unknown",H344/F344)</x:f>
        <x:v>1</x:v>
      </x:c>
      <x:c r="L344" s="15" t="n">
        <x:f>IF(J344=0,"N/A",H344/J344)</x:f>
        <x:v>0.5</x:v>
      </x:c>
      <x:c r="M344" s="14" t="n">
        <x:f>SUMIFS('Rankings'!$L$6:$L$423,'Rankings'!$A$6:$A$423,B344,'Rankings'!$E$6:$E$423,"&lt;="&amp;F344)</x:f>
        <x:v>19.287202549597204</x:v>
      </x:c>
      <x:c r="N344" s="14" t="n">
        <x:f>SUMIFS('Ideal ranking'!$H$6:$H$365,'Ideal ranking'!$A$6:$A$365,C344,'Ideal ranking'!$B$6:$B$365,"&lt;="&amp;F344)</x:f>
        <x:v>19.287202549597204</x:v>
      </x:c>
      <x:c r="O344" s="14" t="n">
        <x:f>IF(I344&gt;0,"Unknown",IF(N344=0,"N/A",M344/N344))</x:f>
        <x:v>1</x:v>
      </x:c>
      <x:c r="P344" s="15" t="n">
        <x:f>IF(G344=0,"N/A",IF(I344&gt;0,"Unknown",H344/G344))</x:f>
        <x:v>1</x:v>
      </x:c>
      <x:c r="Q344" s="2" t="n">
        <x:f>F344-G344</x:f>
        <x:v>0</x:v>
      </x:c>
    </x:row>
    <x:row r="345" ht="22" customHeight="1">
      <x:c r="A345" s="2" t="str">
        <x:v>S38-T01|10</x:v>
      </x:c>
      <x:c r="B345" s="2" t="str">
        <x:v>S38-T01</x:v>
      </x:c>
      <x:c r="C345" s="2" t="str">
        <x:v>S38</x:v>
      </x:c>
      <x:c r="D345" s="2" t="str">
        <x:v>Extension</x:v>
      </x:c>
      <x:c r="E345" s="2" t="n">
        <x:v>1</x:v>
      </x:c>
      <x:c r="F345" s="2" t="n">
        <x:v>10</x:v>
      </x:c>
      <x:c r="G345" s="2" t="n">
        <x:f>COUNTIFS('Rankings'!$A$6:$A$423,B345,'Rankings'!$E$6:$E$423,"&lt;="&amp;F345)</x:f>
        <x:v>10</x:v>
      </x:c>
      <x:c r="H345" s="2" t="n">
        <x:f>SUMIFS('Rankings'!$J$6:$J$423,'Rankings'!$A$6:$A$423,B345,'Rankings'!$E$6:$E$423,"&lt;="&amp;F345)</x:f>
        <x:v>10</x:v>
      </x:c>
      <x:c r="I345" s="2" t="n">
        <x:f>G345-SUMIFS('Rankings'!$I$6:$I$423,'Rankings'!$A$6:$A$423,B345,'Rankings'!$E$6:$E$423,"&lt;="&amp;F345)</x:f>
        <x:v>0</x:v>
      </x:c>
      <x:c r="J345" s="2" t="n">
        <x:f>SUMIFS('Ratings'!$H$6:$H$1387,'Ratings'!$B$6:$B$1387,C345)</x:f>
        <x:v>18</x:v>
      </x:c>
      <x:c r="K345" s="15" t="n">
        <x:f>IF(I345&gt;0,"Unknown",H345/F345)</x:f>
        <x:v>1</x:v>
      </x:c>
      <x:c r="L345" s="15" t="n">
        <x:f>IF(J345=0,"N/A",H345/J345)</x:f>
        <x:v>0.5555555555555556</x:v>
      </x:c>
      <x:c r="M345" s="14" t="n">
        <x:f>SUMIFS('Rankings'!$L$6:$L$423,'Rankings'!$A$6:$A$423,B345,'Rankings'!$E$6:$E$423,"&lt;="&amp;F345)</x:f>
        <x:v>20.154397028550868</x:v>
      </x:c>
      <x:c r="N345" s="14" t="n">
        <x:f>SUMIFS('Ideal ranking'!$H$6:$H$365,'Ideal ranking'!$A$6:$A$365,C345,'Ideal ranking'!$B$6:$B$365,"&lt;="&amp;F345)</x:f>
        <x:v>20.154397028550868</x:v>
      </x:c>
      <x:c r="O345" s="14" t="n">
        <x:f>IF(I345&gt;0,"Unknown",IF(N345=0,"N/A",M345/N345))</x:f>
        <x:v>1</x:v>
      </x:c>
      <x:c r="P345" s="15" t="n">
        <x:f>IF(G345=0,"N/A",IF(I345&gt;0,"Unknown",H345/G345))</x:f>
        <x:v>1</x:v>
      </x:c>
      <x:c r="Q345" s="2" t="n">
        <x:f>F345-G345</x:f>
        <x:v>0</x:v>
      </x:c>
    </x:row>
    <x:row r="346" ht="22" customHeight="1">
      <x:c r="A346" s="2" t="str">
        <x:v>S39-T01|1</x:v>
      </x:c>
      <x:c r="B346" s="2" t="str">
        <x:v>S39-T01</x:v>
      </x:c>
      <x:c r="C346" s="2" t="str">
        <x:v>S39</x:v>
      </x:c>
      <x:c r="D346" s="2" t="str">
        <x:v>Extension</x:v>
      </x:c>
      <x:c r="E346" s="2" t="n">
        <x:v>1</x:v>
      </x:c>
      <x:c r="F346" s="2" t="n">
        <x:v>1</x:v>
      </x:c>
      <x:c r="G346" s="2" t="n">
        <x:f>COUNTIFS('Rankings'!$A$6:$A$423,B346,'Rankings'!$E$6:$E$423,"&lt;="&amp;F346)</x:f>
        <x:v>1</x:v>
      </x:c>
      <x:c r="H346" s="2" t="n">
        <x:f>SUMIFS('Rankings'!$J$6:$J$423,'Rankings'!$A$6:$A$423,B346,'Rankings'!$E$6:$E$423,"&lt;="&amp;F346)</x:f>
        <x:v>1</x:v>
      </x:c>
      <x:c r="I346" s="2" t="n">
        <x:f>G346-SUMIFS('Rankings'!$I$6:$I$423,'Rankings'!$A$6:$A$423,B346,'Rankings'!$E$6:$E$423,"&lt;="&amp;F346)</x:f>
        <x:v>0</x:v>
      </x:c>
      <x:c r="J346" s="2" t="n">
        <x:f>SUMIFS('Ratings'!$H$6:$H$1387,'Ratings'!$B$6:$B$1387,C346)</x:f>
        <x:v>23</x:v>
      </x:c>
      <x:c r="K346" s="15" t="n">
        <x:f>IF(I346&gt;0,"Unknown",H346/F346)</x:f>
        <x:v>1</x:v>
      </x:c>
      <x:c r="L346" s="15" t="n">
        <x:f>IF(J346=0,"N/A",H346/J346)</x:f>
        <x:v>0.043478260869565216</x:v>
      </x:c>
      <x:c r="M346" s="14" t="n">
        <x:f>SUMIFS('Rankings'!$L$6:$L$423,'Rankings'!$A$6:$A$423,B346,'Rankings'!$E$6:$E$423,"&lt;="&amp;F346)</x:f>
        <x:v>7</x:v>
      </x:c>
      <x:c r="N346" s="14" t="n">
        <x:f>SUMIFS('Ideal ranking'!$H$6:$H$365,'Ideal ranking'!$A$6:$A$365,C346,'Ideal ranking'!$B$6:$B$365,"&lt;="&amp;F346)</x:f>
        <x:v>7</x:v>
      </x:c>
      <x:c r="O346" s="14" t="n">
        <x:f>IF(I346&gt;0,"Unknown",IF(N346=0,"N/A",M346/N346))</x:f>
        <x:v>1</x:v>
      </x:c>
      <x:c r="P346" s="15" t="n">
        <x:f>IF(G346=0,"N/A",IF(I346&gt;0,"Unknown",H346/G346))</x:f>
        <x:v>1</x:v>
      </x:c>
      <x:c r="Q346" s="2" t="n">
        <x:f>F346-G346</x:f>
        <x:v>0</x:v>
      </x:c>
    </x:row>
    <x:row r="347" ht="22" customHeight="1">
      <x:c r="A347" s="2" t="str">
        <x:v>S39-T01|2</x:v>
      </x:c>
      <x:c r="B347" s="2" t="str">
        <x:v>S39-T01</x:v>
      </x:c>
      <x:c r="C347" s="2" t="str">
        <x:v>S39</x:v>
      </x:c>
      <x:c r="D347" s="2" t="str">
        <x:v>Extension</x:v>
      </x:c>
      <x:c r="E347" s="2" t="n">
        <x:v>1</x:v>
      </x:c>
      <x:c r="F347" s="2" t="n">
        <x:v>2</x:v>
      </x:c>
      <x:c r="G347" s="2" t="n">
        <x:f>COUNTIFS('Rankings'!$A$6:$A$423,B347,'Rankings'!$E$6:$E$423,"&lt;="&amp;F347)</x:f>
        <x:v>2</x:v>
      </x:c>
      <x:c r="H347" s="2" t="n">
        <x:f>SUMIFS('Rankings'!$J$6:$J$423,'Rankings'!$A$6:$A$423,B347,'Rankings'!$E$6:$E$423,"&lt;="&amp;F347)</x:f>
        <x:v>2</x:v>
      </x:c>
      <x:c r="I347" s="2" t="n">
        <x:f>G347-SUMIFS('Rankings'!$I$6:$I$423,'Rankings'!$A$6:$A$423,B347,'Rankings'!$E$6:$E$423,"&lt;="&amp;F347)</x:f>
        <x:v>0</x:v>
      </x:c>
      <x:c r="J347" s="2" t="n">
        <x:f>SUMIFS('Ratings'!$H$6:$H$1387,'Ratings'!$B$6:$B$1387,C347)</x:f>
        <x:v>23</x:v>
      </x:c>
      <x:c r="K347" s="15" t="n">
        <x:f>IF(I347&gt;0,"Unknown",H347/F347)</x:f>
        <x:v>1</x:v>
      </x:c>
      <x:c r="L347" s="15" t="n">
        <x:f>IF(J347=0,"N/A",H347/J347)</x:f>
        <x:v>0.08695652173913043</x:v>
      </x:c>
      <x:c r="M347" s="14" t="n">
        <x:f>SUMIFS('Rankings'!$L$6:$L$423,'Rankings'!$A$6:$A$423,B347,'Rankings'!$E$6:$E$423,"&lt;="&amp;F347)</x:f>
        <x:v>11.416508275000202</x:v>
      </x:c>
      <x:c r="N347" s="14" t="n">
        <x:f>SUMIFS('Ideal ranking'!$H$6:$H$365,'Ideal ranking'!$A$6:$A$365,C347,'Ideal ranking'!$B$6:$B$365,"&lt;="&amp;F347)</x:f>
        <x:v>11.416508275000202</x:v>
      </x:c>
      <x:c r="O347" s="14" t="n">
        <x:f>IF(I347&gt;0,"Unknown",IF(N347=0,"N/A",M347/N347))</x:f>
        <x:v>1</x:v>
      </x:c>
      <x:c r="P347" s="15" t="n">
        <x:f>IF(G347=0,"N/A",IF(I347&gt;0,"Unknown",H347/G347))</x:f>
        <x:v>1</x:v>
      </x:c>
      <x:c r="Q347" s="2" t="n">
        <x:f>F347-G347</x:f>
        <x:v>0</x:v>
      </x:c>
    </x:row>
    <x:row r="348" ht="22" customHeight="1">
      <x:c r="A348" s="2" t="str">
        <x:v>S39-T01|3</x:v>
      </x:c>
      <x:c r="B348" s="2" t="str">
        <x:v>S39-T01</x:v>
      </x:c>
      <x:c r="C348" s="2" t="str">
        <x:v>S39</x:v>
      </x:c>
      <x:c r="D348" s="2" t="str">
        <x:v>Extension</x:v>
      </x:c>
      <x:c r="E348" s="2" t="n">
        <x:v>1</x:v>
      </x:c>
      <x:c r="F348" s="2" t="n">
        <x:v>3</x:v>
      </x:c>
      <x:c r="G348" s="2" t="n">
        <x:f>COUNTIFS('Rankings'!$A$6:$A$423,B348,'Rankings'!$E$6:$E$423,"&lt;="&amp;F348)</x:f>
        <x:v>3</x:v>
      </x:c>
      <x:c r="H348" s="2" t="n">
        <x:f>SUMIFS('Rankings'!$J$6:$J$423,'Rankings'!$A$6:$A$423,B348,'Rankings'!$E$6:$E$423,"&lt;="&amp;F348)</x:f>
        <x:v>3</x:v>
      </x:c>
      <x:c r="I348" s="2" t="n">
        <x:f>G348-SUMIFS('Rankings'!$I$6:$I$423,'Rankings'!$A$6:$A$423,B348,'Rankings'!$E$6:$E$423,"&lt;="&amp;F348)</x:f>
        <x:v>0</x:v>
      </x:c>
      <x:c r="J348" s="2" t="n">
        <x:f>SUMIFS('Ratings'!$H$6:$H$1387,'Ratings'!$B$6:$B$1387,C348)</x:f>
        <x:v>23</x:v>
      </x:c>
      <x:c r="K348" s="15" t="n">
        <x:f>IF(I348&gt;0,"Unknown",H348/F348)</x:f>
        <x:v>1</x:v>
      </x:c>
      <x:c r="L348" s="15" t="n">
        <x:f>IF(J348=0,"N/A",H348/J348)</x:f>
        <x:v>0.13043478260869565</x:v>
      </x:c>
      <x:c r="M348" s="14" t="n">
        <x:f>SUMIFS('Rankings'!$L$6:$L$423,'Rankings'!$A$6:$A$423,B348,'Rankings'!$E$6:$E$423,"&lt;="&amp;F348)</x:f>
        <x:v>14.916508275000202</x:v>
      </x:c>
      <x:c r="N348" s="14" t="n">
        <x:f>SUMIFS('Ideal ranking'!$H$6:$H$365,'Ideal ranking'!$A$6:$A$365,C348,'Ideal ranking'!$B$6:$B$365,"&lt;="&amp;F348)</x:f>
        <x:v>14.916508275000202</x:v>
      </x:c>
      <x:c r="O348" s="14" t="n">
        <x:f>IF(I348&gt;0,"Unknown",IF(N348=0,"N/A",M348/N348))</x:f>
        <x:v>1</x:v>
      </x:c>
      <x:c r="P348" s="15" t="n">
        <x:f>IF(G348=0,"N/A",IF(I348&gt;0,"Unknown",H348/G348))</x:f>
        <x:v>1</x:v>
      </x:c>
      <x:c r="Q348" s="2" t="n">
        <x:f>F348-G348</x:f>
        <x:v>0</x:v>
      </x:c>
    </x:row>
    <x:row r="349" ht="22" customHeight="1">
      <x:c r="A349" s="2" t="str">
        <x:v>S39-T01|4</x:v>
      </x:c>
      <x:c r="B349" s="2" t="str">
        <x:v>S39-T01</x:v>
      </x:c>
      <x:c r="C349" s="2" t="str">
        <x:v>S39</x:v>
      </x:c>
      <x:c r="D349" s="2" t="str">
        <x:v>Extension</x:v>
      </x:c>
      <x:c r="E349" s="2" t="n">
        <x:v>1</x:v>
      </x:c>
      <x:c r="F349" s="2" t="n">
        <x:v>4</x:v>
      </x:c>
      <x:c r="G349" s="2" t="n">
        <x:f>COUNTIFS('Rankings'!$A$6:$A$423,B349,'Rankings'!$E$6:$E$423,"&lt;="&amp;F349)</x:f>
        <x:v>4</x:v>
      </x:c>
      <x:c r="H349" s="2" t="n">
        <x:f>SUMIFS('Rankings'!$J$6:$J$423,'Rankings'!$A$6:$A$423,B349,'Rankings'!$E$6:$E$423,"&lt;="&amp;F349)</x:f>
        <x:v>4</x:v>
      </x:c>
      <x:c r="I349" s="2" t="n">
        <x:f>G349-SUMIFS('Rankings'!$I$6:$I$423,'Rankings'!$A$6:$A$423,B349,'Rankings'!$E$6:$E$423,"&lt;="&amp;F349)</x:f>
        <x:v>0</x:v>
      </x:c>
      <x:c r="J349" s="2" t="n">
        <x:f>SUMIFS('Ratings'!$H$6:$H$1387,'Ratings'!$B$6:$B$1387,C349)</x:f>
        <x:v>23</x:v>
      </x:c>
      <x:c r="K349" s="15" t="n">
        <x:f>IF(I349&gt;0,"Unknown",H349/F349)</x:f>
        <x:v>1</x:v>
      </x:c>
      <x:c r="L349" s="15" t="n">
        <x:f>IF(J349=0,"N/A",H349/J349)</x:f>
        <x:v>0.17391304347826086</x:v>
      </x:c>
      <x:c r="M349" s="14" t="n">
        <x:f>SUMIFS('Rankings'!$L$6:$L$423,'Rankings'!$A$6:$A$423,B349,'Rankings'!$E$6:$E$423,"&lt;="&amp;F349)</x:f>
        <x:v>17.931244181513954</x:v>
      </x:c>
      <x:c r="N349" s="14" t="n">
        <x:f>SUMIFS('Ideal ranking'!$H$6:$H$365,'Ideal ranking'!$A$6:$A$365,C349,'Ideal ranking'!$B$6:$B$365,"&lt;="&amp;F349)</x:f>
        <x:v>17.931244181513954</x:v>
      </x:c>
      <x:c r="O349" s="14" t="n">
        <x:f>IF(I349&gt;0,"Unknown",IF(N349=0,"N/A",M349/N349))</x:f>
        <x:v>1</x:v>
      </x:c>
      <x:c r="P349" s="15" t="n">
        <x:f>IF(G349=0,"N/A",IF(I349&gt;0,"Unknown",H349/G349))</x:f>
        <x:v>1</x:v>
      </x:c>
      <x:c r="Q349" s="2" t="n">
        <x:f>F349-G349</x:f>
        <x:v>0</x:v>
      </x:c>
    </x:row>
    <x:row r="350" ht="22" customHeight="1">
      <x:c r="A350" s="2" t="str">
        <x:v>S39-T01|5</x:v>
      </x:c>
      <x:c r="B350" s="2" t="str">
        <x:v>S39-T01</x:v>
      </x:c>
      <x:c r="C350" s="2" t="str">
        <x:v>S39</x:v>
      </x:c>
      <x:c r="D350" s="2" t="str">
        <x:v>Extension</x:v>
      </x:c>
      <x:c r="E350" s="2" t="n">
        <x:v>1</x:v>
      </x:c>
      <x:c r="F350" s="2" t="n">
        <x:v>5</x:v>
      </x:c>
      <x:c r="G350" s="2" t="n">
        <x:f>COUNTIFS('Rankings'!$A$6:$A$423,B350,'Rankings'!$E$6:$E$423,"&lt;="&amp;F350)</x:f>
        <x:v>5</x:v>
      </x:c>
      <x:c r="H350" s="2" t="n">
        <x:f>SUMIFS('Rankings'!$J$6:$J$423,'Rankings'!$A$6:$A$423,B350,'Rankings'!$E$6:$E$423,"&lt;="&amp;F350)</x:f>
        <x:v>5</x:v>
      </x:c>
      <x:c r="I350" s="2" t="n">
        <x:f>G350-SUMIFS('Rankings'!$I$6:$I$423,'Rankings'!$A$6:$A$423,B350,'Rankings'!$E$6:$E$423,"&lt;="&amp;F350)</x:f>
        <x:v>0</x:v>
      </x:c>
      <x:c r="J350" s="2" t="n">
        <x:f>SUMIFS('Ratings'!$H$6:$H$1387,'Ratings'!$B$6:$B$1387,C350)</x:f>
        <x:v>23</x:v>
      </x:c>
      <x:c r="K350" s="15" t="n">
        <x:f>IF(I350&gt;0,"Unknown",H350/F350)</x:f>
        <x:v>1</x:v>
      </x:c>
      <x:c r="L350" s="15" t="n">
        <x:f>IF(J350=0,"N/A",H350/J350)</x:f>
        <x:v>0.21739130434782608</x:v>
      </x:c>
      <x:c r="M350" s="14" t="n">
        <x:f>SUMIFS('Rankings'!$L$6:$L$423,'Rankings'!$A$6:$A$423,B350,'Rankings'!$E$6:$E$423,"&lt;="&amp;F350)</x:f>
        <x:v>20.639213832155747</x:v>
      </x:c>
      <x:c r="N350" s="14" t="n">
        <x:f>SUMIFS('Ideal ranking'!$H$6:$H$365,'Ideal ranking'!$A$6:$A$365,C350,'Ideal ranking'!$B$6:$B$365,"&lt;="&amp;F350)</x:f>
        <x:v>20.639213832155747</x:v>
      </x:c>
      <x:c r="O350" s="14" t="n">
        <x:f>IF(I350&gt;0,"Unknown",IF(N350=0,"N/A",M350/N350))</x:f>
        <x:v>1</x:v>
      </x:c>
      <x:c r="P350" s="15" t="n">
        <x:f>IF(G350=0,"N/A",IF(I350&gt;0,"Unknown",H350/G350))</x:f>
        <x:v>1</x:v>
      </x:c>
      <x:c r="Q350" s="2" t="n">
        <x:f>F350-G350</x:f>
        <x:v>0</x:v>
      </x:c>
    </x:row>
    <x:row r="351" ht="22" customHeight="1">
      <x:c r="A351" s="2" t="str">
        <x:v>S39-T01|6</x:v>
      </x:c>
      <x:c r="B351" s="2" t="str">
        <x:v>S39-T01</x:v>
      </x:c>
      <x:c r="C351" s="2" t="str">
        <x:v>S39</x:v>
      </x:c>
      <x:c r="D351" s="2" t="str">
        <x:v>Extension</x:v>
      </x:c>
      <x:c r="E351" s="2" t="n">
        <x:v>1</x:v>
      </x:c>
      <x:c r="F351" s="2" t="n">
        <x:v>6</x:v>
      </x:c>
      <x:c r="G351" s="2" t="n">
        <x:f>COUNTIFS('Rankings'!$A$6:$A$423,B351,'Rankings'!$E$6:$E$423,"&lt;="&amp;F351)</x:f>
        <x:v>6</x:v>
      </x:c>
      <x:c r="H351" s="2" t="n">
        <x:f>SUMIFS('Rankings'!$J$6:$J$423,'Rankings'!$A$6:$A$423,B351,'Rankings'!$E$6:$E$423,"&lt;="&amp;F351)</x:f>
        <x:v>6</x:v>
      </x:c>
      <x:c r="I351" s="2" t="n">
        <x:f>G351-SUMIFS('Rankings'!$I$6:$I$423,'Rankings'!$A$6:$A$423,B351,'Rankings'!$E$6:$E$423,"&lt;="&amp;F351)</x:f>
        <x:v>0</x:v>
      </x:c>
      <x:c r="J351" s="2" t="n">
        <x:f>SUMIFS('Ratings'!$H$6:$H$1387,'Ratings'!$B$6:$B$1387,C351)</x:f>
        <x:v>23</x:v>
      </x:c>
      <x:c r="K351" s="15" t="n">
        <x:f>IF(I351&gt;0,"Unknown",H351/F351)</x:f>
        <x:v>1</x:v>
      </x:c>
      <x:c r="L351" s="15" t="n">
        <x:f>IF(J351=0,"N/A",H351/J351)</x:f>
        <x:v>0.2608695652173913</x:v>
      </x:c>
      <x:c r="M351" s="14" t="n">
        <x:f>SUMIFS('Rankings'!$L$6:$L$423,'Rankings'!$A$6:$A$423,B351,'Rankings'!$E$6:$E$423,"&lt;="&amp;F351)</x:f>
        <x:v>23.132664141911903</x:v>
      </x:c>
      <x:c r="N351" s="14" t="n">
        <x:f>SUMIFS('Ideal ranking'!$H$6:$H$365,'Ideal ranking'!$A$6:$A$365,C351,'Ideal ranking'!$B$6:$B$365,"&lt;="&amp;F351)</x:f>
        <x:v>23.132664141911903</x:v>
      </x:c>
      <x:c r="O351" s="14" t="n">
        <x:f>IF(I351&gt;0,"Unknown",IF(N351=0,"N/A",M351/N351))</x:f>
        <x:v>1</x:v>
      </x:c>
      <x:c r="P351" s="15" t="n">
        <x:f>IF(G351=0,"N/A",IF(I351&gt;0,"Unknown",H351/G351))</x:f>
        <x:v>1</x:v>
      </x:c>
      <x:c r="Q351" s="2" t="n">
        <x:f>F351-G351</x:f>
        <x:v>0</x:v>
      </x:c>
    </x:row>
    <x:row r="352" ht="22" customHeight="1">
      <x:c r="A352" s="2" t="str">
        <x:v>S39-T01|7</x:v>
      </x:c>
      <x:c r="B352" s="2" t="str">
        <x:v>S39-T01</x:v>
      </x:c>
      <x:c r="C352" s="2" t="str">
        <x:v>S39</x:v>
      </x:c>
      <x:c r="D352" s="2" t="str">
        <x:v>Extension</x:v>
      </x:c>
      <x:c r="E352" s="2" t="n">
        <x:v>1</x:v>
      </x:c>
      <x:c r="F352" s="2" t="n">
        <x:v>7</x:v>
      </x:c>
      <x:c r="G352" s="2" t="n">
        <x:f>COUNTIFS('Rankings'!$A$6:$A$423,B352,'Rankings'!$E$6:$E$423,"&lt;="&amp;F352)</x:f>
        <x:v>7</x:v>
      </x:c>
      <x:c r="H352" s="2" t="n">
        <x:f>SUMIFS('Rankings'!$J$6:$J$423,'Rankings'!$A$6:$A$423,B352,'Rankings'!$E$6:$E$423,"&lt;="&amp;F352)</x:f>
        <x:v>7</x:v>
      </x:c>
      <x:c r="I352" s="2" t="n">
        <x:f>G352-SUMIFS('Rankings'!$I$6:$I$423,'Rankings'!$A$6:$A$423,B352,'Rankings'!$E$6:$E$423,"&lt;="&amp;F352)</x:f>
        <x:v>0</x:v>
      </x:c>
      <x:c r="J352" s="2" t="n">
        <x:f>SUMIFS('Ratings'!$H$6:$H$1387,'Ratings'!$B$6:$B$1387,C352)</x:f>
        <x:v>23</x:v>
      </x:c>
      <x:c r="K352" s="15" t="n">
        <x:f>IF(I352&gt;0,"Unknown",H352/F352)</x:f>
        <x:v>1</x:v>
      </x:c>
      <x:c r="L352" s="15" t="n">
        <x:f>IF(J352=0,"N/A",H352/J352)</x:f>
        <x:v>0.30434782608695654</x:v>
      </x:c>
      <x:c r="M352" s="14" t="n">
        <x:f>SUMIFS('Rankings'!$L$6:$L$423,'Rankings'!$A$6:$A$423,B352,'Rankings'!$E$6:$E$423,"&lt;="&amp;F352)</x:f>
        <x:v>25.465997475245235</x:v>
      </x:c>
      <x:c r="N352" s="14" t="n">
        <x:f>SUMIFS('Ideal ranking'!$H$6:$H$365,'Ideal ranking'!$A$6:$A$365,C352,'Ideal ranking'!$B$6:$B$365,"&lt;="&amp;F352)</x:f>
        <x:v>25.465997475245235</x:v>
      </x:c>
      <x:c r="O352" s="14" t="n">
        <x:f>IF(I352&gt;0,"Unknown",IF(N352=0,"N/A",M352/N352))</x:f>
        <x:v>1</x:v>
      </x:c>
      <x:c r="P352" s="15" t="n">
        <x:f>IF(G352=0,"N/A",IF(I352&gt;0,"Unknown",H352/G352))</x:f>
        <x:v>1</x:v>
      </x:c>
      <x:c r="Q352" s="2" t="n">
        <x:f>F352-G352</x:f>
        <x:v>0</x:v>
      </x:c>
    </x:row>
    <x:row r="353" ht="22" customHeight="1">
      <x:c r="A353" s="2" t="str">
        <x:v>S39-T01|8</x:v>
      </x:c>
      <x:c r="B353" s="2" t="str">
        <x:v>S39-T01</x:v>
      </x:c>
      <x:c r="C353" s="2" t="str">
        <x:v>S39</x:v>
      </x:c>
      <x:c r="D353" s="2" t="str">
        <x:v>Extension</x:v>
      </x:c>
      <x:c r="E353" s="2" t="n">
        <x:v>1</x:v>
      </x:c>
      <x:c r="F353" s="2" t="n">
        <x:v>8</x:v>
      </x:c>
      <x:c r="G353" s="2" t="n">
        <x:f>COUNTIFS('Rankings'!$A$6:$A$423,B353,'Rankings'!$E$6:$E$423,"&lt;="&amp;F353)</x:f>
        <x:v>8</x:v>
      </x:c>
      <x:c r="H353" s="2" t="n">
        <x:f>SUMIFS('Rankings'!$J$6:$J$423,'Rankings'!$A$6:$A$423,B353,'Rankings'!$E$6:$E$423,"&lt;="&amp;F353)</x:f>
        <x:v>8</x:v>
      </x:c>
      <x:c r="I353" s="2" t="n">
        <x:f>G353-SUMIFS('Rankings'!$I$6:$I$423,'Rankings'!$A$6:$A$423,B353,'Rankings'!$E$6:$E$423,"&lt;="&amp;F353)</x:f>
        <x:v>0</x:v>
      </x:c>
      <x:c r="J353" s="2" t="n">
        <x:f>SUMIFS('Ratings'!$H$6:$H$1387,'Ratings'!$B$6:$B$1387,C353)</x:f>
        <x:v>23</x:v>
      </x:c>
      <x:c r="K353" s="15" t="n">
        <x:f>IF(I353&gt;0,"Unknown",H353/F353)</x:f>
        <x:v>1</x:v>
      </x:c>
      <x:c r="L353" s="15" t="n">
        <x:f>IF(J353=0,"N/A",H353/J353)</x:f>
        <x:v>0.34782608695652173</x:v>
      </x:c>
      <x:c r="M353" s="14" t="n">
        <x:f>SUMIFS('Rankings'!$L$6:$L$423,'Rankings'!$A$6:$A$423,B353,'Rankings'!$E$6:$E$423,"&lt;="&amp;F353)</x:f>
        <x:v>27.674251612745337</x:v>
      </x:c>
      <x:c r="N353" s="14" t="n">
        <x:f>SUMIFS('Ideal ranking'!$H$6:$H$365,'Ideal ranking'!$A$6:$A$365,C353,'Ideal ranking'!$B$6:$B$365,"&lt;="&amp;F353)</x:f>
        <x:v>27.674251612745337</x:v>
      </x:c>
      <x:c r="O353" s="14" t="n">
        <x:f>IF(I353&gt;0,"Unknown",IF(N353=0,"N/A",M353/N353))</x:f>
        <x:v>1</x:v>
      </x:c>
      <x:c r="P353" s="15" t="n">
        <x:f>IF(G353=0,"N/A",IF(I353&gt;0,"Unknown",H353/G353))</x:f>
        <x:v>1</x:v>
      </x:c>
      <x:c r="Q353" s="2" t="n">
        <x:f>F353-G353</x:f>
        <x:v>0</x:v>
      </x:c>
    </x:row>
    <x:row r="354" ht="22" customHeight="1">
      <x:c r="A354" s="2" t="str">
        <x:v>S39-T01|9</x:v>
      </x:c>
      <x:c r="B354" s="2" t="str">
        <x:v>S39-T01</x:v>
      </x:c>
      <x:c r="C354" s="2" t="str">
        <x:v>S39</x:v>
      </x:c>
      <x:c r="D354" s="2" t="str">
        <x:v>Extension</x:v>
      </x:c>
      <x:c r="E354" s="2" t="n">
        <x:v>1</x:v>
      </x:c>
      <x:c r="F354" s="2" t="n">
        <x:v>9</x:v>
      </x:c>
      <x:c r="G354" s="2" t="n">
        <x:f>COUNTIFS('Rankings'!$A$6:$A$423,B354,'Rankings'!$E$6:$E$423,"&lt;="&amp;F354)</x:f>
        <x:v>9</x:v>
      </x:c>
      <x:c r="H354" s="2" t="n">
        <x:f>SUMIFS('Rankings'!$J$6:$J$423,'Rankings'!$A$6:$A$423,B354,'Rankings'!$E$6:$E$423,"&lt;="&amp;F354)</x:f>
        <x:v>9</x:v>
      </x:c>
      <x:c r="I354" s="2" t="n">
        <x:f>G354-SUMIFS('Rankings'!$I$6:$I$423,'Rankings'!$A$6:$A$423,B354,'Rankings'!$E$6:$E$423,"&lt;="&amp;F354)</x:f>
        <x:v>0</x:v>
      </x:c>
      <x:c r="J354" s="2" t="n">
        <x:f>SUMIFS('Ratings'!$H$6:$H$1387,'Ratings'!$B$6:$B$1387,C354)</x:f>
        <x:v>23</x:v>
      </x:c>
      <x:c r="K354" s="15" t="n">
        <x:f>IF(I354&gt;0,"Unknown",H354/F354)</x:f>
        <x:v>1</x:v>
      </x:c>
      <x:c r="L354" s="15" t="n">
        <x:f>IF(J354=0,"N/A",H354/J354)</x:f>
        <x:v>0.391304347826087</x:v>
      </x:c>
      <x:c r="M354" s="14" t="n">
        <x:f>SUMIFS('Rankings'!$L$6:$L$423,'Rankings'!$A$6:$A$423,B354,'Rankings'!$E$6:$E$423,"&lt;="&amp;F354)</x:f>
        <x:v>29.781461582393206</x:v>
      </x:c>
      <x:c r="N354" s="14" t="n">
        <x:f>SUMIFS('Ideal ranking'!$H$6:$H$365,'Ideal ranking'!$A$6:$A$365,C354,'Ideal ranking'!$B$6:$B$365,"&lt;="&amp;F354)</x:f>
        <x:v>29.781461582393206</x:v>
      </x:c>
      <x:c r="O354" s="14" t="n">
        <x:f>IF(I354&gt;0,"Unknown",IF(N354=0,"N/A",M354/N354))</x:f>
        <x:v>1</x:v>
      </x:c>
      <x:c r="P354" s="15" t="n">
        <x:f>IF(G354=0,"N/A",IF(I354&gt;0,"Unknown",H354/G354))</x:f>
        <x:v>1</x:v>
      </x:c>
      <x:c r="Q354" s="2" t="n">
        <x:f>F354-G354</x:f>
        <x:v>0</x:v>
      </x:c>
    </x:row>
    <x:row r="355" ht="22" customHeight="1">
      <x:c r="A355" s="2" t="str">
        <x:v>S39-T01|10</x:v>
      </x:c>
      <x:c r="B355" s="2" t="str">
        <x:v>S39-T01</x:v>
      </x:c>
      <x:c r="C355" s="2" t="str">
        <x:v>S39</x:v>
      </x:c>
      <x:c r="D355" s="2" t="str">
        <x:v>Extension</x:v>
      </x:c>
      <x:c r="E355" s="2" t="n">
        <x:v>1</x:v>
      </x:c>
      <x:c r="F355" s="2" t="n">
        <x:v>10</x:v>
      </x:c>
      <x:c r="G355" s="2" t="n">
        <x:f>COUNTIFS('Rankings'!$A$6:$A$423,B355,'Rankings'!$E$6:$E$423,"&lt;="&amp;F355)</x:f>
        <x:v>10</x:v>
      </x:c>
      <x:c r="H355" s="2" t="n">
        <x:f>SUMIFS('Rankings'!$J$6:$J$423,'Rankings'!$A$6:$A$423,B355,'Rankings'!$E$6:$E$423,"&lt;="&amp;F355)</x:f>
        <x:v>10</x:v>
      </x:c>
      <x:c r="I355" s="2" t="n">
        <x:f>G355-SUMIFS('Rankings'!$I$6:$I$423,'Rankings'!$A$6:$A$423,B355,'Rankings'!$E$6:$E$423,"&lt;="&amp;F355)</x:f>
        <x:v>0</x:v>
      </x:c>
      <x:c r="J355" s="2" t="n">
        <x:f>SUMIFS('Ratings'!$H$6:$H$1387,'Ratings'!$B$6:$B$1387,C355)</x:f>
        <x:v>23</x:v>
      </x:c>
      <x:c r="K355" s="15" t="n">
        <x:f>IF(I355&gt;0,"Unknown",H355/F355)</x:f>
        <x:v>1</x:v>
      </x:c>
      <x:c r="L355" s="15" t="n">
        <x:f>IF(J355=0,"N/A",H355/J355)</x:f>
        <x:v>0.43478260869565216</x:v>
      </x:c>
      <x:c r="M355" s="14" t="n">
        <x:f>SUMIFS('Rankings'!$L$6:$L$423,'Rankings'!$A$6:$A$423,B355,'Rankings'!$E$6:$E$423,"&lt;="&amp;F355)</x:f>
        <x:v>31.80491536661842</x:v>
      </x:c>
      <x:c r="N355" s="14" t="n">
        <x:f>SUMIFS('Ideal ranking'!$H$6:$H$365,'Ideal ranking'!$A$6:$A$365,C355,'Ideal ranking'!$B$6:$B$365,"&lt;="&amp;F355)</x:f>
        <x:v>31.80491536661842</x:v>
      </x:c>
      <x:c r="O355" s="14" t="n">
        <x:f>IF(I355&gt;0,"Unknown",IF(N355=0,"N/A",M355/N355))</x:f>
        <x:v>1</x:v>
      </x:c>
      <x:c r="P355" s="15" t="n">
        <x:f>IF(G355=0,"N/A",IF(I355&gt;0,"Unknown",H355/G355))</x:f>
        <x:v>1</x:v>
      </x:c>
      <x:c r="Q355" s="2" t="n">
        <x:f>F355-G355</x:f>
        <x:v>0</x:v>
      </x:c>
    </x:row>
    <x:row r="356" ht="22" customHeight="1">
      <x:c r="A356" s="2" t="str">
        <x:v>S40-T01|1</x:v>
      </x:c>
      <x:c r="B356" s="2" t="str">
        <x:v>S40-T01</x:v>
      </x:c>
      <x:c r="C356" s="2" t="str">
        <x:v>S40</x:v>
      </x:c>
      <x:c r="D356" s="2" t="str">
        <x:v>Extension</x:v>
      </x:c>
      <x:c r="E356" s="2" t="n">
        <x:v>1</x:v>
      </x:c>
      <x:c r="F356" s="2" t="n">
        <x:v>1</x:v>
      </x:c>
      <x:c r="G356" s="2" t="n">
        <x:f>COUNTIFS('Rankings'!$A$6:$A$423,B356,'Rankings'!$E$6:$E$423,"&lt;="&amp;F356)</x:f>
        <x:v>1</x:v>
      </x:c>
      <x:c r="H356" s="2" t="n">
        <x:f>SUMIFS('Rankings'!$J$6:$J$423,'Rankings'!$A$6:$A$423,B356,'Rankings'!$E$6:$E$423,"&lt;="&amp;F356)</x:f>
        <x:v>1</x:v>
      </x:c>
      <x:c r="I356" s="2" t="n">
        <x:f>G356-SUMIFS('Rankings'!$I$6:$I$423,'Rankings'!$A$6:$A$423,B356,'Rankings'!$E$6:$E$423,"&lt;="&amp;F356)</x:f>
        <x:v>0</x:v>
      </x:c>
      <x:c r="J356" s="2" t="n">
        <x:f>SUMIFS('Ratings'!$H$6:$H$1387,'Ratings'!$B$6:$B$1387,C356)</x:f>
        <x:v>23</x:v>
      </x:c>
      <x:c r="K356" s="15" t="n">
        <x:f>IF(I356&gt;0,"Unknown",H356/F356)</x:f>
        <x:v>1</x:v>
      </x:c>
      <x:c r="L356" s="15" t="n">
        <x:f>IF(J356=0,"N/A",H356/J356)</x:f>
        <x:v>0.043478260869565216</x:v>
      </x:c>
      <x:c r="M356" s="14" t="n">
        <x:f>SUMIFS('Rankings'!$L$6:$L$423,'Rankings'!$A$6:$A$423,B356,'Rankings'!$E$6:$E$423,"&lt;="&amp;F356)</x:f>
        <x:v>7</x:v>
      </x:c>
      <x:c r="N356" s="14" t="n">
        <x:f>SUMIFS('Ideal ranking'!$H$6:$H$365,'Ideal ranking'!$A$6:$A$365,C356,'Ideal ranking'!$B$6:$B$365,"&lt;="&amp;F356)</x:f>
        <x:v>7</x:v>
      </x:c>
      <x:c r="O356" s="14" t="n">
        <x:f>IF(I356&gt;0,"Unknown",IF(N356=0,"N/A",M356/N356))</x:f>
        <x:v>1</x:v>
      </x:c>
      <x:c r="P356" s="15" t="n">
        <x:f>IF(G356=0,"N/A",IF(I356&gt;0,"Unknown",H356/G356))</x:f>
        <x:v>1</x:v>
      </x:c>
      <x:c r="Q356" s="2" t="n">
        <x:f>F356-G356</x:f>
        <x:v>0</x:v>
      </x:c>
    </x:row>
    <x:row r="357" ht="22" customHeight="1">
      <x:c r="A357" s="2" t="str">
        <x:v>S40-T01|2</x:v>
      </x:c>
      <x:c r="B357" s="2" t="str">
        <x:v>S40-T01</x:v>
      </x:c>
      <x:c r="C357" s="2" t="str">
        <x:v>S40</x:v>
      </x:c>
      <x:c r="D357" s="2" t="str">
        <x:v>Extension</x:v>
      </x:c>
      <x:c r="E357" s="2" t="n">
        <x:v>1</x:v>
      </x:c>
      <x:c r="F357" s="2" t="n">
        <x:v>2</x:v>
      </x:c>
      <x:c r="G357" s="2" t="n">
        <x:f>COUNTIFS('Rankings'!$A$6:$A$423,B357,'Rankings'!$E$6:$E$423,"&lt;="&amp;F357)</x:f>
        <x:v>2</x:v>
      </x:c>
      <x:c r="H357" s="2" t="n">
        <x:f>SUMIFS('Rankings'!$J$6:$J$423,'Rankings'!$A$6:$A$423,B357,'Rankings'!$E$6:$E$423,"&lt;="&amp;F357)</x:f>
        <x:v>2</x:v>
      </x:c>
      <x:c r="I357" s="2" t="n">
        <x:f>G357-SUMIFS('Rankings'!$I$6:$I$423,'Rankings'!$A$6:$A$423,B357,'Rankings'!$E$6:$E$423,"&lt;="&amp;F357)</x:f>
        <x:v>0</x:v>
      </x:c>
      <x:c r="J357" s="2" t="n">
        <x:f>SUMIFS('Ratings'!$H$6:$H$1387,'Ratings'!$B$6:$B$1387,C357)</x:f>
        <x:v>23</x:v>
      </x:c>
      <x:c r="K357" s="15" t="n">
        <x:f>IF(I357&gt;0,"Unknown",H357/F357)</x:f>
        <x:v>1</x:v>
      </x:c>
      <x:c r="L357" s="15" t="n">
        <x:f>IF(J357=0,"N/A",H357/J357)</x:f>
        <x:v>0.08695652173913043</x:v>
      </x:c>
      <x:c r="M357" s="14" t="n">
        <x:f>SUMIFS('Rankings'!$L$6:$L$423,'Rankings'!$A$6:$A$423,B357,'Rankings'!$E$6:$E$423,"&lt;="&amp;F357)</x:f>
        <x:v>11.416508275000202</x:v>
      </x:c>
      <x:c r="N357" s="14" t="n">
        <x:f>SUMIFS('Ideal ranking'!$H$6:$H$365,'Ideal ranking'!$A$6:$A$365,C357,'Ideal ranking'!$B$6:$B$365,"&lt;="&amp;F357)</x:f>
        <x:v>11.416508275000202</x:v>
      </x:c>
      <x:c r="O357" s="14" t="n">
        <x:f>IF(I357&gt;0,"Unknown",IF(N357=0,"N/A",M357/N357))</x:f>
        <x:v>1</x:v>
      </x:c>
      <x:c r="P357" s="15" t="n">
        <x:f>IF(G357=0,"N/A",IF(I357&gt;0,"Unknown",H357/G357))</x:f>
        <x:v>1</x:v>
      </x:c>
      <x:c r="Q357" s="2" t="n">
        <x:f>F357-G357</x:f>
        <x:v>0</x:v>
      </x:c>
    </x:row>
    <x:row r="358" ht="22" customHeight="1">
      <x:c r="A358" s="2" t="str">
        <x:v>S40-T01|3</x:v>
      </x:c>
      <x:c r="B358" s="2" t="str">
        <x:v>S40-T01</x:v>
      </x:c>
      <x:c r="C358" s="2" t="str">
        <x:v>S40</x:v>
      </x:c>
      <x:c r="D358" s="2" t="str">
        <x:v>Extension</x:v>
      </x:c>
      <x:c r="E358" s="2" t="n">
        <x:v>1</x:v>
      </x:c>
      <x:c r="F358" s="2" t="n">
        <x:v>3</x:v>
      </x:c>
      <x:c r="G358" s="2" t="n">
        <x:f>COUNTIFS('Rankings'!$A$6:$A$423,B358,'Rankings'!$E$6:$E$423,"&lt;="&amp;F358)</x:f>
        <x:v>3</x:v>
      </x:c>
      <x:c r="H358" s="2" t="n">
        <x:f>SUMIFS('Rankings'!$J$6:$J$423,'Rankings'!$A$6:$A$423,B358,'Rankings'!$E$6:$E$423,"&lt;="&amp;F358)</x:f>
        <x:v>3</x:v>
      </x:c>
      <x:c r="I358" s="2" t="n">
        <x:f>G358-SUMIFS('Rankings'!$I$6:$I$423,'Rankings'!$A$6:$A$423,B358,'Rankings'!$E$6:$E$423,"&lt;="&amp;F358)</x:f>
        <x:v>0</x:v>
      </x:c>
      <x:c r="J358" s="2" t="n">
        <x:f>SUMIFS('Ratings'!$H$6:$H$1387,'Ratings'!$B$6:$B$1387,C358)</x:f>
        <x:v>23</x:v>
      </x:c>
      <x:c r="K358" s="15" t="n">
        <x:f>IF(I358&gt;0,"Unknown",H358/F358)</x:f>
        <x:v>1</x:v>
      </x:c>
      <x:c r="L358" s="15" t="n">
        <x:f>IF(J358=0,"N/A",H358/J358)</x:f>
        <x:v>0.13043478260869565</x:v>
      </x:c>
      <x:c r="M358" s="14" t="n">
        <x:f>SUMIFS('Rankings'!$L$6:$L$423,'Rankings'!$A$6:$A$423,B358,'Rankings'!$E$6:$E$423,"&lt;="&amp;F358)</x:f>
        <x:v>14.916508275000202</x:v>
      </x:c>
      <x:c r="N358" s="14" t="n">
        <x:f>SUMIFS('Ideal ranking'!$H$6:$H$365,'Ideal ranking'!$A$6:$A$365,C358,'Ideal ranking'!$B$6:$B$365,"&lt;="&amp;F358)</x:f>
        <x:v>14.916508275000202</x:v>
      </x:c>
      <x:c r="O358" s="14" t="n">
        <x:f>IF(I358&gt;0,"Unknown",IF(N358=0,"N/A",M358/N358))</x:f>
        <x:v>1</x:v>
      </x:c>
      <x:c r="P358" s="15" t="n">
        <x:f>IF(G358=0,"N/A",IF(I358&gt;0,"Unknown",H358/G358))</x:f>
        <x:v>1</x:v>
      </x:c>
      <x:c r="Q358" s="2" t="n">
        <x:f>F358-G358</x:f>
        <x:v>0</x:v>
      </x:c>
    </x:row>
    <x:row r="359" ht="22" customHeight="1">
      <x:c r="A359" s="2" t="str">
        <x:v>S40-T01|4</x:v>
      </x:c>
      <x:c r="B359" s="2" t="str">
        <x:v>S40-T01</x:v>
      </x:c>
      <x:c r="C359" s="2" t="str">
        <x:v>S40</x:v>
      </x:c>
      <x:c r="D359" s="2" t="str">
        <x:v>Extension</x:v>
      </x:c>
      <x:c r="E359" s="2" t="n">
        <x:v>1</x:v>
      </x:c>
      <x:c r="F359" s="2" t="n">
        <x:v>4</x:v>
      </x:c>
      <x:c r="G359" s="2" t="n">
        <x:f>COUNTIFS('Rankings'!$A$6:$A$423,B359,'Rankings'!$E$6:$E$423,"&lt;="&amp;F359)</x:f>
        <x:v>4</x:v>
      </x:c>
      <x:c r="H359" s="2" t="n">
        <x:f>SUMIFS('Rankings'!$J$6:$J$423,'Rankings'!$A$6:$A$423,B359,'Rankings'!$E$6:$E$423,"&lt;="&amp;F359)</x:f>
        <x:v>4</x:v>
      </x:c>
      <x:c r="I359" s="2" t="n">
        <x:f>G359-SUMIFS('Rankings'!$I$6:$I$423,'Rankings'!$A$6:$A$423,B359,'Rankings'!$E$6:$E$423,"&lt;="&amp;F359)</x:f>
        <x:v>0</x:v>
      </x:c>
      <x:c r="J359" s="2" t="n">
        <x:f>SUMIFS('Ratings'!$H$6:$H$1387,'Ratings'!$B$6:$B$1387,C359)</x:f>
        <x:v>23</x:v>
      </x:c>
      <x:c r="K359" s="15" t="n">
        <x:f>IF(I359&gt;0,"Unknown",H359/F359)</x:f>
        <x:v>1</x:v>
      </x:c>
      <x:c r="L359" s="15" t="n">
        <x:f>IF(J359=0,"N/A",H359/J359)</x:f>
        <x:v>0.17391304347826086</x:v>
      </x:c>
      <x:c r="M359" s="14" t="n">
        <x:f>SUMIFS('Rankings'!$L$6:$L$423,'Rankings'!$A$6:$A$423,B359,'Rankings'!$E$6:$E$423,"&lt;="&amp;F359)</x:f>
        <x:v>17.931244181513954</x:v>
      </x:c>
      <x:c r="N359" s="14" t="n">
        <x:f>SUMIFS('Ideal ranking'!$H$6:$H$365,'Ideal ranking'!$A$6:$A$365,C359,'Ideal ranking'!$B$6:$B$365,"&lt;="&amp;F359)</x:f>
        <x:v>17.931244181513954</x:v>
      </x:c>
      <x:c r="O359" s="14" t="n">
        <x:f>IF(I359&gt;0,"Unknown",IF(N359=0,"N/A",M359/N359))</x:f>
        <x:v>1</x:v>
      </x:c>
      <x:c r="P359" s="15" t="n">
        <x:f>IF(G359=0,"N/A",IF(I359&gt;0,"Unknown",H359/G359))</x:f>
        <x:v>1</x:v>
      </x:c>
      <x:c r="Q359" s="2" t="n">
        <x:f>F359-G359</x:f>
        <x:v>0</x:v>
      </x:c>
    </x:row>
    <x:row r="360" ht="22" customHeight="1">
      <x:c r="A360" s="2" t="str">
        <x:v>S40-T01|5</x:v>
      </x:c>
      <x:c r="B360" s="2" t="str">
        <x:v>S40-T01</x:v>
      </x:c>
      <x:c r="C360" s="2" t="str">
        <x:v>S40</x:v>
      </x:c>
      <x:c r="D360" s="2" t="str">
        <x:v>Extension</x:v>
      </x:c>
      <x:c r="E360" s="2" t="n">
        <x:v>1</x:v>
      </x:c>
      <x:c r="F360" s="2" t="n">
        <x:v>5</x:v>
      </x:c>
      <x:c r="G360" s="2" t="n">
        <x:f>COUNTIFS('Rankings'!$A$6:$A$423,B360,'Rankings'!$E$6:$E$423,"&lt;="&amp;F360)</x:f>
        <x:v>5</x:v>
      </x:c>
      <x:c r="H360" s="2" t="n">
        <x:f>SUMIFS('Rankings'!$J$6:$J$423,'Rankings'!$A$6:$A$423,B360,'Rankings'!$E$6:$E$423,"&lt;="&amp;F360)</x:f>
        <x:v>5</x:v>
      </x:c>
      <x:c r="I360" s="2" t="n">
        <x:f>G360-SUMIFS('Rankings'!$I$6:$I$423,'Rankings'!$A$6:$A$423,B360,'Rankings'!$E$6:$E$423,"&lt;="&amp;F360)</x:f>
        <x:v>0</x:v>
      </x:c>
      <x:c r="J360" s="2" t="n">
        <x:f>SUMIFS('Ratings'!$H$6:$H$1387,'Ratings'!$B$6:$B$1387,C360)</x:f>
        <x:v>23</x:v>
      </x:c>
      <x:c r="K360" s="15" t="n">
        <x:f>IF(I360&gt;0,"Unknown",H360/F360)</x:f>
        <x:v>1</x:v>
      </x:c>
      <x:c r="L360" s="15" t="n">
        <x:f>IF(J360=0,"N/A",H360/J360)</x:f>
        <x:v>0.21739130434782608</x:v>
      </x:c>
      <x:c r="M360" s="14" t="n">
        <x:f>SUMIFS('Rankings'!$L$6:$L$423,'Rankings'!$A$6:$A$423,B360,'Rankings'!$E$6:$E$423,"&lt;="&amp;F360)</x:f>
        <x:v>20.639213832155747</x:v>
      </x:c>
      <x:c r="N360" s="14" t="n">
        <x:f>SUMIFS('Ideal ranking'!$H$6:$H$365,'Ideal ranking'!$A$6:$A$365,C360,'Ideal ranking'!$B$6:$B$365,"&lt;="&amp;F360)</x:f>
        <x:v>20.639213832155747</x:v>
      </x:c>
      <x:c r="O360" s="14" t="n">
        <x:f>IF(I360&gt;0,"Unknown",IF(N360=0,"N/A",M360/N360))</x:f>
        <x:v>1</x:v>
      </x:c>
      <x:c r="P360" s="15" t="n">
        <x:f>IF(G360=0,"N/A",IF(I360&gt;0,"Unknown",H360/G360))</x:f>
        <x:v>1</x:v>
      </x:c>
      <x:c r="Q360" s="2" t="n">
        <x:f>F360-G360</x:f>
        <x:v>0</x:v>
      </x:c>
    </x:row>
    <x:row r="361" ht="22" customHeight="1">
      <x:c r="A361" s="2" t="str">
        <x:v>S40-T01|6</x:v>
      </x:c>
      <x:c r="B361" s="2" t="str">
        <x:v>S40-T01</x:v>
      </x:c>
      <x:c r="C361" s="2" t="str">
        <x:v>S40</x:v>
      </x:c>
      <x:c r="D361" s="2" t="str">
        <x:v>Extension</x:v>
      </x:c>
      <x:c r="E361" s="2" t="n">
        <x:v>1</x:v>
      </x:c>
      <x:c r="F361" s="2" t="n">
        <x:v>6</x:v>
      </x:c>
      <x:c r="G361" s="2" t="n">
        <x:f>COUNTIFS('Rankings'!$A$6:$A$423,B361,'Rankings'!$E$6:$E$423,"&lt;="&amp;F361)</x:f>
        <x:v>6</x:v>
      </x:c>
      <x:c r="H361" s="2" t="n">
        <x:f>SUMIFS('Rankings'!$J$6:$J$423,'Rankings'!$A$6:$A$423,B361,'Rankings'!$E$6:$E$423,"&lt;="&amp;F361)</x:f>
        <x:v>6</x:v>
      </x:c>
      <x:c r="I361" s="2" t="n">
        <x:f>G361-SUMIFS('Rankings'!$I$6:$I$423,'Rankings'!$A$6:$A$423,B361,'Rankings'!$E$6:$E$423,"&lt;="&amp;F361)</x:f>
        <x:v>0</x:v>
      </x:c>
      <x:c r="J361" s="2" t="n">
        <x:f>SUMIFS('Ratings'!$H$6:$H$1387,'Ratings'!$B$6:$B$1387,C361)</x:f>
        <x:v>23</x:v>
      </x:c>
      <x:c r="K361" s="15" t="n">
        <x:f>IF(I361&gt;0,"Unknown",H361/F361)</x:f>
        <x:v>1</x:v>
      </x:c>
      <x:c r="L361" s="15" t="n">
        <x:f>IF(J361=0,"N/A",H361/J361)</x:f>
        <x:v>0.2608695652173913</x:v>
      </x:c>
      <x:c r="M361" s="14" t="n">
        <x:f>SUMIFS('Rankings'!$L$6:$L$423,'Rankings'!$A$6:$A$423,B361,'Rankings'!$E$6:$E$423,"&lt;="&amp;F361)</x:f>
        <x:v>23.132664141911903</x:v>
      </x:c>
      <x:c r="N361" s="14" t="n">
        <x:f>SUMIFS('Ideal ranking'!$H$6:$H$365,'Ideal ranking'!$A$6:$A$365,C361,'Ideal ranking'!$B$6:$B$365,"&lt;="&amp;F361)</x:f>
        <x:v>23.132664141911903</x:v>
      </x:c>
      <x:c r="O361" s="14" t="n">
        <x:f>IF(I361&gt;0,"Unknown",IF(N361=0,"N/A",M361/N361))</x:f>
        <x:v>1</x:v>
      </x:c>
      <x:c r="P361" s="15" t="n">
        <x:f>IF(G361=0,"N/A",IF(I361&gt;0,"Unknown",H361/G361))</x:f>
        <x:v>1</x:v>
      </x:c>
      <x:c r="Q361" s="2" t="n">
        <x:f>F361-G361</x:f>
        <x:v>0</x:v>
      </x:c>
    </x:row>
    <x:row r="362" ht="22" customHeight="1">
      <x:c r="A362" s="2" t="str">
        <x:v>S40-T01|7</x:v>
      </x:c>
      <x:c r="B362" s="2" t="str">
        <x:v>S40-T01</x:v>
      </x:c>
      <x:c r="C362" s="2" t="str">
        <x:v>S40</x:v>
      </x:c>
      <x:c r="D362" s="2" t="str">
        <x:v>Extension</x:v>
      </x:c>
      <x:c r="E362" s="2" t="n">
        <x:v>1</x:v>
      </x:c>
      <x:c r="F362" s="2" t="n">
        <x:v>7</x:v>
      </x:c>
      <x:c r="G362" s="2" t="n">
        <x:f>COUNTIFS('Rankings'!$A$6:$A$423,B362,'Rankings'!$E$6:$E$423,"&lt;="&amp;F362)</x:f>
        <x:v>7</x:v>
      </x:c>
      <x:c r="H362" s="2" t="n">
        <x:f>SUMIFS('Rankings'!$J$6:$J$423,'Rankings'!$A$6:$A$423,B362,'Rankings'!$E$6:$E$423,"&lt;="&amp;F362)</x:f>
        <x:v>7</x:v>
      </x:c>
      <x:c r="I362" s="2" t="n">
        <x:f>G362-SUMIFS('Rankings'!$I$6:$I$423,'Rankings'!$A$6:$A$423,B362,'Rankings'!$E$6:$E$423,"&lt;="&amp;F362)</x:f>
        <x:v>0</x:v>
      </x:c>
      <x:c r="J362" s="2" t="n">
        <x:f>SUMIFS('Ratings'!$H$6:$H$1387,'Ratings'!$B$6:$B$1387,C362)</x:f>
        <x:v>23</x:v>
      </x:c>
      <x:c r="K362" s="15" t="n">
        <x:f>IF(I362&gt;0,"Unknown",H362/F362)</x:f>
        <x:v>1</x:v>
      </x:c>
      <x:c r="L362" s="15" t="n">
        <x:f>IF(J362=0,"N/A",H362/J362)</x:f>
        <x:v>0.30434782608695654</x:v>
      </x:c>
      <x:c r="M362" s="14" t="n">
        <x:f>SUMIFS('Rankings'!$L$6:$L$423,'Rankings'!$A$6:$A$423,B362,'Rankings'!$E$6:$E$423,"&lt;="&amp;F362)</x:f>
        <x:v>25.465997475245235</x:v>
      </x:c>
      <x:c r="N362" s="14" t="n">
        <x:f>SUMIFS('Ideal ranking'!$H$6:$H$365,'Ideal ranking'!$A$6:$A$365,C362,'Ideal ranking'!$B$6:$B$365,"&lt;="&amp;F362)</x:f>
        <x:v>25.465997475245235</x:v>
      </x:c>
      <x:c r="O362" s="14" t="n">
        <x:f>IF(I362&gt;0,"Unknown",IF(N362=0,"N/A",M362/N362))</x:f>
        <x:v>1</x:v>
      </x:c>
      <x:c r="P362" s="15" t="n">
        <x:f>IF(G362=0,"N/A",IF(I362&gt;0,"Unknown",H362/G362))</x:f>
        <x:v>1</x:v>
      </x:c>
      <x:c r="Q362" s="2" t="n">
        <x:f>F362-G362</x:f>
        <x:v>0</x:v>
      </x:c>
    </x:row>
    <x:row r="363" ht="22" customHeight="1">
      <x:c r="A363" s="2" t="str">
        <x:v>S40-T01|8</x:v>
      </x:c>
      <x:c r="B363" s="2" t="str">
        <x:v>S40-T01</x:v>
      </x:c>
      <x:c r="C363" s="2" t="str">
        <x:v>S40</x:v>
      </x:c>
      <x:c r="D363" s="2" t="str">
        <x:v>Extension</x:v>
      </x:c>
      <x:c r="E363" s="2" t="n">
        <x:v>1</x:v>
      </x:c>
      <x:c r="F363" s="2" t="n">
        <x:v>8</x:v>
      </x:c>
      <x:c r="G363" s="2" t="n">
        <x:f>COUNTIFS('Rankings'!$A$6:$A$423,B363,'Rankings'!$E$6:$E$423,"&lt;="&amp;F363)</x:f>
        <x:v>8</x:v>
      </x:c>
      <x:c r="H363" s="2" t="n">
        <x:f>SUMIFS('Rankings'!$J$6:$J$423,'Rankings'!$A$6:$A$423,B363,'Rankings'!$E$6:$E$423,"&lt;="&amp;F363)</x:f>
        <x:v>8</x:v>
      </x:c>
      <x:c r="I363" s="2" t="n">
        <x:f>G363-SUMIFS('Rankings'!$I$6:$I$423,'Rankings'!$A$6:$A$423,B363,'Rankings'!$E$6:$E$423,"&lt;="&amp;F363)</x:f>
        <x:v>0</x:v>
      </x:c>
      <x:c r="J363" s="2" t="n">
        <x:f>SUMIFS('Ratings'!$H$6:$H$1387,'Ratings'!$B$6:$B$1387,C363)</x:f>
        <x:v>23</x:v>
      </x:c>
      <x:c r="K363" s="15" t="n">
        <x:f>IF(I363&gt;0,"Unknown",H363/F363)</x:f>
        <x:v>1</x:v>
      </x:c>
      <x:c r="L363" s="15" t="n">
        <x:f>IF(J363=0,"N/A",H363/J363)</x:f>
        <x:v>0.34782608695652173</x:v>
      </x:c>
      <x:c r="M363" s="14" t="n">
        <x:f>SUMIFS('Rankings'!$L$6:$L$423,'Rankings'!$A$6:$A$423,B363,'Rankings'!$E$6:$E$423,"&lt;="&amp;F363)</x:f>
        <x:v>27.674251612745337</x:v>
      </x:c>
      <x:c r="N363" s="14" t="n">
        <x:f>SUMIFS('Ideal ranking'!$H$6:$H$365,'Ideal ranking'!$A$6:$A$365,C363,'Ideal ranking'!$B$6:$B$365,"&lt;="&amp;F363)</x:f>
        <x:v>27.674251612745337</x:v>
      </x:c>
      <x:c r="O363" s="14" t="n">
        <x:f>IF(I363&gt;0,"Unknown",IF(N363=0,"N/A",M363/N363))</x:f>
        <x:v>1</x:v>
      </x:c>
      <x:c r="P363" s="15" t="n">
        <x:f>IF(G363=0,"N/A",IF(I363&gt;0,"Unknown",H363/G363))</x:f>
        <x:v>1</x:v>
      </x:c>
      <x:c r="Q363" s="2" t="n">
        <x:f>F363-G363</x:f>
        <x:v>0</x:v>
      </x:c>
    </x:row>
    <x:row r="364" ht="22" customHeight="1">
      <x:c r="A364" s="2" t="str">
        <x:v>S40-T01|9</x:v>
      </x:c>
      <x:c r="B364" s="2" t="str">
        <x:v>S40-T01</x:v>
      </x:c>
      <x:c r="C364" s="2" t="str">
        <x:v>S40</x:v>
      </x:c>
      <x:c r="D364" s="2" t="str">
        <x:v>Extension</x:v>
      </x:c>
      <x:c r="E364" s="2" t="n">
        <x:v>1</x:v>
      </x:c>
      <x:c r="F364" s="2" t="n">
        <x:v>9</x:v>
      </x:c>
      <x:c r="G364" s="2" t="n">
        <x:f>COUNTIFS('Rankings'!$A$6:$A$423,B364,'Rankings'!$E$6:$E$423,"&lt;="&amp;F364)</x:f>
        <x:v>9</x:v>
      </x:c>
      <x:c r="H364" s="2" t="n">
        <x:f>SUMIFS('Rankings'!$J$6:$J$423,'Rankings'!$A$6:$A$423,B364,'Rankings'!$E$6:$E$423,"&lt;="&amp;F364)</x:f>
        <x:v>9</x:v>
      </x:c>
      <x:c r="I364" s="2" t="n">
        <x:f>G364-SUMIFS('Rankings'!$I$6:$I$423,'Rankings'!$A$6:$A$423,B364,'Rankings'!$E$6:$E$423,"&lt;="&amp;F364)</x:f>
        <x:v>0</x:v>
      </x:c>
      <x:c r="J364" s="2" t="n">
        <x:f>SUMIFS('Ratings'!$H$6:$H$1387,'Ratings'!$B$6:$B$1387,C364)</x:f>
        <x:v>23</x:v>
      </x:c>
      <x:c r="K364" s="15" t="n">
        <x:f>IF(I364&gt;0,"Unknown",H364/F364)</x:f>
        <x:v>1</x:v>
      </x:c>
      <x:c r="L364" s="15" t="n">
        <x:f>IF(J364=0,"N/A",H364/J364)</x:f>
        <x:v>0.391304347826087</x:v>
      </x:c>
      <x:c r="M364" s="14" t="n">
        <x:f>SUMIFS('Rankings'!$L$6:$L$423,'Rankings'!$A$6:$A$423,B364,'Rankings'!$E$6:$E$423,"&lt;="&amp;F364)</x:f>
        <x:v>29.781461582393206</x:v>
      </x:c>
      <x:c r="N364" s="14" t="n">
        <x:f>SUMIFS('Ideal ranking'!$H$6:$H$365,'Ideal ranking'!$A$6:$A$365,C364,'Ideal ranking'!$B$6:$B$365,"&lt;="&amp;F364)</x:f>
        <x:v>29.781461582393206</x:v>
      </x:c>
      <x:c r="O364" s="14" t="n">
        <x:f>IF(I364&gt;0,"Unknown",IF(N364=0,"N/A",M364/N364))</x:f>
        <x:v>1</x:v>
      </x:c>
      <x:c r="P364" s="15" t="n">
        <x:f>IF(G364=0,"N/A",IF(I364&gt;0,"Unknown",H364/G364))</x:f>
        <x:v>1</x:v>
      </x:c>
      <x:c r="Q364" s="2" t="n">
        <x:f>F364-G364</x:f>
        <x:v>0</x:v>
      </x:c>
    </x:row>
    <x:row r="365" ht="22" customHeight="1">
      <x:c r="A365" s="2" t="str">
        <x:v>S40-T01|10</x:v>
      </x:c>
      <x:c r="B365" s="2" t="str">
        <x:v>S40-T01</x:v>
      </x:c>
      <x:c r="C365" s="2" t="str">
        <x:v>S40</x:v>
      </x:c>
      <x:c r="D365" s="2" t="str">
        <x:v>Extension</x:v>
      </x:c>
      <x:c r="E365" s="2" t="n">
        <x:v>1</x:v>
      </x:c>
      <x:c r="F365" s="2" t="n">
        <x:v>10</x:v>
      </x:c>
      <x:c r="G365" s="2" t="n">
        <x:f>COUNTIFS('Rankings'!$A$6:$A$423,B365,'Rankings'!$E$6:$E$423,"&lt;="&amp;F365)</x:f>
        <x:v>10</x:v>
      </x:c>
      <x:c r="H365" s="2" t="n">
        <x:f>SUMIFS('Rankings'!$J$6:$J$423,'Rankings'!$A$6:$A$423,B365,'Rankings'!$E$6:$E$423,"&lt;="&amp;F365)</x:f>
        <x:v>10</x:v>
      </x:c>
      <x:c r="I365" s="2" t="n">
        <x:f>G365-SUMIFS('Rankings'!$I$6:$I$423,'Rankings'!$A$6:$A$423,B365,'Rankings'!$E$6:$E$423,"&lt;="&amp;F365)</x:f>
        <x:v>0</x:v>
      </x:c>
      <x:c r="J365" s="2" t="n">
        <x:f>SUMIFS('Ratings'!$H$6:$H$1387,'Ratings'!$B$6:$B$1387,C365)</x:f>
        <x:v>23</x:v>
      </x:c>
      <x:c r="K365" s="15" t="n">
        <x:f>IF(I365&gt;0,"Unknown",H365/F365)</x:f>
        <x:v>1</x:v>
      </x:c>
      <x:c r="L365" s="15" t="n">
        <x:f>IF(J365=0,"N/A",H365/J365)</x:f>
        <x:v>0.43478260869565216</x:v>
      </x:c>
      <x:c r="M365" s="14" t="n">
        <x:f>SUMIFS('Rankings'!$L$6:$L$423,'Rankings'!$A$6:$A$423,B365,'Rankings'!$E$6:$E$423,"&lt;="&amp;F365)</x:f>
        <x:v>31.80491536661842</x:v>
      </x:c>
      <x:c r="N365" s="14" t="n">
        <x:f>SUMIFS('Ideal ranking'!$H$6:$H$365,'Ideal ranking'!$A$6:$A$365,C365,'Ideal ranking'!$B$6:$B$365,"&lt;="&amp;F365)</x:f>
        <x:v>31.80491536661842</x:v>
      </x:c>
      <x:c r="O365" s="14" t="n">
        <x:f>IF(I365&gt;0,"Unknown",IF(N365=0,"N/A",M365/N365))</x:f>
        <x:v>1</x:v>
      </x:c>
      <x:c r="P365" s="15" t="n">
        <x:f>IF(G365=0,"N/A",IF(I365&gt;0,"Unknown",H365/G365))</x:f>
        <x:v>1</x:v>
      </x:c>
      <x:c r="Q365" s="2" t="n">
        <x:f>F365-G365</x:f>
        <x:v>0</x:v>
      </x:c>
    </x:row>
    <x:row r="366" ht="22" customHeight="1">
      <x:c r="A366" s="2" t="str">
        <x:v>S27-T02|1</x:v>
      </x:c>
      <x:c r="B366" s="2" t="str">
        <x:v>S27-T02</x:v>
      </x:c>
      <x:c r="C366" s="2" t="str">
        <x:v>S27</x:v>
      </x:c>
      <x:c r="D366" s="2" t="str">
        <x:v>Repeat</x:v>
      </x:c>
      <x:c r="E366" s="2" t="n">
        <x:v>2</x:v>
      </x:c>
      <x:c r="F366" s="2" t="n">
        <x:v>1</x:v>
      </x:c>
      <x:c r="G366" s="2" t="n">
        <x:f>COUNTIFS('Rankings'!$A$6:$A$423,B366,'Rankings'!$E$6:$E$423,"&lt;="&amp;F366)</x:f>
        <x:v>1</x:v>
      </x:c>
      <x:c r="H366" s="2" t="n">
        <x:f>SUMIFS('Rankings'!$J$6:$J$423,'Rankings'!$A$6:$A$423,B366,'Rankings'!$E$6:$E$423,"&lt;="&amp;F366)</x:f>
        <x:v>1</x:v>
      </x:c>
      <x:c r="I366" s="2" t="n">
        <x:f>G366-SUMIFS('Rankings'!$I$6:$I$423,'Rankings'!$A$6:$A$423,B366,'Rankings'!$E$6:$E$423,"&lt;="&amp;F366)</x:f>
        <x:v>0</x:v>
      </x:c>
      <x:c r="J366" s="2" t="n">
        <x:f>SUMIFS('Ratings'!$H$6:$H$1387,'Ratings'!$B$6:$B$1387,C366)</x:f>
        <x:v>46</x:v>
      </x:c>
      <x:c r="K366" s="15" t="n">
        <x:f>IF(I366&gt;0,"Unknown",H366/F366)</x:f>
        <x:v>1</x:v>
      </x:c>
      <x:c r="L366" s="15" t="n">
        <x:f>IF(J366=0,"N/A",H366/J366)</x:f>
        <x:v>0.021739130434782608</x:v>
      </x:c>
      <x:c r="M366" s="14" t="n">
        <x:f>SUMIFS('Rankings'!$L$6:$L$423,'Rankings'!$A$6:$A$423,B366,'Rankings'!$E$6:$E$423,"&lt;="&amp;F366)</x:f>
        <x:v>7</x:v>
      </x:c>
      <x:c r="N366" s="14" t="n">
        <x:f>SUMIFS('Ideal ranking'!$H$6:$H$365,'Ideal ranking'!$A$6:$A$365,C366,'Ideal ranking'!$B$6:$B$365,"&lt;="&amp;F366)</x:f>
        <x:v>7</x:v>
      </x:c>
      <x:c r="O366" s="14" t="n">
        <x:f>IF(I366&gt;0,"Unknown",IF(N366=0,"N/A",M366/N366))</x:f>
        <x:v>1</x:v>
      </x:c>
      <x:c r="P366" s="15" t="n">
        <x:f>IF(G366=0,"N/A",IF(I366&gt;0,"Unknown",H366/G366))</x:f>
        <x:v>1</x:v>
      </x:c>
      <x:c r="Q366" s="2" t="n">
        <x:f>F366-G366</x:f>
        <x:v>0</x:v>
      </x:c>
    </x:row>
    <x:row r="367" ht="22" customHeight="1">
      <x:c r="A367" s="2" t="str">
        <x:v>S27-T02|2</x:v>
      </x:c>
      <x:c r="B367" s="2" t="str">
        <x:v>S27-T02</x:v>
      </x:c>
      <x:c r="C367" s="2" t="str">
        <x:v>S27</x:v>
      </x:c>
      <x:c r="D367" s="2" t="str">
        <x:v>Repeat</x:v>
      </x:c>
      <x:c r="E367" s="2" t="n">
        <x:v>2</x:v>
      </x:c>
      <x:c r="F367" s="2" t="n">
        <x:v>2</x:v>
      </x:c>
      <x:c r="G367" s="2" t="n">
        <x:f>COUNTIFS('Rankings'!$A$6:$A$423,B367,'Rankings'!$E$6:$E$423,"&lt;="&amp;F367)</x:f>
        <x:v>2</x:v>
      </x:c>
      <x:c r="H367" s="2" t="n">
        <x:f>SUMIFS('Rankings'!$J$6:$J$423,'Rankings'!$A$6:$A$423,B367,'Rankings'!$E$6:$E$423,"&lt;="&amp;F367)</x:f>
        <x:v>2</x:v>
      </x:c>
      <x:c r="I367" s="2" t="n">
        <x:f>G367-SUMIFS('Rankings'!$I$6:$I$423,'Rankings'!$A$6:$A$423,B367,'Rankings'!$E$6:$E$423,"&lt;="&amp;F367)</x:f>
        <x:v>0</x:v>
      </x:c>
      <x:c r="J367" s="2" t="n">
        <x:f>SUMIFS('Ratings'!$H$6:$H$1387,'Ratings'!$B$6:$B$1387,C367)</x:f>
        <x:v>46</x:v>
      </x:c>
      <x:c r="K367" s="15" t="n">
        <x:f>IF(I367&gt;0,"Unknown",H367/F367)</x:f>
        <x:v>1</x:v>
      </x:c>
      <x:c r="L367" s="15" t="n">
        <x:f>IF(J367=0,"N/A",H367/J367)</x:f>
        <x:v>0.043478260869565216</x:v>
      </x:c>
      <x:c r="M367" s="14" t="n">
        <x:f>SUMIFS('Rankings'!$L$6:$L$423,'Rankings'!$A$6:$A$423,B367,'Rankings'!$E$6:$E$423,"&lt;="&amp;F367)</x:f>
        <x:v>11.416508275000202</x:v>
      </x:c>
      <x:c r="N367" s="14" t="n">
        <x:f>SUMIFS('Ideal ranking'!$H$6:$H$365,'Ideal ranking'!$A$6:$A$365,C367,'Ideal ranking'!$B$6:$B$365,"&lt;="&amp;F367)</x:f>
        <x:v>11.416508275000202</x:v>
      </x:c>
      <x:c r="O367" s="14" t="n">
        <x:f>IF(I367&gt;0,"Unknown",IF(N367=0,"N/A",M367/N367))</x:f>
        <x:v>1</x:v>
      </x:c>
      <x:c r="P367" s="15" t="n">
        <x:f>IF(G367=0,"N/A",IF(I367&gt;0,"Unknown",H367/G367))</x:f>
        <x:v>1</x:v>
      </x:c>
      <x:c r="Q367" s="2" t="n">
        <x:f>F367-G367</x:f>
        <x:v>0</x:v>
      </x:c>
    </x:row>
    <x:row r="368" ht="22" customHeight="1">
      <x:c r="A368" s="2" t="str">
        <x:v>S27-T02|3</x:v>
      </x:c>
      <x:c r="B368" s="2" t="str">
        <x:v>S27-T02</x:v>
      </x:c>
      <x:c r="C368" s="2" t="str">
        <x:v>S27</x:v>
      </x:c>
      <x:c r="D368" s="2" t="str">
        <x:v>Repeat</x:v>
      </x:c>
      <x:c r="E368" s="2" t="n">
        <x:v>2</x:v>
      </x:c>
      <x:c r="F368" s="2" t="n">
        <x:v>3</x:v>
      </x:c>
      <x:c r="G368" s="2" t="n">
        <x:f>COUNTIFS('Rankings'!$A$6:$A$423,B368,'Rankings'!$E$6:$E$423,"&lt;="&amp;F368)</x:f>
        <x:v>3</x:v>
      </x:c>
      <x:c r="H368" s="2" t="n">
        <x:f>SUMIFS('Rankings'!$J$6:$J$423,'Rankings'!$A$6:$A$423,B368,'Rankings'!$E$6:$E$423,"&lt;="&amp;F368)</x:f>
        <x:v>3</x:v>
      </x:c>
      <x:c r="I368" s="2" t="n">
        <x:f>G368-SUMIFS('Rankings'!$I$6:$I$423,'Rankings'!$A$6:$A$423,B368,'Rankings'!$E$6:$E$423,"&lt;="&amp;F368)</x:f>
        <x:v>0</x:v>
      </x:c>
      <x:c r="J368" s="2" t="n">
        <x:f>SUMIFS('Ratings'!$H$6:$H$1387,'Ratings'!$B$6:$B$1387,C368)</x:f>
        <x:v>46</x:v>
      </x:c>
      <x:c r="K368" s="15" t="n">
        <x:f>IF(I368&gt;0,"Unknown",H368/F368)</x:f>
        <x:v>1</x:v>
      </x:c>
      <x:c r="L368" s="15" t="n">
        <x:f>IF(J368=0,"N/A",H368/J368)</x:f>
        <x:v>0.06521739130434782</x:v>
      </x:c>
      <x:c r="M368" s="14" t="n">
        <x:f>SUMIFS('Rankings'!$L$6:$L$423,'Rankings'!$A$6:$A$423,B368,'Rankings'!$E$6:$E$423,"&lt;="&amp;F368)</x:f>
        <x:v>14.916508275000202</x:v>
      </x:c>
      <x:c r="N368" s="14" t="n">
        <x:f>SUMIFS('Ideal ranking'!$H$6:$H$365,'Ideal ranking'!$A$6:$A$365,C368,'Ideal ranking'!$B$6:$B$365,"&lt;="&amp;F368)</x:f>
        <x:v>14.916508275000202</x:v>
      </x:c>
      <x:c r="O368" s="14" t="n">
        <x:f>IF(I368&gt;0,"Unknown",IF(N368=0,"N/A",M368/N368))</x:f>
        <x:v>1</x:v>
      </x:c>
      <x:c r="P368" s="15" t="n">
        <x:f>IF(G368=0,"N/A",IF(I368&gt;0,"Unknown",H368/G368))</x:f>
        <x:v>1</x:v>
      </x:c>
      <x:c r="Q368" s="2" t="n">
        <x:f>F368-G368</x:f>
        <x:v>0</x:v>
      </x:c>
    </x:row>
    <x:row r="369" ht="22" customHeight="1">
      <x:c r="A369" s="2" t="str">
        <x:v>S27-T02|4</x:v>
      </x:c>
      <x:c r="B369" s="2" t="str">
        <x:v>S27-T02</x:v>
      </x:c>
      <x:c r="C369" s="2" t="str">
        <x:v>S27</x:v>
      </x:c>
      <x:c r="D369" s="2" t="str">
        <x:v>Repeat</x:v>
      </x:c>
      <x:c r="E369" s="2" t="n">
        <x:v>2</x:v>
      </x:c>
      <x:c r="F369" s="2" t="n">
        <x:v>4</x:v>
      </x:c>
      <x:c r="G369" s="2" t="n">
        <x:f>COUNTIFS('Rankings'!$A$6:$A$423,B369,'Rankings'!$E$6:$E$423,"&lt;="&amp;F369)</x:f>
        <x:v>4</x:v>
      </x:c>
      <x:c r="H369" s="2" t="n">
        <x:f>SUMIFS('Rankings'!$J$6:$J$423,'Rankings'!$A$6:$A$423,B369,'Rankings'!$E$6:$E$423,"&lt;="&amp;F369)</x:f>
        <x:v>4</x:v>
      </x:c>
      <x:c r="I369" s="2" t="n">
        <x:f>G369-SUMIFS('Rankings'!$I$6:$I$423,'Rankings'!$A$6:$A$423,B369,'Rankings'!$E$6:$E$423,"&lt;="&amp;F369)</x:f>
        <x:v>0</x:v>
      </x:c>
      <x:c r="J369" s="2" t="n">
        <x:f>SUMIFS('Ratings'!$H$6:$H$1387,'Ratings'!$B$6:$B$1387,C369)</x:f>
        <x:v>46</x:v>
      </x:c>
      <x:c r="K369" s="15" t="n">
        <x:f>IF(I369&gt;0,"Unknown",H369/F369)</x:f>
        <x:v>1</x:v>
      </x:c>
      <x:c r="L369" s="15" t="n">
        <x:f>IF(J369=0,"N/A",H369/J369)</x:f>
        <x:v>0.08695652173913043</x:v>
      </x:c>
      <x:c r="M369" s="14" t="n">
        <x:f>SUMIFS('Rankings'!$L$6:$L$423,'Rankings'!$A$6:$A$423,B369,'Rankings'!$E$6:$E$423,"&lt;="&amp;F369)</x:f>
        <x:v>17.931244181513954</x:v>
      </x:c>
      <x:c r="N369" s="14" t="n">
        <x:f>SUMIFS('Ideal ranking'!$H$6:$H$365,'Ideal ranking'!$A$6:$A$365,C369,'Ideal ranking'!$B$6:$B$365,"&lt;="&amp;F369)</x:f>
        <x:v>17.931244181513954</x:v>
      </x:c>
      <x:c r="O369" s="14" t="n">
        <x:f>IF(I369&gt;0,"Unknown",IF(N369=0,"N/A",M369/N369))</x:f>
        <x:v>1</x:v>
      </x:c>
      <x:c r="P369" s="15" t="n">
        <x:f>IF(G369=0,"N/A",IF(I369&gt;0,"Unknown",H369/G369))</x:f>
        <x:v>1</x:v>
      </x:c>
      <x:c r="Q369" s="2" t="n">
        <x:f>F369-G369</x:f>
        <x:v>0</x:v>
      </x:c>
    </x:row>
    <x:row r="370" ht="22" customHeight="1">
      <x:c r="A370" s="2" t="str">
        <x:v>S27-T02|5</x:v>
      </x:c>
      <x:c r="B370" s="2" t="str">
        <x:v>S27-T02</x:v>
      </x:c>
      <x:c r="C370" s="2" t="str">
        <x:v>S27</x:v>
      </x:c>
      <x:c r="D370" s="2" t="str">
        <x:v>Repeat</x:v>
      </x:c>
      <x:c r="E370" s="2" t="n">
        <x:v>2</x:v>
      </x:c>
      <x:c r="F370" s="2" t="n">
        <x:v>5</x:v>
      </x:c>
      <x:c r="G370" s="2" t="n">
        <x:f>COUNTIFS('Rankings'!$A$6:$A$423,B370,'Rankings'!$E$6:$E$423,"&lt;="&amp;F370)</x:f>
        <x:v>5</x:v>
      </x:c>
      <x:c r="H370" s="2" t="n">
        <x:f>SUMIFS('Rankings'!$J$6:$J$423,'Rankings'!$A$6:$A$423,B370,'Rankings'!$E$6:$E$423,"&lt;="&amp;F370)</x:f>
        <x:v>5</x:v>
      </x:c>
      <x:c r="I370" s="2" t="n">
        <x:f>G370-SUMIFS('Rankings'!$I$6:$I$423,'Rankings'!$A$6:$A$423,B370,'Rankings'!$E$6:$E$423,"&lt;="&amp;F370)</x:f>
        <x:v>0</x:v>
      </x:c>
      <x:c r="J370" s="2" t="n">
        <x:f>SUMIFS('Ratings'!$H$6:$H$1387,'Ratings'!$B$6:$B$1387,C370)</x:f>
        <x:v>46</x:v>
      </x:c>
      <x:c r="K370" s="15" t="n">
        <x:f>IF(I370&gt;0,"Unknown",H370/F370)</x:f>
        <x:v>1</x:v>
      </x:c>
      <x:c r="L370" s="15" t="n">
        <x:f>IF(J370=0,"N/A",H370/J370)</x:f>
        <x:v>0.10869565217391304</x:v>
      </x:c>
      <x:c r="M370" s="14" t="n">
        <x:f>SUMIFS('Rankings'!$L$6:$L$423,'Rankings'!$A$6:$A$423,B370,'Rankings'!$E$6:$E$423,"&lt;="&amp;F370)</x:f>
        <x:v>20.639213832155747</x:v>
      </x:c>
      <x:c r="N370" s="14" t="n">
        <x:f>SUMIFS('Ideal ranking'!$H$6:$H$365,'Ideal ranking'!$A$6:$A$365,C370,'Ideal ranking'!$B$6:$B$365,"&lt;="&amp;F370)</x:f>
        <x:v>20.639213832155747</x:v>
      </x:c>
      <x:c r="O370" s="14" t="n">
        <x:f>IF(I370&gt;0,"Unknown",IF(N370=0,"N/A",M370/N370))</x:f>
        <x:v>1</x:v>
      </x:c>
      <x:c r="P370" s="15" t="n">
        <x:f>IF(G370=0,"N/A",IF(I370&gt;0,"Unknown",H370/G370))</x:f>
        <x:v>1</x:v>
      </x:c>
      <x:c r="Q370" s="2" t="n">
        <x:f>F370-G370</x:f>
        <x:v>0</x:v>
      </x:c>
    </x:row>
    <x:row r="371" ht="22" customHeight="1">
      <x:c r="A371" s="2" t="str">
        <x:v>S27-T02|6</x:v>
      </x:c>
      <x:c r="B371" s="2" t="str">
        <x:v>S27-T02</x:v>
      </x:c>
      <x:c r="C371" s="2" t="str">
        <x:v>S27</x:v>
      </x:c>
      <x:c r="D371" s="2" t="str">
        <x:v>Repeat</x:v>
      </x:c>
      <x:c r="E371" s="2" t="n">
        <x:v>2</x:v>
      </x:c>
      <x:c r="F371" s="2" t="n">
        <x:v>6</x:v>
      </x:c>
      <x:c r="G371" s="2" t="n">
        <x:f>COUNTIFS('Rankings'!$A$6:$A$423,B371,'Rankings'!$E$6:$E$423,"&lt;="&amp;F371)</x:f>
        <x:v>6</x:v>
      </x:c>
      <x:c r="H371" s="2" t="n">
        <x:f>SUMIFS('Rankings'!$J$6:$J$423,'Rankings'!$A$6:$A$423,B371,'Rankings'!$E$6:$E$423,"&lt;="&amp;F371)</x:f>
        <x:v>6</x:v>
      </x:c>
      <x:c r="I371" s="2" t="n">
        <x:f>G371-SUMIFS('Rankings'!$I$6:$I$423,'Rankings'!$A$6:$A$423,B371,'Rankings'!$E$6:$E$423,"&lt;="&amp;F371)</x:f>
        <x:v>0</x:v>
      </x:c>
      <x:c r="J371" s="2" t="n">
        <x:f>SUMIFS('Ratings'!$H$6:$H$1387,'Ratings'!$B$6:$B$1387,C371)</x:f>
        <x:v>46</x:v>
      </x:c>
      <x:c r="K371" s="15" t="n">
        <x:f>IF(I371&gt;0,"Unknown",H371/F371)</x:f>
        <x:v>1</x:v>
      </x:c>
      <x:c r="L371" s="15" t="n">
        <x:f>IF(J371=0,"N/A",H371/J371)</x:f>
        <x:v>0.13043478260869565</x:v>
      </x:c>
      <x:c r="M371" s="14" t="n">
        <x:f>SUMIFS('Rankings'!$L$6:$L$423,'Rankings'!$A$6:$A$423,B371,'Rankings'!$E$6:$E$423,"&lt;="&amp;F371)</x:f>
        <x:v>23.132664141911903</x:v>
      </x:c>
      <x:c r="N371" s="14" t="n">
        <x:f>SUMIFS('Ideal ranking'!$H$6:$H$365,'Ideal ranking'!$A$6:$A$365,C371,'Ideal ranking'!$B$6:$B$365,"&lt;="&amp;F371)</x:f>
        <x:v>23.132664141911903</x:v>
      </x:c>
      <x:c r="O371" s="14" t="n">
        <x:f>IF(I371&gt;0,"Unknown",IF(N371=0,"N/A",M371/N371))</x:f>
        <x:v>1</x:v>
      </x:c>
      <x:c r="P371" s="15" t="n">
        <x:f>IF(G371=0,"N/A",IF(I371&gt;0,"Unknown",H371/G371))</x:f>
        <x:v>1</x:v>
      </x:c>
      <x:c r="Q371" s="2" t="n">
        <x:f>F371-G371</x:f>
        <x:v>0</x:v>
      </x:c>
    </x:row>
    <x:row r="372" ht="22" customHeight="1">
      <x:c r="A372" s="2" t="str">
        <x:v>S27-T02|7</x:v>
      </x:c>
      <x:c r="B372" s="2" t="str">
        <x:v>S27-T02</x:v>
      </x:c>
      <x:c r="C372" s="2" t="str">
        <x:v>S27</x:v>
      </x:c>
      <x:c r="D372" s="2" t="str">
        <x:v>Repeat</x:v>
      </x:c>
      <x:c r="E372" s="2" t="n">
        <x:v>2</x:v>
      </x:c>
      <x:c r="F372" s="2" t="n">
        <x:v>7</x:v>
      </x:c>
      <x:c r="G372" s="2" t="n">
        <x:f>COUNTIFS('Rankings'!$A$6:$A$423,B372,'Rankings'!$E$6:$E$423,"&lt;="&amp;F372)</x:f>
        <x:v>7</x:v>
      </x:c>
      <x:c r="H372" s="2" t="n">
        <x:f>SUMIFS('Rankings'!$J$6:$J$423,'Rankings'!$A$6:$A$423,B372,'Rankings'!$E$6:$E$423,"&lt;="&amp;F372)</x:f>
        <x:v>7</x:v>
      </x:c>
      <x:c r="I372" s="2" t="n">
        <x:f>G372-SUMIFS('Rankings'!$I$6:$I$423,'Rankings'!$A$6:$A$423,B372,'Rankings'!$E$6:$E$423,"&lt;="&amp;F372)</x:f>
        <x:v>0</x:v>
      </x:c>
      <x:c r="J372" s="2" t="n">
        <x:f>SUMIFS('Ratings'!$H$6:$H$1387,'Ratings'!$B$6:$B$1387,C372)</x:f>
        <x:v>46</x:v>
      </x:c>
      <x:c r="K372" s="15" t="n">
        <x:f>IF(I372&gt;0,"Unknown",H372/F372)</x:f>
        <x:v>1</x:v>
      </x:c>
      <x:c r="L372" s="15" t="n">
        <x:f>IF(J372=0,"N/A",H372/J372)</x:f>
        <x:v>0.15217391304347827</x:v>
      </x:c>
      <x:c r="M372" s="14" t="n">
        <x:f>SUMIFS('Rankings'!$L$6:$L$423,'Rankings'!$A$6:$A$423,B372,'Rankings'!$E$6:$E$423,"&lt;="&amp;F372)</x:f>
        <x:v>25.465997475245235</x:v>
      </x:c>
      <x:c r="N372" s="14" t="n">
        <x:f>SUMIFS('Ideal ranking'!$H$6:$H$365,'Ideal ranking'!$A$6:$A$365,C372,'Ideal ranking'!$B$6:$B$365,"&lt;="&amp;F372)</x:f>
        <x:v>25.465997475245235</x:v>
      </x:c>
      <x:c r="O372" s="14" t="n">
        <x:f>IF(I372&gt;0,"Unknown",IF(N372=0,"N/A",M372/N372))</x:f>
        <x:v>1</x:v>
      </x:c>
      <x:c r="P372" s="15" t="n">
        <x:f>IF(G372=0,"N/A",IF(I372&gt;0,"Unknown",H372/G372))</x:f>
        <x:v>1</x:v>
      </x:c>
      <x:c r="Q372" s="2" t="n">
        <x:f>F372-G372</x:f>
        <x:v>0</x:v>
      </x:c>
    </x:row>
    <x:row r="373" ht="22" customHeight="1">
      <x:c r="A373" s="2" t="str">
        <x:v>S27-T02|8</x:v>
      </x:c>
      <x:c r="B373" s="2" t="str">
        <x:v>S27-T02</x:v>
      </x:c>
      <x:c r="C373" s="2" t="str">
        <x:v>S27</x:v>
      </x:c>
      <x:c r="D373" s="2" t="str">
        <x:v>Repeat</x:v>
      </x:c>
      <x:c r="E373" s="2" t="n">
        <x:v>2</x:v>
      </x:c>
      <x:c r="F373" s="2" t="n">
        <x:v>8</x:v>
      </x:c>
      <x:c r="G373" s="2" t="n">
        <x:f>COUNTIFS('Rankings'!$A$6:$A$423,B373,'Rankings'!$E$6:$E$423,"&lt;="&amp;F373)</x:f>
        <x:v>8</x:v>
      </x:c>
      <x:c r="H373" s="2" t="n">
        <x:f>SUMIFS('Rankings'!$J$6:$J$423,'Rankings'!$A$6:$A$423,B373,'Rankings'!$E$6:$E$423,"&lt;="&amp;F373)</x:f>
        <x:v>8</x:v>
      </x:c>
      <x:c r="I373" s="2" t="n">
        <x:f>G373-SUMIFS('Rankings'!$I$6:$I$423,'Rankings'!$A$6:$A$423,B373,'Rankings'!$E$6:$E$423,"&lt;="&amp;F373)</x:f>
        <x:v>0</x:v>
      </x:c>
      <x:c r="J373" s="2" t="n">
        <x:f>SUMIFS('Ratings'!$H$6:$H$1387,'Ratings'!$B$6:$B$1387,C373)</x:f>
        <x:v>46</x:v>
      </x:c>
      <x:c r="K373" s="15" t="n">
        <x:f>IF(I373&gt;0,"Unknown",H373/F373)</x:f>
        <x:v>1</x:v>
      </x:c>
      <x:c r="L373" s="15" t="n">
        <x:f>IF(J373=0,"N/A",H373/J373)</x:f>
        <x:v>0.17391304347826086</x:v>
      </x:c>
      <x:c r="M373" s="14" t="n">
        <x:f>SUMIFS('Rankings'!$L$6:$L$423,'Rankings'!$A$6:$A$423,B373,'Rankings'!$E$6:$E$423,"&lt;="&amp;F373)</x:f>
        <x:v>27.674251612745337</x:v>
      </x:c>
      <x:c r="N373" s="14" t="n">
        <x:f>SUMIFS('Ideal ranking'!$H$6:$H$365,'Ideal ranking'!$A$6:$A$365,C373,'Ideal ranking'!$B$6:$B$365,"&lt;="&amp;F373)</x:f>
        <x:v>27.674251612745337</x:v>
      </x:c>
      <x:c r="O373" s="14" t="n">
        <x:f>IF(I373&gt;0,"Unknown",IF(N373=0,"N/A",M373/N373))</x:f>
        <x:v>1</x:v>
      </x:c>
      <x:c r="P373" s="15" t="n">
        <x:f>IF(G373=0,"N/A",IF(I373&gt;0,"Unknown",H373/G373))</x:f>
        <x:v>1</x:v>
      </x:c>
      <x:c r="Q373" s="2" t="n">
        <x:f>F373-G373</x:f>
        <x:v>0</x:v>
      </x:c>
    </x:row>
    <x:row r="374" ht="22" customHeight="1">
      <x:c r="A374" s="2" t="str">
        <x:v>S27-T02|9</x:v>
      </x:c>
      <x:c r="B374" s="2" t="str">
        <x:v>S27-T02</x:v>
      </x:c>
      <x:c r="C374" s="2" t="str">
        <x:v>S27</x:v>
      </x:c>
      <x:c r="D374" s="2" t="str">
        <x:v>Repeat</x:v>
      </x:c>
      <x:c r="E374" s="2" t="n">
        <x:v>2</x:v>
      </x:c>
      <x:c r="F374" s="2" t="n">
        <x:v>9</x:v>
      </x:c>
      <x:c r="G374" s="2" t="n">
        <x:f>COUNTIFS('Rankings'!$A$6:$A$423,B374,'Rankings'!$E$6:$E$423,"&lt;="&amp;F374)</x:f>
        <x:v>9</x:v>
      </x:c>
      <x:c r="H374" s="2" t="n">
        <x:f>SUMIFS('Rankings'!$J$6:$J$423,'Rankings'!$A$6:$A$423,B374,'Rankings'!$E$6:$E$423,"&lt;="&amp;F374)</x:f>
        <x:v>9</x:v>
      </x:c>
      <x:c r="I374" s="2" t="n">
        <x:f>G374-SUMIFS('Rankings'!$I$6:$I$423,'Rankings'!$A$6:$A$423,B374,'Rankings'!$E$6:$E$423,"&lt;="&amp;F374)</x:f>
        <x:v>0</x:v>
      </x:c>
      <x:c r="J374" s="2" t="n">
        <x:f>SUMIFS('Ratings'!$H$6:$H$1387,'Ratings'!$B$6:$B$1387,C374)</x:f>
        <x:v>46</x:v>
      </x:c>
      <x:c r="K374" s="15" t="n">
        <x:f>IF(I374&gt;0,"Unknown",H374/F374)</x:f>
        <x:v>1</x:v>
      </x:c>
      <x:c r="L374" s="15" t="n">
        <x:f>IF(J374=0,"N/A",H374/J374)</x:f>
        <x:v>0.1956521739130435</x:v>
      </x:c>
      <x:c r="M374" s="14" t="n">
        <x:f>SUMIFS('Rankings'!$L$6:$L$423,'Rankings'!$A$6:$A$423,B374,'Rankings'!$E$6:$E$423,"&lt;="&amp;F374)</x:f>
        <x:v>29.781461582393206</x:v>
      </x:c>
      <x:c r="N374" s="14" t="n">
        <x:f>SUMIFS('Ideal ranking'!$H$6:$H$365,'Ideal ranking'!$A$6:$A$365,C374,'Ideal ranking'!$B$6:$B$365,"&lt;="&amp;F374)</x:f>
        <x:v>29.781461582393206</x:v>
      </x:c>
      <x:c r="O374" s="14" t="n">
        <x:f>IF(I374&gt;0,"Unknown",IF(N374=0,"N/A",M374/N374))</x:f>
        <x:v>1</x:v>
      </x:c>
      <x:c r="P374" s="15" t="n">
        <x:f>IF(G374=0,"N/A",IF(I374&gt;0,"Unknown",H374/G374))</x:f>
        <x:v>1</x:v>
      </x:c>
      <x:c r="Q374" s="2" t="n">
        <x:f>F374-G374</x:f>
        <x:v>0</x:v>
      </x:c>
    </x:row>
    <x:row r="375" ht="22" customHeight="1">
      <x:c r="A375" s="2" t="str">
        <x:v>S27-T02|10</x:v>
      </x:c>
      <x:c r="B375" s="2" t="str">
        <x:v>S27-T02</x:v>
      </x:c>
      <x:c r="C375" s="2" t="str">
        <x:v>S27</x:v>
      </x:c>
      <x:c r="D375" s="2" t="str">
        <x:v>Repeat</x:v>
      </x:c>
      <x:c r="E375" s="2" t="n">
        <x:v>2</x:v>
      </x:c>
      <x:c r="F375" s="2" t="n">
        <x:v>10</x:v>
      </x:c>
      <x:c r="G375" s="2" t="n">
        <x:f>COUNTIFS('Rankings'!$A$6:$A$423,B375,'Rankings'!$E$6:$E$423,"&lt;="&amp;F375)</x:f>
        <x:v>10</x:v>
      </x:c>
      <x:c r="H375" s="2" t="n">
        <x:f>SUMIFS('Rankings'!$J$6:$J$423,'Rankings'!$A$6:$A$423,B375,'Rankings'!$E$6:$E$423,"&lt;="&amp;F375)</x:f>
        <x:v>10</x:v>
      </x:c>
      <x:c r="I375" s="2" t="n">
        <x:f>G375-SUMIFS('Rankings'!$I$6:$I$423,'Rankings'!$A$6:$A$423,B375,'Rankings'!$E$6:$E$423,"&lt;="&amp;F375)</x:f>
        <x:v>0</x:v>
      </x:c>
      <x:c r="J375" s="2" t="n">
        <x:f>SUMIFS('Ratings'!$H$6:$H$1387,'Ratings'!$B$6:$B$1387,C375)</x:f>
        <x:v>46</x:v>
      </x:c>
      <x:c r="K375" s="15" t="n">
        <x:f>IF(I375&gt;0,"Unknown",H375/F375)</x:f>
        <x:v>1</x:v>
      </x:c>
      <x:c r="L375" s="15" t="n">
        <x:f>IF(J375=0,"N/A",H375/J375)</x:f>
        <x:v>0.21739130434782608</x:v>
      </x:c>
      <x:c r="M375" s="14" t="n">
        <x:f>SUMIFS('Rankings'!$L$6:$L$423,'Rankings'!$A$6:$A$423,B375,'Rankings'!$E$6:$E$423,"&lt;="&amp;F375)</x:f>
        <x:v>31.80491536661842</x:v>
      </x:c>
      <x:c r="N375" s="14" t="n">
        <x:f>SUMIFS('Ideal ranking'!$H$6:$H$365,'Ideal ranking'!$A$6:$A$365,C375,'Ideal ranking'!$B$6:$B$365,"&lt;="&amp;F375)</x:f>
        <x:v>31.80491536661842</x:v>
      </x:c>
      <x:c r="O375" s="14" t="n">
        <x:f>IF(I375&gt;0,"Unknown",IF(N375=0,"N/A",M375/N375))</x:f>
        <x:v>1</x:v>
      </x:c>
      <x:c r="P375" s="15" t="n">
        <x:f>IF(G375=0,"N/A",IF(I375&gt;0,"Unknown",H375/G375))</x:f>
        <x:v>1</x:v>
      </x:c>
      <x:c r="Q375" s="2" t="n">
        <x:f>F375-G375</x:f>
        <x:v>0</x:v>
      </x:c>
    </x:row>
    <x:row r="376" ht="22" customHeight="1">
      <x:c r="A376" s="2" t="str">
        <x:v>S27-T03|1</x:v>
      </x:c>
      <x:c r="B376" s="2" t="str">
        <x:v>S27-T03</x:v>
      </x:c>
      <x:c r="C376" s="2" t="str">
        <x:v>S27</x:v>
      </x:c>
      <x:c r="D376" s="2" t="str">
        <x:v>Repeat</x:v>
      </x:c>
      <x:c r="E376" s="2" t="n">
        <x:v>3</x:v>
      </x:c>
      <x:c r="F376" s="2" t="n">
        <x:v>1</x:v>
      </x:c>
      <x:c r="G376" s="2" t="n">
        <x:f>COUNTIFS('Rankings'!$A$6:$A$423,B376,'Rankings'!$E$6:$E$423,"&lt;="&amp;F376)</x:f>
        <x:v>1</x:v>
      </x:c>
      <x:c r="H376" s="2" t="n">
        <x:f>SUMIFS('Rankings'!$J$6:$J$423,'Rankings'!$A$6:$A$423,B376,'Rankings'!$E$6:$E$423,"&lt;="&amp;F376)</x:f>
        <x:v>1</x:v>
      </x:c>
      <x:c r="I376" s="2" t="n">
        <x:f>G376-SUMIFS('Rankings'!$I$6:$I$423,'Rankings'!$A$6:$A$423,B376,'Rankings'!$E$6:$E$423,"&lt;="&amp;F376)</x:f>
        <x:v>0</x:v>
      </x:c>
      <x:c r="J376" s="2" t="n">
        <x:f>SUMIFS('Ratings'!$H$6:$H$1387,'Ratings'!$B$6:$B$1387,C376)</x:f>
        <x:v>46</x:v>
      </x:c>
      <x:c r="K376" s="15" t="n">
        <x:f>IF(I376&gt;0,"Unknown",H376/F376)</x:f>
        <x:v>1</x:v>
      </x:c>
      <x:c r="L376" s="15" t="n">
        <x:f>IF(J376=0,"N/A",H376/J376)</x:f>
        <x:v>0.021739130434782608</x:v>
      </x:c>
      <x:c r="M376" s="14" t="n">
        <x:f>SUMIFS('Rankings'!$L$6:$L$423,'Rankings'!$A$6:$A$423,B376,'Rankings'!$E$6:$E$423,"&lt;="&amp;F376)</x:f>
        <x:v>7</x:v>
      </x:c>
      <x:c r="N376" s="14" t="n">
        <x:f>SUMIFS('Ideal ranking'!$H$6:$H$365,'Ideal ranking'!$A$6:$A$365,C376,'Ideal ranking'!$B$6:$B$365,"&lt;="&amp;F376)</x:f>
        <x:v>7</x:v>
      </x:c>
      <x:c r="O376" s="14" t="n">
        <x:f>IF(I376&gt;0,"Unknown",IF(N376=0,"N/A",M376/N376))</x:f>
        <x:v>1</x:v>
      </x:c>
      <x:c r="P376" s="15" t="n">
        <x:f>IF(G376=0,"N/A",IF(I376&gt;0,"Unknown",H376/G376))</x:f>
        <x:v>1</x:v>
      </x:c>
      <x:c r="Q376" s="2" t="n">
        <x:f>F376-G376</x:f>
        <x:v>0</x:v>
      </x:c>
    </x:row>
    <x:row r="377" ht="22" customHeight="1">
      <x:c r="A377" s="2" t="str">
        <x:v>S27-T03|2</x:v>
      </x:c>
      <x:c r="B377" s="2" t="str">
        <x:v>S27-T03</x:v>
      </x:c>
      <x:c r="C377" s="2" t="str">
        <x:v>S27</x:v>
      </x:c>
      <x:c r="D377" s="2" t="str">
        <x:v>Repeat</x:v>
      </x:c>
      <x:c r="E377" s="2" t="n">
        <x:v>3</x:v>
      </x:c>
      <x:c r="F377" s="2" t="n">
        <x:v>2</x:v>
      </x:c>
      <x:c r="G377" s="2" t="n">
        <x:f>COUNTIFS('Rankings'!$A$6:$A$423,B377,'Rankings'!$E$6:$E$423,"&lt;="&amp;F377)</x:f>
        <x:v>2</x:v>
      </x:c>
      <x:c r="H377" s="2" t="n">
        <x:f>SUMIFS('Rankings'!$J$6:$J$423,'Rankings'!$A$6:$A$423,B377,'Rankings'!$E$6:$E$423,"&lt;="&amp;F377)</x:f>
        <x:v>2</x:v>
      </x:c>
      <x:c r="I377" s="2" t="n">
        <x:f>G377-SUMIFS('Rankings'!$I$6:$I$423,'Rankings'!$A$6:$A$423,B377,'Rankings'!$E$6:$E$423,"&lt;="&amp;F377)</x:f>
        <x:v>0</x:v>
      </x:c>
      <x:c r="J377" s="2" t="n">
        <x:f>SUMIFS('Ratings'!$H$6:$H$1387,'Ratings'!$B$6:$B$1387,C377)</x:f>
        <x:v>46</x:v>
      </x:c>
      <x:c r="K377" s="15" t="n">
        <x:f>IF(I377&gt;0,"Unknown",H377/F377)</x:f>
        <x:v>1</x:v>
      </x:c>
      <x:c r="L377" s="15" t="n">
        <x:f>IF(J377=0,"N/A",H377/J377)</x:f>
        <x:v>0.043478260869565216</x:v>
      </x:c>
      <x:c r="M377" s="14" t="n">
        <x:f>SUMIFS('Rankings'!$L$6:$L$423,'Rankings'!$A$6:$A$423,B377,'Rankings'!$E$6:$E$423,"&lt;="&amp;F377)</x:f>
        <x:v>11.416508275000202</x:v>
      </x:c>
      <x:c r="N377" s="14" t="n">
        <x:f>SUMIFS('Ideal ranking'!$H$6:$H$365,'Ideal ranking'!$A$6:$A$365,C377,'Ideal ranking'!$B$6:$B$365,"&lt;="&amp;F377)</x:f>
        <x:v>11.416508275000202</x:v>
      </x:c>
      <x:c r="O377" s="14" t="n">
        <x:f>IF(I377&gt;0,"Unknown",IF(N377=0,"N/A",M377/N377))</x:f>
        <x:v>1</x:v>
      </x:c>
      <x:c r="P377" s="15" t="n">
        <x:f>IF(G377=0,"N/A",IF(I377&gt;0,"Unknown",H377/G377))</x:f>
        <x:v>1</x:v>
      </x:c>
      <x:c r="Q377" s="2" t="n">
        <x:f>F377-G377</x:f>
        <x:v>0</x:v>
      </x:c>
    </x:row>
    <x:row r="378" ht="22" customHeight="1">
      <x:c r="A378" s="2" t="str">
        <x:v>S27-T03|3</x:v>
      </x:c>
      <x:c r="B378" s="2" t="str">
        <x:v>S27-T03</x:v>
      </x:c>
      <x:c r="C378" s="2" t="str">
        <x:v>S27</x:v>
      </x:c>
      <x:c r="D378" s="2" t="str">
        <x:v>Repeat</x:v>
      </x:c>
      <x:c r="E378" s="2" t="n">
        <x:v>3</x:v>
      </x:c>
      <x:c r="F378" s="2" t="n">
        <x:v>3</x:v>
      </x:c>
      <x:c r="G378" s="2" t="n">
        <x:f>COUNTIFS('Rankings'!$A$6:$A$423,B378,'Rankings'!$E$6:$E$423,"&lt;="&amp;F378)</x:f>
        <x:v>3</x:v>
      </x:c>
      <x:c r="H378" s="2" t="n">
        <x:f>SUMIFS('Rankings'!$J$6:$J$423,'Rankings'!$A$6:$A$423,B378,'Rankings'!$E$6:$E$423,"&lt;="&amp;F378)</x:f>
        <x:v>3</x:v>
      </x:c>
      <x:c r="I378" s="2" t="n">
        <x:f>G378-SUMIFS('Rankings'!$I$6:$I$423,'Rankings'!$A$6:$A$423,B378,'Rankings'!$E$6:$E$423,"&lt;="&amp;F378)</x:f>
        <x:v>0</x:v>
      </x:c>
      <x:c r="J378" s="2" t="n">
        <x:f>SUMIFS('Ratings'!$H$6:$H$1387,'Ratings'!$B$6:$B$1387,C378)</x:f>
        <x:v>46</x:v>
      </x:c>
      <x:c r="K378" s="15" t="n">
        <x:f>IF(I378&gt;0,"Unknown",H378/F378)</x:f>
        <x:v>1</x:v>
      </x:c>
      <x:c r="L378" s="15" t="n">
        <x:f>IF(J378=0,"N/A",H378/J378)</x:f>
        <x:v>0.06521739130434782</x:v>
      </x:c>
      <x:c r="M378" s="14" t="n">
        <x:f>SUMIFS('Rankings'!$L$6:$L$423,'Rankings'!$A$6:$A$423,B378,'Rankings'!$E$6:$E$423,"&lt;="&amp;F378)</x:f>
        <x:v>14.916508275000202</x:v>
      </x:c>
      <x:c r="N378" s="14" t="n">
        <x:f>SUMIFS('Ideal ranking'!$H$6:$H$365,'Ideal ranking'!$A$6:$A$365,C378,'Ideal ranking'!$B$6:$B$365,"&lt;="&amp;F378)</x:f>
        <x:v>14.916508275000202</x:v>
      </x:c>
      <x:c r="O378" s="14" t="n">
        <x:f>IF(I378&gt;0,"Unknown",IF(N378=0,"N/A",M378/N378))</x:f>
        <x:v>1</x:v>
      </x:c>
      <x:c r="P378" s="15" t="n">
        <x:f>IF(G378=0,"N/A",IF(I378&gt;0,"Unknown",H378/G378))</x:f>
        <x:v>1</x:v>
      </x:c>
      <x:c r="Q378" s="2" t="n">
        <x:f>F378-G378</x:f>
        <x:v>0</x:v>
      </x:c>
    </x:row>
    <x:row r="379" ht="22" customHeight="1">
      <x:c r="A379" s="2" t="str">
        <x:v>S27-T03|4</x:v>
      </x:c>
      <x:c r="B379" s="2" t="str">
        <x:v>S27-T03</x:v>
      </x:c>
      <x:c r="C379" s="2" t="str">
        <x:v>S27</x:v>
      </x:c>
      <x:c r="D379" s="2" t="str">
        <x:v>Repeat</x:v>
      </x:c>
      <x:c r="E379" s="2" t="n">
        <x:v>3</x:v>
      </x:c>
      <x:c r="F379" s="2" t="n">
        <x:v>4</x:v>
      </x:c>
      <x:c r="G379" s="2" t="n">
        <x:f>COUNTIFS('Rankings'!$A$6:$A$423,B379,'Rankings'!$E$6:$E$423,"&lt;="&amp;F379)</x:f>
        <x:v>4</x:v>
      </x:c>
      <x:c r="H379" s="2" t="n">
        <x:f>SUMIFS('Rankings'!$J$6:$J$423,'Rankings'!$A$6:$A$423,B379,'Rankings'!$E$6:$E$423,"&lt;="&amp;F379)</x:f>
        <x:v>4</x:v>
      </x:c>
      <x:c r="I379" s="2" t="n">
        <x:f>G379-SUMIFS('Rankings'!$I$6:$I$423,'Rankings'!$A$6:$A$423,B379,'Rankings'!$E$6:$E$423,"&lt;="&amp;F379)</x:f>
        <x:v>0</x:v>
      </x:c>
      <x:c r="J379" s="2" t="n">
        <x:f>SUMIFS('Ratings'!$H$6:$H$1387,'Ratings'!$B$6:$B$1387,C379)</x:f>
        <x:v>46</x:v>
      </x:c>
      <x:c r="K379" s="15" t="n">
        <x:f>IF(I379&gt;0,"Unknown",H379/F379)</x:f>
        <x:v>1</x:v>
      </x:c>
      <x:c r="L379" s="15" t="n">
        <x:f>IF(J379=0,"N/A",H379/J379)</x:f>
        <x:v>0.08695652173913043</x:v>
      </x:c>
      <x:c r="M379" s="14" t="n">
        <x:f>SUMIFS('Rankings'!$L$6:$L$423,'Rankings'!$A$6:$A$423,B379,'Rankings'!$E$6:$E$423,"&lt;="&amp;F379)</x:f>
        <x:v>17.931244181513954</x:v>
      </x:c>
      <x:c r="N379" s="14" t="n">
        <x:f>SUMIFS('Ideal ranking'!$H$6:$H$365,'Ideal ranking'!$A$6:$A$365,C379,'Ideal ranking'!$B$6:$B$365,"&lt;="&amp;F379)</x:f>
        <x:v>17.931244181513954</x:v>
      </x:c>
      <x:c r="O379" s="14" t="n">
        <x:f>IF(I379&gt;0,"Unknown",IF(N379=0,"N/A",M379/N379))</x:f>
        <x:v>1</x:v>
      </x:c>
      <x:c r="P379" s="15" t="n">
        <x:f>IF(G379=0,"N/A",IF(I379&gt;0,"Unknown",H379/G379))</x:f>
        <x:v>1</x:v>
      </x:c>
      <x:c r="Q379" s="2" t="n">
        <x:f>F379-G379</x:f>
        <x:v>0</x:v>
      </x:c>
    </x:row>
    <x:row r="380" ht="22" customHeight="1">
      <x:c r="A380" s="2" t="str">
        <x:v>S27-T03|5</x:v>
      </x:c>
      <x:c r="B380" s="2" t="str">
        <x:v>S27-T03</x:v>
      </x:c>
      <x:c r="C380" s="2" t="str">
        <x:v>S27</x:v>
      </x:c>
      <x:c r="D380" s="2" t="str">
        <x:v>Repeat</x:v>
      </x:c>
      <x:c r="E380" s="2" t="n">
        <x:v>3</x:v>
      </x:c>
      <x:c r="F380" s="2" t="n">
        <x:v>5</x:v>
      </x:c>
      <x:c r="G380" s="2" t="n">
        <x:f>COUNTIFS('Rankings'!$A$6:$A$423,B380,'Rankings'!$E$6:$E$423,"&lt;="&amp;F380)</x:f>
        <x:v>5</x:v>
      </x:c>
      <x:c r="H380" s="2" t="n">
        <x:f>SUMIFS('Rankings'!$J$6:$J$423,'Rankings'!$A$6:$A$423,B380,'Rankings'!$E$6:$E$423,"&lt;="&amp;F380)</x:f>
        <x:v>5</x:v>
      </x:c>
      <x:c r="I380" s="2" t="n">
        <x:f>G380-SUMIFS('Rankings'!$I$6:$I$423,'Rankings'!$A$6:$A$423,B380,'Rankings'!$E$6:$E$423,"&lt;="&amp;F380)</x:f>
        <x:v>0</x:v>
      </x:c>
      <x:c r="J380" s="2" t="n">
        <x:f>SUMIFS('Ratings'!$H$6:$H$1387,'Ratings'!$B$6:$B$1387,C380)</x:f>
        <x:v>46</x:v>
      </x:c>
      <x:c r="K380" s="15" t="n">
        <x:f>IF(I380&gt;0,"Unknown",H380/F380)</x:f>
        <x:v>1</x:v>
      </x:c>
      <x:c r="L380" s="15" t="n">
        <x:f>IF(J380=0,"N/A",H380/J380)</x:f>
        <x:v>0.10869565217391304</x:v>
      </x:c>
      <x:c r="M380" s="14" t="n">
        <x:f>SUMIFS('Rankings'!$L$6:$L$423,'Rankings'!$A$6:$A$423,B380,'Rankings'!$E$6:$E$423,"&lt;="&amp;F380)</x:f>
        <x:v>20.639213832155747</x:v>
      </x:c>
      <x:c r="N380" s="14" t="n">
        <x:f>SUMIFS('Ideal ranking'!$H$6:$H$365,'Ideal ranking'!$A$6:$A$365,C380,'Ideal ranking'!$B$6:$B$365,"&lt;="&amp;F380)</x:f>
        <x:v>20.639213832155747</x:v>
      </x:c>
      <x:c r="O380" s="14" t="n">
        <x:f>IF(I380&gt;0,"Unknown",IF(N380=0,"N/A",M380/N380))</x:f>
        <x:v>1</x:v>
      </x:c>
      <x:c r="P380" s="15" t="n">
        <x:f>IF(G380=0,"N/A",IF(I380&gt;0,"Unknown",H380/G380))</x:f>
        <x:v>1</x:v>
      </x:c>
      <x:c r="Q380" s="2" t="n">
        <x:f>F380-G380</x:f>
        <x:v>0</x:v>
      </x:c>
    </x:row>
    <x:row r="381" ht="22" customHeight="1">
      <x:c r="A381" s="2" t="str">
        <x:v>S27-T03|6</x:v>
      </x:c>
      <x:c r="B381" s="2" t="str">
        <x:v>S27-T03</x:v>
      </x:c>
      <x:c r="C381" s="2" t="str">
        <x:v>S27</x:v>
      </x:c>
      <x:c r="D381" s="2" t="str">
        <x:v>Repeat</x:v>
      </x:c>
      <x:c r="E381" s="2" t="n">
        <x:v>3</x:v>
      </x:c>
      <x:c r="F381" s="2" t="n">
        <x:v>6</x:v>
      </x:c>
      <x:c r="G381" s="2" t="n">
        <x:f>COUNTIFS('Rankings'!$A$6:$A$423,B381,'Rankings'!$E$6:$E$423,"&lt;="&amp;F381)</x:f>
        <x:v>6</x:v>
      </x:c>
      <x:c r="H381" s="2" t="n">
        <x:f>SUMIFS('Rankings'!$J$6:$J$423,'Rankings'!$A$6:$A$423,B381,'Rankings'!$E$6:$E$423,"&lt;="&amp;F381)</x:f>
        <x:v>6</x:v>
      </x:c>
      <x:c r="I381" s="2" t="n">
        <x:f>G381-SUMIFS('Rankings'!$I$6:$I$423,'Rankings'!$A$6:$A$423,B381,'Rankings'!$E$6:$E$423,"&lt;="&amp;F381)</x:f>
        <x:v>0</x:v>
      </x:c>
      <x:c r="J381" s="2" t="n">
        <x:f>SUMIFS('Ratings'!$H$6:$H$1387,'Ratings'!$B$6:$B$1387,C381)</x:f>
        <x:v>46</x:v>
      </x:c>
      <x:c r="K381" s="15" t="n">
        <x:f>IF(I381&gt;0,"Unknown",H381/F381)</x:f>
        <x:v>1</x:v>
      </x:c>
      <x:c r="L381" s="15" t="n">
        <x:f>IF(J381=0,"N/A",H381/J381)</x:f>
        <x:v>0.13043478260869565</x:v>
      </x:c>
      <x:c r="M381" s="14" t="n">
        <x:f>SUMIFS('Rankings'!$L$6:$L$423,'Rankings'!$A$6:$A$423,B381,'Rankings'!$E$6:$E$423,"&lt;="&amp;F381)</x:f>
        <x:v>23.132664141911903</x:v>
      </x:c>
      <x:c r="N381" s="14" t="n">
        <x:f>SUMIFS('Ideal ranking'!$H$6:$H$365,'Ideal ranking'!$A$6:$A$365,C381,'Ideal ranking'!$B$6:$B$365,"&lt;="&amp;F381)</x:f>
        <x:v>23.132664141911903</x:v>
      </x:c>
      <x:c r="O381" s="14" t="n">
        <x:f>IF(I381&gt;0,"Unknown",IF(N381=0,"N/A",M381/N381))</x:f>
        <x:v>1</x:v>
      </x:c>
      <x:c r="P381" s="15" t="n">
        <x:f>IF(G381=0,"N/A",IF(I381&gt;0,"Unknown",H381/G381))</x:f>
        <x:v>1</x:v>
      </x:c>
      <x:c r="Q381" s="2" t="n">
        <x:f>F381-G381</x:f>
        <x:v>0</x:v>
      </x:c>
    </x:row>
    <x:row r="382" ht="22" customHeight="1">
      <x:c r="A382" s="2" t="str">
        <x:v>S27-T03|7</x:v>
      </x:c>
      <x:c r="B382" s="2" t="str">
        <x:v>S27-T03</x:v>
      </x:c>
      <x:c r="C382" s="2" t="str">
        <x:v>S27</x:v>
      </x:c>
      <x:c r="D382" s="2" t="str">
        <x:v>Repeat</x:v>
      </x:c>
      <x:c r="E382" s="2" t="n">
        <x:v>3</x:v>
      </x:c>
      <x:c r="F382" s="2" t="n">
        <x:v>7</x:v>
      </x:c>
      <x:c r="G382" s="2" t="n">
        <x:f>COUNTIFS('Rankings'!$A$6:$A$423,B382,'Rankings'!$E$6:$E$423,"&lt;="&amp;F382)</x:f>
        <x:v>7</x:v>
      </x:c>
      <x:c r="H382" s="2" t="n">
        <x:f>SUMIFS('Rankings'!$J$6:$J$423,'Rankings'!$A$6:$A$423,B382,'Rankings'!$E$6:$E$423,"&lt;="&amp;F382)</x:f>
        <x:v>7</x:v>
      </x:c>
      <x:c r="I382" s="2" t="n">
        <x:f>G382-SUMIFS('Rankings'!$I$6:$I$423,'Rankings'!$A$6:$A$423,B382,'Rankings'!$E$6:$E$423,"&lt;="&amp;F382)</x:f>
        <x:v>0</x:v>
      </x:c>
      <x:c r="J382" s="2" t="n">
        <x:f>SUMIFS('Ratings'!$H$6:$H$1387,'Ratings'!$B$6:$B$1387,C382)</x:f>
        <x:v>46</x:v>
      </x:c>
      <x:c r="K382" s="15" t="n">
        <x:f>IF(I382&gt;0,"Unknown",H382/F382)</x:f>
        <x:v>1</x:v>
      </x:c>
      <x:c r="L382" s="15" t="n">
        <x:f>IF(J382=0,"N/A",H382/J382)</x:f>
        <x:v>0.15217391304347827</x:v>
      </x:c>
      <x:c r="M382" s="14" t="n">
        <x:f>SUMIFS('Rankings'!$L$6:$L$423,'Rankings'!$A$6:$A$423,B382,'Rankings'!$E$6:$E$423,"&lt;="&amp;F382)</x:f>
        <x:v>25.465997475245235</x:v>
      </x:c>
      <x:c r="N382" s="14" t="n">
        <x:f>SUMIFS('Ideal ranking'!$H$6:$H$365,'Ideal ranking'!$A$6:$A$365,C382,'Ideal ranking'!$B$6:$B$365,"&lt;="&amp;F382)</x:f>
        <x:v>25.465997475245235</x:v>
      </x:c>
      <x:c r="O382" s="14" t="n">
        <x:f>IF(I382&gt;0,"Unknown",IF(N382=0,"N/A",M382/N382))</x:f>
        <x:v>1</x:v>
      </x:c>
      <x:c r="P382" s="15" t="n">
        <x:f>IF(G382=0,"N/A",IF(I382&gt;0,"Unknown",H382/G382))</x:f>
        <x:v>1</x:v>
      </x:c>
      <x:c r="Q382" s="2" t="n">
        <x:f>F382-G382</x:f>
        <x:v>0</x:v>
      </x:c>
    </x:row>
    <x:row r="383" ht="22" customHeight="1">
      <x:c r="A383" s="2" t="str">
        <x:v>S27-T03|8</x:v>
      </x:c>
      <x:c r="B383" s="2" t="str">
        <x:v>S27-T03</x:v>
      </x:c>
      <x:c r="C383" s="2" t="str">
        <x:v>S27</x:v>
      </x:c>
      <x:c r="D383" s="2" t="str">
        <x:v>Repeat</x:v>
      </x:c>
      <x:c r="E383" s="2" t="n">
        <x:v>3</x:v>
      </x:c>
      <x:c r="F383" s="2" t="n">
        <x:v>8</x:v>
      </x:c>
      <x:c r="G383" s="2" t="n">
        <x:f>COUNTIFS('Rankings'!$A$6:$A$423,B383,'Rankings'!$E$6:$E$423,"&lt;="&amp;F383)</x:f>
        <x:v>8</x:v>
      </x:c>
      <x:c r="H383" s="2" t="n">
        <x:f>SUMIFS('Rankings'!$J$6:$J$423,'Rankings'!$A$6:$A$423,B383,'Rankings'!$E$6:$E$423,"&lt;="&amp;F383)</x:f>
        <x:v>8</x:v>
      </x:c>
      <x:c r="I383" s="2" t="n">
        <x:f>G383-SUMIFS('Rankings'!$I$6:$I$423,'Rankings'!$A$6:$A$423,B383,'Rankings'!$E$6:$E$423,"&lt;="&amp;F383)</x:f>
        <x:v>0</x:v>
      </x:c>
      <x:c r="J383" s="2" t="n">
        <x:f>SUMIFS('Ratings'!$H$6:$H$1387,'Ratings'!$B$6:$B$1387,C383)</x:f>
        <x:v>46</x:v>
      </x:c>
      <x:c r="K383" s="15" t="n">
        <x:f>IF(I383&gt;0,"Unknown",H383/F383)</x:f>
        <x:v>1</x:v>
      </x:c>
      <x:c r="L383" s="15" t="n">
        <x:f>IF(J383=0,"N/A",H383/J383)</x:f>
        <x:v>0.17391304347826086</x:v>
      </x:c>
      <x:c r="M383" s="14" t="n">
        <x:f>SUMIFS('Rankings'!$L$6:$L$423,'Rankings'!$A$6:$A$423,B383,'Rankings'!$E$6:$E$423,"&lt;="&amp;F383)</x:f>
        <x:v>27.674251612745337</x:v>
      </x:c>
      <x:c r="N383" s="14" t="n">
        <x:f>SUMIFS('Ideal ranking'!$H$6:$H$365,'Ideal ranking'!$A$6:$A$365,C383,'Ideal ranking'!$B$6:$B$365,"&lt;="&amp;F383)</x:f>
        <x:v>27.674251612745337</x:v>
      </x:c>
      <x:c r="O383" s="14" t="n">
        <x:f>IF(I383&gt;0,"Unknown",IF(N383=0,"N/A",M383/N383))</x:f>
        <x:v>1</x:v>
      </x:c>
      <x:c r="P383" s="15" t="n">
        <x:f>IF(G383=0,"N/A",IF(I383&gt;0,"Unknown",H383/G383))</x:f>
        <x:v>1</x:v>
      </x:c>
      <x:c r="Q383" s="2" t="n">
        <x:f>F383-G383</x:f>
        <x:v>0</x:v>
      </x:c>
    </x:row>
    <x:row r="384" ht="22" customHeight="1">
      <x:c r="A384" s="2" t="str">
        <x:v>S27-T03|9</x:v>
      </x:c>
      <x:c r="B384" s="2" t="str">
        <x:v>S27-T03</x:v>
      </x:c>
      <x:c r="C384" s="2" t="str">
        <x:v>S27</x:v>
      </x:c>
      <x:c r="D384" s="2" t="str">
        <x:v>Repeat</x:v>
      </x:c>
      <x:c r="E384" s="2" t="n">
        <x:v>3</x:v>
      </x:c>
      <x:c r="F384" s="2" t="n">
        <x:v>9</x:v>
      </x:c>
      <x:c r="G384" s="2" t="n">
        <x:f>COUNTIFS('Rankings'!$A$6:$A$423,B384,'Rankings'!$E$6:$E$423,"&lt;="&amp;F384)</x:f>
        <x:v>9</x:v>
      </x:c>
      <x:c r="H384" s="2" t="n">
        <x:f>SUMIFS('Rankings'!$J$6:$J$423,'Rankings'!$A$6:$A$423,B384,'Rankings'!$E$6:$E$423,"&lt;="&amp;F384)</x:f>
        <x:v>9</x:v>
      </x:c>
      <x:c r="I384" s="2" t="n">
        <x:f>G384-SUMIFS('Rankings'!$I$6:$I$423,'Rankings'!$A$6:$A$423,B384,'Rankings'!$E$6:$E$423,"&lt;="&amp;F384)</x:f>
        <x:v>0</x:v>
      </x:c>
      <x:c r="J384" s="2" t="n">
        <x:f>SUMIFS('Ratings'!$H$6:$H$1387,'Ratings'!$B$6:$B$1387,C384)</x:f>
        <x:v>46</x:v>
      </x:c>
      <x:c r="K384" s="15" t="n">
        <x:f>IF(I384&gt;0,"Unknown",H384/F384)</x:f>
        <x:v>1</x:v>
      </x:c>
      <x:c r="L384" s="15" t="n">
        <x:f>IF(J384=0,"N/A",H384/J384)</x:f>
        <x:v>0.1956521739130435</x:v>
      </x:c>
      <x:c r="M384" s="14" t="n">
        <x:f>SUMIFS('Rankings'!$L$6:$L$423,'Rankings'!$A$6:$A$423,B384,'Rankings'!$E$6:$E$423,"&lt;="&amp;F384)</x:f>
        <x:v>29.781461582393206</x:v>
      </x:c>
      <x:c r="N384" s="14" t="n">
        <x:f>SUMIFS('Ideal ranking'!$H$6:$H$365,'Ideal ranking'!$A$6:$A$365,C384,'Ideal ranking'!$B$6:$B$365,"&lt;="&amp;F384)</x:f>
        <x:v>29.781461582393206</x:v>
      </x:c>
      <x:c r="O384" s="14" t="n">
        <x:f>IF(I384&gt;0,"Unknown",IF(N384=0,"N/A",M384/N384))</x:f>
        <x:v>1</x:v>
      </x:c>
      <x:c r="P384" s="15" t="n">
        <x:f>IF(G384=0,"N/A",IF(I384&gt;0,"Unknown",H384/G384))</x:f>
        <x:v>1</x:v>
      </x:c>
      <x:c r="Q384" s="2" t="n">
        <x:f>F384-G384</x:f>
        <x:v>0</x:v>
      </x:c>
    </x:row>
    <x:row r="385" ht="22" customHeight="1">
      <x:c r="A385" s="2" t="str">
        <x:v>S27-T03|10</x:v>
      </x:c>
      <x:c r="B385" s="2" t="str">
        <x:v>S27-T03</x:v>
      </x:c>
      <x:c r="C385" s="2" t="str">
        <x:v>S27</x:v>
      </x:c>
      <x:c r="D385" s="2" t="str">
        <x:v>Repeat</x:v>
      </x:c>
      <x:c r="E385" s="2" t="n">
        <x:v>3</x:v>
      </x:c>
      <x:c r="F385" s="2" t="n">
        <x:v>10</x:v>
      </x:c>
      <x:c r="G385" s="2" t="n">
        <x:f>COUNTIFS('Rankings'!$A$6:$A$423,B385,'Rankings'!$E$6:$E$423,"&lt;="&amp;F385)</x:f>
        <x:v>10</x:v>
      </x:c>
      <x:c r="H385" s="2" t="n">
        <x:f>SUMIFS('Rankings'!$J$6:$J$423,'Rankings'!$A$6:$A$423,B385,'Rankings'!$E$6:$E$423,"&lt;="&amp;F385)</x:f>
        <x:v>10</x:v>
      </x:c>
      <x:c r="I385" s="2" t="n">
        <x:f>G385-SUMIFS('Rankings'!$I$6:$I$423,'Rankings'!$A$6:$A$423,B385,'Rankings'!$E$6:$E$423,"&lt;="&amp;F385)</x:f>
        <x:v>0</x:v>
      </x:c>
      <x:c r="J385" s="2" t="n">
        <x:f>SUMIFS('Ratings'!$H$6:$H$1387,'Ratings'!$B$6:$B$1387,C385)</x:f>
        <x:v>46</x:v>
      </x:c>
      <x:c r="K385" s="15" t="n">
        <x:f>IF(I385&gt;0,"Unknown",H385/F385)</x:f>
        <x:v>1</x:v>
      </x:c>
      <x:c r="L385" s="15" t="n">
        <x:f>IF(J385=0,"N/A",H385/J385)</x:f>
        <x:v>0.21739130434782608</x:v>
      </x:c>
      <x:c r="M385" s="14" t="n">
        <x:f>SUMIFS('Rankings'!$L$6:$L$423,'Rankings'!$A$6:$A$423,B385,'Rankings'!$E$6:$E$423,"&lt;="&amp;F385)</x:f>
        <x:v>31.80491536661842</x:v>
      </x:c>
      <x:c r="N385" s="14" t="n">
        <x:f>SUMIFS('Ideal ranking'!$H$6:$H$365,'Ideal ranking'!$A$6:$A$365,C385,'Ideal ranking'!$B$6:$B$365,"&lt;="&amp;F385)</x:f>
        <x:v>31.80491536661842</x:v>
      </x:c>
      <x:c r="O385" s="14" t="n">
        <x:f>IF(I385&gt;0,"Unknown",IF(N385=0,"N/A",M385/N385))</x:f>
        <x:v>1</x:v>
      </x:c>
      <x:c r="P385" s="15" t="n">
        <x:f>IF(G385=0,"N/A",IF(I385&gt;0,"Unknown",H385/G385))</x:f>
        <x:v>1</x:v>
      </x:c>
      <x:c r="Q385" s="2" t="n">
        <x:f>F385-G385</x:f>
        <x:v>0</x:v>
      </x:c>
    </x:row>
    <x:row r="386" ht="22" customHeight="1">
      <x:c r="A386" s="2" t="str">
        <x:v>S27-T04|1</x:v>
      </x:c>
      <x:c r="B386" s="2" t="str">
        <x:v>S27-T04</x:v>
      </x:c>
      <x:c r="C386" s="2" t="str">
        <x:v>S27</x:v>
      </x:c>
      <x:c r="D386" s="2" t="str">
        <x:v>Repeat</x:v>
      </x:c>
      <x:c r="E386" s="2" t="n">
        <x:v>4</x:v>
      </x:c>
      <x:c r="F386" s="2" t="n">
        <x:v>1</x:v>
      </x:c>
      <x:c r="G386" s="2" t="n">
        <x:f>COUNTIFS('Rankings'!$A$6:$A$423,B386,'Rankings'!$E$6:$E$423,"&lt;="&amp;F386)</x:f>
        <x:v>1</x:v>
      </x:c>
      <x:c r="H386" s="2" t="n">
        <x:f>SUMIFS('Rankings'!$J$6:$J$423,'Rankings'!$A$6:$A$423,B386,'Rankings'!$E$6:$E$423,"&lt;="&amp;F386)</x:f>
        <x:v>1</x:v>
      </x:c>
      <x:c r="I386" s="2" t="n">
        <x:f>G386-SUMIFS('Rankings'!$I$6:$I$423,'Rankings'!$A$6:$A$423,B386,'Rankings'!$E$6:$E$423,"&lt;="&amp;F386)</x:f>
        <x:v>0</x:v>
      </x:c>
      <x:c r="J386" s="2" t="n">
        <x:f>SUMIFS('Ratings'!$H$6:$H$1387,'Ratings'!$B$6:$B$1387,C386)</x:f>
        <x:v>46</x:v>
      </x:c>
      <x:c r="K386" s="15" t="n">
        <x:f>IF(I386&gt;0,"Unknown",H386/F386)</x:f>
        <x:v>1</x:v>
      </x:c>
      <x:c r="L386" s="15" t="n">
        <x:f>IF(J386=0,"N/A",H386/J386)</x:f>
        <x:v>0.021739130434782608</x:v>
      </x:c>
      <x:c r="M386" s="14" t="n">
        <x:f>SUMIFS('Rankings'!$L$6:$L$423,'Rankings'!$A$6:$A$423,B386,'Rankings'!$E$6:$E$423,"&lt;="&amp;F386)</x:f>
        <x:v>7</x:v>
      </x:c>
      <x:c r="N386" s="14" t="n">
        <x:f>SUMIFS('Ideal ranking'!$H$6:$H$365,'Ideal ranking'!$A$6:$A$365,C386,'Ideal ranking'!$B$6:$B$365,"&lt;="&amp;F386)</x:f>
        <x:v>7</x:v>
      </x:c>
      <x:c r="O386" s="14" t="n">
        <x:f>IF(I386&gt;0,"Unknown",IF(N386=0,"N/A",M386/N386))</x:f>
        <x:v>1</x:v>
      </x:c>
      <x:c r="P386" s="15" t="n">
        <x:f>IF(G386=0,"N/A",IF(I386&gt;0,"Unknown",H386/G386))</x:f>
        <x:v>1</x:v>
      </x:c>
      <x:c r="Q386" s="2" t="n">
        <x:f>F386-G386</x:f>
        <x:v>0</x:v>
      </x:c>
    </x:row>
    <x:row r="387" ht="22" customHeight="1">
      <x:c r="A387" s="2" t="str">
        <x:v>S27-T04|2</x:v>
      </x:c>
      <x:c r="B387" s="2" t="str">
        <x:v>S27-T04</x:v>
      </x:c>
      <x:c r="C387" s="2" t="str">
        <x:v>S27</x:v>
      </x:c>
      <x:c r="D387" s="2" t="str">
        <x:v>Repeat</x:v>
      </x:c>
      <x:c r="E387" s="2" t="n">
        <x:v>4</x:v>
      </x:c>
      <x:c r="F387" s="2" t="n">
        <x:v>2</x:v>
      </x:c>
      <x:c r="G387" s="2" t="n">
        <x:f>COUNTIFS('Rankings'!$A$6:$A$423,B387,'Rankings'!$E$6:$E$423,"&lt;="&amp;F387)</x:f>
        <x:v>2</x:v>
      </x:c>
      <x:c r="H387" s="2" t="n">
        <x:f>SUMIFS('Rankings'!$J$6:$J$423,'Rankings'!$A$6:$A$423,B387,'Rankings'!$E$6:$E$423,"&lt;="&amp;F387)</x:f>
        <x:v>2</x:v>
      </x:c>
      <x:c r="I387" s="2" t="n">
        <x:f>G387-SUMIFS('Rankings'!$I$6:$I$423,'Rankings'!$A$6:$A$423,B387,'Rankings'!$E$6:$E$423,"&lt;="&amp;F387)</x:f>
        <x:v>0</x:v>
      </x:c>
      <x:c r="J387" s="2" t="n">
        <x:f>SUMIFS('Ratings'!$H$6:$H$1387,'Ratings'!$B$6:$B$1387,C387)</x:f>
        <x:v>46</x:v>
      </x:c>
      <x:c r="K387" s="15" t="n">
        <x:f>IF(I387&gt;0,"Unknown",H387/F387)</x:f>
        <x:v>1</x:v>
      </x:c>
      <x:c r="L387" s="15" t="n">
        <x:f>IF(J387=0,"N/A",H387/J387)</x:f>
        <x:v>0.043478260869565216</x:v>
      </x:c>
      <x:c r="M387" s="14" t="n">
        <x:f>SUMIFS('Rankings'!$L$6:$L$423,'Rankings'!$A$6:$A$423,B387,'Rankings'!$E$6:$E$423,"&lt;="&amp;F387)</x:f>
        <x:v>11.416508275000202</x:v>
      </x:c>
      <x:c r="N387" s="14" t="n">
        <x:f>SUMIFS('Ideal ranking'!$H$6:$H$365,'Ideal ranking'!$A$6:$A$365,C387,'Ideal ranking'!$B$6:$B$365,"&lt;="&amp;F387)</x:f>
        <x:v>11.416508275000202</x:v>
      </x:c>
      <x:c r="O387" s="14" t="n">
        <x:f>IF(I387&gt;0,"Unknown",IF(N387=0,"N/A",M387/N387))</x:f>
        <x:v>1</x:v>
      </x:c>
      <x:c r="P387" s="15" t="n">
        <x:f>IF(G387=0,"N/A",IF(I387&gt;0,"Unknown",H387/G387))</x:f>
        <x:v>1</x:v>
      </x:c>
      <x:c r="Q387" s="2" t="n">
        <x:f>F387-G387</x:f>
        <x:v>0</x:v>
      </x:c>
    </x:row>
    <x:row r="388" ht="22" customHeight="1">
      <x:c r="A388" s="2" t="str">
        <x:v>S27-T04|3</x:v>
      </x:c>
      <x:c r="B388" s="2" t="str">
        <x:v>S27-T04</x:v>
      </x:c>
      <x:c r="C388" s="2" t="str">
        <x:v>S27</x:v>
      </x:c>
      <x:c r="D388" s="2" t="str">
        <x:v>Repeat</x:v>
      </x:c>
      <x:c r="E388" s="2" t="n">
        <x:v>4</x:v>
      </x:c>
      <x:c r="F388" s="2" t="n">
        <x:v>3</x:v>
      </x:c>
      <x:c r="G388" s="2" t="n">
        <x:f>COUNTIFS('Rankings'!$A$6:$A$423,B388,'Rankings'!$E$6:$E$423,"&lt;="&amp;F388)</x:f>
        <x:v>3</x:v>
      </x:c>
      <x:c r="H388" s="2" t="n">
        <x:f>SUMIFS('Rankings'!$J$6:$J$423,'Rankings'!$A$6:$A$423,B388,'Rankings'!$E$6:$E$423,"&lt;="&amp;F388)</x:f>
        <x:v>3</x:v>
      </x:c>
      <x:c r="I388" s="2" t="n">
        <x:f>G388-SUMIFS('Rankings'!$I$6:$I$423,'Rankings'!$A$6:$A$423,B388,'Rankings'!$E$6:$E$423,"&lt;="&amp;F388)</x:f>
        <x:v>0</x:v>
      </x:c>
      <x:c r="J388" s="2" t="n">
        <x:f>SUMIFS('Ratings'!$H$6:$H$1387,'Ratings'!$B$6:$B$1387,C388)</x:f>
        <x:v>46</x:v>
      </x:c>
      <x:c r="K388" s="15" t="n">
        <x:f>IF(I388&gt;0,"Unknown",H388/F388)</x:f>
        <x:v>1</x:v>
      </x:c>
      <x:c r="L388" s="15" t="n">
        <x:f>IF(J388=0,"N/A",H388/J388)</x:f>
        <x:v>0.06521739130434782</x:v>
      </x:c>
      <x:c r="M388" s="14" t="n">
        <x:f>SUMIFS('Rankings'!$L$6:$L$423,'Rankings'!$A$6:$A$423,B388,'Rankings'!$E$6:$E$423,"&lt;="&amp;F388)</x:f>
        <x:v>14.916508275000202</x:v>
      </x:c>
      <x:c r="N388" s="14" t="n">
        <x:f>SUMIFS('Ideal ranking'!$H$6:$H$365,'Ideal ranking'!$A$6:$A$365,C388,'Ideal ranking'!$B$6:$B$365,"&lt;="&amp;F388)</x:f>
        <x:v>14.916508275000202</x:v>
      </x:c>
      <x:c r="O388" s="14" t="n">
        <x:f>IF(I388&gt;0,"Unknown",IF(N388=0,"N/A",M388/N388))</x:f>
        <x:v>1</x:v>
      </x:c>
      <x:c r="P388" s="15" t="n">
        <x:f>IF(G388=0,"N/A",IF(I388&gt;0,"Unknown",H388/G388))</x:f>
        <x:v>1</x:v>
      </x:c>
      <x:c r="Q388" s="2" t="n">
        <x:f>F388-G388</x:f>
        <x:v>0</x:v>
      </x:c>
    </x:row>
    <x:row r="389" ht="22" customHeight="1">
      <x:c r="A389" s="2" t="str">
        <x:v>S27-T04|4</x:v>
      </x:c>
      <x:c r="B389" s="2" t="str">
        <x:v>S27-T04</x:v>
      </x:c>
      <x:c r="C389" s="2" t="str">
        <x:v>S27</x:v>
      </x:c>
      <x:c r="D389" s="2" t="str">
        <x:v>Repeat</x:v>
      </x:c>
      <x:c r="E389" s="2" t="n">
        <x:v>4</x:v>
      </x:c>
      <x:c r="F389" s="2" t="n">
        <x:v>4</x:v>
      </x:c>
      <x:c r="G389" s="2" t="n">
        <x:f>COUNTIFS('Rankings'!$A$6:$A$423,B389,'Rankings'!$E$6:$E$423,"&lt;="&amp;F389)</x:f>
        <x:v>4</x:v>
      </x:c>
      <x:c r="H389" s="2" t="n">
        <x:f>SUMIFS('Rankings'!$J$6:$J$423,'Rankings'!$A$6:$A$423,B389,'Rankings'!$E$6:$E$423,"&lt;="&amp;F389)</x:f>
        <x:v>4</x:v>
      </x:c>
      <x:c r="I389" s="2" t="n">
        <x:f>G389-SUMIFS('Rankings'!$I$6:$I$423,'Rankings'!$A$6:$A$423,B389,'Rankings'!$E$6:$E$423,"&lt;="&amp;F389)</x:f>
        <x:v>0</x:v>
      </x:c>
      <x:c r="J389" s="2" t="n">
        <x:f>SUMIFS('Ratings'!$H$6:$H$1387,'Ratings'!$B$6:$B$1387,C389)</x:f>
        <x:v>46</x:v>
      </x:c>
      <x:c r="K389" s="15" t="n">
        <x:f>IF(I389&gt;0,"Unknown",H389/F389)</x:f>
        <x:v>1</x:v>
      </x:c>
      <x:c r="L389" s="15" t="n">
        <x:f>IF(J389=0,"N/A",H389/J389)</x:f>
        <x:v>0.08695652173913043</x:v>
      </x:c>
      <x:c r="M389" s="14" t="n">
        <x:f>SUMIFS('Rankings'!$L$6:$L$423,'Rankings'!$A$6:$A$423,B389,'Rankings'!$E$6:$E$423,"&lt;="&amp;F389)</x:f>
        <x:v>17.931244181513954</x:v>
      </x:c>
      <x:c r="N389" s="14" t="n">
        <x:f>SUMIFS('Ideal ranking'!$H$6:$H$365,'Ideal ranking'!$A$6:$A$365,C389,'Ideal ranking'!$B$6:$B$365,"&lt;="&amp;F389)</x:f>
        <x:v>17.931244181513954</x:v>
      </x:c>
      <x:c r="O389" s="14" t="n">
        <x:f>IF(I389&gt;0,"Unknown",IF(N389=0,"N/A",M389/N389))</x:f>
        <x:v>1</x:v>
      </x:c>
      <x:c r="P389" s="15" t="n">
        <x:f>IF(G389=0,"N/A",IF(I389&gt;0,"Unknown",H389/G389))</x:f>
        <x:v>1</x:v>
      </x:c>
      <x:c r="Q389" s="2" t="n">
        <x:f>F389-G389</x:f>
        <x:v>0</x:v>
      </x:c>
    </x:row>
    <x:row r="390" ht="22" customHeight="1">
      <x:c r="A390" s="2" t="str">
        <x:v>S27-T04|5</x:v>
      </x:c>
      <x:c r="B390" s="2" t="str">
        <x:v>S27-T04</x:v>
      </x:c>
      <x:c r="C390" s="2" t="str">
        <x:v>S27</x:v>
      </x:c>
      <x:c r="D390" s="2" t="str">
        <x:v>Repeat</x:v>
      </x:c>
      <x:c r="E390" s="2" t="n">
        <x:v>4</x:v>
      </x:c>
      <x:c r="F390" s="2" t="n">
        <x:v>5</x:v>
      </x:c>
      <x:c r="G390" s="2" t="n">
        <x:f>COUNTIFS('Rankings'!$A$6:$A$423,B390,'Rankings'!$E$6:$E$423,"&lt;="&amp;F390)</x:f>
        <x:v>5</x:v>
      </x:c>
      <x:c r="H390" s="2" t="n">
        <x:f>SUMIFS('Rankings'!$J$6:$J$423,'Rankings'!$A$6:$A$423,B390,'Rankings'!$E$6:$E$423,"&lt;="&amp;F390)</x:f>
        <x:v>5</x:v>
      </x:c>
      <x:c r="I390" s="2" t="n">
        <x:f>G390-SUMIFS('Rankings'!$I$6:$I$423,'Rankings'!$A$6:$A$423,B390,'Rankings'!$E$6:$E$423,"&lt;="&amp;F390)</x:f>
        <x:v>0</x:v>
      </x:c>
      <x:c r="J390" s="2" t="n">
        <x:f>SUMIFS('Ratings'!$H$6:$H$1387,'Ratings'!$B$6:$B$1387,C390)</x:f>
        <x:v>46</x:v>
      </x:c>
      <x:c r="K390" s="15" t="n">
        <x:f>IF(I390&gt;0,"Unknown",H390/F390)</x:f>
        <x:v>1</x:v>
      </x:c>
      <x:c r="L390" s="15" t="n">
        <x:f>IF(J390=0,"N/A",H390/J390)</x:f>
        <x:v>0.10869565217391304</x:v>
      </x:c>
      <x:c r="M390" s="14" t="n">
        <x:f>SUMIFS('Rankings'!$L$6:$L$423,'Rankings'!$A$6:$A$423,B390,'Rankings'!$E$6:$E$423,"&lt;="&amp;F390)</x:f>
        <x:v>20.639213832155747</x:v>
      </x:c>
      <x:c r="N390" s="14" t="n">
        <x:f>SUMIFS('Ideal ranking'!$H$6:$H$365,'Ideal ranking'!$A$6:$A$365,C390,'Ideal ranking'!$B$6:$B$365,"&lt;="&amp;F390)</x:f>
        <x:v>20.639213832155747</x:v>
      </x:c>
      <x:c r="O390" s="14" t="n">
        <x:f>IF(I390&gt;0,"Unknown",IF(N390=0,"N/A",M390/N390))</x:f>
        <x:v>1</x:v>
      </x:c>
      <x:c r="P390" s="15" t="n">
        <x:f>IF(G390=0,"N/A",IF(I390&gt;0,"Unknown",H390/G390))</x:f>
        <x:v>1</x:v>
      </x:c>
      <x:c r="Q390" s="2" t="n">
        <x:f>F390-G390</x:f>
        <x:v>0</x:v>
      </x:c>
    </x:row>
    <x:row r="391" ht="22" customHeight="1">
      <x:c r="A391" s="2" t="str">
        <x:v>S27-T04|6</x:v>
      </x:c>
      <x:c r="B391" s="2" t="str">
        <x:v>S27-T04</x:v>
      </x:c>
      <x:c r="C391" s="2" t="str">
        <x:v>S27</x:v>
      </x:c>
      <x:c r="D391" s="2" t="str">
        <x:v>Repeat</x:v>
      </x:c>
      <x:c r="E391" s="2" t="n">
        <x:v>4</x:v>
      </x:c>
      <x:c r="F391" s="2" t="n">
        <x:v>6</x:v>
      </x:c>
      <x:c r="G391" s="2" t="n">
        <x:f>COUNTIFS('Rankings'!$A$6:$A$423,B391,'Rankings'!$E$6:$E$423,"&lt;="&amp;F391)</x:f>
        <x:v>6</x:v>
      </x:c>
      <x:c r="H391" s="2" t="n">
        <x:f>SUMIFS('Rankings'!$J$6:$J$423,'Rankings'!$A$6:$A$423,B391,'Rankings'!$E$6:$E$423,"&lt;="&amp;F391)</x:f>
        <x:v>6</x:v>
      </x:c>
      <x:c r="I391" s="2" t="n">
        <x:f>G391-SUMIFS('Rankings'!$I$6:$I$423,'Rankings'!$A$6:$A$423,B391,'Rankings'!$E$6:$E$423,"&lt;="&amp;F391)</x:f>
        <x:v>0</x:v>
      </x:c>
      <x:c r="J391" s="2" t="n">
        <x:f>SUMIFS('Ratings'!$H$6:$H$1387,'Ratings'!$B$6:$B$1387,C391)</x:f>
        <x:v>46</x:v>
      </x:c>
      <x:c r="K391" s="15" t="n">
        <x:f>IF(I391&gt;0,"Unknown",H391/F391)</x:f>
        <x:v>1</x:v>
      </x:c>
      <x:c r="L391" s="15" t="n">
        <x:f>IF(J391=0,"N/A",H391/J391)</x:f>
        <x:v>0.13043478260869565</x:v>
      </x:c>
      <x:c r="M391" s="14" t="n">
        <x:f>SUMIFS('Rankings'!$L$6:$L$423,'Rankings'!$A$6:$A$423,B391,'Rankings'!$E$6:$E$423,"&lt;="&amp;F391)</x:f>
        <x:v>23.132664141911903</x:v>
      </x:c>
      <x:c r="N391" s="14" t="n">
        <x:f>SUMIFS('Ideal ranking'!$H$6:$H$365,'Ideal ranking'!$A$6:$A$365,C391,'Ideal ranking'!$B$6:$B$365,"&lt;="&amp;F391)</x:f>
        <x:v>23.132664141911903</x:v>
      </x:c>
      <x:c r="O391" s="14" t="n">
        <x:f>IF(I391&gt;0,"Unknown",IF(N391=0,"N/A",M391/N391))</x:f>
        <x:v>1</x:v>
      </x:c>
      <x:c r="P391" s="15" t="n">
        <x:f>IF(G391=0,"N/A",IF(I391&gt;0,"Unknown",H391/G391))</x:f>
        <x:v>1</x:v>
      </x:c>
      <x:c r="Q391" s="2" t="n">
        <x:f>F391-G391</x:f>
        <x:v>0</x:v>
      </x:c>
    </x:row>
    <x:row r="392" ht="22" customHeight="1">
      <x:c r="A392" s="2" t="str">
        <x:v>S27-T04|7</x:v>
      </x:c>
      <x:c r="B392" s="2" t="str">
        <x:v>S27-T04</x:v>
      </x:c>
      <x:c r="C392" s="2" t="str">
        <x:v>S27</x:v>
      </x:c>
      <x:c r="D392" s="2" t="str">
        <x:v>Repeat</x:v>
      </x:c>
      <x:c r="E392" s="2" t="n">
        <x:v>4</x:v>
      </x:c>
      <x:c r="F392" s="2" t="n">
        <x:v>7</x:v>
      </x:c>
      <x:c r="G392" s="2" t="n">
        <x:f>COUNTIFS('Rankings'!$A$6:$A$423,B392,'Rankings'!$E$6:$E$423,"&lt;="&amp;F392)</x:f>
        <x:v>7</x:v>
      </x:c>
      <x:c r="H392" s="2" t="n">
        <x:f>SUMIFS('Rankings'!$J$6:$J$423,'Rankings'!$A$6:$A$423,B392,'Rankings'!$E$6:$E$423,"&lt;="&amp;F392)</x:f>
        <x:v>7</x:v>
      </x:c>
      <x:c r="I392" s="2" t="n">
        <x:f>G392-SUMIFS('Rankings'!$I$6:$I$423,'Rankings'!$A$6:$A$423,B392,'Rankings'!$E$6:$E$423,"&lt;="&amp;F392)</x:f>
        <x:v>0</x:v>
      </x:c>
      <x:c r="J392" s="2" t="n">
        <x:f>SUMIFS('Ratings'!$H$6:$H$1387,'Ratings'!$B$6:$B$1387,C392)</x:f>
        <x:v>46</x:v>
      </x:c>
      <x:c r="K392" s="15" t="n">
        <x:f>IF(I392&gt;0,"Unknown",H392/F392)</x:f>
        <x:v>1</x:v>
      </x:c>
      <x:c r="L392" s="15" t="n">
        <x:f>IF(J392=0,"N/A",H392/J392)</x:f>
        <x:v>0.15217391304347827</x:v>
      </x:c>
      <x:c r="M392" s="14" t="n">
        <x:f>SUMIFS('Rankings'!$L$6:$L$423,'Rankings'!$A$6:$A$423,B392,'Rankings'!$E$6:$E$423,"&lt;="&amp;F392)</x:f>
        <x:v>25.465997475245235</x:v>
      </x:c>
      <x:c r="N392" s="14" t="n">
        <x:f>SUMIFS('Ideal ranking'!$H$6:$H$365,'Ideal ranking'!$A$6:$A$365,C392,'Ideal ranking'!$B$6:$B$365,"&lt;="&amp;F392)</x:f>
        <x:v>25.465997475245235</x:v>
      </x:c>
      <x:c r="O392" s="14" t="n">
        <x:f>IF(I392&gt;0,"Unknown",IF(N392=0,"N/A",M392/N392))</x:f>
        <x:v>1</x:v>
      </x:c>
      <x:c r="P392" s="15" t="n">
        <x:f>IF(G392=0,"N/A",IF(I392&gt;0,"Unknown",H392/G392))</x:f>
        <x:v>1</x:v>
      </x:c>
      <x:c r="Q392" s="2" t="n">
        <x:f>F392-G392</x:f>
        <x:v>0</x:v>
      </x:c>
    </x:row>
    <x:row r="393" ht="22" customHeight="1">
      <x:c r="A393" s="2" t="str">
        <x:v>S27-T04|8</x:v>
      </x:c>
      <x:c r="B393" s="2" t="str">
        <x:v>S27-T04</x:v>
      </x:c>
      <x:c r="C393" s="2" t="str">
        <x:v>S27</x:v>
      </x:c>
      <x:c r="D393" s="2" t="str">
        <x:v>Repeat</x:v>
      </x:c>
      <x:c r="E393" s="2" t="n">
        <x:v>4</x:v>
      </x:c>
      <x:c r="F393" s="2" t="n">
        <x:v>8</x:v>
      </x:c>
      <x:c r="G393" s="2" t="n">
        <x:f>COUNTIFS('Rankings'!$A$6:$A$423,B393,'Rankings'!$E$6:$E$423,"&lt;="&amp;F393)</x:f>
        <x:v>8</x:v>
      </x:c>
      <x:c r="H393" s="2" t="n">
        <x:f>SUMIFS('Rankings'!$J$6:$J$423,'Rankings'!$A$6:$A$423,B393,'Rankings'!$E$6:$E$423,"&lt;="&amp;F393)</x:f>
        <x:v>8</x:v>
      </x:c>
      <x:c r="I393" s="2" t="n">
        <x:f>G393-SUMIFS('Rankings'!$I$6:$I$423,'Rankings'!$A$6:$A$423,B393,'Rankings'!$E$6:$E$423,"&lt;="&amp;F393)</x:f>
        <x:v>0</x:v>
      </x:c>
      <x:c r="J393" s="2" t="n">
        <x:f>SUMIFS('Ratings'!$H$6:$H$1387,'Ratings'!$B$6:$B$1387,C393)</x:f>
        <x:v>46</x:v>
      </x:c>
      <x:c r="K393" s="15" t="n">
        <x:f>IF(I393&gt;0,"Unknown",H393/F393)</x:f>
        <x:v>1</x:v>
      </x:c>
      <x:c r="L393" s="15" t="n">
        <x:f>IF(J393=0,"N/A",H393/J393)</x:f>
        <x:v>0.17391304347826086</x:v>
      </x:c>
      <x:c r="M393" s="14" t="n">
        <x:f>SUMIFS('Rankings'!$L$6:$L$423,'Rankings'!$A$6:$A$423,B393,'Rankings'!$E$6:$E$423,"&lt;="&amp;F393)</x:f>
        <x:v>27.674251612745337</x:v>
      </x:c>
      <x:c r="N393" s="14" t="n">
        <x:f>SUMIFS('Ideal ranking'!$H$6:$H$365,'Ideal ranking'!$A$6:$A$365,C393,'Ideal ranking'!$B$6:$B$365,"&lt;="&amp;F393)</x:f>
        <x:v>27.674251612745337</x:v>
      </x:c>
      <x:c r="O393" s="14" t="n">
        <x:f>IF(I393&gt;0,"Unknown",IF(N393=0,"N/A",M393/N393))</x:f>
        <x:v>1</x:v>
      </x:c>
      <x:c r="P393" s="15" t="n">
        <x:f>IF(G393=0,"N/A",IF(I393&gt;0,"Unknown",H393/G393))</x:f>
        <x:v>1</x:v>
      </x:c>
      <x:c r="Q393" s="2" t="n">
        <x:f>F393-G393</x:f>
        <x:v>0</x:v>
      </x:c>
    </x:row>
    <x:row r="394" ht="22" customHeight="1">
      <x:c r="A394" s="2" t="str">
        <x:v>S27-T04|9</x:v>
      </x:c>
      <x:c r="B394" s="2" t="str">
        <x:v>S27-T04</x:v>
      </x:c>
      <x:c r="C394" s="2" t="str">
        <x:v>S27</x:v>
      </x:c>
      <x:c r="D394" s="2" t="str">
        <x:v>Repeat</x:v>
      </x:c>
      <x:c r="E394" s="2" t="n">
        <x:v>4</x:v>
      </x:c>
      <x:c r="F394" s="2" t="n">
        <x:v>9</x:v>
      </x:c>
      <x:c r="G394" s="2" t="n">
        <x:f>COUNTIFS('Rankings'!$A$6:$A$423,B394,'Rankings'!$E$6:$E$423,"&lt;="&amp;F394)</x:f>
        <x:v>9</x:v>
      </x:c>
      <x:c r="H394" s="2" t="n">
        <x:f>SUMIFS('Rankings'!$J$6:$J$423,'Rankings'!$A$6:$A$423,B394,'Rankings'!$E$6:$E$423,"&lt;="&amp;F394)</x:f>
        <x:v>9</x:v>
      </x:c>
      <x:c r="I394" s="2" t="n">
        <x:f>G394-SUMIFS('Rankings'!$I$6:$I$423,'Rankings'!$A$6:$A$423,B394,'Rankings'!$E$6:$E$423,"&lt;="&amp;F394)</x:f>
        <x:v>0</x:v>
      </x:c>
      <x:c r="J394" s="2" t="n">
        <x:f>SUMIFS('Ratings'!$H$6:$H$1387,'Ratings'!$B$6:$B$1387,C394)</x:f>
        <x:v>46</x:v>
      </x:c>
      <x:c r="K394" s="15" t="n">
        <x:f>IF(I394&gt;0,"Unknown",H394/F394)</x:f>
        <x:v>1</x:v>
      </x:c>
      <x:c r="L394" s="15" t="n">
        <x:f>IF(J394=0,"N/A",H394/J394)</x:f>
        <x:v>0.1956521739130435</x:v>
      </x:c>
      <x:c r="M394" s="14" t="n">
        <x:f>SUMIFS('Rankings'!$L$6:$L$423,'Rankings'!$A$6:$A$423,B394,'Rankings'!$E$6:$E$423,"&lt;="&amp;F394)</x:f>
        <x:v>29.781461582393206</x:v>
      </x:c>
      <x:c r="N394" s="14" t="n">
        <x:f>SUMIFS('Ideal ranking'!$H$6:$H$365,'Ideal ranking'!$A$6:$A$365,C394,'Ideal ranking'!$B$6:$B$365,"&lt;="&amp;F394)</x:f>
        <x:v>29.781461582393206</x:v>
      </x:c>
      <x:c r="O394" s="14" t="n">
        <x:f>IF(I394&gt;0,"Unknown",IF(N394=0,"N/A",M394/N394))</x:f>
        <x:v>1</x:v>
      </x:c>
      <x:c r="P394" s="15" t="n">
        <x:f>IF(G394=0,"N/A",IF(I394&gt;0,"Unknown",H394/G394))</x:f>
        <x:v>1</x:v>
      </x:c>
      <x:c r="Q394" s="2" t="n">
        <x:f>F394-G394</x:f>
        <x:v>0</x:v>
      </x:c>
    </x:row>
    <x:row r="395" ht="22" customHeight="1">
      <x:c r="A395" s="2" t="str">
        <x:v>S27-T04|10</x:v>
      </x:c>
      <x:c r="B395" s="2" t="str">
        <x:v>S27-T04</x:v>
      </x:c>
      <x:c r="C395" s="2" t="str">
        <x:v>S27</x:v>
      </x:c>
      <x:c r="D395" s="2" t="str">
        <x:v>Repeat</x:v>
      </x:c>
      <x:c r="E395" s="2" t="n">
        <x:v>4</x:v>
      </x:c>
      <x:c r="F395" s="2" t="n">
        <x:v>10</x:v>
      </x:c>
      <x:c r="G395" s="2" t="n">
        <x:f>COUNTIFS('Rankings'!$A$6:$A$423,B395,'Rankings'!$E$6:$E$423,"&lt;="&amp;F395)</x:f>
        <x:v>10</x:v>
      </x:c>
      <x:c r="H395" s="2" t="n">
        <x:f>SUMIFS('Rankings'!$J$6:$J$423,'Rankings'!$A$6:$A$423,B395,'Rankings'!$E$6:$E$423,"&lt;="&amp;F395)</x:f>
        <x:v>10</x:v>
      </x:c>
      <x:c r="I395" s="2" t="n">
        <x:f>G395-SUMIFS('Rankings'!$I$6:$I$423,'Rankings'!$A$6:$A$423,B395,'Rankings'!$E$6:$E$423,"&lt;="&amp;F395)</x:f>
        <x:v>0</x:v>
      </x:c>
      <x:c r="J395" s="2" t="n">
        <x:f>SUMIFS('Ratings'!$H$6:$H$1387,'Ratings'!$B$6:$B$1387,C395)</x:f>
        <x:v>46</x:v>
      </x:c>
      <x:c r="K395" s="15" t="n">
        <x:f>IF(I395&gt;0,"Unknown",H395/F395)</x:f>
        <x:v>1</x:v>
      </x:c>
      <x:c r="L395" s="15" t="n">
        <x:f>IF(J395=0,"N/A",H395/J395)</x:f>
        <x:v>0.21739130434782608</x:v>
      </x:c>
      <x:c r="M395" s="14" t="n">
        <x:f>SUMIFS('Rankings'!$L$6:$L$423,'Rankings'!$A$6:$A$423,B395,'Rankings'!$E$6:$E$423,"&lt;="&amp;F395)</x:f>
        <x:v>31.80491536661842</x:v>
      </x:c>
      <x:c r="N395" s="14" t="n">
        <x:f>SUMIFS('Ideal ranking'!$H$6:$H$365,'Ideal ranking'!$A$6:$A$365,C395,'Ideal ranking'!$B$6:$B$365,"&lt;="&amp;F395)</x:f>
        <x:v>31.80491536661842</x:v>
      </x:c>
      <x:c r="O395" s="14" t="n">
        <x:f>IF(I395&gt;0,"Unknown",IF(N395=0,"N/A",M395/N395))</x:f>
        <x:v>1</x:v>
      </x:c>
      <x:c r="P395" s="15" t="n">
        <x:f>IF(G395=0,"N/A",IF(I395&gt;0,"Unknown",H395/G395))</x:f>
        <x:v>1</x:v>
      </x:c>
      <x:c r="Q395" s="2" t="n">
        <x:f>F395-G395</x:f>
        <x:v>0</x:v>
      </x:c>
    </x:row>
    <x:row r="396" ht="22" customHeight="1">
      <x:c r="A396" s="2" t="str">
        <x:v>S27-T05|1</x:v>
      </x:c>
      <x:c r="B396" s="2" t="str">
        <x:v>S27-T05</x:v>
      </x:c>
      <x:c r="C396" s="2" t="str">
        <x:v>S27</x:v>
      </x:c>
      <x:c r="D396" s="2" t="str">
        <x:v>Repeat</x:v>
      </x:c>
      <x:c r="E396" s="2" t="n">
        <x:v>5</x:v>
      </x:c>
      <x:c r="F396" s="2" t="n">
        <x:v>1</x:v>
      </x:c>
      <x:c r="G396" s="2" t="n">
        <x:f>COUNTIFS('Rankings'!$A$6:$A$423,B396,'Rankings'!$E$6:$E$423,"&lt;="&amp;F396)</x:f>
        <x:v>1</x:v>
      </x:c>
      <x:c r="H396" s="2" t="n">
        <x:f>SUMIFS('Rankings'!$J$6:$J$423,'Rankings'!$A$6:$A$423,B396,'Rankings'!$E$6:$E$423,"&lt;="&amp;F396)</x:f>
        <x:v>1</x:v>
      </x:c>
      <x:c r="I396" s="2" t="n">
        <x:f>G396-SUMIFS('Rankings'!$I$6:$I$423,'Rankings'!$A$6:$A$423,B396,'Rankings'!$E$6:$E$423,"&lt;="&amp;F396)</x:f>
        <x:v>0</x:v>
      </x:c>
      <x:c r="J396" s="2" t="n">
        <x:f>SUMIFS('Ratings'!$H$6:$H$1387,'Ratings'!$B$6:$B$1387,C396)</x:f>
        <x:v>46</x:v>
      </x:c>
      <x:c r="K396" s="15" t="n">
        <x:f>IF(I396&gt;0,"Unknown",H396/F396)</x:f>
        <x:v>1</x:v>
      </x:c>
      <x:c r="L396" s="15" t="n">
        <x:f>IF(J396=0,"N/A",H396/J396)</x:f>
        <x:v>0.021739130434782608</x:v>
      </x:c>
      <x:c r="M396" s="14" t="n">
        <x:f>SUMIFS('Rankings'!$L$6:$L$423,'Rankings'!$A$6:$A$423,B396,'Rankings'!$E$6:$E$423,"&lt;="&amp;F396)</x:f>
        <x:v>7</x:v>
      </x:c>
      <x:c r="N396" s="14" t="n">
        <x:f>SUMIFS('Ideal ranking'!$H$6:$H$365,'Ideal ranking'!$A$6:$A$365,C396,'Ideal ranking'!$B$6:$B$365,"&lt;="&amp;F396)</x:f>
        <x:v>7</x:v>
      </x:c>
      <x:c r="O396" s="14" t="n">
        <x:f>IF(I396&gt;0,"Unknown",IF(N396=0,"N/A",M396/N396))</x:f>
        <x:v>1</x:v>
      </x:c>
      <x:c r="P396" s="15" t="n">
        <x:f>IF(G396=0,"N/A",IF(I396&gt;0,"Unknown",H396/G396))</x:f>
        <x:v>1</x:v>
      </x:c>
      <x:c r="Q396" s="2" t="n">
        <x:f>F396-G396</x:f>
        <x:v>0</x:v>
      </x:c>
    </x:row>
    <x:row r="397" ht="22" customHeight="1">
      <x:c r="A397" s="2" t="str">
        <x:v>S27-T05|2</x:v>
      </x:c>
      <x:c r="B397" s="2" t="str">
        <x:v>S27-T05</x:v>
      </x:c>
      <x:c r="C397" s="2" t="str">
        <x:v>S27</x:v>
      </x:c>
      <x:c r="D397" s="2" t="str">
        <x:v>Repeat</x:v>
      </x:c>
      <x:c r="E397" s="2" t="n">
        <x:v>5</x:v>
      </x:c>
      <x:c r="F397" s="2" t="n">
        <x:v>2</x:v>
      </x:c>
      <x:c r="G397" s="2" t="n">
        <x:f>COUNTIFS('Rankings'!$A$6:$A$423,B397,'Rankings'!$E$6:$E$423,"&lt;="&amp;F397)</x:f>
        <x:v>2</x:v>
      </x:c>
      <x:c r="H397" s="2" t="n">
        <x:f>SUMIFS('Rankings'!$J$6:$J$423,'Rankings'!$A$6:$A$423,B397,'Rankings'!$E$6:$E$423,"&lt;="&amp;F397)</x:f>
        <x:v>2</x:v>
      </x:c>
      <x:c r="I397" s="2" t="n">
        <x:f>G397-SUMIFS('Rankings'!$I$6:$I$423,'Rankings'!$A$6:$A$423,B397,'Rankings'!$E$6:$E$423,"&lt;="&amp;F397)</x:f>
        <x:v>0</x:v>
      </x:c>
      <x:c r="J397" s="2" t="n">
        <x:f>SUMIFS('Ratings'!$H$6:$H$1387,'Ratings'!$B$6:$B$1387,C397)</x:f>
        <x:v>46</x:v>
      </x:c>
      <x:c r="K397" s="15" t="n">
        <x:f>IF(I397&gt;0,"Unknown",H397/F397)</x:f>
        <x:v>1</x:v>
      </x:c>
      <x:c r="L397" s="15" t="n">
        <x:f>IF(J397=0,"N/A",H397/J397)</x:f>
        <x:v>0.043478260869565216</x:v>
      </x:c>
      <x:c r="M397" s="14" t="n">
        <x:f>SUMIFS('Rankings'!$L$6:$L$423,'Rankings'!$A$6:$A$423,B397,'Rankings'!$E$6:$E$423,"&lt;="&amp;F397)</x:f>
        <x:v>11.416508275000202</x:v>
      </x:c>
      <x:c r="N397" s="14" t="n">
        <x:f>SUMIFS('Ideal ranking'!$H$6:$H$365,'Ideal ranking'!$A$6:$A$365,C397,'Ideal ranking'!$B$6:$B$365,"&lt;="&amp;F397)</x:f>
        <x:v>11.416508275000202</x:v>
      </x:c>
      <x:c r="O397" s="14" t="n">
        <x:f>IF(I397&gt;0,"Unknown",IF(N397=0,"N/A",M397/N397))</x:f>
        <x:v>1</x:v>
      </x:c>
      <x:c r="P397" s="15" t="n">
        <x:f>IF(G397=0,"N/A",IF(I397&gt;0,"Unknown",H397/G397))</x:f>
        <x:v>1</x:v>
      </x:c>
      <x:c r="Q397" s="2" t="n">
        <x:f>F397-G397</x:f>
        <x:v>0</x:v>
      </x:c>
    </x:row>
    <x:row r="398" ht="22" customHeight="1">
      <x:c r="A398" s="2" t="str">
        <x:v>S27-T05|3</x:v>
      </x:c>
      <x:c r="B398" s="2" t="str">
        <x:v>S27-T05</x:v>
      </x:c>
      <x:c r="C398" s="2" t="str">
        <x:v>S27</x:v>
      </x:c>
      <x:c r="D398" s="2" t="str">
        <x:v>Repeat</x:v>
      </x:c>
      <x:c r="E398" s="2" t="n">
        <x:v>5</x:v>
      </x:c>
      <x:c r="F398" s="2" t="n">
        <x:v>3</x:v>
      </x:c>
      <x:c r="G398" s="2" t="n">
        <x:f>COUNTIFS('Rankings'!$A$6:$A$423,B398,'Rankings'!$E$6:$E$423,"&lt;="&amp;F398)</x:f>
        <x:v>3</x:v>
      </x:c>
      <x:c r="H398" s="2" t="n">
        <x:f>SUMIFS('Rankings'!$J$6:$J$423,'Rankings'!$A$6:$A$423,B398,'Rankings'!$E$6:$E$423,"&lt;="&amp;F398)</x:f>
        <x:v>3</x:v>
      </x:c>
      <x:c r="I398" s="2" t="n">
        <x:f>G398-SUMIFS('Rankings'!$I$6:$I$423,'Rankings'!$A$6:$A$423,B398,'Rankings'!$E$6:$E$423,"&lt;="&amp;F398)</x:f>
        <x:v>0</x:v>
      </x:c>
      <x:c r="J398" s="2" t="n">
        <x:f>SUMIFS('Ratings'!$H$6:$H$1387,'Ratings'!$B$6:$B$1387,C398)</x:f>
        <x:v>46</x:v>
      </x:c>
      <x:c r="K398" s="15" t="n">
        <x:f>IF(I398&gt;0,"Unknown",H398/F398)</x:f>
        <x:v>1</x:v>
      </x:c>
      <x:c r="L398" s="15" t="n">
        <x:f>IF(J398=0,"N/A",H398/J398)</x:f>
        <x:v>0.06521739130434782</x:v>
      </x:c>
      <x:c r="M398" s="14" t="n">
        <x:f>SUMIFS('Rankings'!$L$6:$L$423,'Rankings'!$A$6:$A$423,B398,'Rankings'!$E$6:$E$423,"&lt;="&amp;F398)</x:f>
        <x:v>14.916508275000202</x:v>
      </x:c>
      <x:c r="N398" s="14" t="n">
        <x:f>SUMIFS('Ideal ranking'!$H$6:$H$365,'Ideal ranking'!$A$6:$A$365,C398,'Ideal ranking'!$B$6:$B$365,"&lt;="&amp;F398)</x:f>
        <x:v>14.916508275000202</x:v>
      </x:c>
      <x:c r="O398" s="14" t="n">
        <x:f>IF(I398&gt;0,"Unknown",IF(N398=0,"N/A",M398/N398))</x:f>
        <x:v>1</x:v>
      </x:c>
      <x:c r="P398" s="15" t="n">
        <x:f>IF(G398=0,"N/A",IF(I398&gt;0,"Unknown",H398/G398))</x:f>
        <x:v>1</x:v>
      </x:c>
      <x:c r="Q398" s="2" t="n">
        <x:f>F398-G398</x:f>
        <x:v>0</x:v>
      </x:c>
    </x:row>
    <x:row r="399" ht="22" customHeight="1">
      <x:c r="A399" s="2" t="str">
        <x:v>S27-T05|4</x:v>
      </x:c>
      <x:c r="B399" s="2" t="str">
        <x:v>S27-T05</x:v>
      </x:c>
      <x:c r="C399" s="2" t="str">
        <x:v>S27</x:v>
      </x:c>
      <x:c r="D399" s="2" t="str">
        <x:v>Repeat</x:v>
      </x:c>
      <x:c r="E399" s="2" t="n">
        <x:v>5</x:v>
      </x:c>
      <x:c r="F399" s="2" t="n">
        <x:v>4</x:v>
      </x:c>
      <x:c r="G399" s="2" t="n">
        <x:f>COUNTIFS('Rankings'!$A$6:$A$423,B399,'Rankings'!$E$6:$E$423,"&lt;="&amp;F399)</x:f>
        <x:v>4</x:v>
      </x:c>
      <x:c r="H399" s="2" t="n">
        <x:f>SUMIFS('Rankings'!$J$6:$J$423,'Rankings'!$A$6:$A$423,B399,'Rankings'!$E$6:$E$423,"&lt;="&amp;F399)</x:f>
        <x:v>4</x:v>
      </x:c>
      <x:c r="I399" s="2" t="n">
        <x:f>G399-SUMIFS('Rankings'!$I$6:$I$423,'Rankings'!$A$6:$A$423,B399,'Rankings'!$E$6:$E$423,"&lt;="&amp;F399)</x:f>
        <x:v>0</x:v>
      </x:c>
      <x:c r="J399" s="2" t="n">
        <x:f>SUMIFS('Ratings'!$H$6:$H$1387,'Ratings'!$B$6:$B$1387,C399)</x:f>
        <x:v>46</x:v>
      </x:c>
      <x:c r="K399" s="15" t="n">
        <x:f>IF(I399&gt;0,"Unknown",H399/F399)</x:f>
        <x:v>1</x:v>
      </x:c>
      <x:c r="L399" s="15" t="n">
        <x:f>IF(J399=0,"N/A",H399/J399)</x:f>
        <x:v>0.08695652173913043</x:v>
      </x:c>
      <x:c r="M399" s="14" t="n">
        <x:f>SUMIFS('Rankings'!$L$6:$L$423,'Rankings'!$A$6:$A$423,B399,'Rankings'!$E$6:$E$423,"&lt;="&amp;F399)</x:f>
        <x:v>17.931244181513954</x:v>
      </x:c>
      <x:c r="N399" s="14" t="n">
        <x:f>SUMIFS('Ideal ranking'!$H$6:$H$365,'Ideal ranking'!$A$6:$A$365,C399,'Ideal ranking'!$B$6:$B$365,"&lt;="&amp;F399)</x:f>
        <x:v>17.931244181513954</x:v>
      </x:c>
      <x:c r="O399" s="14" t="n">
        <x:f>IF(I399&gt;0,"Unknown",IF(N399=0,"N/A",M399/N399))</x:f>
        <x:v>1</x:v>
      </x:c>
      <x:c r="P399" s="15" t="n">
        <x:f>IF(G399=0,"N/A",IF(I399&gt;0,"Unknown",H399/G399))</x:f>
        <x:v>1</x:v>
      </x:c>
      <x:c r="Q399" s="2" t="n">
        <x:f>F399-G399</x:f>
        <x:v>0</x:v>
      </x:c>
    </x:row>
    <x:row r="400" ht="22" customHeight="1">
      <x:c r="A400" s="2" t="str">
        <x:v>S27-T05|5</x:v>
      </x:c>
      <x:c r="B400" s="2" t="str">
        <x:v>S27-T05</x:v>
      </x:c>
      <x:c r="C400" s="2" t="str">
        <x:v>S27</x:v>
      </x:c>
      <x:c r="D400" s="2" t="str">
        <x:v>Repeat</x:v>
      </x:c>
      <x:c r="E400" s="2" t="n">
        <x:v>5</x:v>
      </x:c>
      <x:c r="F400" s="2" t="n">
        <x:v>5</x:v>
      </x:c>
      <x:c r="G400" s="2" t="n">
        <x:f>COUNTIFS('Rankings'!$A$6:$A$423,B400,'Rankings'!$E$6:$E$423,"&lt;="&amp;F400)</x:f>
        <x:v>5</x:v>
      </x:c>
      <x:c r="H400" s="2" t="n">
        <x:f>SUMIFS('Rankings'!$J$6:$J$423,'Rankings'!$A$6:$A$423,B400,'Rankings'!$E$6:$E$423,"&lt;="&amp;F400)</x:f>
        <x:v>5</x:v>
      </x:c>
      <x:c r="I400" s="2" t="n">
        <x:f>G400-SUMIFS('Rankings'!$I$6:$I$423,'Rankings'!$A$6:$A$423,B400,'Rankings'!$E$6:$E$423,"&lt;="&amp;F400)</x:f>
        <x:v>0</x:v>
      </x:c>
      <x:c r="J400" s="2" t="n">
        <x:f>SUMIFS('Ratings'!$H$6:$H$1387,'Ratings'!$B$6:$B$1387,C400)</x:f>
        <x:v>46</x:v>
      </x:c>
      <x:c r="K400" s="15" t="n">
        <x:f>IF(I400&gt;0,"Unknown",H400/F400)</x:f>
        <x:v>1</x:v>
      </x:c>
      <x:c r="L400" s="15" t="n">
        <x:f>IF(J400=0,"N/A",H400/J400)</x:f>
        <x:v>0.10869565217391304</x:v>
      </x:c>
      <x:c r="M400" s="14" t="n">
        <x:f>SUMIFS('Rankings'!$L$6:$L$423,'Rankings'!$A$6:$A$423,B400,'Rankings'!$E$6:$E$423,"&lt;="&amp;F400)</x:f>
        <x:v>20.639213832155747</x:v>
      </x:c>
      <x:c r="N400" s="14" t="n">
        <x:f>SUMIFS('Ideal ranking'!$H$6:$H$365,'Ideal ranking'!$A$6:$A$365,C400,'Ideal ranking'!$B$6:$B$365,"&lt;="&amp;F400)</x:f>
        <x:v>20.639213832155747</x:v>
      </x:c>
      <x:c r="O400" s="14" t="n">
        <x:f>IF(I400&gt;0,"Unknown",IF(N400=0,"N/A",M400/N400))</x:f>
        <x:v>1</x:v>
      </x:c>
      <x:c r="P400" s="15" t="n">
        <x:f>IF(G400=0,"N/A",IF(I400&gt;0,"Unknown",H400/G400))</x:f>
        <x:v>1</x:v>
      </x:c>
      <x:c r="Q400" s="2" t="n">
        <x:f>F400-G400</x:f>
        <x:v>0</x:v>
      </x:c>
    </x:row>
    <x:row r="401" ht="22" customHeight="1">
      <x:c r="A401" s="2" t="str">
        <x:v>S27-T05|6</x:v>
      </x:c>
      <x:c r="B401" s="2" t="str">
        <x:v>S27-T05</x:v>
      </x:c>
      <x:c r="C401" s="2" t="str">
        <x:v>S27</x:v>
      </x:c>
      <x:c r="D401" s="2" t="str">
        <x:v>Repeat</x:v>
      </x:c>
      <x:c r="E401" s="2" t="n">
        <x:v>5</x:v>
      </x:c>
      <x:c r="F401" s="2" t="n">
        <x:v>6</x:v>
      </x:c>
      <x:c r="G401" s="2" t="n">
        <x:f>COUNTIFS('Rankings'!$A$6:$A$423,B401,'Rankings'!$E$6:$E$423,"&lt;="&amp;F401)</x:f>
        <x:v>6</x:v>
      </x:c>
      <x:c r="H401" s="2" t="n">
        <x:f>SUMIFS('Rankings'!$J$6:$J$423,'Rankings'!$A$6:$A$423,B401,'Rankings'!$E$6:$E$423,"&lt;="&amp;F401)</x:f>
        <x:v>6</x:v>
      </x:c>
      <x:c r="I401" s="2" t="n">
        <x:f>G401-SUMIFS('Rankings'!$I$6:$I$423,'Rankings'!$A$6:$A$423,B401,'Rankings'!$E$6:$E$423,"&lt;="&amp;F401)</x:f>
        <x:v>0</x:v>
      </x:c>
      <x:c r="J401" s="2" t="n">
        <x:f>SUMIFS('Ratings'!$H$6:$H$1387,'Ratings'!$B$6:$B$1387,C401)</x:f>
        <x:v>46</x:v>
      </x:c>
      <x:c r="K401" s="15" t="n">
        <x:f>IF(I401&gt;0,"Unknown",H401/F401)</x:f>
        <x:v>1</x:v>
      </x:c>
      <x:c r="L401" s="15" t="n">
        <x:f>IF(J401=0,"N/A",H401/J401)</x:f>
        <x:v>0.13043478260869565</x:v>
      </x:c>
      <x:c r="M401" s="14" t="n">
        <x:f>SUMIFS('Rankings'!$L$6:$L$423,'Rankings'!$A$6:$A$423,B401,'Rankings'!$E$6:$E$423,"&lt;="&amp;F401)</x:f>
        <x:v>23.132664141911903</x:v>
      </x:c>
      <x:c r="N401" s="14" t="n">
        <x:f>SUMIFS('Ideal ranking'!$H$6:$H$365,'Ideal ranking'!$A$6:$A$365,C401,'Ideal ranking'!$B$6:$B$365,"&lt;="&amp;F401)</x:f>
        <x:v>23.132664141911903</x:v>
      </x:c>
      <x:c r="O401" s="14" t="n">
        <x:f>IF(I401&gt;0,"Unknown",IF(N401=0,"N/A",M401/N401))</x:f>
        <x:v>1</x:v>
      </x:c>
      <x:c r="P401" s="15" t="n">
        <x:f>IF(G401=0,"N/A",IF(I401&gt;0,"Unknown",H401/G401))</x:f>
        <x:v>1</x:v>
      </x:c>
      <x:c r="Q401" s="2" t="n">
        <x:f>F401-G401</x:f>
        <x:v>0</x:v>
      </x:c>
    </x:row>
    <x:row r="402" ht="22" customHeight="1">
      <x:c r="A402" s="2" t="str">
        <x:v>S27-T05|7</x:v>
      </x:c>
      <x:c r="B402" s="2" t="str">
        <x:v>S27-T05</x:v>
      </x:c>
      <x:c r="C402" s="2" t="str">
        <x:v>S27</x:v>
      </x:c>
      <x:c r="D402" s="2" t="str">
        <x:v>Repeat</x:v>
      </x:c>
      <x:c r="E402" s="2" t="n">
        <x:v>5</x:v>
      </x:c>
      <x:c r="F402" s="2" t="n">
        <x:v>7</x:v>
      </x:c>
      <x:c r="G402" s="2" t="n">
        <x:f>COUNTIFS('Rankings'!$A$6:$A$423,B402,'Rankings'!$E$6:$E$423,"&lt;="&amp;F402)</x:f>
        <x:v>7</x:v>
      </x:c>
      <x:c r="H402" s="2" t="n">
        <x:f>SUMIFS('Rankings'!$J$6:$J$423,'Rankings'!$A$6:$A$423,B402,'Rankings'!$E$6:$E$423,"&lt;="&amp;F402)</x:f>
        <x:v>7</x:v>
      </x:c>
      <x:c r="I402" s="2" t="n">
        <x:f>G402-SUMIFS('Rankings'!$I$6:$I$423,'Rankings'!$A$6:$A$423,B402,'Rankings'!$E$6:$E$423,"&lt;="&amp;F402)</x:f>
        <x:v>0</x:v>
      </x:c>
      <x:c r="J402" s="2" t="n">
        <x:f>SUMIFS('Ratings'!$H$6:$H$1387,'Ratings'!$B$6:$B$1387,C402)</x:f>
        <x:v>46</x:v>
      </x:c>
      <x:c r="K402" s="15" t="n">
        <x:f>IF(I402&gt;0,"Unknown",H402/F402)</x:f>
        <x:v>1</x:v>
      </x:c>
      <x:c r="L402" s="15" t="n">
        <x:f>IF(J402=0,"N/A",H402/J402)</x:f>
        <x:v>0.15217391304347827</x:v>
      </x:c>
      <x:c r="M402" s="14" t="n">
        <x:f>SUMIFS('Rankings'!$L$6:$L$423,'Rankings'!$A$6:$A$423,B402,'Rankings'!$E$6:$E$423,"&lt;="&amp;F402)</x:f>
        <x:v>25.465997475245235</x:v>
      </x:c>
      <x:c r="N402" s="14" t="n">
        <x:f>SUMIFS('Ideal ranking'!$H$6:$H$365,'Ideal ranking'!$A$6:$A$365,C402,'Ideal ranking'!$B$6:$B$365,"&lt;="&amp;F402)</x:f>
        <x:v>25.465997475245235</x:v>
      </x:c>
      <x:c r="O402" s="14" t="n">
        <x:f>IF(I402&gt;0,"Unknown",IF(N402=0,"N/A",M402/N402))</x:f>
        <x:v>1</x:v>
      </x:c>
      <x:c r="P402" s="15" t="n">
        <x:f>IF(G402=0,"N/A",IF(I402&gt;0,"Unknown",H402/G402))</x:f>
        <x:v>1</x:v>
      </x:c>
      <x:c r="Q402" s="2" t="n">
        <x:f>F402-G402</x:f>
        <x:v>0</x:v>
      </x:c>
    </x:row>
    <x:row r="403" ht="22" customHeight="1">
      <x:c r="A403" s="2" t="str">
        <x:v>S27-T05|8</x:v>
      </x:c>
      <x:c r="B403" s="2" t="str">
        <x:v>S27-T05</x:v>
      </x:c>
      <x:c r="C403" s="2" t="str">
        <x:v>S27</x:v>
      </x:c>
      <x:c r="D403" s="2" t="str">
        <x:v>Repeat</x:v>
      </x:c>
      <x:c r="E403" s="2" t="n">
        <x:v>5</x:v>
      </x:c>
      <x:c r="F403" s="2" t="n">
        <x:v>8</x:v>
      </x:c>
      <x:c r="G403" s="2" t="n">
        <x:f>COUNTIFS('Rankings'!$A$6:$A$423,B403,'Rankings'!$E$6:$E$423,"&lt;="&amp;F403)</x:f>
        <x:v>8</x:v>
      </x:c>
      <x:c r="H403" s="2" t="n">
        <x:f>SUMIFS('Rankings'!$J$6:$J$423,'Rankings'!$A$6:$A$423,B403,'Rankings'!$E$6:$E$423,"&lt;="&amp;F403)</x:f>
        <x:v>8</x:v>
      </x:c>
      <x:c r="I403" s="2" t="n">
        <x:f>G403-SUMIFS('Rankings'!$I$6:$I$423,'Rankings'!$A$6:$A$423,B403,'Rankings'!$E$6:$E$423,"&lt;="&amp;F403)</x:f>
        <x:v>0</x:v>
      </x:c>
      <x:c r="J403" s="2" t="n">
        <x:f>SUMIFS('Ratings'!$H$6:$H$1387,'Ratings'!$B$6:$B$1387,C403)</x:f>
        <x:v>46</x:v>
      </x:c>
      <x:c r="K403" s="15" t="n">
        <x:f>IF(I403&gt;0,"Unknown",H403/F403)</x:f>
        <x:v>1</x:v>
      </x:c>
      <x:c r="L403" s="15" t="n">
        <x:f>IF(J403=0,"N/A",H403/J403)</x:f>
        <x:v>0.17391304347826086</x:v>
      </x:c>
      <x:c r="M403" s="14" t="n">
        <x:f>SUMIFS('Rankings'!$L$6:$L$423,'Rankings'!$A$6:$A$423,B403,'Rankings'!$E$6:$E$423,"&lt;="&amp;F403)</x:f>
        <x:v>27.674251612745337</x:v>
      </x:c>
      <x:c r="N403" s="14" t="n">
        <x:f>SUMIFS('Ideal ranking'!$H$6:$H$365,'Ideal ranking'!$A$6:$A$365,C403,'Ideal ranking'!$B$6:$B$365,"&lt;="&amp;F403)</x:f>
        <x:v>27.674251612745337</x:v>
      </x:c>
      <x:c r="O403" s="14" t="n">
        <x:f>IF(I403&gt;0,"Unknown",IF(N403=0,"N/A",M403/N403))</x:f>
        <x:v>1</x:v>
      </x:c>
      <x:c r="P403" s="15" t="n">
        <x:f>IF(G403=0,"N/A",IF(I403&gt;0,"Unknown",H403/G403))</x:f>
        <x:v>1</x:v>
      </x:c>
      <x:c r="Q403" s="2" t="n">
        <x:f>F403-G403</x:f>
        <x:v>0</x:v>
      </x:c>
    </x:row>
    <x:row r="404" ht="22" customHeight="1">
      <x:c r="A404" s="2" t="str">
        <x:v>S27-T05|9</x:v>
      </x:c>
      <x:c r="B404" s="2" t="str">
        <x:v>S27-T05</x:v>
      </x:c>
      <x:c r="C404" s="2" t="str">
        <x:v>S27</x:v>
      </x:c>
      <x:c r="D404" s="2" t="str">
        <x:v>Repeat</x:v>
      </x:c>
      <x:c r="E404" s="2" t="n">
        <x:v>5</x:v>
      </x:c>
      <x:c r="F404" s="2" t="n">
        <x:v>9</x:v>
      </x:c>
      <x:c r="G404" s="2" t="n">
        <x:f>COUNTIFS('Rankings'!$A$6:$A$423,B404,'Rankings'!$E$6:$E$423,"&lt;="&amp;F404)</x:f>
        <x:v>9</x:v>
      </x:c>
      <x:c r="H404" s="2" t="n">
        <x:f>SUMIFS('Rankings'!$J$6:$J$423,'Rankings'!$A$6:$A$423,B404,'Rankings'!$E$6:$E$423,"&lt;="&amp;F404)</x:f>
        <x:v>9</x:v>
      </x:c>
      <x:c r="I404" s="2" t="n">
        <x:f>G404-SUMIFS('Rankings'!$I$6:$I$423,'Rankings'!$A$6:$A$423,B404,'Rankings'!$E$6:$E$423,"&lt;="&amp;F404)</x:f>
        <x:v>0</x:v>
      </x:c>
      <x:c r="J404" s="2" t="n">
        <x:f>SUMIFS('Ratings'!$H$6:$H$1387,'Ratings'!$B$6:$B$1387,C404)</x:f>
        <x:v>46</x:v>
      </x:c>
      <x:c r="K404" s="15" t="n">
        <x:f>IF(I404&gt;0,"Unknown",H404/F404)</x:f>
        <x:v>1</x:v>
      </x:c>
      <x:c r="L404" s="15" t="n">
        <x:f>IF(J404=0,"N/A",H404/J404)</x:f>
        <x:v>0.1956521739130435</x:v>
      </x:c>
      <x:c r="M404" s="14" t="n">
        <x:f>SUMIFS('Rankings'!$L$6:$L$423,'Rankings'!$A$6:$A$423,B404,'Rankings'!$E$6:$E$423,"&lt;="&amp;F404)</x:f>
        <x:v>29.781461582393206</x:v>
      </x:c>
      <x:c r="N404" s="14" t="n">
        <x:f>SUMIFS('Ideal ranking'!$H$6:$H$365,'Ideal ranking'!$A$6:$A$365,C404,'Ideal ranking'!$B$6:$B$365,"&lt;="&amp;F404)</x:f>
        <x:v>29.781461582393206</x:v>
      </x:c>
      <x:c r="O404" s="14" t="n">
        <x:f>IF(I404&gt;0,"Unknown",IF(N404=0,"N/A",M404/N404))</x:f>
        <x:v>1</x:v>
      </x:c>
      <x:c r="P404" s="15" t="n">
        <x:f>IF(G404=0,"N/A",IF(I404&gt;0,"Unknown",H404/G404))</x:f>
        <x:v>1</x:v>
      </x:c>
      <x:c r="Q404" s="2" t="n">
        <x:f>F404-G404</x:f>
        <x:v>0</x:v>
      </x:c>
    </x:row>
    <x:row r="405" ht="22" customHeight="1">
      <x:c r="A405" s="2" t="str">
        <x:v>S27-T05|10</x:v>
      </x:c>
      <x:c r="B405" s="2" t="str">
        <x:v>S27-T05</x:v>
      </x:c>
      <x:c r="C405" s="2" t="str">
        <x:v>S27</x:v>
      </x:c>
      <x:c r="D405" s="2" t="str">
        <x:v>Repeat</x:v>
      </x:c>
      <x:c r="E405" s="2" t="n">
        <x:v>5</x:v>
      </x:c>
      <x:c r="F405" s="2" t="n">
        <x:v>10</x:v>
      </x:c>
      <x:c r="G405" s="2" t="n">
        <x:f>COUNTIFS('Rankings'!$A$6:$A$423,B405,'Rankings'!$E$6:$E$423,"&lt;="&amp;F405)</x:f>
        <x:v>10</x:v>
      </x:c>
      <x:c r="H405" s="2" t="n">
        <x:f>SUMIFS('Rankings'!$J$6:$J$423,'Rankings'!$A$6:$A$423,B405,'Rankings'!$E$6:$E$423,"&lt;="&amp;F405)</x:f>
        <x:v>10</x:v>
      </x:c>
      <x:c r="I405" s="2" t="n">
        <x:f>G405-SUMIFS('Rankings'!$I$6:$I$423,'Rankings'!$A$6:$A$423,B405,'Rankings'!$E$6:$E$423,"&lt;="&amp;F405)</x:f>
        <x:v>0</x:v>
      </x:c>
      <x:c r="J405" s="2" t="n">
        <x:f>SUMIFS('Ratings'!$H$6:$H$1387,'Ratings'!$B$6:$B$1387,C405)</x:f>
        <x:v>46</x:v>
      </x:c>
      <x:c r="K405" s="15" t="n">
        <x:f>IF(I405&gt;0,"Unknown",H405/F405)</x:f>
        <x:v>1</x:v>
      </x:c>
      <x:c r="L405" s="15" t="n">
        <x:f>IF(J405=0,"N/A",H405/J405)</x:f>
        <x:v>0.21739130434782608</x:v>
      </x:c>
      <x:c r="M405" s="14" t="n">
        <x:f>SUMIFS('Rankings'!$L$6:$L$423,'Rankings'!$A$6:$A$423,B405,'Rankings'!$E$6:$E$423,"&lt;="&amp;F405)</x:f>
        <x:v>31.80491536661842</x:v>
      </x:c>
      <x:c r="N405" s="14" t="n">
        <x:f>SUMIFS('Ideal ranking'!$H$6:$H$365,'Ideal ranking'!$A$6:$A$365,C405,'Ideal ranking'!$B$6:$B$365,"&lt;="&amp;F405)</x:f>
        <x:v>31.80491536661842</x:v>
      </x:c>
      <x:c r="O405" s="14" t="n">
        <x:f>IF(I405&gt;0,"Unknown",IF(N405=0,"N/A",M405/N405))</x:f>
        <x:v>1</x:v>
      </x:c>
      <x:c r="P405" s="15" t="n">
        <x:f>IF(G405=0,"N/A",IF(I405&gt;0,"Unknown",H405/G405))</x:f>
        <x:v>1</x:v>
      </x:c>
      <x:c r="Q405" s="2" t="n">
        <x:f>F405-G405</x:f>
        <x:v>0</x:v>
      </x:c>
    </x:row>
    <x:row r="406" ht="22" customHeight="1">
      <x:c r="A406" s="2" t="str">
        <x:v>S29-T02|1</x:v>
      </x:c>
      <x:c r="B406" s="2" t="str">
        <x:v>S29-T02</x:v>
      </x:c>
      <x:c r="C406" s="2" t="str">
        <x:v>S29</x:v>
      </x:c>
      <x:c r="D406" s="2" t="str">
        <x:v>Repeat</x:v>
      </x:c>
      <x:c r="E406" s="2" t="n">
        <x:v>2</x:v>
      </x:c>
      <x:c r="F406" s="2" t="n">
        <x:v>1</x:v>
      </x:c>
      <x:c r="G406" s="2" t="n">
        <x:f>COUNTIFS('Rankings'!$A$6:$A$423,B406,'Rankings'!$E$6:$E$423,"&lt;="&amp;F406)</x:f>
        <x:v>1</x:v>
      </x:c>
      <x:c r="H406" s="2" t="n">
        <x:f>SUMIFS('Rankings'!$J$6:$J$423,'Rankings'!$A$6:$A$423,B406,'Rankings'!$E$6:$E$423,"&lt;="&amp;F406)</x:f>
        <x:v>1</x:v>
      </x:c>
      <x:c r="I406" s="2" t="n">
        <x:f>G406-SUMIFS('Rankings'!$I$6:$I$423,'Rankings'!$A$6:$A$423,B406,'Rankings'!$E$6:$E$423,"&lt;="&amp;F406)</x:f>
        <x:v>0</x:v>
      </x:c>
      <x:c r="J406" s="2" t="n">
        <x:f>SUMIFS('Ratings'!$H$6:$H$1387,'Ratings'!$B$6:$B$1387,C406)</x:f>
        <x:v>29</x:v>
      </x:c>
      <x:c r="K406" s="15" t="n">
        <x:f>IF(I406&gt;0,"Unknown",H406/F406)</x:f>
        <x:v>1</x:v>
      </x:c>
      <x:c r="L406" s="15" t="n">
        <x:f>IF(J406=0,"N/A",H406/J406)</x:f>
        <x:v>0.034482758620689655</x:v>
      </x:c>
      <x:c r="M406" s="14" t="n">
        <x:f>SUMIFS('Rankings'!$L$6:$L$423,'Rankings'!$A$6:$A$423,B406,'Rankings'!$E$6:$E$423,"&lt;="&amp;F406)</x:f>
        <x:v>7</x:v>
      </x:c>
      <x:c r="N406" s="14" t="n">
        <x:f>SUMIFS('Ideal ranking'!$H$6:$H$365,'Ideal ranking'!$A$6:$A$365,C406,'Ideal ranking'!$B$6:$B$365,"&lt;="&amp;F406)</x:f>
        <x:v>7</x:v>
      </x:c>
      <x:c r="O406" s="14" t="n">
        <x:f>IF(I406&gt;0,"Unknown",IF(N406=0,"N/A",M406/N406))</x:f>
        <x:v>1</x:v>
      </x:c>
      <x:c r="P406" s="15" t="n">
        <x:f>IF(G406=0,"N/A",IF(I406&gt;0,"Unknown",H406/G406))</x:f>
        <x:v>1</x:v>
      </x:c>
      <x:c r="Q406" s="2" t="n">
        <x:f>F406-G406</x:f>
        <x:v>0</x:v>
      </x:c>
    </x:row>
    <x:row r="407" ht="22" customHeight="1">
      <x:c r="A407" s="2" t="str">
        <x:v>S29-T02|2</x:v>
      </x:c>
      <x:c r="B407" s="2" t="str">
        <x:v>S29-T02</x:v>
      </x:c>
      <x:c r="C407" s="2" t="str">
        <x:v>S29</x:v>
      </x:c>
      <x:c r="D407" s="2" t="str">
        <x:v>Repeat</x:v>
      </x:c>
      <x:c r="E407" s="2" t="n">
        <x:v>2</x:v>
      </x:c>
      <x:c r="F407" s="2" t="n">
        <x:v>2</x:v>
      </x:c>
      <x:c r="G407" s="2" t="n">
        <x:f>COUNTIFS('Rankings'!$A$6:$A$423,B407,'Rankings'!$E$6:$E$423,"&lt;="&amp;F407)</x:f>
        <x:v>2</x:v>
      </x:c>
      <x:c r="H407" s="2" t="n">
        <x:f>SUMIFS('Rankings'!$J$6:$J$423,'Rankings'!$A$6:$A$423,B407,'Rankings'!$E$6:$E$423,"&lt;="&amp;F407)</x:f>
        <x:v>2</x:v>
      </x:c>
      <x:c r="I407" s="2" t="n">
        <x:f>G407-SUMIFS('Rankings'!$I$6:$I$423,'Rankings'!$A$6:$A$423,B407,'Rankings'!$E$6:$E$423,"&lt;="&amp;F407)</x:f>
        <x:v>0</x:v>
      </x:c>
      <x:c r="J407" s="2" t="n">
        <x:f>SUMIFS('Ratings'!$H$6:$H$1387,'Ratings'!$B$6:$B$1387,C407)</x:f>
        <x:v>29</x:v>
      </x:c>
      <x:c r="K407" s="15" t="n">
        <x:f>IF(I407&gt;0,"Unknown",H407/F407)</x:f>
        <x:v>1</x:v>
      </x:c>
      <x:c r="L407" s="15" t="n">
        <x:f>IF(J407=0,"N/A",H407/J407)</x:f>
        <x:v>0.06896551724137931</x:v>
      </x:c>
      <x:c r="M407" s="14" t="n">
        <x:f>SUMIFS('Rankings'!$L$6:$L$423,'Rankings'!$A$6:$A$423,B407,'Rankings'!$E$6:$E$423,"&lt;="&amp;F407)</x:f>
        <x:v>11.416508275000202</x:v>
      </x:c>
      <x:c r="N407" s="14" t="n">
        <x:f>SUMIFS('Ideal ranking'!$H$6:$H$365,'Ideal ranking'!$A$6:$A$365,C407,'Ideal ranking'!$B$6:$B$365,"&lt;="&amp;F407)</x:f>
        <x:v>11.416508275000202</x:v>
      </x:c>
      <x:c r="O407" s="14" t="n">
        <x:f>IF(I407&gt;0,"Unknown",IF(N407=0,"N/A",M407/N407))</x:f>
        <x:v>1</x:v>
      </x:c>
      <x:c r="P407" s="15" t="n">
        <x:f>IF(G407=0,"N/A",IF(I407&gt;0,"Unknown",H407/G407))</x:f>
        <x:v>1</x:v>
      </x:c>
      <x:c r="Q407" s="2" t="n">
        <x:f>F407-G407</x:f>
        <x:v>0</x:v>
      </x:c>
    </x:row>
    <x:row r="408" ht="22" customHeight="1">
      <x:c r="A408" s="2" t="str">
        <x:v>S29-T02|3</x:v>
      </x:c>
      <x:c r="B408" s="2" t="str">
        <x:v>S29-T02</x:v>
      </x:c>
      <x:c r="C408" s="2" t="str">
        <x:v>S29</x:v>
      </x:c>
      <x:c r="D408" s="2" t="str">
        <x:v>Repeat</x:v>
      </x:c>
      <x:c r="E408" s="2" t="n">
        <x:v>2</x:v>
      </x:c>
      <x:c r="F408" s="2" t="n">
        <x:v>3</x:v>
      </x:c>
      <x:c r="G408" s="2" t="n">
        <x:f>COUNTIFS('Rankings'!$A$6:$A$423,B408,'Rankings'!$E$6:$E$423,"&lt;="&amp;F408)</x:f>
        <x:v>3</x:v>
      </x:c>
      <x:c r="H408" s="2" t="n">
        <x:f>SUMIFS('Rankings'!$J$6:$J$423,'Rankings'!$A$6:$A$423,B408,'Rankings'!$E$6:$E$423,"&lt;="&amp;F408)</x:f>
        <x:v>3</x:v>
      </x:c>
      <x:c r="I408" s="2" t="n">
        <x:f>G408-SUMIFS('Rankings'!$I$6:$I$423,'Rankings'!$A$6:$A$423,B408,'Rankings'!$E$6:$E$423,"&lt;="&amp;F408)</x:f>
        <x:v>0</x:v>
      </x:c>
      <x:c r="J408" s="2" t="n">
        <x:f>SUMIFS('Ratings'!$H$6:$H$1387,'Ratings'!$B$6:$B$1387,C408)</x:f>
        <x:v>29</x:v>
      </x:c>
      <x:c r="K408" s="15" t="n">
        <x:f>IF(I408&gt;0,"Unknown",H408/F408)</x:f>
        <x:v>1</x:v>
      </x:c>
      <x:c r="L408" s="15" t="n">
        <x:f>IF(J408=0,"N/A",H408/J408)</x:f>
        <x:v>0.10344827586206896</x:v>
      </x:c>
      <x:c r="M408" s="14" t="n">
        <x:f>SUMIFS('Rankings'!$L$6:$L$423,'Rankings'!$A$6:$A$423,B408,'Rankings'!$E$6:$E$423,"&lt;="&amp;F408)</x:f>
        <x:v>14.916508275000202</x:v>
      </x:c>
      <x:c r="N408" s="14" t="n">
        <x:f>SUMIFS('Ideal ranking'!$H$6:$H$365,'Ideal ranking'!$A$6:$A$365,C408,'Ideal ranking'!$B$6:$B$365,"&lt;="&amp;F408)</x:f>
        <x:v>14.916508275000202</x:v>
      </x:c>
      <x:c r="O408" s="14" t="n">
        <x:f>IF(I408&gt;0,"Unknown",IF(N408=0,"N/A",M408/N408))</x:f>
        <x:v>1</x:v>
      </x:c>
      <x:c r="P408" s="15" t="n">
        <x:f>IF(G408=0,"N/A",IF(I408&gt;0,"Unknown",H408/G408))</x:f>
        <x:v>1</x:v>
      </x:c>
      <x:c r="Q408" s="2" t="n">
        <x:f>F408-G408</x:f>
        <x:v>0</x:v>
      </x:c>
    </x:row>
    <x:row r="409" ht="22" customHeight="1">
      <x:c r="A409" s="2" t="str">
        <x:v>S29-T02|4</x:v>
      </x:c>
      <x:c r="B409" s="2" t="str">
        <x:v>S29-T02</x:v>
      </x:c>
      <x:c r="C409" s="2" t="str">
        <x:v>S29</x:v>
      </x:c>
      <x:c r="D409" s="2" t="str">
        <x:v>Repeat</x:v>
      </x:c>
      <x:c r="E409" s="2" t="n">
        <x:v>2</x:v>
      </x:c>
      <x:c r="F409" s="2" t="n">
        <x:v>4</x:v>
      </x:c>
      <x:c r="G409" s="2" t="n">
        <x:f>COUNTIFS('Rankings'!$A$6:$A$423,B409,'Rankings'!$E$6:$E$423,"&lt;="&amp;F409)</x:f>
        <x:v>4</x:v>
      </x:c>
      <x:c r="H409" s="2" t="n">
        <x:f>SUMIFS('Rankings'!$J$6:$J$423,'Rankings'!$A$6:$A$423,B409,'Rankings'!$E$6:$E$423,"&lt;="&amp;F409)</x:f>
        <x:v>4</x:v>
      </x:c>
      <x:c r="I409" s="2" t="n">
        <x:f>G409-SUMIFS('Rankings'!$I$6:$I$423,'Rankings'!$A$6:$A$423,B409,'Rankings'!$E$6:$E$423,"&lt;="&amp;F409)</x:f>
        <x:v>0</x:v>
      </x:c>
      <x:c r="J409" s="2" t="n">
        <x:f>SUMIFS('Ratings'!$H$6:$H$1387,'Ratings'!$B$6:$B$1387,C409)</x:f>
        <x:v>29</x:v>
      </x:c>
      <x:c r="K409" s="15" t="n">
        <x:f>IF(I409&gt;0,"Unknown",H409/F409)</x:f>
        <x:v>1</x:v>
      </x:c>
      <x:c r="L409" s="15" t="n">
        <x:f>IF(J409=0,"N/A",H409/J409)</x:f>
        <x:v>0.13793103448275862</x:v>
      </x:c>
      <x:c r="M409" s="14" t="n">
        <x:f>SUMIFS('Rankings'!$L$6:$L$423,'Rankings'!$A$6:$A$423,B409,'Rankings'!$E$6:$E$423,"&lt;="&amp;F409)</x:f>
        <x:v>16.208537949220382</x:v>
      </x:c>
      <x:c r="N409" s="14" t="n">
        <x:f>SUMIFS('Ideal ranking'!$H$6:$H$365,'Ideal ranking'!$A$6:$A$365,C409,'Ideal ranking'!$B$6:$B$365,"&lt;="&amp;F409)</x:f>
        <x:v>16.208537949220382</x:v>
      </x:c>
      <x:c r="O409" s="14" t="n">
        <x:f>IF(I409&gt;0,"Unknown",IF(N409=0,"N/A",M409/N409))</x:f>
        <x:v>1</x:v>
      </x:c>
      <x:c r="P409" s="15" t="n">
        <x:f>IF(G409=0,"N/A",IF(I409&gt;0,"Unknown",H409/G409))</x:f>
        <x:v>1</x:v>
      </x:c>
      <x:c r="Q409" s="2" t="n">
        <x:f>F409-G409</x:f>
        <x:v>0</x:v>
      </x:c>
    </x:row>
    <x:row r="410" ht="22" customHeight="1">
      <x:c r="A410" s="2" t="str">
        <x:v>S29-T02|5</x:v>
      </x:c>
      <x:c r="B410" s="2" t="str">
        <x:v>S29-T02</x:v>
      </x:c>
      <x:c r="C410" s="2" t="str">
        <x:v>S29</x:v>
      </x:c>
      <x:c r="D410" s="2" t="str">
        <x:v>Repeat</x:v>
      </x:c>
      <x:c r="E410" s="2" t="n">
        <x:v>2</x:v>
      </x:c>
      <x:c r="F410" s="2" t="n">
        <x:v>5</x:v>
      </x:c>
      <x:c r="G410" s="2" t="n">
        <x:f>COUNTIFS('Rankings'!$A$6:$A$423,B410,'Rankings'!$E$6:$E$423,"&lt;="&amp;F410)</x:f>
        <x:v>5</x:v>
      </x:c>
      <x:c r="H410" s="2" t="n">
        <x:f>SUMIFS('Rankings'!$J$6:$J$423,'Rankings'!$A$6:$A$423,B410,'Rankings'!$E$6:$E$423,"&lt;="&amp;F410)</x:f>
        <x:v>5</x:v>
      </x:c>
      <x:c r="I410" s="2" t="n">
        <x:f>G410-SUMIFS('Rankings'!$I$6:$I$423,'Rankings'!$A$6:$A$423,B410,'Rankings'!$E$6:$E$423,"&lt;="&amp;F410)</x:f>
        <x:v>0</x:v>
      </x:c>
      <x:c r="J410" s="2" t="n">
        <x:f>SUMIFS('Ratings'!$H$6:$H$1387,'Ratings'!$B$6:$B$1387,C410)</x:f>
        <x:v>29</x:v>
      </x:c>
      <x:c r="K410" s="15" t="n">
        <x:f>IF(I410&gt;0,"Unknown",H410/F410)</x:f>
        <x:v>1</x:v>
      </x:c>
      <x:c r="L410" s="15" t="n">
        <x:f>IF(J410=0,"N/A",H410/J410)</x:f>
        <x:v>0.1724137931034483</x:v>
      </x:c>
      <x:c r="M410" s="14" t="n">
        <x:f>SUMIFS('Rankings'!$L$6:$L$423,'Rankings'!$A$6:$A$423,B410,'Rankings'!$E$6:$E$423,"&lt;="&amp;F410)</x:f>
        <x:v>17.369096370924005</x:v>
      </x:c>
      <x:c r="N410" s="14" t="n">
        <x:f>SUMIFS('Ideal ranking'!$H$6:$H$365,'Ideal ranking'!$A$6:$A$365,C410,'Ideal ranking'!$B$6:$B$365,"&lt;="&amp;F410)</x:f>
        <x:v>17.369096370924005</x:v>
      </x:c>
      <x:c r="O410" s="14" t="n">
        <x:f>IF(I410&gt;0,"Unknown",IF(N410=0,"N/A",M410/N410))</x:f>
        <x:v>1</x:v>
      </x:c>
      <x:c r="P410" s="15" t="n">
        <x:f>IF(G410=0,"N/A",IF(I410&gt;0,"Unknown",H410/G410))</x:f>
        <x:v>1</x:v>
      </x:c>
      <x:c r="Q410" s="2" t="n">
        <x:f>F410-G410</x:f>
        <x:v>0</x:v>
      </x:c>
    </x:row>
    <x:row r="411" ht="22" customHeight="1">
      <x:c r="A411" s="2" t="str">
        <x:v>S29-T02|6</x:v>
      </x:c>
      <x:c r="B411" s="2" t="str">
        <x:v>S29-T02</x:v>
      </x:c>
      <x:c r="C411" s="2" t="str">
        <x:v>S29</x:v>
      </x:c>
      <x:c r="D411" s="2" t="str">
        <x:v>Repeat</x:v>
      </x:c>
      <x:c r="E411" s="2" t="n">
        <x:v>2</x:v>
      </x:c>
      <x:c r="F411" s="2" t="n">
        <x:v>6</x:v>
      </x:c>
      <x:c r="G411" s="2" t="n">
        <x:f>COUNTIFS('Rankings'!$A$6:$A$423,B411,'Rankings'!$E$6:$E$423,"&lt;="&amp;F411)</x:f>
        <x:v>6</x:v>
      </x:c>
      <x:c r="H411" s="2" t="n">
        <x:f>SUMIFS('Rankings'!$J$6:$J$423,'Rankings'!$A$6:$A$423,B411,'Rankings'!$E$6:$E$423,"&lt;="&amp;F411)</x:f>
        <x:v>6</x:v>
      </x:c>
      <x:c r="I411" s="2" t="n">
        <x:f>G411-SUMIFS('Rankings'!$I$6:$I$423,'Rankings'!$A$6:$A$423,B411,'Rankings'!$E$6:$E$423,"&lt;="&amp;F411)</x:f>
        <x:v>0</x:v>
      </x:c>
      <x:c r="J411" s="2" t="n">
        <x:f>SUMIFS('Ratings'!$H$6:$H$1387,'Ratings'!$B$6:$B$1387,C411)</x:f>
        <x:v>29</x:v>
      </x:c>
      <x:c r="K411" s="15" t="n">
        <x:f>IF(I411&gt;0,"Unknown",H411/F411)</x:f>
        <x:v>1</x:v>
      </x:c>
      <x:c r="L411" s="15" t="n">
        <x:f>IF(J411=0,"N/A",H411/J411)</x:f>
        <x:v>0.20689655172413793</x:v>
      </x:c>
      <x:c r="M411" s="14" t="n">
        <x:f>SUMIFS('Rankings'!$L$6:$L$423,'Rankings'!$A$6:$A$423,B411,'Rankings'!$E$6:$E$423,"&lt;="&amp;F411)</x:f>
        <x:v>18.43771793224807</x:v>
      </x:c>
      <x:c r="N411" s="14" t="n">
        <x:f>SUMIFS('Ideal ranking'!$H$6:$H$365,'Ideal ranking'!$A$6:$A$365,C411,'Ideal ranking'!$B$6:$B$365,"&lt;="&amp;F411)</x:f>
        <x:v>18.43771793224807</x:v>
      </x:c>
      <x:c r="O411" s="14" t="n">
        <x:f>IF(I411&gt;0,"Unknown",IF(N411=0,"N/A",M411/N411))</x:f>
        <x:v>1</x:v>
      </x:c>
      <x:c r="P411" s="15" t="n">
        <x:f>IF(G411=0,"N/A",IF(I411&gt;0,"Unknown",H411/G411))</x:f>
        <x:v>1</x:v>
      </x:c>
      <x:c r="Q411" s="2" t="n">
        <x:f>F411-G411</x:f>
        <x:v>0</x:v>
      </x:c>
    </x:row>
    <x:row r="412" ht="22" customHeight="1">
      <x:c r="A412" s="2" t="str">
        <x:v>S29-T02|7</x:v>
      </x:c>
      <x:c r="B412" s="2" t="str">
        <x:v>S29-T02</x:v>
      </x:c>
      <x:c r="C412" s="2" t="str">
        <x:v>S29</x:v>
      </x:c>
      <x:c r="D412" s="2" t="str">
        <x:v>Repeat</x:v>
      </x:c>
      <x:c r="E412" s="2" t="n">
        <x:v>2</x:v>
      </x:c>
      <x:c r="F412" s="2" t="n">
        <x:v>7</x:v>
      </x:c>
      <x:c r="G412" s="2" t="n">
        <x:f>COUNTIFS('Rankings'!$A$6:$A$423,B412,'Rankings'!$E$6:$E$423,"&lt;="&amp;F412)</x:f>
        <x:v>7</x:v>
      </x:c>
      <x:c r="H412" s="2" t="n">
        <x:f>SUMIFS('Rankings'!$J$6:$J$423,'Rankings'!$A$6:$A$423,B412,'Rankings'!$E$6:$E$423,"&lt;="&amp;F412)</x:f>
        <x:v>7</x:v>
      </x:c>
      <x:c r="I412" s="2" t="n">
        <x:f>G412-SUMIFS('Rankings'!$I$6:$I$423,'Rankings'!$A$6:$A$423,B412,'Rankings'!$E$6:$E$423,"&lt;="&amp;F412)</x:f>
        <x:v>0</x:v>
      </x:c>
      <x:c r="J412" s="2" t="n">
        <x:f>SUMIFS('Ratings'!$H$6:$H$1387,'Ratings'!$B$6:$B$1387,C412)</x:f>
        <x:v>29</x:v>
      </x:c>
      <x:c r="K412" s="15" t="n">
        <x:f>IF(I412&gt;0,"Unknown",H412/F412)</x:f>
        <x:v>1</x:v>
      </x:c>
      <x:c r="L412" s="15" t="n">
        <x:f>IF(J412=0,"N/A",H412/J412)</x:f>
        <x:v>0.2413793103448276</x:v>
      </x:c>
      <x:c r="M412" s="14" t="n">
        <x:f>SUMIFS('Rankings'!$L$6:$L$423,'Rankings'!$A$6:$A$423,B412,'Rankings'!$E$6:$E$423,"&lt;="&amp;F412)</x:f>
        <x:v>19.43771793224807</x:v>
      </x:c>
      <x:c r="N412" s="14" t="n">
        <x:f>SUMIFS('Ideal ranking'!$H$6:$H$365,'Ideal ranking'!$A$6:$A$365,C412,'Ideal ranking'!$B$6:$B$365,"&lt;="&amp;F412)</x:f>
        <x:v>19.43771793224807</x:v>
      </x:c>
      <x:c r="O412" s="14" t="n">
        <x:f>IF(I412&gt;0,"Unknown",IF(N412=0,"N/A",M412/N412))</x:f>
        <x:v>1</x:v>
      </x:c>
      <x:c r="P412" s="15" t="n">
        <x:f>IF(G412=0,"N/A",IF(I412&gt;0,"Unknown",H412/G412))</x:f>
        <x:v>1</x:v>
      </x:c>
      <x:c r="Q412" s="2" t="n">
        <x:f>F412-G412</x:f>
        <x:v>0</x:v>
      </x:c>
    </x:row>
    <x:row r="413" ht="22" customHeight="1">
      <x:c r="A413" s="2" t="str">
        <x:v>S29-T02|8</x:v>
      </x:c>
      <x:c r="B413" s="2" t="str">
        <x:v>S29-T02</x:v>
      </x:c>
      <x:c r="C413" s="2" t="str">
        <x:v>S29</x:v>
      </x:c>
      <x:c r="D413" s="2" t="str">
        <x:v>Repeat</x:v>
      </x:c>
      <x:c r="E413" s="2" t="n">
        <x:v>2</x:v>
      </x:c>
      <x:c r="F413" s="2" t="n">
        <x:v>8</x:v>
      </x:c>
      <x:c r="G413" s="2" t="n">
        <x:f>COUNTIFS('Rankings'!$A$6:$A$423,B413,'Rankings'!$E$6:$E$423,"&lt;="&amp;F413)</x:f>
        <x:v>8</x:v>
      </x:c>
      <x:c r="H413" s="2" t="n">
        <x:f>SUMIFS('Rankings'!$J$6:$J$423,'Rankings'!$A$6:$A$423,B413,'Rankings'!$E$6:$E$423,"&lt;="&amp;F413)</x:f>
        <x:v>8</x:v>
      </x:c>
      <x:c r="I413" s="2" t="n">
        <x:f>G413-SUMIFS('Rankings'!$I$6:$I$423,'Rankings'!$A$6:$A$423,B413,'Rankings'!$E$6:$E$423,"&lt;="&amp;F413)</x:f>
        <x:v>0</x:v>
      </x:c>
      <x:c r="J413" s="2" t="n">
        <x:f>SUMIFS('Ratings'!$H$6:$H$1387,'Ratings'!$B$6:$B$1387,C413)</x:f>
        <x:v>29</x:v>
      </x:c>
      <x:c r="K413" s="15" t="n">
        <x:f>IF(I413&gt;0,"Unknown",H413/F413)</x:f>
        <x:v>1</x:v>
      </x:c>
      <x:c r="L413" s="15" t="n">
        <x:f>IF(J413=0,"N/A",H413/J413)</x:f>
        <x:v>0.27586206896551724</x:v>
      </x:c>
      <x:c r="M413" s="14" t="n">
        <x:f>SUMIFS('Rankings'!$L$6:$L$423,'Rankings'!$A$6:$A$423,B413,'Rankings'!$E$6:$E$423,"&lt;="&amp;F413)</x:f>
        <x:v>20.384112562605257</x:v>
      </x:c>
      <x:c r="N413" s="14" t="n">
        <x:f>SUMIFS('Ideal ranking'!$H$6:$H$365,'Ideal ranking'!$A$6:$A$365,C413,'Ideal ranking'!$B$6:$B$365,"&lt;="&amp;F413)</x:f>
        <x:v>20.384112562605257</x:v>
      </x:c>
      <x:c r="O413" s="14" t="n">
        <x:f>IF(I413&gt;0,"Unknown",IF(N413=0,"N/A",M413/N413))</x:f>
        <x:v>1</x:v>
      </x:c>
      <x:c r="P413" s="15" t="n">
        <x:f>IF(G413=0,"N/A",IF(I413&gt;0,"Unknown",H413/G413))</x:f>
        <x:v>1</x:v>
      </x:c>
      <x:c r="Q413" s="2" t="n">
        <x:f>F413-G413</x:f>
        <x:v>0</x:v>
      </x:c>
    </x:row>
    <x:row r="414" ht="22" customHeight="1">
      <x:c r="A414" s="2" t="str">
        <x:v>S29-T02|9</x:v>
      </x:c>
      <x:c r="B414" s="2" t="str">
        <x:v>S29-T02</x:v>
      </x:c>
      <x:c r="C414" s="2" t="str">
        <x:v>S29</x:v>
      </x:c>
      <x:c r="D414" s="2" t="str">
        <x:v>Repeat</x:v>
      </x:c>
      <x:c r="E414" s="2" t="n">
        <x:v>2</x:v>
      </x:c>
      <x:c r="F414" s="2" t="n">
        <x:v>9</x:v>
      </x:c>
      <x:c r="G414" s="2" t="n">
        <x:f>COUNTIFS('Rankings'!$A$6:$A$423,B414,'Rankings'!$E$6:$E$423,"&lt;="&amp;F414)</x:f>
        <x:v>9</x:v>
      </x:c>
      <x:c r="H414" s="2" t="n">
        <x:f>SUMIFS('Rankings'!$J$6:$J$423,'Rankings'!$A$6:$A$423,B414,'Rankings'!$E$6:$E$423,"&lt;="&amp;F414)</x:f>
        <x:v>9</x:v>
      </x:c>
      <x:c r="I414" s="2" t="n">
        <x:f>G414-SUMIFS('Rankings'!$I$6:$I$423,'Rankings'!$A$6:$A$423,B414,'Rankings'!$E$6:$E$423,"&lt;="&amp;F414)</x:f>
        <x:v>0</x:v>
      </x:c>
      <x:c r="J414" s="2" t="n">
        <x:f>SUMIFS('Ratings'!$H$6:$H$1387,'Ratings'!$B$6:$B$1387,C414)</x:f>
        <x:v>29</x:v>
      </x:c>
      <x:c r="K414" s="15" t="n">
        <x:f>IF(I414&gt;0,"Unknown",H414/F414)</x:f>
        <x:v>1</x:v>
      </x:c>
      <x:c r="L414" s="15" t="n">
        <x:f>IF(J414=0,"N/A",H414/J414)</x:f>
        <x:v>0.3103448275862069</x:v>
      </x:c>
      <x:c r="M414" s="14" t="n">
        <x:f>SUMIFS('Rankings'!$L$6:$L$423,'Rankings'!$A$6:$A$423,B414,'Rankings'!$E$6:$E$423,"&lt;="&amp;F414)</x:f>
        <x:v>21.2872025495972</x:v>
      </x:c>
      <x:c r="N414" s="14" t="n">
        <x:f>SUMIFS('Ideal ranking'!$H$6:$H$365,'Ideal ranking'!$A$6:$A$365,C414,'Ideal ranking'!$B$6:$B$365,"&lt;="&amp;F414)</x:f>
        <x:v>21.2872025495972</x:v>
      </x:c>
      <x:c r="O414" s="14" t="n">
        <x:f>IF(I414&gt;0,"Unknown",IF(N414=0,"N/A",M414/N414))</x:f>
        <x:v>1</x:v>
      </x:c>
      <x:c r="P414" s="15" t="n">
        <x:f>IF(G414=0,"N/A",IF(I414&gt;0,"Unknown",H414/G414))</x:f>
        <x:v>1</x:v>
      </x:c>
      <x:c r="Q414" s="2" t="n">
        <x:f>F414-G414</x:f>
        <x:v>0</x:v>
      </x:c>
    </x:row>
    <x:row r="415" ht="22" customHeight="1">
      <x:c r="A415" s="2" t="str">
        <x:v>S29-T02|10</x:v>
      </x:c>
      <x:c r="B415" s="2" t="str">
        <x:v>S29-T02</x:v>
      </x:c>
      <x:c r="C415" s="2" t="str">
        <x:v>S29</x:v>
      </x:c>
      <x:c r="D415" s="2" t="str">
        <x:v>Repeat</x:v>
      </x:c>
      <x:c r="E415" s="2" t="n">
        <x:v>2</x:v>
      </x:c>
      <x:c r="F415" s="2" t="n">
        <x:v>10</x:v>
      </x:c>
      <x:c r="G415" s="2" t="n">
        <x:f>COUNTIFS('Rankings'!$A$6:$A$423,B415,'Rankings'!$E$6:$E$423,"&lt;="&amp;F415)</x:f>
        <x:v>10</x:v>
      </x:c>
      <x:c r="H415" s="2" t="n">
        <x:f>SUMIFS('Rankings'!$J$6:$J$423,'Rankings'!$A$6:$A$423,B415,'Rankings'!$E$6:$E$423,"&lt;="&amp;F415)</x:f>
        <x:v>10</x:v>
      </x:c>
      <x:c r="I415" s="2" t="n">
        <x:f>G415-SUMIFS('Rankings'!$I$6:$I$423,'Rankings'!$A$6:$A$423,B415,'Rankings'!$E$6:$E$423,"&lt;="&amp;F415)</x:f>
        <x:v>0</x:v>
      </x:c>
      <x:c r="J415" s="2" t="n">
        <x:f>SUMIFS('Ratings'!$H$6:$H$1387,'Ratings'!$B$6:$B$1387,C415)</x:f>
        <x:v>29</x:v>
      </x:c>
      <x:c r="K415" s="15" t="n">
        <x:f>IF(I415&gt;0,"Unknown",H415/F415)</x:f>
        <x:v>1</x:v>
      </x:c>
      <x:c r="L415" s="15" t="n">
        <x:f>IF(J415=0,"N/A",H415/J415)</x:f>
        <x:v>0.3448275862068966</x:v>
      </x:c>
      <x:c r="M415" s="14" t="n">
        <x:f>SUMIFS('Rankings'!$L$6:$L$423,'Rankings'!$A$6:$A$423,B415,'Rankings'!$E$6:$E$423,"&lt;="&amp;F415)</x:f>
        <x:v>22.154397028550864</x:v>
      </x:c>
      <x:c r="N415" s="14" t="n">
        <x:f>SUMIFS('Ideal ranking'!$H$6:$H$365,'Ideal ranking'!$A$6:$A$365,C415,'Ideal ranking'!$B$6:$B$365,"&lt;="&amp;F415)</x:f>
        <x:v>22.154397028550864</x:v>
      </x:c>
      <x:c r="O415" s="14" t="n">
        <x:f>IF(I415&gt;0,"Unknown",IF(N415=0,"N/A",M415/N415))</x:f>
        <x:v>1</x:v>
      </x:c>
      <x:c r="P415" s="15" t="n">
        <x:f>IF(G415=0,"N/A",IF(I415&gt;0,"Unknown",H415/G415))</x:f>
        <x:v>1</x:v>
      </x:c>
      <x:c r="Q415" s="2" t="n">
        <x:f>F415-G415</x:f>
        <x:v>0</x:v>
      </x:c>
    </x:row>
    <x:row r="416" ht="22" customHeight="1">
      <x:c r="A416" s="2" t="str">
        <x:v>S29-T03|1</x:v>
      </x:c>
      <x:c r="B416" s="2" t="str">
        <x:v>S29-T03</x:v>
      </x:c>
      <x:c r="C416" s="2" t="str">
        <x:v>S29</x:v>
      </x:c>
      <x:c r="D416" s="2" t="str">
        <x:v>Repeat</x:v>
      </x:c>
      <x:c r="E416" s="2" t="n">
        <x:v>3</x:v>
      </x:c>
      <x:c r="F416" s="2" t="n">
        <x:v>1</x:v>
      </x:c>
      <x:c r="G416" s="2" t="n">
        <x:f>COUNTIFS('Rankings'!$A$6:$A$423,B416,'Rankings'!$E$6:$E$423,"&lt;="&amp;F416)</x:f>
        <x:v>1</x:v>
      </x:c>
      <x:c r="H416" s="2" t="n">
        <x:f>SUMIFS('Rankings'!$J$6:$J$423,'Rankings'!$A$6:$A$423,B416,'Rankings'!$E$6:$E$423,"&lt;="&amp;F416)</x:f>
        <x:v>1</x:v>
      </x:c>
      <x:c r="I416" s="2" t="n">
        <x:f>G416-SUMIFS('Rankings'!$I$6:$I$423,'Rankings'!$A$6:$A$423,B416,'Rankings'!$E$6:$E$423,"&lt;="&amp;F416)</x:f>
        <x:v>0</x:v>
      </x:c>
      <x:c r="J416" s="2" t="n">
        <x:f>SUMIFS('Ratings'!$H$6:$H$1387,'Ratings'!$B$6:$B$1387,C416)</x:f>
        <x:v>29</x:v>
      </x:c>
      <x:c r="K416" s="15" t="n">
        <x:f>IF(I416&gt;0,"Unknown",H416/F416)</x:f>
        <x:v>1</x:v>
      </x:c>
      <x:c r="L416" s="15" t="n">
        <x:f>IF(J416=0,"N/A",H416/J416)</x:f>
        <x:v>0.034482758620689655</x:v>
      </x:c>
      <x:c r="M416" s="14" t="n">
        <x:f>SUMIFS('Rankings'!$L$6:$L$423,'Rankings'!$A$6:$A$423,B416,'Rankings'!$E$6:$E$423,"&lt;="&amp;F416)</x:f>
        <x:v>7</x:v>
      </x:c>
      <x:c r="N416" s="14" t="n">
        <x:f>SUMIFS('Ideal ranking'!$H$6:$H$365,'Ideal ranking'!$A$6:$A$365,C416,'Ideal ranking'!$B$6:$B$365,"&lt;="&amp;F416)</x:f>
        <x:v>7</x:v>
      </x:c>
      <x:c r="O416" s="14" t="n">
        <x:f>IF(I416&gt;0,"Unknown",IF(N416=0,"N/A",M416/N416))</x:f>
        <x:v>1</x:v>
      </x:c>
      <x:c r="P416" s="15" t="n">
        <x:f>IF(G416=0,"N/A",IF(I416&gt;0,"Unknown",H416/G416))</x:f>
        <x:v>1</x:v>
      </x:c>
      <x:c r="Q416" s="2" t="n">
        <x:f>F416-G416</x:f>
        <x:v>0</x:v>
      </x:c>
    </x:row>
    <x:row r="417" ht="22" customHeight="1">
      <x:c r="A417" s="2" t="str">
        <x:v>S29-T03|2</x:v>
      </x:c>
      <x:c r="B417" s="2" t="str">
        <x:v>S29-T03</x:v>
      </x:c>
      <x:c r="C417" s="2" t="str">
        <x:v>S29</x:v>
      </x:c>
      <x:c r="D417" s="2" t="str">
        <x:v>Repeat</x:v>
      </x:c>
      <x:c r="E417" s="2" t="n">
        <x:v>3</x:v>
      </x:c>
      <x:c r="F417" s="2" t="n">
        <x:v>2</x:v>
      </x:c>
      <x:c r="G417" s="2" t="n">
        <x:f>COUNTIFS('Rankings'!$A$6:$A$423,B417,'Rankings'!$E$6:$E$423,"&lt;="&amp;F417)</x:f>
        <x:v>2</x:v>
      </x:c>
      <x:c r="H417" s="2" t="n">
        <x:f>SUMIFS('Rankings'!$J$6:$J$423,'Rankings'!$A$6:$A$423,B417,'Rankings'!$E$6:$E$423,"&lt;="&amp;F417)</x:f>
        <x:v>2</x:v>
      </x:c>
      <x:c r="I417" s="2" t="n">
        <x:f>G417-SUMIFS('Rankings'!$I$6:$I$423,'Rankings'!$A$6:$A$423,B417,'Rankings'!$E$6:$E$423,"&lt;="&amp;F417)</x:f>
        <x:v>0</x:v>
      </x:c>
      <x:c r="J417" s="2" t="n">
        <x:f>SUMIFS('Ratings'!$H$6:$H$1387,'Ratings'!$B$6:$B$1387,C417)</x:f>
        <x:v>29</x:v>
      </x:c>
      <x:c r="K417" s="15" t="n">
        <x:f>IF(I417&gt;0,"Unknown",H417/F417)</x:f>
        <x:v>1</x:v>
      </x:c>
      <x:c r="L417" s="15" t="n">
        <x:f>IF(J417=0,"N/A",H417/J417)</x:f>
        <x:v>0.06896551724137931</x:v>
      </x:c>
      <x:c r="M417" s="14" t="n">
        <x:f>SUMIFS('Rankings'!$L$6:$L$423,'Rankings'!$A$6:$A$423,B417,'Rankings'!$E$6:$E$423,"&lt;="&amp;F417)</x:f>
        <x:v>11.416508275000202</x:v>
      </x:c>
      <x:c r="N417" s="14" t="n">
        <x:f>SUMIFS('Ideal ranking'!$H$6:$H$365,'Ideal ranking'!$A$6:$A$365,C417,'Ideal ranking'!$B$6:$B$365,"&lt;="&amp;F417)</x:f>
        <x:v>11.416508275000202</x:v>
      </x:c>
      <x:c r="O417" s="14" t="n">
        <x:f>IF(I417&gt;0,"Unknown",IF(N417=0,"N/A",M417/N417))</x:f>
        <x:v>1</x:v>
      </x:c>
      <x:c r="P417" s="15" t="n">
        <x:f>IF(G417=0,"N/A",IF(I417&gt;0,"Unknown",H417/G417))</x:f>
        <x:v>1</x:v>
      </x:c>
      <x:c r="Q417" s="2" t="n">
        <x:f>F417-G417</x:f>
        <x:v>0</x:v>
      </x:c>
    </x:row>
    <x:row r="418" ht="22" customHeight="1">
      <x:c r="A418" s="2" t="str">
        <x:v>S29-T03|3</x:v>
      </x:c>
      <x:c r="B418" s="2" t="str">
        <x:v>S29-T03</x:v>
      </x:c>
      <x:c r="C418" s="2" t="str">
        <x:v>S29</x:v>
      </x:c>
      <x:c r="D418" s="2" t="str">
        <x:v>Repeat</x:v>
      </x:c>
      <x:c r="E418" s="2" t="n">
        <x:v>3</x:v>
      </x:c>
      <x:c r="F418" s="2" t="n">
        <x:v>3</x:v>
      </x:c>
      <x:c r="G418" s="2" t="n">
        <x:f>COUNTIFS('Rankings'!$A$6:$A$423,B418,'Rankings'!$E$6:$E$423,"&lt;="&amp;F418)</x:f>
        <x:v>3</x:v>
      </x:c>
      <x:c r="H418" s="2" t="n">
        <x:f>SUMIFS('Rankings'!$J$6:$J$423,'Rankings'!$A$6:$A$423,B418,'Rankings'!$E$6:$E$423,"&lt;="&amp;F418)</x:f>
        <x:v>3</x:v>
      </x:c>
      <x:c r="I418" s="2" t="n">
        <x:f>G418-SUMIFS('Rankings'!$I$6:$I$423,'Rankings'!$A$6:$A$423,B418,'Rankings'!$E$6:$E$423,"&lt;="&amp;F418)</x:f>
        <x:v>0</x:v>
      </x:c>
      <x:c r="J418" s="2" t="n">
        <x:f>SUMIFS('Ratings'!$H$6:$H$1387,'Ratings'!$B$6:$B$1387,C418)</x:f>
        <x:v>29</x:v>
      </x:c>
      <x:c r="K418" s="15" t="n">
        <x:f>IF(I418&gt;0,"Unknown",H418/F418)</x:f>
        <x:v>1</x:v>
      </x:c>
      <x:c r="L418" s="15" t="n">
        <x:f>IF(J418=0,"N/A",H418/J418)</x:f>
        <x:v>0.10344827586206896</x:v>
      </x:c>
      <x:c r="M418" s="14" t="n">
        <x:f>SUMIFS('Rankings'!$L$6:$L$423,'Rankings'!$A$6:$A$423,B418,'Rankings'!$E$6:$E$423,"&lt;="&amp;F418)</x:f>
        <x:v>14.916508275000202</x:v>
      </x:c>
      <x:c r="N418" s="14" t="n">
        <x:f>SUMIFS('Ideal ranking'!$H$6:$H$365,'Ideal ranking'!$A$6:$A$365,C418,'Ideal ranking'!$B$6:$B$365,"&lt;="&amp;F418)</x:f>
        <x:v>14.916508275000202</x:v>
      </x:c>
      <x:c r="O418" s="14" t="n">
        <x:f>IF(I418&gt;0,"Unknown",IF(N418=0,"N/A",M418/N418))</x:f>
        <x:v>1</x:v>
      </x:c>
      <x:c r="P418" s="15" t="n">
        <x:f>IF(G418=0,"N/A",IF(I418&gt;0,"Unknown",H418/G418))</x:f>
        <x:v>1</x:v>
      </x:c>
      <x:c r="Q418" s="2" t="n">
        <x:f>F418-G418</x:f>
        <x:v>0</x:v>
      </x:c>
    </x:row>
    <x:row r="419" ht="22" customHeight="1">
      <x:c r="A419" s="2" t="str">
        <x:v>S29-T03|4</x:v>
      </x:c>
      <x:c r="B419" s="2" t="str">
        <x:v>S29-T03</x:v>
      </x:c>
      <x:c r="C419" s="2" t="str">
        <x:v>S29</x:v>
      </x:c>
      <x:c r="D419" s="2" t="str">
        <x:v>Repeat</x:v>
      </x:c>
      <x:c r="E419" s="2" t="n">
        <x:v>3</x:v>
      </x:c>
      <x:c r="F419" s="2" t="n">
        <x:v>4</x:v>
      </x:c>
      <x:c r="G419" s="2" t="n">
        <x:f>COUNTIFS('Rankings'!$A$6:$A$423,B419,'Rankings'!$E$6:$E$423,"&lt;="&amp;F419)</x:f>
        <x:v>4</x:v>
      </x:c>
      <x:c r="H419" s="2" t="n">
        <x:f>SUMIFS('Rankings'!$J$6:$J$423,'Rankings'!$A$6:$A$423,B419,'Rankings'!$E$6:$E$423,"&lt;="&amp;F419)</x:f>
        <x:v>4</x:v>
      </x:c>
      <x:c r="I419" s="2" t="n">
        <x:f>G419-SUMIFS('Rankings'!$I$6:$I$423,'Rankings'!$A$6:$A$423,B419,'Rankings'!$E$6:$E$423,"&lt;="&amp;F419)</x:f>
        <x:v>0</x:v>
      </x:c>
      <x:c r="J419" s="2" t="n">
        <x:f>SUMIFS('Ratings'!$H$6:$H$1387,'Ratings'!$B$6:$B$1387,C419)</x:f>
        <x:v>29</x:v>
      </x:c>
      <x:c r="K419" s="15" t="n">
        <x:f>IF(I419&gt;0,"Unknown",H419/F419)</x:f>
        <x:v>1</x:v>
      </x:c>
      <x:c r="L419" s="15" t="n">
        <x:f>IF(J419=0,"N/A",H419/J419)</x:f>
        <x:v>0.13793103448275862</x:v>
      </x:c>
      <x:c r="M419" s="14" t="n">
        <x:f>SUMIFS('Rankings'!$L$6:$L$423,'Rankings'!$A$6:$A$423,B419,'Rankings'!$E$6:$E$423,"&lt;="&amp;F419)</x:f>
        <x:v>16.208537949220382</x:v>
      </x:c>
      <x:c r="N419" s="14" t="n">
        <x:f>SUMIFS('Ideal ranking'!$H$6:$H$365,'Ideal ranking'!$A$6:$A$365,C419,'Ideal ranking'!$B$6:$B$365,"&lt;="&amp;F419)</x:f>
        <x:v>16.208537949220382</x:v>
      </x:c>
      <x:c r="O419" s="14" t="n">
        <x:f>IF(I419&gt;0,"Unknown",IF(N419=0,"N/A",M419/N419))</x:f>
        <x:v>1</x:v>
      </x:c>
      <x:c r="P419" s="15" t="n">
        <x:f>IF(G419=0,"N/A",IF(I419&gt;0,"Unknown",H419/G419))</x:f>
        <x:v>1</x:v>
      </x:c>
      <x:c r="Q419" s="2" t="n">
        <x:f>F419-G419</x:f>
        <x:v>0</x:v>
      </x:c>
    </x:row>
    <x:row r="420" ht="22" customHeight="1">
      <x:c r="A420" s="2" t="str">
        <x:v>S29-T03|5</x:v>
      </x:c>
      <x:c r="B420" s="2" t="str">
        <x:v>S29-T03</x:v>
      </x:c>
      <x:c r="C420" s="2" t="str">
        <x:v>S29</x:v>
      </x:c>
      <x:c r="D420" s="2" t="str">
        <x:v>Repeat</x:v>
      </x:c>
      <x:c r="E420" s="2" t="n">
        <x:v>3</x:v>
      </x:c>
      <x:c r="F420" s="2" t="n">
        <x:v>5</x:v>
      </x:c>
      <x:c r="G420" s="2" t="n">
        <x:f>COUNTIFS('Rankings'!$A$6:$A$423,B420,'Rankings'!$E$6:$E$423,"&lt;="&amp;F420)</x:f>
        <x:v>5</x:v>
      </x:c>
      <x:c r="H420" s="2" t="n">
        <x:f>SUMIFS('Rankings'!$J$6:$J$423,'Rankings'!$A$6:$A$423,B420,'Rankings'!$E$6:$E$423,"&lt;="&amp;F420)</x:f>
        <x:v>5</x:v>
      </x:c>
      <x:c r="I420" s="2" t="n">
        <x:f>G420-SUMIFS('Rankings'!$I$6:$I$423,'Rankings'!$A$6:$A$423,B420,'Rankings'!$E$6:$E$423,"&lt;="&amp;F420)</x:f>
        <x:v>0</x:v>
      </x:c>
      <x:c r="J420" s="2" t="n">
        <x:f>SUMIFS('Ratings'!$H$6:$H$1387,'Ratings'!$B$6:$B$1387,C420)</x:f>
        <x:v>29</x:v>
      </x:c>
      <x:c r="K420" s="15" t="n">
        <x:f>IF(I420&gt;0,"Unknown",H420/F420)</x:f>
        <x:v>1</x:v>
      </x:c>
      <x:c r="L420" s="15" t="n">
        <x:f>IF(J420=0,"N/A",H420/J420)</x:f>
        <x:v>0.1724137931034483</x:v>
      </x:c>
      <x:c r="M420" s="14" t="n">
        <x:f>SUMIFS('Rankings'!$L$6:$L$423,'Rankings'!$A$6:$A$423,B420,'Rankings'!$E$6:$E$423,"&lt;="&amp;F420)</x:f>
        <x:v>17.369096370924005</x:v>
      </x:c>
      <x:c r="N420" s="14" t="n">
        <x:f>SUMIFS('Ideal ranking'!$H$6:$H$365,'Ideal ranking'!$A$6:$A$365,C420,'Ideal ranking'!$B$6:$B$365,"&lt;="&amp;F420)</x:f>
        <x:v>17.369096370924005</x:v>
      </x:c>
      <x:c r="O420" s="14" t="n">
        <x:f>IF(I420&gt;0,"Unknown",IF(N420=0,"N/A",M420/N420))</x:f>
        <x:v>1</x:v>
      </x:c>
      <x:c r="P420" s="15" t="n">
        <x:f>IF(G420=0,"N/A",IF(I420&gt;0,"Unknown",H420/G420))</x:f>
        <x:v>1</x:v>
      </x:c>
      <x:c r="Q420" s="2" t="n">
        <x:f>F420-G420</x:f>
        <x:v>0</x:v>
      </x:c>
    </x:row>
    <x:row r="421" ht="22" customHeight="1">
      <x:c r="A421" s="2" t="str">
        <x:v>S29-T03|6</x:v>
      </x:c>
      <x:c r="B421" s="2" t="str">
        <x:v>S29-T03</x:v>
      </x:c>
      <x:c r="C421" s="2" t="str">
        <x:v>S29</x:v>
      </x:c>
      <x:c r="D421" s="2" t="str">
        <x:v>Repeat</x:v>
      </x:c>
      <x:c r="E421" s="2" t="n">
        <x:v>3</x:v>
      </x:c>
      <x:c r="F421" s="2" t="n">
        <x:v>6</x:v>
      </x:c>
      <x:c r="G421" s="2" t="n">
        <x:f>COUNTIFS('Rankings'!$A$6:$A$423,B421,'Rankings'!$E$6:$E$423,"&lt;="&amp;F421)</x:f>
        <x:v>6</x:v>
      </x:c>
      <x:c r="H421" s="2" t="n">
        <x:f>SUMIFS('Rankings'!$J$6:$J$423,'Rankings'!$A$6:$A$423,B421,'Rankings'!$E$6:$E$423,"&lt;="&amp;F421)</x:f>
        <x:v>6</x:v>
      </x:c>
      <x:c r="I421" s="2" t="n">
        <x:f>G421-SUMIFS('Rankings'!$I$6:$I$423,'Rankings'!$A$6:$A$423,B421,'Rankings'!$E$6:$E$423,"&lt;="&amp;F421)</x:f>
        <x:v>0</x:v>
      </x:c>
      <x:c r="J421" s="2" t="n">
        <x:f>SUMIFS('Ratings'!$H$6:$H$1387,'Ratings'!$B$6:$B$1387,C421)</x:f>
        <x:v>29</x:v>
      </x:c>
      <x:c r="K421" s="15" t="n">
        <x:f>IF(I421&gt;0,"Unknown",H421/F421)</x:f>
        <x:v>1</x:v>
      </x:c>
      <x:c r="L421" s="15" t="n">
        <x:f>IF(J421=0,"N/A",H421/J421)</x:f>
        <x:v>0.20689655172413793</x:v>
      </x:c>
      <x:c r="M421" s="14" t="n">
        <x:f>SUMIFS('Rankings'!$L$6:$L$423,'Rankings'!$A$6:$A$423,B421,'Rankings'!$E$6:$E$423,"&lt;="&amp;F421)</x:f>
        <x:v>18.43771793224807</x:v>
      </x:c>
      <x:c r="N421" s="14" t="n">
        <x:f>SUMIFS('Ideal ranking'!$H$6:$H$365,'Ideal ranking'!$A$6:$A$365,C421,'Ideal ranking'!$B$6:$B$365,"&lt;="&amp;F421)</x:f>
        <x:v>18.43771793224807</x:v>
      </x:c>
      <x:c r="O421" s="14" t="n">
        <x:f>IF(I421&gt;0,"Unknown",IF(N421=0,"N/A",M421/N421))</x:f>
        <x:v>1</x:v>
      </x:c>
      <x:c r="P421" s="15" t="n">
        <x:f>IF(G421=0,"N/A",IF(I421&gt;0,"Unknown",H421/G421))</x:f>
        <x:v>1</x:v>
      </x:c>
      <x:c r="Q421" s="2" t="n">
        <x:f>F421-G421</x:f>
        <x:v>0</x:v>
      </x:c>
    </x:row>
    <x:row r="422" ht="22" customHeight="1">
      <x:c r="A422" s="2" t="str">
        <x:v>S29-T03|7</x:v>
      </x:c>
      <x:c r="B422" s="2" t="str">
        <x:v>S29-T03</x:v>
      </x:c>
      <x:c r="C422" s="2" t="str">
        <x:v>S29</x:v>
      </x:c>
      <x:c r="D422" s="2" t="str">
        <x:v>Repeat</x:v>
      </x:c>
      <x:c r="E422" s="2" t="n">
        <x:v>3</x:v>
      </x:c>
      <x:c r="F422" s="2" t="n">
        <x:v>7</x:v>
      </x:c>
      <x:c r="G422" s="2" t="n">
        <x:f>COUNTIFS('Rankings'!$A$6:$A$423,B422,'Rankings'!$E$6:$E$423,"&lt;="&amp;F422)</x:f>
        <x:v>7</x:v>
      </x:c>
      <x:c r="H422" s="2" t="n">
        <x:f>SUMIFS('Rankings'!$J$6:$J$423,'Rankings'!$A$6:$A$423,B422,'Rankings'!$E$6:$E$423,"&lt;="&amp;F422)</x:f>
        <x:v>7</x:v>
      </x:c>
      <x:c r="I422" s="2" t="n">
        <x:f>G422-SUMIFS('Rankings'!$I$6:$I$423,'Rankings'!$A$6:$A$423,B422,'Rankings'!$E$6:$E$423,"&lt;="&amp;F422)</x:f>
        <x:v>0</x:v>
      </x:c>
      <x:c r="J422" s="2" t="n">
        <x:f>SUMIFS('Ratings'!$H$6:$H$1387,'Ratings'!$B$6:$B$1387,C422)</x:f>
        <x:v>29</x:v>
      </x:c>
      <x:c r="K422" s="15" t="n">
        <x:f>IF(I422&gt;0,"Unknown",H422/F422)</x:f>
        <x:v>1</x:v>
      </x:c>
      <x:c r="L422" s="15" t="n">
        <x:f>IF(J422=0,"N/A",H422/J422)</x:f>
        <x:v>0.2413793103448276</x:v>
      </x:c>
      <x:c r="M422" s="14" t="n">
        <x:f>SUMIFS('Rankings'!$L$6:$L$423,'Rankings'!$A$6:$A$423,B422,'Rankings'!$E$6:$E$423,"&lt;="&amp;F422)</x:f>
        <x:v>19.43771793224807</x:v>
      </x:c>
      <x:c r="N422" s="14" t="n">
        <x:f>SUMIFS('Ideal ranking'!$H$6:$H$365,'Ideal ranking'!$A$6:$A$365,C422,'Ideal ranking'!$B$6:$B$365,"&lt;="&amp;F422)</x:f>
        <x:v>19.43771793224807</x:v>
      </x:c>
      <x:c r="O422" s="14" t="n">
        <x:f>IF(I422&gt;0,"Unknown",IF(N422=0,"N/A",M422/N422))</x:f>
        <x:v>1</x:v>
      </x:c>
      <x:c r="P422" s="15" t="n">
        <x:f>IF(G422=0,"N/A",IF(I422&gt;0,"Unknown",H422/G422))</x:f>
        <x:v>1</x:v>
      </x:c>
      <x:c r="Q422" s="2" t="n">
        <x:f>F422-G422</x:f>
        <x:v>0</x:v>
      </x:c>
    </x:row>
    <x:row r="423" ht="22" customHeight="1">
      <x:c r="A423" s="2" t="str">
        <x:v>S29-T03|8</x:v>
      </x:c>
      <x:c r="B423" s="2" t="str">
        <x:v>S29-T03</x:v>
      </x:c>
      <x:c r="C423" s="2" t="str">
        <x:v>S29</x:v>
      </x:c>
      <x:c r="D423" s="2" t="str">
        <x:v>Repeat</x:v>
      </x:c>
      <x:c r="E423" s="2" t="n">
        <x:v>3</x:v>
      </x:c>
      <x:c r="F423" s="2" t="n">
        <x:v>8</x:v>
      </x:c>
      <x:c r="G423" s="2" t="n">
        <x:f>COUNTIFS('Rankings'!$A$6:$A$423,B423,'Rankings'!$E$6:$E$423,"&lt;="&amp;F423)</x:f>
        <x:v>8</x:v>
      </x:c>
      <x:c r="H423" s="2" t="n">
        <x:f>SUMIFS('Rankings'!$J$6:$J$423,'Rankings'!$A$6:$A$423,B423,'Rankings'!$E$6:$E$423,"&lt;="&amp;F423)</x:f>
        <x:v>8</x:v>
      </x:c>
      <x:c r="I423" s="2" t="n">
        <x:f>G423-SUMIFS('Rankings'!$I$6:$I$423,'Rankings'!$A$6:$A$423,B423,'Rankings'!$E$6:$E$423,"&lt;="&amp;F423)</x:f>
        <x:v>0</x:v>
      </x:c>
      <x:c r="J423" s="2" t="n">
        <x:f>SUMIFS('Ratings'!$H$6:$H$1387,'Ratings'!$B$6:$B$1387,C423)</x:f>
        <x:v>29</x:v>
      </x:c>
      <x:c r="K423" s="15" t="n">
        <x:f>IF(I423&gt;0,"Unknown",H423/F423)</x:f>
        <x:v>1</x:v>
      </x:c>
      <x:c r="L423" s="15" t="n">
        <x:f>IF(J423=0,"N/A",H423/J423)</x:f>
        <x:v>0.27586206896551724</x:v>
      </x:c>
      <x:c r="M423" s="14" t="n">
        <x:f>SUMIFS('Rankings'!$L$6:$L$423,'Rankings'!$A$6:$A$423,B423,'Rankings'!$E$6:$E$423,"&lt;="&amp;F423)</x:f>
        <x:v>20.384112562605257</x:v>
      </x:c>
      <x:c r="N423" s="14" t="n">
        <x:f>SUMIFS('Ideal ranking'!$H$6:$H$365,'Ideal ranking'!$A$6:$A$365,C423,'Ideal ranking'!$B$6:$B$365,"&lt;="&amp;F423)</x:f>
        <x:v>20.384112562605257</x:v>
      </x:c>
      <x:c r="O423" s="14" t="n">
        <x:f>IF(I423&gt;0,"Unknown",IF(N423=0,"N/A",M423/N423))</x:f>
        <x:v>1</x:v>
      </x:c>
      <x:c r="P423" s="15" t="n">
        <x:f>IF(G423=0,"N/A",IF(I423&gt;0,"Unknown",H423/G423))</x:f>
        <x:v>1</x:v>
      </x:c>
      <x:c r="Q423" s="2" t="n">
        <x:f>F423-G423</x:f>
        <x:v>0</x:v>
      </x:c>
    </x:row>
    <x:row r="424" ht="22" customHeight="1">
      <x:c r="A424" s="2" t="str">
        <x:v>S29-T03|9</x:v>
      </x:c>
      <x:c r="B424" s="2" t="str">
        <x:v>S29-T03</x:v>
      </x:c>
      <x:c r="C424" s="2" t="str">
        <x:v>S29</x:v>
      </x:c>
      <x:c r="D424" s="2" t="str">
        <x:v>Repeat</x:v>
      </x:c>
      <x:c r="E424" s="2" t="n">
        <x:v>3</x:v>
      </x:c>
      <x:c r="F424" s="2" t="n">
        <x:v>9</x:v>
      </x:c>
      <x:c r="G424" s="2" t="n">
        <x:f>COUNTIFS('Rankings'!$A$6:$A$423,B424,'Rankings'!$E$6:$E$423,"&lt;="&amp;F424)</x:f>
        <x:v>9</x:v>
      </x:c>
      <x:c r="H424" s="2" t="n">
        <x:f>SUMIFS('Rankings'!$J$6:$J$423,'Rankings'!$A$6:$A$423,B424,'Rankings'!$E$6:$E$423,"&lt;="&amp;F424)</x:f>
        <x:v>9</x:v>
      </x:c>
      <x:c r="I424" s="2" t="n">
        <x:f>G424-SUMIFS('Rankings'!$I$6:$I$423,'Rankings'!$A$6:$A$423,B424,'Rankings'!$E$6:$E$423,"&lt;="&amp;F424)</x:f>
        <x:v>0</x:v>
      </x:c>
      <x:c r="J424" s="2" t="n">
        <x:f>SUMIFS('Ratings'!$H$6:$H$1387,'Ratings'!$B$6:$B$1387,C424)</x:f>
        <x:v>29</x:v>
      </x:c>
      <x:c r="K424" s="15" t="n">
        <x:f>IF(I424&gt;0,"Unknown",H424/F424)</x:f>
        <x:v>1</x:v>
      </x:c>
      <x:c r="L424" s="15" t="n">
        <x:f>IF(J424=0,"N/A",H424/J424)</x:f>
        <x:v>0.3103448275862069</x:v>
      </x:c>
      <x:c r="M424" s="14" t="n">
        <x:f>SUMIFS('Rankings'!$L$6:$L$423,'Rankings'!$A$6:$A$423,B424,'Rankings'!$E$6:$E$423,"&lt;="&amp;F424)</x:f>
        <x:v>21.2872025495972</x:v>
      </x:c>
      <x:c r="N424" s="14" t="n">
        <x:f>SUMIFS('Ideal ranking'!$H$6:$H$365,'Ideal ranking'!$A$6:$A$365,C424,'Ideal ranking'!$B$6:$B$365,"&lt;="&amp;F424)</x:f>
        <x:v>21.2872025495972</x:v>
      </x:c>
      <x:c r="O424" s="14" t="n">
        <x:f>IF(I424&gt;0,"Unknown",IF(N424=0,"N/A",M424/N424))</x:f>
        <x:v>1</x:v>
      </x:c>
      <x:c r="P424" s="15" t="n">
        <x:f>IF(G424=0,"N/A",IF(I424&gt;0,"Unknown",H424/G424))</x:f>
        <x:v>1</x:v>
      </x:c>
      <x:c r="Q424" s="2" t="n">
        <x:f>F424-G424</x:f>
        <x:v>0</x:v>
      </x:c>
    </x:row>
    <x:row r="425" ht="22" customHeight="1">
      <x:c r="A425" s="2" t="str">
        <x:v>S29-T03|10</x:v>
      </x:c>
      <x:c r="B425" s="2" t="str">
        <x:v>S29-T03</x:v>
      </x:c>
      <x:c r="C425" s="2" t="str">
        <x:v>S29</x:v>
      </x:c>
      <x:c r="D425" s="2" t="str">
        <x:v>Repeat</x:v>
      </x:c>
      <x:c r="E425" s="2" t="n">
        <x:v>3</x:v>
      </x:c>
      <x:c r="F425" s="2" t="n">
        <x:v>10</x:v>
      </x:c>
      <x:c r="G425" s="2" t="n">
        <x:f>COUNTIFS('Rankings'!$A$6:$A$423,B425,'Rankings'!$E$6:$E$423,"&lt;="&amp;F425)</x:f>
        <x:v>10</x:v>
      </x:c>
      <x:c r="H425" s="2" t="n">
        <x:f>SUMIFS('Rankings'!$J$6:$J$423,'Rankings'!$A$6:$A$423,B425,'Rankings'!$E$6:$E$423,"&lt;="&amp;F425)</x:f>
        <x:v>10</x:v>
      </x:c>
      <x:c r="I425" s="2" t="n">
        <x:f>G425-SUMIFS('Rankings'!$I$6:$I$423,'Rankings'!$A$6:$A$423,B425,'Rankings'!$E$6:$E$423,"&lt;="&amp;F425)</x:f>
        <x:v>0</x:v>
      </x:c>
      <x:c r="J425" s="2" t="n">
        <x:f>SUMIFS('Ratings'!$H$6:$H$1387,'Ratings'!$B$6:$B$1387,C425)</x:f>
        <x:v>29</x:v>
      </x:c>
      <x:c r="K425" s="15" t="n">
        <x:f>IF(I425&gt;0,"Unknown",H425/F425)</x:f>
        <x:v>1</x:v>
      </x:c>
      <x:c r="L425" s="15" t="n">
        <x:f>IF(J425=0,"N/A",H425/J425)</x:f>
        <x:v>0.3448275862068966</x:v>
      </x:c>
      <x:c r="M425" s="14" t="n">
        <x:f>SUMIFS('Rankings'!$L$6:$L$423,'Rankings'!$A$6:$A$423,B425,'Rankings'!$E$6:$E$423,"&lt;="&amp;F425)</x:f>
        <x:v>22.154397028550864</x:v>
      </x:c>
      <x:c r="N425" s="14" t="n">
        <x:f>SUMIFS('Ideal ranking'!$H$6:$H$365,'Ideal ranking'!$A$6:$A$365,C425,'Ideal ranking'!$B$6:$B$365,"&lt;="&amp;F425)</x:f>
        <x:v>22.154397028550864</x:v>
      </x:c>
      <x:c r="O425" s="14" t="n">
        <x:f>IF(I425&gt;0,"Unknown",IF(N425=0,"N/A",M425/N425))</x:f>
        <x:v>1</x:v>
      </x:c>
      <x:c r="P425" s="15" t="n">
        <x:f>IF(G425=0,"N/A",IF(I425&gt;0,"Unknown",H425/G425))</x:f>
        <x:v>1</x:v>
      </x:c>
      <x:c r="Q425" s="2" t="n">
        <x:f>F425-G425</x:f>
        <x:v>0</x:v>
      </x:c>
    </x:row>
    <x:row r="426" ht="22" customHeight="1">
      <x:c r="A426" s="2" t="str">
        <x:v>S29-T04|1</x:v>
      </x:c>
      <x:c r="B426" s="2" t="str">
        <x:v>S29-T04</x:v>
      </x:c>
      <x:c r="C426" s="2" t="str">
        <x:v>S29</x:v>
      </x:c>
      <x:c r="D426" s="2" t="str">
        <x:v>Repeat</x:v>
      </x:c>
      <x:c r="E426" s="2" t="n">
        <x:v>4</x:v>
      </x:c>
      <x:c r="F426" s="2" t="n">
        <x:v>1</x:v>
      </x:c>
      <x:c r="G426" s="2" t="n">
        <x:f>COUNTIFS('Rankings'!$A$6:$A$423,B426,'Rankings'!$E$6:$E$423,"&lt;="&amp;F426)</x:f>
        <x:v>1</x:v>
      </x:c>
      <x:c r="H426" s="2" t="n">
        <x:f>SUMIFS('Rankings'!$J$6:$J$423,'Rankings'!$A$6:$A$423,B426,'Rankings'!$E$6:$E$423,"&lt;="&amp;F426)</x:f>
        <x:v>1</x:v>
      </x:c>
      <x:c r="I426" s="2" t="n">
        <x:f>G426-SUMIFS('Rankings'!$I$6:$I$423,'Rankings'!$A$6:$A$423,B426,'Rankings'!$E$6:$E$423,"&lt;="&amp;F426)</x:f>
        <x:v>0</x:v>
      </x:c>
      <x:c r="J426" s="2" t="n">
        <x:f>SUMIFS('Ratings'!$H$6:$H$1387,'Ratings'!$B$6:$B$1387,C426)</x:f>
        <x:v>29</x:v>
      </x:c>
      <x:c r="K426" s="15" t="n">
        <x:f>IF(I426&gt;0,"Unknown",H426/F426)</x:f>
        <x:v>1</x:v>
      </x:c>
      <x:c r="L426" s="15" t="n">
        <x:f>IF(J426=0,"N/A",H426/J426)</x:f>
        <x:v>0.034482758620689655</x:v>
      </x:c>
      <x:c r="M426" s="14" t="n">
        <x:f>SUMIFS('Rankings'!$L$6:$L$423,'Rankings'!$A$6:$A$423,B426,'Rankings'!$E$6:$E$423,"&lt;="&amp;F426)</x:f>
        <x:v>7</x:v>
      </x:c>
      <x:c r="N426" s="14" t="n">
        <x:f>SUMIFS('Ideal ranking'!$H$6:$H$365,'Ideal ranking'!$A$6:$A$365,C426,'Ideal ranking'!$B$6:$B$365,"&lt;="&amp;F426)</x:f>
        <x:v>7</x:v>
      </x:c>
      <x:c r="O426" s="14" t="n">
        <x:f>IF(I426&gt;0,"Unknown",IF(N426=0,"N/A",M426/N426))</x:f>
        <x:v>1</x:v>
      </x:c>
      <x:c r="P426" s="15" t="n">
        <x:f>IF(G426=0,"N/A",IF(I426&gt;0,"Unknown",H426/G426))</x:f>
        <x:v>1</x:v>
      </x:c>
      <x:c r="Q426" s="2" t="n">
        <x:f>F426-G426</x:f>
        <x:v>0</x:v>
      </x:c>
    </x:row>
    <x:row r="427" ht="22" customHeight="1">
      <x:c r="A427" s="2" t="str">
        <x:v>S29-T04|2</x:v>
      </x:c>
      <x:c r="B427" s="2" t="str">
        <x:v>S29-T04</x:v>
      </x:c>
      <x:c r="C427" s="2" t="str">
        <x:v>S29</x:v>
      </x:c>
      <x:c r="D427" s="2" t="str">
        <x:v>Repeat</x:v>
      </x:c>
      <x:c r="E427" s="2" t="n">
        <x:v>4</x:v>
      </x:c>
      <x:c r="F427" s="2" t="n">
        <x:v>2</x:v>
      </x:c>
      <x:c r="G427" s="2" t="n">
        <x:f>COUNTIFS('Rankings'!$A$6:$A$423,B427,'Rankings'!$E$6:$E$423,"&lt;="&amp;F427)</x:f>
        <x:v>2</x:v>
      </x:c>
      <x:c r="H427" s="2" t="n">
        <x:f>SUMIFS('Rankings'!$J$6:$J$423,'Rankings'!$A$6:$A$423,B427,'Rankings'!$E$6:$E$423,"&lt;="&amp;F427)</x:f>
        <x:v>2</x:v>
      </x:c>
      <x:c r="I427" s="2" t="n">
        <x:f>G427-SUMIFS('Rankings'!$I$6:$I$423,'Rankings'!$A$6:$A$423,B427,'Rankings'!$E$6:$E$423,"&lt;="&amp;F427)</x:f>
        <x:v>0</x:v>
      </x:c>
      <x:c r="J427" s="2" t="n">
        <x:f>SUMIFS('Ratings'!$H$6:$H$1387,'Ratings'!$B$6:$B$1387,C427)</x:f>
        <x:v>29</x:v>
      </x:c>
      <x:c r="K427" s="15" t="n">
        <x:f>IF(I427&gt;0,"Unknown",H427/F427)</x:f>
        <x:v>1</x:v>
      </x:c>
      <x:c r="L427" s="15" t="n">
        <x:f>IF(J427=0,"N/A",H427/J427)</x:f>
        <x:v>0.06896551724137931</x:v>
      </x:c>
      <x:c r="M427" s="14" t="n">
        <x:f>SUMIFS('Rankings'!$L$6:$L$423,'Rankings'!$A$6:$A$423,B427,'Rankings'!$E$6:$E$423,"&lt;="&amp;F427)</x:f>
        <x:v>11.416508275000202</x:v>
      </x:c>
      <x:c r="N427" s="14" t="n">
        <x:f>SUMIFS('Ideal ranking'!$H$6:$H$365,'Ideal ranking'!$A$6:$A$365,C427,'Ideal ranking'!$B$6:$B$365,"&lt;="&amp;F427)</x:f>
        <x:v>11.416508275000202</x:v>
      </x:c>
      <x:c r="O427" s="14" t="n">
        <x:f>IF(I427&gt;0,"Unknown",IF(N427=0,"N/A",M427/N427))</x:f>
        <x:v>1</x:v>
      </x:c>
      <x:c r="P427" s="15" t="n">
        <x:f>IF(G427=0,"N/A",IF(I427&gt;0,"Unknown",H427/G427))</x:f>
        <x:v>1</x:v>
      </x:c>
      <x:c r="Q427" s="2" t="n">
        <x:f>F427-G427</x:f>
        <x:v>0</x:v>
      </x:c>
    </x:row>
    <x:row r="428" ht="22" customHeight="1">
      <x:c r="A428" s="2" t="str">
        <x:v>S29-T04|3</x:v>
      </x:c>
      <x:c r="B428" s="2" t="str">
        <x:v>S29-T04</x:v>
      </x:c>
      <x:c r="C428" s="2" t="str">
        <x:v>S29</x:v>
      </x:c>
      <x:c r="D428" s="2" t="str">
        <x:v>Repeat</x:v>
      </x:c>
      <x:c r="E428" s="2" t="n">
        <x:v>4</x:v>
      </x:c>
      <x:c r="F428" s="2" t="n">
        <x:v>3</x:v>
      </x:c>
      <x:c r="G428" s="2" t="n">
        <x:f>COUNTIFS('Rankings'!$A$6:$A$423,B428,'Rankings'!$E$6:$E$423,"&lt;="&amp;F428)</x:f>
        <x:v>3</x:v>
      </x:c>
      <x:c r="H428" s="2" t="n">
        <x:f>SUMIFS('Rankings'!$J$6:$J$423,'Rankings'!$A$6:$A$423,B428,'Rankings'!$E$6:$E$423,"&lt;="&amp;F428)</x:f>
        <x:v>3</x:v>
      </x:c>
      <x:c r="I428" s="2" t="n">
        <x:f>G428-SUMIFS('Rankings'!$I$6:$I$423,'Rankings'!$A$6:$A$423,B428,'Rankings'!$E$6:$E$423,"&lt;="&amp;F428)</x:f>
        <x:v>0</x:v>
      </x:c>
      <x:c r="J428" s="2" t="n">
        <x:f>SUMIFS('Ratings'!$H$6:$H$1387,'Ratings'!$B$6:$B$1387,C428)</x:f>
        <x:v>29</x:v>
      </x:c>
      <x:c r="K428" s="15" t="n">
        <x:f>IF(I428&gt;0,"Unknown",H428/F428)</x:f>
        <x:v>1</x:v>
      </x:c>
      <x:c r="L428" s="15" t="n">
        <x:f>IF(J428=0,"N/A",H428/J428)</x:f>
        <x:v>0.10344827586206896</x:v>
      </x:c>
      <x:c r="M428" s="14" t="n">
        <x:f>SUMIFS('Rankings'!$L$6:$L$423,'Rankings'!$A$6:$A$423,B428,'Rankings'!$E$6:$E$423,"&lt;="&amp;F428)</x:f>
        <x:v>14.916508275000202</x:v>
      </x:c>
      <x:c r="N428" s="14" t="n">
        <x:f>SUMIFS('Ideal ranking'!$H$6:$H$365,'Ideal ranking'!$A$6:$A$365,C428,'Ideal ranking'!$B$6:$B$365,"&lt;="&amp;F428)</x:f>
        <x:v>14.916508275000202</x:v>
      </x:c>
      <x:c r="O428" s="14" t="n">
        <x:f>IF(I428&gt;0,"Unknown",IF(N428=0,"N/A",M428/N428))</x:f>
        <x:v>1</x:v>
      </x:c>
      <x:c r="P428" s="15" t="n">
        <x:f>IF(G428=0,"N/A",IF(I428&gt;0,"Unknown",H428/G428))</x:f>
        <x:v>1</x:v>
      </x:c>
      <x:c r="Q428" s="2" t="n">
        <x:f>F428-G428</x:f>
        <x:v>0</x:v>
      </x:c>
    </x:row>
    <x:row r="429" ht="22" customHeight="1">
      <x:c r="A429" s="2" t="str">
        <x:v>S29-T04|4</x:v>
      </x:c>
      <x:c r="B429" s="2" t="str">
        <x:v>S29-T04</x:v>
      </x:c>
      <x:c r="C429" s="2" t="str">
        <x:v>S29</x:v>
      </x:c>
      <x:c r="D429" s="2" t="str">
        <x:v>Repeat</x:v>
      </x:c>
      <x:c r="E429" s="2" t="n">
        <x:v>4</x:v>
      </x:c>
      <x:c r="F429" s="2" t="n">
        <x:v>4</x:v>
      </x:c>
      <x:c r="G429" s="2" t="n">
        <x:f>COUNTIFS('Rankings'!$A$6:$A$423,B429,'Rankings'!$E$6:$E$423,"&lt;="&amp;F429)</x:f>
        <x:v>4</x:v>
      </x:c>
      <x:c r="H429" s="2" t="n">
        <x:f>SUMIFS('Rankings'!$J$6:$J$423,'Rankings'!$A$6:$A$423,B429,'Rankings'!$E$6:$E$423,"&lt;="&amp;F429)</x:f>
        <x:v>4</x:v>
      </x:c>
      <x:c r="I429" s="2" t="n">
        <x:f>G429-SUMIFS('Rankings'!$I$6:$I$423,'Rankings'!$A$6:$A$423,B429,'Rankings'!$E$6:$E$423,"&lt;="&amp;F429)</x:f>
        <x:v>0</x:v>
      </x:c>
      <x:c r="J429" s="2" t="n">
        <x:f>SUMIFS('Ratings'!$H$6:$H$1387,'Ratings'!$B$6:$B$1387,C429)</x:f>
        <x:v>29</x:v>
      </x:c>
      <x:c r="K429" s="15" t="n">
        <x:f>IF(I429&gt;0,"Unknown",H429/F429)</x:f>
        <x:v>1</x:v>
      </x:c>
      <x:c r="L429" s="15" t="n">
        <x:f>IF(J429=0,"N/A",H429/J429)</x:f>
        <x:v>0.13793103448275862</x:v>
      </x:c>
      <x:c r="M429" s="14" t="n">
        <x:f>SUMIFS('Rankings'!$L$6:$L$423,'Rankings'!$A$6:$A$423,B429,'Rankings'!$E$6:$E$423,"&lt;="&amp;F429)</x:f>
        <x:v>16.208537949220382</x:v>
      </x:c>
      <x:c r="N429" s="14" t="n">
        <x:f>SUMIFS('Ideal ranking'!$H$6:$H$365,'Ideal ranking'!$A$6:$A$365,C429,'Ideal ranking'!$B$6:$B$365,"&lt;="&amp;F429)</x:f>
        <x:v>16.208537949220382</x:v>
      </x:c>
      <x:c r="O429" s="14" t="n">
        <x:f>IF(I429&gt;0,"Unknown",IF(N429=0,"N/A",M429/N429))</x:f>
        <x:v>1</x:v>
      </x:c>
      <x:c r="P429" s="15" t="n">
        <x:f>IF(G429=0,"N/A",IF(I429&gt;0,"Unknown",H429/G429))</x:f>
        <x:v>1</x:v>
      </x:c>
      <x:c r="Q429" s="2" t="n">
        <x:f>F429-G429</x:f>
        <x:v>0</x:v>
      </x:c>
    </x:row>
    <x:row r="430" ht="22" customHeight="1">
      <x:c r="A430" s="2" t="str">
        <x:v>S29-T04|5</x:v>
      </x:c>
      <x:c r="B430" s="2" t="str">
        <x:v>S29-T04</x:v>
      </x:c>
      <x:c r="C430" s="2" t="str">
        <x:v>S29</x:v>
      </x:c>
      <x:c r="D430" s="2" t="str">
        <x:v>Repeat</x:v>
      </x:c>
      <x:c r="E430" s="2" t="n">
        <x:v>4</x:v>
      </x:c>
      <x:c r="F430" s="2" t="n">
        <x:v>5</x:v>
      </x:c>
      <x:c r="G430" s="2" t="n">
        <x:f>COUNTIFS('Rankings'!$A$6:$A$423,B430,'Rankings'!$E$6:$E$423,"&lt;="&amp;F430)</x:f>
        <x:v>5</x:v>
      </x:c>
      <x:c r="H430" s="2" t="n">
        <x:f>SUMIFS('Rankings'!$J$6:$J$423,'Rankings'!$A$6:$A$423,B430,'Rankings'!$E$6:$E$423,"&lt;="&amp;F430)</x:f>
        <x:v>5</x:v>
      </x:c>
      <x:c r="I430" s="2" t="n">
        <x:f>G430-SUMIFS('Rankings'!$I$6:$I$423,'Rankings'!$A$6:$A$423,B430,'Rankings'!$E$6:$E$423,"&lt;="&amp;F430)</x:f>
        <x:v>0</x:v>
      </x:c>
      <x:c r="J430" s="2" t="n">
        <x:f>SUMIFS('Ratings'!$H$6:$H$1387,'Ratings'!$B$6:$B$1387,C430)</x:f>
        <x:v>29</x:v>
      </x:c>
      <x:c r="K430" s="15" t="n">
        <x:f>IF(I430&gt;0,"Unknown",H430/F430)</x:f>
        <x:v>1</x:v>
      </x:c>
      <x:c r="L430" s="15" t="n">
        <x:f>IF(J430=0,"N/A",H430/J430)</x:f>
        <x:v>0.1724137931034483</x:v>
      </x:c>
      <x:c r="M430" s="14" t="n">
        <x:f>SUMIFS('Rankings'!$L$6:$L$423,'Rankings'!$A$6:$A$423,B430,'Rankings'!$E$6:$E$423,"&lt;="&amp;F430)</x:f>
        <x:v>17.369096370924005</x:v>
      </x:c>
      <x:c r="N430" s="14" t="n">
        <x:f>SUMIFS('Ideal ranking'!$H$6:$H$365,'Ideal ranking'!$A$6:$A$365,C430,'Ideal ranking'!$B$6:$B$365,"&lt;="&amp;F430)</x:f>
        <x:v>17.369096370924005</x:v>
      </x:c>
      <x:c r="O430" s="14" t="n">
        <x:f>IF(I430&gt;0,"Unknown",IF(N430=0,"N/A",M430/N430))</x:f>
        <x:v>1</x:v>
      </x:c>
      <x:c r="P430" s="15" t="n">
        <x:f>IF(G430=0,"N/A",IF(I430&gt;0,"Unknown",H430/G430))</x:f>
        <x:v>1</x:v>
      </x:c>
      <x:c r="Q430" s="2" t="n">
        <x:f>F430-G430</x:f>
        <x:v>0</x:v>
      </x:c>
    </x:row>
    <x:row r="431" ht="22" customHeight="1">
      <x:c r="A431" s="2" t="str">
        <x:v>S29-T04|6</x:v>
      </x:c>
      <x:c r="B431" s="2" t="str">
        <x:v>S29-T04</x:v>
      </x:c>
      <x:c r="C431" s="2" t="str">
        <x:v>S29</x:v>
      </x:c>
      <x:c r="D431" s="2" t="str">
        <x:v>Repeat</x:v>
      </x:c>
      <x:c r="E431" s="2" t="n">
        <x:v>4</x:v>
      </x:c>
      <x:c r="F431" s="2" t="n">
        <x:v>6</x:v>
      </x:c>
      <x:c r="G431" s="2" t="n">
        <x:f>COUNTIFS('Rankings'!$A$6:$A$423,B431,'Rankings'!$E$6:$E$423,"&lt;="&amp;F431)</x:f>
        <x:v>6</x:v>
      </x:c>
      <x:c r="H431" s="2" t="n">
        <x:f>SUMIFS('Rankings'!$J$6:$J$423,'Rankings'!$A$6:$A$423,B431,'Rankings'!$E$6:$E$423,"&lt;="&amp;F431)</x:f>
        <x:v>6</x:v>
      </x:c>
      <x:c r="I431" s="2" t="n">
        <x:f>G431-SUMIFS('Rankings'!$I$6:$I$423,'Rankings'!$A$6:$A$423,B431,'Rankings'!$E$6:$E$423,"&lt;="&amp;F431)</x:f>
        <x:v>0</x:v>
      </x:c>
      <x:c r="J431" s="2" t="n">
        <x:f>SUMIFS('Ratings'!$H$6:$H$1387,'Ratings'!$B$6:$B$1387,C431)</x:f>
        <x:v>29</x:v>
      </x:c>
      <x:c r="K431" s="15" t="n">
        <x:f>IF(I431&gt;0,"Unknown",H431/F431)</x:f>
        <x:v>1</x:v>
      </x:c>
      <x:c r="L431" s="15" t="n">
        <x:f>IF(J431=0,"N/A",H431/J431)</x:f>
        <x:v>0.20689655172413793</x:v>
      </x:c>
      <x:c r="M431" s="14" t="n">
        <x:f>SUMIFS('Rankings'!$L$6:$L$423,'Rankings'!$A$6:$A$423,B431,'Rankings'!$E$6:$E$423,"&lt;="&amp;F431)</x:f>
        <x:v>18.43771793224807</x:v>
      </x:c>
      <x:c r="N431" s="14" t="n">
        <x:f>SUMIFS('Ideal ranking'!$H$6:$H$365,'Ideal ranking'!$A$6:$A$365,C431,'Ideal ranking'!$B$6:$B$365,"&lt;="&amp;F431)</x:f>
        <x:v>18.43771793224807</x:v>
      </x:c>
      <x:c r="O431" s="14" t="n">
        <x:f>IF(I431&gt;0,"Unknown",IF(N431=0,"N/A",M431/N431))</x:f>
        <x:v>1</x:v>
      </x:c>
      <x:c r="P431" s="15" t="n">
        <x:f>IF(G431=0,"N/A",IF(I431&gt;0,"Unknown",H431/G431))</x:f>
        <x:v>1</x:v>
      </x:c>
      <x:c r="Q431" s="2" t="n">
        <x:f>F431-G431</x:f>
        <x:v>0</x:v>
      </x:c>
    </x:row>
    <x:row r="432" ht="22" customHeight="1">
      <x:c r="A432" s="2" t="str">
        <x:v>S29-T04|7</x:v>
      </x:c>
      <x:c r="B432" s="2" t="str">
        <x:v>S29-T04</x:v>
      </x:c>
      <x:c r="C432" s="2" t="str">
        <x:v>S29</x:v>
      </x:c>
      <x:c r="D432" s="2" t="str">
        <x:v>Repeat</x:v>
      </x:c>
      <x:c r="E432" s="2" t="n">
        <x:v>4</x:v>
      </x:c>
      <x:c r="F432" s="2" t="n">
        <x:v>7</x:v>
      </x:c>
      <x:c r="G432" s="2" t="n">
        <x:f>COUNTIFS('Rankings'!$A$6:$A$423,B432,'Rankings'!$E$6:$E$423,"&lt;="&amp;F432)</x:f>
        <x:v>7</x:v>
      </x:c>
      <x:c r="H432" s="2" t="n">
        <x:f>SUMIFS('Rankings'!$J$6:$J$423,'Rankings'!$A$6:$A$423,B432,'Rankings'!$E$6:$E$423,"&lt;="&amp;F432)</x:f>
        <x:v>7</x:v>
      </x:c>
      <x:c r="I432" s="2" t="n">
        <x:f>G432-SUMIFS('Rankings'!$I$6:$I$423,'Rankings'!$A$6:$A$423,B432,'Rankings'!$E$6:$E$423,"&lt;="&amp;F432)</x:f>
        <x:v>0</x:v>
      </x:c>
      <x:c r="J432" s="2" t="n">
        <x:f>SUMIFS('Ratings'!$H$6:$H$1387,'Ratings'!$B$6:$B$1387,C432)</x:f>
        <x:v>29</x:v>
      </x:c>
      <x:c r="K432" s="15" t="n">
        <x:f>IF(I432&gt;0,"Unknown",H432/F432)</x:f>
        <x:v>1</x:v>
      </x:c>
      <x:c r="L432" s="15" t="n">
        <x:f>IF(J432=0,"N/A",H432/J432)</x:f>
        <x:v>0.2413793103448276</x:v>
      </x:c>
      <x:c r="M432" s="14" t="n">
        <x:f>SUMIFS('Rankings'!$L$6:$L$423,'Rankings'!$A$6:$A$423,B432,'Rankings'!$E$6:$E$423,"&lt;="&amp;F432)</x:f>
        <x:v>19.43771793224807</x:v>
      </x:c>
      <x:c r="N432" s="14" t="n">
        <x:f>SUMIFS('Ideal ranking'!$H$6:$H$365,'Ideal ranking'!$A$6:$A$365,C432,'Ideal ranking'!$B$6:$B$365,"&lt;="&amp;F432)</x:f>
        <x:v>19.43771793224807</x:v>
      </x:c>
      <x:c r="O432" s="14" t="n">
        <x:f>IF(I432&gt;0,"Unknown",IF(N432=0,"N/A",M432/N432))</x:f>
        <x:v>1</x:v>
      </x:c>
      <x:c r="P432" s="15" t="n">
        <x:f>IF(G432=0,"N/A",IF(I432&gt;0,"Unknown",H432/G432))</x:f>
        <x:v>1</x:v>
      </x:c>
      <x:c r="Q432" s="2" t="n">
        <x:f>F432-G432</x:f>
        <x:v>0</x:v>
      </x:c>
    </x:row>
    <x:row r="433" ht="22" customHeight="1">
      <x:c r="A433" s="2" t="str">
        <x:v>S29-T04|8</x:v>
      </x:c>
      <x:c r="B433" s="2" t="str">
        <x:v>S29-T04</x:v>
      </x:c>
      <x:c r="C433" s="2" t="str">
        <x:v>S29</x:v>
      </x:c>
      <x:c r="D433" s="2" t="str">
        <x:v>Repeat</x:v>
      </x:c>
      <x:c r="E433" s="2" t="n">
        <x:v>4</x:v>
      </x:c>
      <x:c r="F433" s="2" t="n">
        <x:v>8</x:v>
      </x:c>
      <x:c r="G433" s="2" t="n">
        <x:f>COUNTIFS('Rankings'!$A$6:$A$423,B433,'Rankings'!$E$6:$E$423,"&lt;="&amp;F433)</x:f>
        <x:v>8</x:v>
      </x:c>
      <x:c r="H433" s="2" t="n">
        <x:f>SUMIFS('Rankings'!$J$6:$J$423,'Rankings'!$A$6:$A$423,B433,'Rankings'!$E$6:$E$423,"&lt;="&amp;F433)</x:f>
        <x:v>8</x:v>
      </x:c>
      <x:c r="I433" s="2" t="n">
        <x:f>G433-SUMIFS('Rankings'!$I$6:$I$423,'Rankings'!$A$6:$A$423,B433,'Rankings'!$E$6:$E$423,"&lt;="&amp;F433)</x:f>
        <x:v>0</x:v>
      </x:c>
      <x:c r="J433" s="2" t="n">
        <x:f>SUMIFS('Ratings'!$H$6:$H$1387,'Ratings'!$B$6:$B$1387,C433)</x:f>
        <x:v>29</x:v>
      </x:c>
      <x:c r="K433" s="15" t="n">
        <x:f>IF(I433&gt;0,"Unknown",H433/F433)</x:f>
        <x:v>1</x:v>
      </x:c>
      <x:c r="L433" s="15" t="n">
        <x:f>IF(J433=0,"N/A",H433/J433)</x:f>
        <x:v>0.27586206896551724</x:v>
      </x:c>
      <x:c r="M433" s="14" t="n">
        <x:f>SUMIFS('Rankings'!$L$6:$L$423,'Rankings'!$A$6:$A$423,B433,'Rankings'!$E$6:$E$423,"&lt;="&amp;F433)</x:f>
        <x:v>20.384112562605257</x:v>
      </x:c>
      <x:c r="N433" s="14" t="n">
        <x:f>SUMIFS('Ideal ranking'!$H$6:$H$365,'Ideal ranking'!$A$6:$A$365,C433,'Ideal ranking'!$B$6:$B$365,"&lt;="&amp;F433)</x:f>
        <x:v>20.384112562605257</x:v>
      </x:c>
      <x:c r="O433" s="14" t="n">
        <x:f>IF(I433&gt;0,"Unknown",IF(N433=0,"N/A",M433/N433))</x:f>
        <x:v>1</x:v>
      </x:c>
      <x:c r="P433" s="15" t="n">
        <x:f>IF(G433=0,"N/A",IF(I433&gt;0,"Unknown",H433/G433))</x:f>
        <x:v>1</x:v>
      </x:c>
      <x:c r="Q433" s="2" t="n">
        <x:f>F433-G433</x:f>
        <x:v>0</x:v>
      </x:c>
    </x:row>
    <x:row r="434" ht="22" customHeight="1">
      <x:c r="A434" s="2" t="str">
        <x:v>S29-T04|9</x:v>
      </x:c>
      <x:c r="B434" s="2" t="str">
        <x:v>S29-T04</x:v>
      </x:c>
      <x:c r="C434" s="2" t="str">
        <x:v>S29</x:v>
      </x:c>
      <x:c r="D434" s="2" t="str">
        <x:v>Repeat</x:v>
      </x:c>
      <x:c r="E434" s="2" t="n">
        <x:v>4</x:v>
      </x:c>
      <x:c r="F434" s="2" t="n">
        <x:v>9</x:v>
      </x:c>
      <x:c r="G434" s="2" t="n">
        <x:f>COUNTIFS('Rankings'!$A$6:$A$423,B434,'Rankings'!$E$6:$E$423,"&lt;="&amp;F434)</x:f>
        <x:v>9</x:v>
      </x:c>
      <x:c r="H434" s="2" t="n">
        <x:f>SUMIFS('Rankings'!$J$6:$J$423,'Rankings'!$A$6:$A$423,B434,'Rankings'!$E$6:$E$423,"&lt;="&amp;F434)</x:f>
        <x:v>9</x:v>
      </x:c>
      <x:c r="I434" s="2" t="n">
        <x:f>G434-SUMIFS('Rankings'!$I$6:$I$423,'Rankings'!$A$6:$A$423,B434,'Rankings'!$E$6:$E$423,"&lt;="&amp;F434)</x:f>
        <x:v>0</x:v>
      </x:c>
      <x:c r="J434" s="2" t="n">
        <x:f>SUMIFS('Ratings'!$H$6:$H$1387,'Ratings'!$B$6:$B$1387,C434)</x:f>
        <x:v>29</x:v>
      </x:c>
      <x:c r="K434" s="15" t="n">
        <x:f>IF(I434&gt;0,"Unknown",H434/F434)</x:f>
        <x:v>1</x:v>
      </x:c>
      <x:c r="L434" s="15" t="n">
        <x:f>IF(J434=0,"N/A",H434/J434)</x:f>
        <x:v>0.3103448275862069</x:v>
      </x:c>
      <x:c r="M434" s="14" t="n">
        <x:f>SUMIFS('Rankings'!$L$6:$L$423,'Rankings'!$A$6:$A$423,B434,'Rankings'!$E$6:$E$423,"&lt;="&amp;F434)</x:f>
        <x:v>21.2872025495972</x:v>
      </x:c>
      <x:c r="N434" s="14" t="n">
        <x:f>SUMIFS('Ideal ranking'!$H$6:$H$365,'Ideal ranking'!$A$6:$A$365,C434,'Ideal ranking'!$B$6:$B$365,"&lt;="&amp;F434)</x:f>
        <x:v>21.2872025495972</x:v>
      </x:c>
      <x:c r="O434" s="14" t="n">
        <x:f>IF(I434&gt;0,"Unknown",IF(N434=0,"N/A",M434/N434))</x:f>
        <x:v>1</x:v>
      </x:c>
      <x:c r="P434" s="15" t="n">
        <x:f>IF(G434=0,"N/A",IF(I434&gt;0,"Unknown",H434/G434))</x:f>
        <x:v>1</x:v>
      </x:c>
      <x:c r="Q434" s="2" t="n">
        <x:f>F434-G434</x:f>
        <x:v>0</x:v>
      </x:c>
    </x:row>
    <x:row r="435" ht="22" customHeight="1">
      <x:c r="A435" s="2" t="str">
        <x:v>S29-T04|10</x:v>
      </x:c>
      <x:c r="B435" s="2" t="str">
        <x:v>S29-T04</x:v>
      </x:c>
      <x:c r="C435" s="2" t="str">
        <x:v>S29</x:v>
      </x:c>
      <x:c r="D435" s="2" t="str">
        <x:v>Repeat</x:v>
      </x:c>
      <x:c r="E435" s="2" t="n">
        <x:v>4</x:v>
      </x:c>
      <x:c r="F435" s="2" t="n">
        <x:v>10</x:v>
      </x:c>
      <x:c r="G435" s="2" t="n">
        <x:f>COUNTIFS('Rankings'!$A$6:$A$423,B435,'Rankings'!$E$6:$E$423,"&lt;="&amp;F435)</x:f>
        <x:v>10</x:v>
      </x:c>
      <x:c r="H435" s="2" t="n">
        <x:f>SUMIFS('Rankings'!$J$6:$J$423,'Rankings'!$A$6:$A$423,B435,'Rankings'!$E$6:$E$423,"&lt;="&amp;F435)</x:f>
        <x:v>10</x:v>
      </x:c>
      <x:c r="I435" s="2" t="n">
        <x:f>G435-SUMIFS('Rankings'!$I$6:$I$423,'Rankings'!$A$6:$A$423,B435,'Rankings'!$E$6:$E$423,"&lt;="&amp;F435)</x:f>
        <x:v>0</x:v>
      </x:c>
      <x:c r="J435" s="2" t="n">
        <x:f>SUMIFS('Ratings'!$H$6:$H$1387,'Ratings'!$B$6:$B$1387,C435)</x:f>
        <x:v>29</x:v>
      </x:c>
      <x:c r="K435" s="15" t="n">
        <x:f>IF(I435&gt;0,"Unknown",H435/F435)</x:f>
        <x:v>1</x:v>
      </x:c>
      <x:c r="L435" s="15" t="n">
        <x:f>IF(J435=0,"N/A",H435/J435)</x:f>
        <x:v>0.3448275862068966</x:v>
      </x:c>
      <x:c r="M435" s="14" t="n">
        <x:f>SUMIFS('Rankings'!$L$6:$L$423,'Rankings'!$A$6:$A$423,B435,'Rankings'!$E$6:$E$423,"&lt;="&amp;F435)</x:f>
        <x:v>22.154397028550864</x:v>
      </x:c>
      <x:c r="N435" s="14" t="n">
        <x:f>SUMIFS('Ideal ranking'!$H$6:$H$365,'Ideal ranking'!$A$6:$A$365,C435,'Ideal ranking'!$B$6:$B$365,"&lt;="&amp;F435)</x:f>
        <x:v>22.154397028550864</x:v>
      </x:c>
      <x:c r="O435" s="14" t="n">
        <x:f>IF(I435&gt;0,"Unknown",IF(N435=0,"N/A",M435/N435))</x:f>
        <x:v>1</x:v>
      </x:c>
      <x:c r="P435" s="15" t="n">
        <x:f>IF(G435=0,"N/A",IF(I435&gt;0,"Unknown",H435/G435))</x:f>
        <x:v>1</x:v>
      </x:c>
      <x:c r="Q435" s="2" t="n">
        <x:f>F435-G435</x:f>
        <x:v>0</x:v>
      </x:c>
    </x:row>
    <x:row r="436" ht="22" customHeight="1">
      <x:c r="A436" s="2" t="str">
        <x:v>S29-T05|1</x:v>
      </x:c>
      <x:c r="B436" s="2" t="str">
        <x:v>S29-T05</x:v>
      </x:c>
      <x:c r="C436" s="2" t="str">
        <x:v>S29</x:v>
      </x:c>
      <x:c r="D436" s="2" t="str">
        <x:v>Repeat</x:v>
      </x:c>
      <x:c r="E436" s="2" t="n">
        <x:v>5</x:v>
      </x:c>
      <x:c r="F436" s="2" t="n">
        <x:v>1</x:v>
      </x:c>
      <x:c r="G436" s="2" t="n">
        <x:f>COUNTIFS('Rankings'!$A$6:$A$423,B436,'Rankings'!$E$6:$E$423,"&lt;="&amp;F436)</x:f>
        <x:v>1</x:v>
      </x:c>
      <x:c r="H436" s="2" t="n">
        <x:f>SUMIFS('Rankings'!$J$6:$J$423,'Rankings'!$A$6:$A$423,B436,'Rankings'!$E$6:$E$423,"&lt;="&amp;F436)</x:f>
        <x:v>1</x:v>
      </x:c>
      <x:c r="I436" s="2" t="n">
        <x:f>G436-SUMIFS('Rankings'!$I$6:$I$423,'Rankings'!$A$6:$A$423,B436,'Rankings'!$E$6:$E$423,"&lt;="&amp;F436)</x:f>
        <x:v>0</x:v>
      </x:c>
      <x:c r="J436" s="2" t="n">
        <x:f>SUMIFS('Ratings'!$H$6:$H$1387,'Ratings'!$B$6:$B$1387,C436)</x:f>
        <x:v>29</x:v>
      </x:c>
      <x:c r="K436" s="15" t="n">
        <x:f>IF(I436&gt;0,"Unknown",H436/F436)</x:f>
        <x:v>1</x:v>
      </x:c>
      <x:c r="L436" s="15" t="n">
        <x:f>IF(J436=0,"N/A",H436/J436)</x:f>
        <x:v>0.034482758620689655</x:v>
      </x:c>
      <x:c r="M436" s="14" t="n">
        <x:f>SUMIFS('Rankings'!$L$6:$L$423,'Rankings'!$A$6:$A$423,B436,'Rankings'!$E$6:$E$423,"&lt;="&amp;F436)</x:f>
        <x:v>7</x:v>
      </x:c>
      <x:c r="N436" s="14" t="n">
        <x:f>SUMIFS('Ideal ranking'!$H$6:$H$365,'Ideal ranking'!$A$6:$A$365,C436,'Ideal ranking'!$B$6:$B$365,"&lt;="&amp;F436)</x:f>
        <x:v>7</x:v>
      </x:c>
      <x:c r="O436" s="14" t="n">
        <x:f>IF(I436&gt;0,"Unknown",IF(N436=0,"N/A",M436/N436))</x:f>
        <x:v>1</x:v>
      </x:c>
      <x:c r="P436" s="15" t="n">
        <x:f>IF(G436=0,"N/A",IF(I436&gt;0,"Unknown",H436/G436))</x:f>
        <x:v>1</x:v>
      </x:c>
      <x:c r="Q436" s="2" t="n">
        <x:f>F436-G436</x:f>
        <x:v>0</x:v>
      </x:c>
    </x:row>
    <x:row r="437" ht="22" customHeight="1">
      <x:c r="A437" s="2" t="str">
        <x:v>S29-T05|2</x:v>
      </x:c>
      <x:c r="B437" s="2" t="str">
        <x:v>S29-T05</x:v>
      </x:c>
      <x:c r="C437" s="2" t="str">
        <x:v>S29</x:v>
      </x:c>
      <x:c r="D437" s="2" t="str">
        <x:v>Repeat</x:v>
      </x:c>
      <x:c r="E437" s="2" t="n">
        <x:v>5</x:v>
      </x:c>
      <x:c r="F437" s="2" t="n">
        <x:v>2</x:v>
      </x:c>
      <x:c r="G437" s="2" t="n">
        <x:f>COUNTIFS('Rankings'!$A$6:$A$423,B437,'Rankings'!$E$6:$E$423,"&lt;="&amp;F437)</x:f>
        <x:v>2</x:v>
      </x:c>
      <x:c r="H437" s="2" t="n">
        <x:f>SUMIFS('Rankings'!$J$6:$J$423,'Rankings'!$A$6:$A$423,B437,'Rankings'!$E$6:$E$423,"&lt;="&amp;F437)</x:f>
        <x:v>2</x:v>
      </x:c>
      <x:c r="I437" s="2" t="n">
        <x:f>G437-SUMIFS('Rankings'!$I$6:$I$423,'Rankings'!$A$6:$A$423,B437,'Rankings'!$E$6:$E$423,"&lt;="&amp;F437)</x:f>
        <x:v>0</x:v>
      </x:c>
      <x:c r="J437" s="2" t="n">
        <x:f>SUMIFS('Ratings'!$H$6:$H$1387,'Ratings'!$B$6:$B$1387,C437)</x:f>
        <x:v>29</x:v>
      </x:c>
      <x:c r="K437" s="15" t="n">
        <x:f>IF(I437&gt;0,"Unknown",H437/F437)</x:f>
        <x:v>1</x:v>
      </x:c>
      <x:c r="L437" s="15" t="n">
        <x:f>IF(J437=0,"N/A",H437/J437)</x:f>
        <x:v>0.06896551724137931</x:v>
      </x:c>
      <x:c r="M437" s="14" t="n">
        <x:f>SUMIFS('Rankings'!$L$6:$L$423,'Rankings'!$A$6:$A$423,B437,'Rankings'!$E$6:$E$423,"&lt;="&amp;F437)</x:f>
        <x:v>11.416508275000202</x:v>
      </x:c>
      <x:c r="N437" s="14" t="n">
        <x:f>SUMIFS('Ideal ranking'!$H$6:$H$365,'Ideal ranking'!$A$6:$A$365,C437,'Ideal ranking'!$B$6:$B$365,"&lt;="&amp;F437)</x:f>
        <x:v>11.416508275000202</x:v>
      </x:c>
      <x:c r="O437" s="14" t="n">
        <x:f>IF(I437&gt;0,"Unknown",IF(N437=0,"N/A",M437/N437))</x:f>
        <x:v>1</x:v>
      </x:c>
      <x:c r="P437" s="15" t="n">
        <x:f>IF(G437=0,"N/A",IF(I437&gt;0,"Unknown",H437/G437))</x:f>
        <x:v>1</x:v>
      </x:c>
      <x:c r="Q437" s="2" t="n">
        <x:f>F437-G437</x:f>
        <x:v>0</x:v>
      </x:c>
    </x:row>
    <x:row r="438" ht="22" customHeight="1">
      <x:c r="A438" s="2" t="str">
        <x:v>S29-T05|3</x:v>
      </x:c>
      <x:c r="B438" s="2" t="str">
        <x:v>S29-T05</x:v>
      </x:c>
      <x:c r="C438" s="2" t="str">
        <x:v>S29</x:v>
      </x:c>
      <x:c r="D438" s="2" t="str">
        <x:v>Repeat</x:v>
      </x:c>
      <x:c r="E438" s="2" t="n">
        <x:v>5</x:v>
      </x:c>
      <x:c r="F438" s="2" t="n">
        <x:v>3</x:v>
      </x:c>
      <x:c r="G438" s="2" t="n">
        <x:f>COUNTIFS('Rankings'!$A$6:$A$423,B438,'Rankings'!$E$6:$E$423,"&lt;="&amp;F438)</x:f>
        <x:v>3</x:v>
      </x:c>
      <x:c r="H438" s="2" t="n">
        <x:f>SUMIFS('Rankings'!$J$6:$J$423,'Rankings'!$A$6:$A$423,B438,'Rankings'!$E$6:$E$423,"&lt;="&amp;F438)</x:f>
        <x:v>3</x:v>
      </x:c>
      <x:c r="I438" s="2" t="n">
        <x:f>G438-SUMIFS('Rankings'!$I$6:$I$423,'Rankings'!$A$6:$A$423,B438,'Rankings'!$E$6:$E$423,"&lt;="&amp;F438)</x:f>
        <x:v>0</x:v>
      </x:c>
      <x:c r="J438" s="2" t="n">
        <x:f>SUMIFS('Ratings'!$H$6:$H$1387,'Ratings'!$B$6:$B$1387,C438)</x:f>
        <x:v>29</x:v>
      </x:c>
      <x:c r="K438" s="15" t="n">
        <x:f>IF(I438&gt;0,"Unknown",H438/F438)</x:f>
        <x:v>1</x:v>
      </x:c>
      <x:c r="L438" s="15" t="n">
        <x:f>IF(J438=0,"N/A",H438/J438)</x:f>
        <x:v>0.10344827586206896</x:v>
      </x:c>
      <x:c r="M438" s="14" t="n">
        <x:f>SUMIFS('Rankings'!$L$6:$L$423,'Rankings'!$A$6:$A$423,B438,'Rankings'!$E$6:$E$423,"&lt;="&amp;F438)</x:f>
        <x:v>14.916508275000202</x:v>
      </x:c>
      <x:c r="N438" s="14" t="n">
        <x:f>SUMIFS('Ideal ranking'!$H$6:$H$365,'Ideal ranking'!$A$6:$A$365,C438,'Ideal ranking'!$B$6:$B$365,"&lt;="&amp;F438)</x:f>
        <x:v>14.916508275000202</x:v>
      </x:c>
      <x:c r="O438" s="14" t="n">
        <x:f>IF(I438&gt;0,"Unknown",IF(N438=0,"N/A",M438/N438))</x:f>
        <x:v>1</x:v>
      </x:c>
      <x:c r="P438" s="15" t="n">
        <x:f>IF(G438=0,"N/A",IF(I438&gt;0,"Unknown",H438/G438))</x:f>
        <x:v>1</x:v>
      </x:c>
      <x:c r="Q438" s="2" t="n">
        <x:f>F438-G438</x:f>
        <x:v>0</x:v>
      </x:c>
    </x:row>
    <x:row r="439" ht="22" customHeight="1">
      <x:c r="A439" s="2" t="str">
        <x:v>S29-T05|4</x:v>
      </x:c>
      <x:c r="B439" s="2" t="str">
        <x:v>S29-T05</x:v>
      </x:c>
      <x:c r="C439" s="2" t="str">
        <x:v>S29</x:v>
      </x:c>
      <x:c r="D439" s="2" t="str">
        <x:v>Repeat</x:v>
      </x:c>
      <x:c r="E439" s="2" t="n">
        <x:v>5</x:v>
      </x:c>
      <x:c r="F439" s="2" t="n">
        <x:v>4</x:v>
      </x:c>
      <x:c r="G439" s="2" t="n">
        <x:f>COUNTIFS('Rankings'!$A$6:$A$423,B439,'Rankings'!$E$6:$E$423,"&lt;="&amp;F439)</x:f>
        <x:v>4</x:v>
      </x:c>
      <x:c r="H439" s="2" t="n">
        <x:f>SUMIFS('Rankings'!$J$6:$J$423,'Rankings'!$A$6:$A$423,B439,'Rankings'!$E$6:$E$423,"&lt;="&amp;F439)</x:f>
        <x:v>4</x:v>
      </x:c>
      <x:c r="I439" s="2" t="n">
        <x:f>G439-SUMIFS('Rankings'!$I$6:$I$423,'Rankings'!$A$6:$A$423,B439,'Rankings'!$E$6:$E$423,"&lt;="&amp;F439)</x:f>
        <x:v>0</x:v>
      </x:c>
      <x:c r="J439" s="2" t="n">
        <x:f>SUMIFS('Ratings'!$H$6:$H$1387,'Ratings'!$B$6:$B$1387,C439)</x:f>
        <x:v>29</x:v>
      </x:c>
      <x:c r="K439" s="15" t="n">
        <x:f>IF(I439&gt;0,"Unknown",H439/F439)</x:f>
        <x:v>1</x:v>
      </x:c>
      <x:c r="L439" s="15" t="n">
        <x:f>IF(J439=0,"N/A",H439/J439)</x:f>
        <x:v>0.13793103448275862</x:v>
      </x:c>
      <x:c r="M439" s="14" t="n">
        <x:f>SUMIFS('Rankings'!$L$6:$L$423,'Rankings'!$A$6:$A$423,B439,'Rankings'!$E$6:$E$423,"&lt;="&amp;F439)</x:f>
        <x:v>16.208537949220382</x:v>
      </x:c>
      <x:c r="N439" s="14" t="n">
        <x:f>SUMIFS('Ideal ranking'!$H$6:$H$365,'Ideal ranking'!$A$6:$A$365,C439,'Ideal ranking'!$B$6:$B$365,"&lt;="&amp;F439)</x:f>
        <x:v>16.208537949220382</x:v>
      </x:c>
      <x:c r="O439" s="14" t="n">
        <x:f>IF(I439&gt;0,"Unknown",IF(N439=0,"N/A",M439/N439))</x:f>
        <x:v>1</x:v>
      </x:c>
      <x:c r="P439" s="15" t="n">
        <x:f>IF(G439=0,"N/A",IF(I439&gt;0,"Unknown",H439/G439))</x:f>
        <x:v>1</x:v>
      </x:c>
      <x:c r="Q439" s="2" t="n">
        <x:f>F439-G439</x:f>
        <x:v>0</x:v>
      </x:c>
    </x:row>
    <x:row r="440" ht="22" customHeight="1">
      <x:c r="A440" s="2" t="str">
        <x:v>S29-T05|5</x:v>
      </x:c>
      <x:c r="B440" s="2" t="str">
        <x:v>S29-T05</x:v>
      </x:c>
      <x:c r="C440" s="2" t="str">
        <x:v>S29</x:v>
      </x:c>
      <x:c r="D440" s="2" t="str">
        <x:v>Repeat</x:v>
      </x:c>
      <x:c r="E440" s="2" t="n">
        <x:v>5</x:v>
      </x:c>
      <x:c r="F440" s="2" t="n">
        <x:v>5</x:v>
      </x:c>
      <x:c r="G440" s="2" t="n">
        <x:f>COUNTIFS('Rankings'!$A$6:$A$423,B440,'Rankings'!$E$6:$E$423,"&lt;="&amp;F440)</x:f>
        <x:v>5</x:v>
      </x:c>
      <x:c r="H440" s="2" t="n">
        <x:f>SUMIFS('Rankings'!$J$6:$J$423,'Rankings'!$A$6:$A$423,B440,'Rankings'!$E$6:$E$423,"&lt;="&amp;F440)</x:f>
        <x:v>5</x:v>
      </x:c>
      <x:c r="I440" s="2" t="n">
        <x:f>G440-SUMIFS('Rankings'!$I$6:$I$423,'Rankings'!$A$6:$A$423,B440,'Rankings'!$E$6:$E$423,"&lt;="&amp;F440)</x:f>
        <x:v>0</x:v>
      </x:c>
      <x:c r="J440" s="2" t="n">
        <x:f>SUMIFS('Ratings'!$H$6:$H$1387,'Ratings'!$B$6:$B$1387,C440)</x:f>
        <x:v>29</x:v>
      </x:c>
      <x:c r="K440" s="15" t="n">
        <x:f>IF(I440&gt;0,"Unknown",H440/F440)</x:f>
        <x:v>1</x:v>
      </x:c>
      <x:c r="L440" s="15" t="n">
        <x:f>IF(J440=0,"N/A",H440/J440)</x:f>
        <x:v>0.1724137931034483</x:v>
      </x:c>
      <x:c r="M440" s="14" t="n">
        <x:f>SUMIFS('Rankings'!$L$6:$L$423,'Rankings'!$A$6:$A$423,B440,'Rankings'!$E$6:$E$423,"&lt;="&amp;F440)</x:f>
        <x:v>17.369096370924005</x:v>
      </x:c>
      <x:c r="N440" s="14" t="n">
        <x:f>SUMIFS('Ideal ranking'!$H$6:$H$365,'Ideal ranking'!$A$6:$A$365,C440,'Ideal ranking'!$B$6:$B$365,"&lt;="&amp;F440)</x:f>
        <x:v>17.369096370924005</x:v>
      </x:c>
      <x:c r="O440" s="14" t="n">
        <x:f>IF(I440&gt;0,"Unknown",IF(N440=0,"N/A",M440/N440))</x:f>
        <x:v>1</x:v>
      </x:c>
      <x:c r="P440" s="15" t="n">
        <x:f>IF(G440=0,"N/A",IF(I440&gt;0,"Unknown",H440/G440))</x:f>
        <x:v>1</x:v>
      </x:c>
      <x:c r="Q440" s="2" t="n">
        <x:f>F440-G440</x:f>
        <x:v>0</x:v>
      </x:c>
    </x:row>
    <x:row r="441" ht="22" customHeight="1">
      <x:c r="A441" s="2" t="str">
        <x:v>S29-T05|6</x:v>
      </x:c>
      <x:c r="B441" s="2" t="str">
        <x:v>S29-T05</x:v>
      </x:c>
      <x:c r="C441" s="2" t="str">
        <x:v>S29</x:v>
      </x:c>
      <x:c r="D441" s="2" t="str">
        <x:v>Repeat</x:v>
      </x:c>
      <x:c r="E441" s="2" t="n">
        <x:v>5</x:v>
      </x:c>
      <x:c r="F441" s="2" t="n">
        <x:v>6</x:v>
      </x:c>
      <x:c r="G441" s="2" t="n">
        <x:f>COUNTIFS('Rankings'!$A$6:$A$423,B441,'Rankings'!$E$6:$E$423,"&lt;="&amp;F441)</x:f>
        <x:v>6</x:v>
      </x:c>
      <x:c r="H441" s="2" t="n">
        <x:f>SUMIFS('Rankings'!$J$6:$J$423,'Rankings'!$A$6:$A$423,B441,'Rankings'!$E$6:$E$423,"&lt;="&amp;F441)</x:f>
        <x:v>6</x:v>
      </x:c>
      <x:c r="I441" s="2" t="n">
        <x:f>G441-SUMIFS('Rankings'!$I$6:$I$423,'Rankings'!$A$6:$A$423,B441,'Rankings'!$E$6:$E$423,"&lt;="&amp;F441)</x:f>
        <x:v>0</x:v>
      </x:c>
      <x:c r="J441" s="2" t="n">
        <x:f>SUMIFS('Ratings'!$H$6:$H$1387,'Ratings'!$B$6:$B$1387,C441)</x:f>
        <x:v>29</x:v>
      </x:c>
      <x:c r="K441" s="15" t="n">
        <x:f>IF(I441&gt;0,"Unknown",H441/F441)</x:f>
        <x:v>1</x:v>
      </x:c>
      <x:c r="L441" s="15" t="n">
        <x:f>IF(J441=0,"N/A",H441/J441)</x:f>
        <x:v>0.20689655172413793</x:v>
      </x:c>
      <x:c r="M441" s="14" t="n">
        <x:f>SUMIFS('Rankings'!$L$6:$L$423,'Rankings'!$A$6:$A$423,B441,'Rankings'!$E$6:$E$423,"&lt;="&amp;F441)</x:f>
        <x:v>18.43771793224807</x:v>
      </x:c>
      <x:c r="N441" s="14" t="n">
        <x:f>SUMIFS('Ideal ranking'!$H$6:$H$365,'Ideal ranking'!$A$6:$A$365,C441,'Ideal ranking'!$B$6:$B$365,"&lt;="&amp;F441)</x:f>
        <x:v>18.43771793224807</x:v>
      </x:c>
      <x:c r="O441" s="14" t="n">
        <x:f>IF(I441&gt;0,"Unknown",IF(N441=0,"N/A",M441/N441))</x:f>
        <x:v>1</x:v>
      </x:c>
      <x:c r="P441" s="15" t="n">
        <x:f>IF(G441=0,"N/A",IF(I441&gt;0,"Unknown",H441/G441))</x:f>
        <x:v>1</x:v>
      </x:c>
      <x:c r="Q441" s="2" t="n">
        <x:f>F441-G441</x:f>
        <x:v>0</x:v>
      </x:c>
    </x:row>
    <x:row r="442" ht="22" customHeight="1">
      <x:c r="A442" s="2" t="str">
        <x:v>S29-T05|7</x:v>
      </x:c>
      <x:c r="B442" s="2" t="str">
        <x:v>S29-T05</x:v>
      </x:c>
      <x:c r="C442" s="2" t="str">
        <x:v>S29</x:v>
      </x:c>
      <x:c r="D442" s="2" t="str">
        <x:v>Repeat</x:v>
      </x:c>
      <x:c r="E442" s="2" t="n">
        <x:v>5</x:v>
      </x:c>
      <x:c r="F442" s="2" t="n">
        <x:v>7</x:v>
      </x:c>
      <x:c r="G442" s="2" t="n">
        <x:f>COUNTIFS('Rankings'!$A$6:$A$423,B442,'Rankings'!$E$6:$E$423,"&lt;="&amp;F442)</x:f>
        <x:v>7</x:v>
      </x:c>
      <x:c r="H442" s="2" t="n">
        <x:f>SUMIFS('Rankings'!$J$6:$J$423,'Rankings'!$A$6:$A$423,B442,'Rankings'!$E$6:$E$423,"&lt;="&amp;F442)</x:f>
        <x:v>7</x:v>
      </x:c>
      <x:c r="I442" s="2" t="n">
        <x:f>G442-SUMIFS('Rankings'!$I$6:$I$423,'Rankings'!$A$6:$A$423,B442,'Rankings'!$E$6:$E$423,"&lt;="&amp;F442)</x:f>
        <x:v>0</x:v>
      </x:c>
      <x:c r="J442" s="2" t="n">
        <x:f>SUMIFS('Ratings'!$H$6:$H$1387,'Ratings'!$B$6:$B$1387,C442)</x:f>
        <x:v>29</x:v>
      </x:c>
      <x:c r="K442" s="15" t="n">
        <x:f>IF(I442&gt;0,"Unknown",H442/F442)</x:f>
        <x:v>1</x:v>
      </x:c>
      <x:c r="L442" s="15" t="n">
        <x:f>IF(J442=0,"N/A",H442/J442)</x:f>
        <x:v>0.2413793103448276</x:v>
      </x:c>
      <x:c r="M442" s="14" t="n">
        <x:f>SUMIFS('Rankings'!$L$6:$L$423,'Rankings'!$A$6:$A$423,B442,'Rankings'!$E$6:$E$423,"&lt;="&amp;F442)</x:f>
        <x:v>19.43771793224807</x:v>
      </x:c>
      <x:c r="N442" s="14" t="n">
        <x:f>SUMIFS('Ideal ranking'!$H$6:$H$365,'Ideal ranking'!$A$6:$A$365,C442,'Ideal ranking'!$B$6:$B$365,"&lt;="&amp;F442)</x:f>
        <x:v>19.43771793224807</x:v>
      </x:c>
      <x:c r="O442" s="14" t="n">
        <x:f>IF(I442&gt;0,"Unknown",IF(N442=0,"N/A",M442/N442))</x:f>
        <x:v>1</x:v>
      </x:c>
      <x:c r="P442" s="15" t="n">
        <x:f>IF(G442=0,"N/A",IF(I442&gt;0,"Unknown",H442/G442))</x:f>
        <x:v>1</x:v>
      </x:c>
      <x:c r="Q442" s="2" t="n">
        <x:f>F442-G442</x:f>
        <x:v>0</x:v>
      </x:c>
    </x:row>
    <x:row r="443" ht="22" customHeight="1">
      <x:c r="A443" s="2" t="str">
        <x:v>S29-T05|8</x:v>
      </x:c>
      <x:c r="B443" s="2" t="str">
        <x:v>S29-T05</x:v>
      </x:c>
      <x:c r="C443" s="2" t="str">
        <x:v>S29</x:v>
      </x:c>
      <x:c r="D443" s="2" t="str">
        <x:v>Repeat</x:v>
      </x:c>
      <x:c r="E443" s="2" t="n">
        <x:v>5</x:v>
      </x:c>
      <x:c r="F443" s="2" t="n">
        <x:v>8</x:v>
      </x:c>
      <x:c r="G443" s="2" t="n">
        <x:f>COUNTIFS('Rankings'!$A$6:$A$423,B443,'Rankings'!$E$6:$E$423,"&lt;="&amp;F443)</x:f>
        <x:v>8</x:v>
      </x:c>
      <x:c r="H443" s="2" t="n">
        <x:f>SUMIFS('Rankings'!$J$6:$J$423,'Rankings'!$A$6:$A$423,B443,'Rankings'!$E$6:$E$423,"&lt;="&amp;F443)</x:f>
        <x:v>8</x:v>
      </x:c>
      <x:c r="I443" s="2" t="n">
        <x:f>G443-SUMIFS('Rankings'!$I$6:$I$423,'Rankings'!$A$6:$A$423,B443,'Rankings'!$E$6:$E$423,"&lt;="&amp;F443)</x:f>
        <x:v>0</x:v>
      </x:c>
      <x:c r="J443" s="2" t="n">
        <x:f>SUMIFS('Ratings'!$H$6:$H$1387,'Ratings'!$B$6:$B$1387,C443)</x:f>
        <x:v>29</x:v>
      </x:c>
      <x:c r="K443" s="15" t="n">
        <x:f>IF(I443&gt;0,"Unknown",H443/F443)</x:f>
        <x:v>1</x:v>
      </x:c>
      <x:c r="L443" s="15" t="n">
        <x:f>IF(J443=0,"N/A",H443/J443)</x:f>
        <x:v>0.27586206896551724</x:v>
      </x:c>
      <x:c r="M443" s="14" t="n">
        <x:f>SUMIFS('Rankings'!$L$6:$L$423,'Rankings'!$A$6:$A$423,B443,'Rankings'!$E$6:$E$423,"&lt;="&amp;F443)</x:f>
        <x:v>20.384112562605257</x:v>
      </x:c>
      <x:c r="N443" s="14" t="n">
        <x:f>SUMIFS('Ideal ranking'!$H$6:$H$365,'Ideal ranking'!$A$6:$A$365,C443,'Ideal ranking'!$B$6:$B$365,"&lt;="&amp;F443)</x:f>
        <x:v>20.384112562605257</x:v>
      </x:c>
      <x:c r="O443" s="14" t="n">
        <x:f>IF(I443&gt;0,"Unknown",IF(N443=0,"N/A",M443/N443))</x:f>
        <x:v>1</x:v>
      </x:c>
      <x:c r="P443" s="15" t="n">
        <x:f>IF(G443=0,"N/A",IF(I443&gt;0,"Unknown",H443/G443))</x:f>
        <x:v>1</x:v>
      </x:c>
      <x:c r="Q443" s="2" t="n">
        <x:f>F443-G443</x:f>
        <x:v>0</x:v>
      </x:c>
    </x:row>
    <x:row r="444" ht="22" customHeight="1">
      <x:c r="A444" s="2" t="str">
        <x:v>S29-T05|9</x:v>
      </x:c>
      <x:c r="B444" s="2" t="str">
        <x:v>S29-T05</x:v>
      </x:c>
      <x:c r="C444" s="2" t="str">
        <x:v>S29</x:v>
      </x:c>
      <x:c r="D444" s="2" t="str">
        <x:v>Repeat</x:v>
      </x:c>
      <x:c r="E444" s="2" t="n">
        <x:v>5</x:v>
      </x:c>
      <x:c r="F444" s="2" t="n">
        <x:v>9</x:v>
      </x:c>
      <x:c r="G444" s="2" t="n">
        <x:f>COUNTIFS('Rankings'!$A$6:$A$423,B444,'Rankings'!$E$6:$E$423,"&lt;="&amp;F444)</x:f>
        <x:v>9</x:v>
      </x:c>
      <x:c r="H444" s="2" t="n">
        <x:f>SUMIFS('Rankings'!$J$6:$J$423,'Rankings'!$A$6:$A$423,B444,'Rankings'!$E$6:$E$423,"&lt;="&amp;F444)</x:f>
        <x:v>9</x:v>
      </x:c>
      <x:c r="I444" s="2" t="n">
        <x:f>G444-SUMIFS('Rankings'!$I$6:$I$423,'Rankings'!$A$6:$A$423,B444,'Rankings'!$E$6:$E$423,"&lt;="&amp;F444)</x:f>
        <x:v>0</x:v>
      </x:c>
      <x:c r="J444" s="2" t="n">
        <x:f>SUMIFS('Ratings'!$H$6:$H$1387,'Ratings'!$B$6:$B$1387,C444)</x:f>
        <x:v>29</x:v>
      </x:c>
      <x:c r="K444" s="15" t="n">
        <x:f>IF(I444&gt;0,"Unknown",H444/F444)</x:f>
        <x:v>1</x:v>
      </x:c>
      <x:c r="L444" s="15" t="n">
        <x:f>IF(J444=0,"N/A",H444/J444)</x:f>
        <x:v>0.3103448275862069</x:v>
      </x:c>
      <x:c r="M444" s="14" t="n">
        <x:f>SUMIFS('Rankings'!$L$6:$L$423,'Rankings'!$A$6:$A$423,B444,'Rankings'!$E$6:$E$423,"&lt;="&amp;F444)</x:f>
        <x:v>21.2872025495972</x:v>
      </x:c>
      <x:c r="N444" s="14" t="n">
        <x:f>SUMIFS('Ideal ranking'!$H$6:$H$365,'Ideal ranking'!$A$6:$A$365,C444,'Ideal ranking'!$B$6:$B$365,"&lt;="&amp;F444)</x:f>
        <x:v>21.2872025495972</x:v>
      </x:c>
      <x:c r="O444" s="14" t="n">
        <x:f>IF(I444&gt;0,"Unknown",IF(N444=0,"N/A",M444/N444))</x:f>
        <x:v>1</x:v>
      </x:c>
      <x:c r="P444" s="15" t="n">
        <x:f>IF(G444=0,"N/A",IF(I444&gt;0,"Unknown",H444/G444))</x:f>
        <x:v>1</x:v>
      </x:c>
      <x:c r="Q444" s="2" t="n">
        <x:f>F444-G444</x:f>
        <x:v>0</x:v>
      </x:c>
    </x:row>
    <x:row r="445" ht="22" customHeight="1">
      <x:c r="A445" s="2" t="str">
        <x:v>S29-T05|10</x:v>
      </x:c>
      <x:c r="B445" s="2" t="str">
        <x:v>S29-T05</x:v>
      </x:c>
      <x:c r="C445" s="2" t="str">
        <x:v>S29</x:v>
      </x:c>
      <x:c r="D445" s="2" t="str">
        <x:v>Repeat</x:v>
      </x:c>
      <x:c r="E445" s="2" t="n">
        <x:v>5</x:v>
      </x:c>
      <x:c r="F445" s="2" t="n">
        <x:v>10</x:v>
      </x:c>
      <x:c r="G445" s="2" t="n">
        <x:f>COUNTIFS('Rankings'!$A$6:$A$423,B445,'Rankings'!$E$6:$E$423,"&lt;="&amp;F445)</x:f>
        <x:v>10</x:v>
      </x:c>
      <x:c r="H445" s="2" t="n">
        <x:f>SUMIFS('Rankings'!$J$6:$J$423,'Rankings'!$A$6:$A$423,B445,'Rankings'!$E$6:$E$423,"&lt;="&amp;F445)</x:f>
        <x:v>10</x:v>
      </x:c>
      <x:c r="I445" s="2" t="n">
        <x:f>G445-SUMIFS('Rankings'!$I$6:$I$423,'Rankings'!$A$6:$A$423,B445,'Rankings'!$E$6:$E$423,"&lt;="&amp;F445)</x:f>
        <x:v>0</x:v>
      </x:c>
      <x:c r="J445" s="2" t="n">
        <x:f>SUMIFS('Ratings'!$H$6:$H$1387,'Ratings'!$B$6:$B$1387,C445)</x:f>
        <x:v>29</x:v>
      </x:c>
      <x:c r="K445" s="15" t="n">
        <x:f>IF(I445&gt;0,"Unknown",H445/F445)</x:f>
        <x:v>1</x:v>
      </x:c>
      <x:c r="L445" s="15" t="n">
        <x:f>IF(J445=0,"N/A",H445/J445)</x:f>
        <x:v>0.3448275862068966</x:v>
      </x:c>
      <x:c r="M445" s="14" t="n">
        <x:f>SUMIFS('Rankings'!$L$6:$L$423,'Rankings'!$A$6:$A$423,B445,'Rankings'!$E$6:$E$423,"&lt;="&amp;F445)</x:f>
        <x:v>22.154397028550864</x:v>
      </x:c>
      <x:c r="N445" s="14" t="n">
        <x:f>SUMIFS('Ideal ranking'!$H$6:$H$365,'Ideal ranking'!$A$6:$A$365,C445,'Ideal ranking'!$B$6:$B$365,"&lt;="&amp;F445)</x:f>
        <x:v>22.154397028550864</x:v>
      </x:c>
      <x:c r="O445" s="14" t="n">
        <x:f>IF(I445&gt;0,"Unknown",IF(N445=0,"N/A",M445/N445))</x:f>
        <x:v>1</x:v>
      </x:c>
      <x:c r="P445" s="15" t="n">
        <x:f>IF(G445=0,"N/A",IF(I445&gt;0,"Unknown",H445/G445))</x:f>
        <x:v>1</x:v>
      </x:c>
      <x:c r="Q445" s="2" t="n">
        <x:f>F445-G445</x:f>
        <x:v>0</x:v>
      </x:c>
    </x:row>
  </x:sheetData>
  <x:pageMargins left="0.7" right="0.7" top="0.75" bottom="0.75" header="0.3" footer="0.3"/>
</x:worksheet>
</file>

<file path=xl/worksheets/sheet8.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10.5600004196167" hidden="0" customWidth="1"/>
    <x:col min="2" max="2" width="7.78000020980835" hidden="0" customWidth="1"/>
    <x:col min="3" max="3" width="14.4399995803833" hidden="0" customWidth="1"/>
    <x:col min="4" max="4" width="14.4399995803833" hidden="0" customWidth="1"/>
    <x:col min="5" max="5" width="14.4399995803833" hidden="0" customWidth="1"/>
    <x:col min="6" max="6" width="12.779999732971191" hidden="0" customWidth="1"/>
    <x:col min="7" max="7" width="10.5600004196167" hidden="0" customWidth="1"/>
    <x:col min="8" max="8" width="18.329999923706055" hidden="0" customWidth="1"/>
  </x:cols>
  <x:sheetData>
    <x:row r="1" ht="22" customHeight="1">
      <x:c r="A1" s="2"/>
      <x:c r="B1" s="2"/>
      <x:c r="C1" s="2"/>
      <x:c r="D1" s="2"/>
      <x:c r="E1" s="2"/>
      <x:c r="F1" s="2"/>
      <x:c r="G1" s="2"/>
      <x:c r="H1" s="2"/>
    </x:row>
    <x:row r="2" ht="22" customHeight="1">
      <x:c r="A2" s="3" t="str">
        <x:v>Ideal graded order</x:v>
      </x:c>
      <x:c r="B2" s="2"/>
      <x:c r="C2" s="2"/>
      <x:c r="D2" s="2"/>
      <x:c r="E2" s="2"/>
      <x:c r="F2" s="2"/>
      <x:c r="G2" s="2"/>
      <x:c r="H2" s="2"/>
    </x:row>
    <x:row r="3" ht="22" customHeight="1">
      <x:c r="A3" s="4" t="str">
        <x:v>Numeric grades in the same common judged pool. U and invalid grades contribute no ideal gain.</x:v>
      </x:c>
      <x:c r="B3" s="2"/>
      <x:c r="C3" s="2"/>
      <x:c r="D3" s="2"/>
      <x:c r="E3" s="2"/>
      <x:c r="F3" s="2"/>
      <x:c r="G3" s="2"/>
      <x:c r="H3" s="2"/>
    </x:row>
    <x:row r="4" ht="22" customHeight="1">
      <x:c r="A4" s="2"/>
      <x:c r="B4" s="2"/>
      <x:c r="C4" s="2"/>
      <x:c r="D4" s="2"/>
      <x:c r="E4" s="2"/>
      <x:c r="F4" s="2"/>
      <x:c r="G4" s="2"/>
      <x:c r="H4" s="2"/>
    </x:row>
    <x:row r="5" ht="36" customHeight="1">
      <x:c r="A5" s="8" t="str">
        <x:v>Scenario</x:v>
      </x:c>
      <x:c r="B5" s="8" t="str">
        <x:v>Rank</x:v>
      </x:c>
      <x:c r="C5" s="8" t="str">
        <x:v>Grade 3 count</x:v>
      </x:c>
      <x:c r="D5" s="8" t="str">
        <x:v>Grade 2 count</x:v>
      </x:c>
      <x:c r="E5" s="8" t="str">
        <x:v>Grade 1 count</x:v>
      </x:c>
      <x:c r="F5" s="8" t="str">
        <x:v>Ideal grade</x:v>
      </x:c>
      <x:c r="G5" s="8" t="str">
        <x:v>Gain</x:v>
      </x:c>
      <x:c r="H5" s="8" t="str">
        <x:v>Discounted gain</x:v>
      </x:c>
    </x:row>
    <x:row r="6" ht="22" customHeight="1">
      <x:c r="A6" s="2" t="str">
        <x:v>S01</x:v>
      </x:c>
      <x:c r="B6" s="2" t="n">
        <x:v>1</x:v>
      </x:c>
      <x:c r="C6" s="2" t="n">
        <x:f>COUNTIFS('Ratings'!$B$6:$B$1387,A6,'Ratings'!$F$6:$F$1387,3)</x:f>
        <x:v>10</x:v>
      </x:c>
      <x:c r="D6" s="2" t="n">
        <x:f>COUNTIFS('Ratings'!$B$6:$B$1387,A6,'Ratings'!$F$6:$F$1387,2)</x:f>
        <x:v>7</x:v>
      </x:c>
      <x:c r="E6" s="2" t="n">
        <x:f>COUNTIFS('Ratings'!$B$6:$B$1387,A6,'Ratings'!$F$6:$F$1387,1)</x:f>
        <x:v>4</x:v>
      </x:c>
      <x:c r="F6" s="2" t="n">
        <x:f>IF(B6&lt;=C6,3,IF(B6&lt;=C6+D6,2,IF(B6&lt;=C6+D6+E6,1,0)))</x:f>
        <x:v>3</x:v>
      </x:c>
      <x:c r="G6" s="2" t="n">
        <x:f>2^F6-1</x:f>
        <x:v>7</x:v>
      </x:c>
      <x:c r="H6" s="14" t="n">
        <x:f>G6/LOG(B6+1,2)</x:f>
        <x:v>7</x:v>
      </x:c>
    </x:row>
    <x:row r="7" ht="22" customHeight="1">
      <x:c r="A7" s="2" t="str">
        <x:v>S01</x:v>
      </x:c>
      <x:c r="B7" s="2" t="n">
        <x:v>2</x:v>
      </x:c>
      <x:c r="C7" s="2" t="n">
        <x:f>COUNTIFS('Ratings'!$B$6:$B$1387,A7,'Ratings'!$F$6:$F$1387,3)</x:f>
        <x:v>10</x:v>
      </x:c>
      <x:c r="D7" s="2" t="n">
        <x:f>COUNTIFS('Ratings'!$B$6:$B$1387,A7,'Ratings'!$F$6:$F$1387,2)</x:f>
        <x:v>7</x:v>
      </x:c>
      <x:c r="E7" s="2" t="n">
        <x:f>COUNTIFS('Ratings'!$B$6:$B$1387,A7,'Ratings'!$F$6:$F$1387,1)</x:f>
        <x:v>4</x:v>
      </x:c>
      <x:c r="F7" s="2" t="n">
        <x:f>IF(B7&lt;=C7,3,IF(B7&lt;=C7+D7,2,IF(B7&lt;=C7+D7+E7,1,0)))</x:f>
        <x:v>3</x:v>
      </x:c>
      <x:c r="G7" s="2" t="n">
        <x:f>2^F7-1</x:f>
        <x:v>7</x:v>
      </x:c>
      <x:c r="H7" s="14" t="n">
        <x:f>G7/LOG(B7+1,2)</x:f>
        <x:v>4.4165082750002025</x:v>
      </x:c>
    </x:row>
    <x:row r="8" ht="22" customHeight="1">
      <x:c r="A8" s="2" t="str">
        <x:v>S01</x:v>
      </x:c>
      <x:c r="B8" s="2" t="n">
        <x:v>3</x:v>
      </x:c>
      <x:c r="C8" s="2" t="n">
        <x:f>COUNTIFS('Ratings'!$B$6:$B$1387,A8,'Ratings'!$F$6:$F$1387,3)</x:f>
        <x:v>10</x:v>
      </x:c>
      <x:c r="D8" s="2" t="n">
        <x:f>COUNTIFS('Ratings'!$B$6:$B$1387,A8,'Ratings'!$F$6:$F$1387,2)</x:f>
        <x:v>7</x:v>
      </x:c>
      <x:c r="E8" s="2" t="n">
        <x:f>COUNTIFS('Ratings'!$B$6:$B$1387,A8,'Ratings'!$F$6:$F$1387,1)</x:f>
        <x:v>4</x:v>
      </x:c>
      <x:c r="F8" s="2" t="n">
        <x:f>IF(B8&lt;=C8,3,IF(B8&lt;=C8+D8,2,IF(B8&lt;=C8+D8+E8,1,0)))</x:f>
        <x:v>3</x:v>
      </x:c>
      <x:c r="G8" s="2" t="n">
        <x:f>2^F8-1</x:f>
        <x:v>7</x:v>
      </x:c>
      <x:c r="H8" s="14" t="n">
        <x:f>G8/LOG(B8+1,2)</x:f>
        <x:v>3.5</x:v>
      </x:c>
    </x:row>
    <x:row r="9" ht="22" customHeight="1">
      <x:c r="A9" s="2" t="str">
        <x:v>S01</x:v>
      </x:c>
      <x:c r="B9" s="2" t="n">
        <x:v>4</x:v>
      </x:c>
      <x:c r="C9" s="2" t="n">
        <x:f>COUNTIFS('Ratings'!$B$6:$B$1387,A9,'Ratings'!$F$6:$F$1387,3)</x:f>
        <x:v>10</x:v>
      </x:c>
      <x:c r="D9" s="2" t="n">
        <x:f>COUNTIFS('Ratings'!$B$6:$B$1387,A9,'Ratings'!$F$6:$F$1387,2)</x:f>
        <x:v>7</x:v>
      </x:c>
      <x:c r="E9" s="2" t="n">
        <x:f>COUNTIFS('Ratings'!$B$6:$B$1387,A9,'Ratings'!$F$6:$F$1387,1)</x:f>
        <x:v>4</x:v>
      </x:c>
      <x:c r="F9" s="2" t="n">
        <x:f>IF(B9&lt;=C9,3,IF(B9&lt;=C9+D9,2,IF(B9&lt;=C9+D9+E9,1,0)))</x:f>
        <x:v>3</x:v>
      </x:c>
      <x:c r="G9" s="2" t="n">
        <x:f>2^F9-1</x:f>
        <x:v>7</x:v>
      </x:c>
      <x:c r="H9" s="14" t="n">
        <x:f>G9/LOG(B9+1,2)</x:f>
        <x:v>3.0147359065137516</x:v>
      </x:c>
    </x:row>
    <x:row r="10" ht="22" customHeight="1">
      <x:c r="A10" s="2" t="str">
        <x:v>S01</x:v>
      </x:c>
      <x:c r="B10" s="2" t="n">
        <x:v>5</x:v>
      </x:c>
      <x:c r="C10" s="2" t="n">
        <x:f>COUNTIFS('Ratings'!$B$6:$B$1387,A10,'Ratings'!$F$6:$F$1387,3)</x:f>
        <x:v>10</x:v>
      </x:c>
      <x:c r="D10" s="2" t="n">
        <x:f>COUNTIFS('Ratings'!$B$6:$B$1387,A10,'Ratings'!$F$6:$F$1387,2)</x:f>
        <x:v>7</x:v>
      </x:c>
      <x:c r="E10" s="2" t="n">
        <x:f>COUNTIFS('Ratings'!$B$6:$B$1387,A10,'Ratings'!$F$6:$F$1387,1)</x:f>
        <x:v>4</x:v>
      </x:c>
      <x:c r="F10" s="2" t="n">
        <x:f>IF(B10&lt;=C10,3,IF(B10&lt;=C10+D10,2,IF(B10&lt;=C10+D10+E10,1,0)))</x:f>
        <x:v>3</x:v>
      </x:c>
      <x:c r="G10" s="2" t="n">
        <x:f>2^F10-1</x:f>
        <x:v>7</x:v>
      </x:c>
      <x:c r="H10" s="14" t="n">
        <x:f>G10/LOG(B10+1,2)</x:f>
        <x:v>2.7079696506417914</x:v>
      </x:c>
    </x:row>
    <x:row r="11" ht="22" customHeight="1">
      <x:c r="A11" s="2" t="str">
        <x:v>S01</x:v>
      </x:c>
      <x:c r="B11" s="2" t="n">
        <x:v>6</x:v>
      </x:c>
      <x:c r="C11" s="2" t="n">
        <x:f>COUNTIFS('Ratings'!$B$6:$B$1387,A11,'Ratings'!$F$6:$F$1387,3)</x:f>
        <x:v>10</x:v>
      </x:c>
      <x:c r="D11" s="2" t="n">
        <x:f>COUNTIFS('Ratings'!$B$6:$B$1387,A11,'Ratings'!$F$6:$F$1387,2)</x:f>
        <x:v>7</x:v>
      </x:c>
      <x:c r="E11" s="2" t="n">
        <x:f>COUNTIFS('Ratings'!$B$6:$B$1387,A11,'Ratings'!$F$6:$F$1387,1)</x:f>
        <x:v>4</x:v>
      </x:c>
      <x:c r="F11" s="2" t="n">
        <x:f>IF(B11&lt;=C11,3,IF(B11&lt;=C11+D11,2,IF(B11&lt;=C11+D11+E11,1,0)))</x:f>
        <x:v>3</x:v>
      </x:c>
      <x:c r="G11" s="2" t="n">
        <x:f>2^F11-1</x:f>
        <x:v>7</x:v>
      </x:c>
      <x:c r="H11" s="14" t="n">
        <x:f>G11/LOG(B11+1,2)</x:f>
        <x:v>2.493450309756155</x:v>
      </x:c>
    </x:row>
    <x:row r="12" ht="22" customHeight="1">
      <x:c r="A12" s="2" t="str">
        <x:v>S01</x:v>
      </x:c>
      <x:c r="B12" s="2" t="n">
        <x:v>7</x:v>
      </x:c>
      <x:c r="C12" s="2" t="n">
        <x:f>COUNTIFS('Ratings'!$B$6:$B$1387,A12,'Ratings'!$F$6:$F$1387,3)</x:f>
        <x:v>10</x:v>
      </x:c>
      <x:c r="D12" s="2" t="n">
        <x:f>COUNTIFS('Ratings'!$B$6:$B$1387,A12,'Ratings'!$F$6:$F$1387,2)</x:f>
        <x:v>7</x:v>
      </x:c>
      <x:c r="E12" s="2" t="n">
        <x:f>COUNTIFS('Ratings'!$B$6:$B$1387,A12,'Ratings'!$F$6:$F$1387,1)</x:f>
        <x:v>4</x:v>
      </x:c>
      <x:c r="F12" s="2" t="n">
        <x:f>IF(B12&lt;=C12,3,IF(B12&lt;=C12+D12,2,IF(B12&lt;=C12+D12+E12,1,0)))</x:f>
        <x:v>3</x:v>
      </x:c>
      <x:c r="G12" s="2" t="n">
        <x:f>2^F12-1</x:f>
        <x:v>7</x:v>
      </x:c>
      <x:c r="H12" s="14" t="n">
        <x:f>G12/LOG(B12+1,2)</x:f>
        <x:v>2.3333333333333335</x:v>
      </x:c>
    </x:row>
    <x:row r="13" ht="22" customHeight="1">
      <x:c r="A13" s="2" t="str">
        <x:v>S01</x:v>
      </x:c>
      <x:c r="B13" s="2" t="n">
        <x:v>8</x:v>
      </x:c>
      <x:c r="C13" s="2" t="n">
        <x:f>COUNTIFS('Ratings'!$B$6:$B$1387,A13,'Ratings'!$F$6:$F$1387,3)</x:f>
        <x:v>10</x:v>
      </x:c>
      <x:c r="D13" s="2" t="n">
        <x:f>COUNTIFS('Ratings'!$B$6:$B$1387,A13,'Ratings'!$F$6:$F$1387,2)</x:f>
        <x:v>7</x:v>
      </x:c>
      <x:c r="E13" s="2" t="n">
        <x:f>COUNTIFS('Ratings'!$B$6:$B$1387,A13,'Ratings'!$F$6:$F$1387,1)</x:f>
        <x:v>4</x:v>
      </x:c>
      <x:c r="F13" s="2" t="n">
        <x:f>IF(B13&lt;=C13,3,IF(B13&lt;=C13+D13,2,IF(B13&lt;=C13+D13+E13,1,0)))</x:f>
        <x:v>3</x:v>
      </x:c>
      <x:c r="G13" s="2" t="n">
        <x:f>2^F13-1</x:f>
        <x:v>7</x:v>
      </x:c>
      <x:c r="H13" s="14" t="n">
        <x:f>G13/LOG(B13+1,2)</x:f>
        <x:v>2.208254137500101</x:v>
      </x:c>
    </x:row>
    <x:row r="14" ht="22" customHeight="1">
      <x:c r="A14" s="2" t="str">
        <x:v>S01</x:v>
      </x:c>
      <x:c r="B14" s="2" t="n">
        <x:v>9</x:v>
      </x:c>
      <x:c r="C14" s="2" t="n">
        <x:f>COUNTIFS('Ratings'!$B$6:$B$1387,A14,'Ratings'!$F$6:$F$1387,3)</x:f>
        <x:v>10</x:v>
      </x:c>
      <x:c r="D14" s="2" t="n">
        <x:f>COUNTIFS('Ratings'!$B$6:$B$1387,A14,'Ratings'!$F$6:$F$1387,2)</x:f>
        <x:v>7</x:v>
      </x:c>
      <x:c r="E14" s="2" t="n">
        <x:f>COUNTIFS('Ratings'!$B$6:$B$1387,A14,'Ratings'!$F$6:$F$1387,1)</x:f>
        <x:v>4</x:v>
      </x:c>
      <x:c r="F14" s="2" t="n">
        <x:f>IF(B14&lt;=C14,3,IF(B14&lt;=C14+D14,2,IF(B14&lt;=C14+D14+E14,1,0)))</x:f>
        <x:v>3</x:v>
      </x:c>
      <x:c r="G14" s="2" t="n">
        <x:f>2^F14-1</x:f>
        <x:v>7</x:v>
      </x:c>
      <x:c r="H14" s="14" t="n">
        <x:f>G14/LOG(B14+1,2)</x:f>
        <x:v>2.1072099696478683</x:v>
      </x:c>
    </x:row>
    <x:row r="15" ht="22" customHeight="1">
      <x:c r="A15" s="2" t="str">
        <x:v>S01</x:v>
      </x:c>
      <x:c r="B15" s="2" t="n">
        <x:v>10</x:v>
      </x:c>
      <x:c r="C15" s="2" t="n">
        <x:f>COUNTIFS('Ratings'!$B$6:$B$1387,A15,'Ratings'!$F$6:$F$1387,3)</x:f>
        <x:v>10</x:v>
      </x:c>
      <x:c r="D15" s="2" t="n">
        <x:f>COUNTIFS('Ratings'!$B$6:$B$1387,A15,'Ratings'!$F$6:$F$1387,2)</x:f>
        <x:v>7</x:v>
      </x:c>
      <x:c r="E15" s="2" t="n">
        <x:f>COUNTIFS('Ratings'!$B$6:$B$1387,A15,'Ratings'!$F$6:$F$1387,1)</x:f>
        <x:v>4</x:v>
      </x:c>
      <x:c r="F15" s="2" t="n">
        <x:f>IF(B15&lt;=C15,3,IF(B15&lt;=C15+D15,2,IF(B15&lt;=C15+D15+E15,1,0)))</x:f>
        <x:v>3</x:v>
      </x:c>
      <x:c r="G15" s="2" t="n">
        <x:f>2^F15-1</x:f>
        <x:v>7</x:v>
      </x:c>
      <x:c r="H15" s="14" t="n">
        <x:f>G15/LOG(B15+1,2)</x:f>
        <x:v>2.023453784225215</x:v>
      </x:c>
    </x:row>
    <x:row r="16" ht="22" customHeight="1">
      <x:c r="A16" s="2" t="str">
        <x:v>S02</x:v>
      </x:c>
      <x:c r="B16" s="2" t="n">
        <x:v>1</x:v>
      </x:c>
      <x:c r="C16" s="2" t="n">
        <x:f>COUNTIFS('Ratings'!$B$6:$B$1387,A16,'Ratings'!$F$6:$F$1387,3)</x:f>
        <x:v>4</x:v>
      </x:c>
      <x:c r="D16" s="2" t="n">
        <x:f>COUNTIFS('Ratings'!$B$6:$B$1387,A16,'Ratings'!$F$6:$F$1387,2)</x:f>
        <x:v>2</x:v>
      </x:c>
      <x:c r="E16" s="2" t="n">
        <x:f>COUNTIFS('Ratings'!$B$6:$B$1387,A16,'Ratings'!$F$6:$F$1387,1)</x:f>
        <x:v>10</x:v>
      </x:c>
      <x:c r="F16" s="2" t="n">
        <x:f>IF(B16&lt;=C16,3,IF(B16&lt;=C16+D16,2,IF(B16&lt;=C16+D16+E16,1,0)))</x:f>
        <x:v>3</x:v>
      </x:c>
      <x:c r="G16" s="2" t="n">
        <x:f>2^F16-1</x:f>
        <x:v>7</x:v>
      </x:c>
      <x:c r="H16" s="14" t="n">
        <x:f>G16/LOG(B16+1,2)</x:f>
        <x:v>7</x:v>
      </x:c>
    </x:row>
    <x:row r="17" ht="22" customHeight="1">
      <x:c r="A17" s="2" t="str">
        <x:v>S02</x:v>
      </x:c>
      <x:c r="B17" s="2" t="n">
        <x:v>2</x:v>
      </x:c>
      <x:c r="C17" s="2" t="n">
        <x:f>COUNTIFS('Ratings'!$B$6:$B$1387,A17,'Ratings'!$F$6:$F$1387,3)</x:f>
        <x:v>4</x:v>
      </x:c>
      <x:c r="D17" s="2" t="n">
        <x:f>COUNTIFS('Ratings'!$B$6:$B$1387,A17,'Ratings'!$F$6:$F$1387,2)</x:f>
        <x:v>2</x:v>
      </x:c>
      <x:c r="E17" s="2" t="n">
        <x:f>COUNTIFS('Ratings'!$B$6:$B$1387,A17,'Ratings'!$F$6:$F$1387,1)</x:f>
        <x:v>10</x:v>
      </x:c>
      <x:c r="F17" s="2" t="n">
        <x:f>IF(B17&lt;=C17,3,IF(B17&lt;=C17+D17,2,IF(B17&lt;=C17+D17+E17,1,0)))</x:f>
        <x:v>3</x:v>
      </x:c>
      <x:c r="G17" s="2" t="n">
        <x:f>2^F17-1</x:f>
        <x:v>7</x:v>
      </x:c>
      <x:c r="H17" s="14" t="n">
        <x:f>G17/LOG(B17+1,2)</x:f>
        <x:v>4.4165082750002025</x:v>
      </x:c>
    </x:row>
    <x:row r="18" ht="22" customHeight="1">
      <x:c r="A18" s="2" t="str">
        <x:v>S02</x:v>
      </x:c>
      <x:c r="B18" s="2" t="n">
        <x:v>3</x:v>
      </x:c>
      <x:c r="C18" s="2" t="n">
        <x:f>COUNTIFS('Ratings'!$B$6:$B$1387,A18,'Ratings'!$F$6:$F$1387,3)</x:f>
        <x:v>4</x:v>
      </x:c>
      <x:c r="D18" s="2" t="n">
        <x:f>COUNTIFS('Ratings'!$B$6:$B$1387,A18,'Ratings'!$F$6:$F$1387,2)</x:f>
        <x:v>2</x:v>
      </x:c>
      <x:c r="E18" s="2" t="n">
        <x:f>COUNTIFS('Ratings'!$B$6:$B$1387,A18,'Ratings'!$F$6:$F$1387,1)</x:f>
        <x:v>10</x:v>
      </x:c>
      <x:c r="F18" s="2" t="n">
        <x:f>IF(B18&lt;=C18,3,IF(B18&lt;=C18+D18,2,IF(B18&lt;=C18+D18+E18,1,0)))</x:f>
        <x:v>3</x:v>
      </x:c>
      <x:c r="G18" s="2" t="n">
        <x:f>2^F18-1</x:f>
        <x:v>7</x:v>
      </x:c>
      <x:c r="H18" s="14" t="n">
        <x:f>G18/LOG(B18+1,2)</x:f>
        <x:v>3.5</x:v>
      </x:c>
    </x:row>
    <x:row r="19" ht="22" customHeight="1">
      <x:c r="A19" s="2" t="str">
        <x:v>S02</x:v>
      </x:c>
      <x:c r="B19" s="2" t="n">
        <x:v>4</x:v>
      </x:c>
      <x:c r="C19" s="2" t="n">
        <x:f>COUNTIFS('Ratings'!$B$6:$B$1387,A19,'Ratings'!$F$6:$F$1387,3)</x:f>
        <x:v>4</x:v>
      </x:c>
      <x:c r="D19" s="2" t="n">
        <x:f>COUNTIFS('Ratings'!$B$6:$B$1387,A19,'Ratings'!$F$6:$F$1387,2)</x:f>
        <x:v>2</x:v>
      </x:c>
      <x:c r="E19" s="2" t="n">
        <x:f>COUNTIFS('Ratings'!$B$6:$B$1387,A19,'Ratings'!$F$6:$F$1387,1)</x:f>
        <x:v>10</x:v>
      </x:c>
      <x:c r="F19" s="2" t="n">
        <x:f>IF(B19&lt;=C19,3,IF(B19&lt;=C19+D19,2,IF(B19&lt;=C19+D19+E19,1,0)))</x:f>
        <x:v>3</x:v>
      </x:c>
      <x:c r="G19" s="2" t="n">
        <x:f>2^F19-1</x:f>
        <x:v>7</x:v>
      </x:c>
      <x:c r="H19" s="14" t="n">
        <x:f>G19/LOG(B19+1,2)</x:f>
        <x:v>3.0147359065137516</x:v>
      </x:c>
    </x:row>
    <x:row r="20" ht="22" customHeight="1">
      <x:c r="A20" s="2" t="str">
        <x:v>S02</x:v>
      </x:c>
      <x:c r="B20" s="2" t="n">
        <x:v>5</x:v>
      </x:c>
      <x:c r="C20" s="2" t="n">
        <x:f>COUNTIFS('Ratings'!$B$6:$B$1387,A20,'Ratings'!$F$6:$F$1387,3)</x:f>
        <x:v>4</x:v>
      </x:c>
      <x:c r="D20" s="2" t="n">
        <x:f>COUNTIFS('Ratings'!$B$6:$B$1387,A20,'Ratings'!$F$6:$F$1387,2)</x:f>
        <x:v>2</x:v>
      </x:c>
      <x:c r="E20" s="2" t="n">
        <x:f>COUNTIFS('Ratings'!$B$6:$B$1387,A20,'Ratings'!$F$6:$F$1387,1)</x:f>
        <x:v>10</x:v>
      </x:c>
      <x:c r="F20" s="2" t="n">
        <x:f>IF(B20&lt;=C20,3,IF(B20&lt;=C20+D20,2,IF(B20&lt;=C20+D20+E20,1,0)))</x:f>
        <x:v>2</x:v>
      </x:c>
      <x:c r="G20" s="2" t="n">
        <x:f>2^F20-1</x:f>
        <x:v>3</x:v>
      </x:c>
      <x:c r="H20" s="14" t="n">
        <x:f>G20/LOG(B20+1,2)</x:f>
        <x:v>1.1605584217036249</x:v>
      </x:c>
    </x:row>
    <x:row r="21" ht="22" customHeight="1">
      <x:c r="A21" s="2" t="str">
        <x:v>S02</x:v>
      </x:c>
      <x:c r="B21" s="2" t="n">
        <x:v>6</x:v>
      </x:c>
      <x:c r="C21" s="2" t="n">
        <x:f>COUNTIFS('Ratings'!$B$6:$B$1387,A21,'Ratings'!$F$6:$F$1387,3)</x:f>
        <x:v>4</x:v>
      </x:c>
      <x:c r="D21" s="2" t="n">
        <x:f>COUNTIFS('Ratings'!$B$6:$B$1387,A21,'Ratings'!$F$6:$F$1387,2)</x:f>
        <x:v>2</x:v>
      </x:c>
      <x:c r="E21" s="2" t="n">
        <x:f>COUNTIFS('Ratings'!$B$6:$B$1387,A21,'Ratings'!$F$6:$F$1387,1)</x:f>
        <x:v>10</x:v>
      </x:c>
      <x:c r="F21" s="2" t="n">
        <x:f>IF(B21&lt;=C21,3,IF(B21&lt;=C21+D21,2,IF(B21&lt;=C21+D21+E21,1,0)))</x:f>
        <x:v>2</x:v>
      </x:c>
      <x:c r="G21" s="2" t="n">
        <x:f>2^F21-1</x:f>
        <x:v>3</x:v>
      </x:c>
      <x:c r="H21" s="14" t="n">
        <x:f>G21/LOG(B21+1,2)</x:f>
        <x:v>1.0686215613240666</x:v>
      </x:c>
    </x:row>
    <x:row r="22" ht="22" customHeight="1">
      <x:c r="A22" s="2" t="str">
        <x:v>S02</x:v>
      </x:c>
      <x:c r="B22" s="2" t="n">
        <x:v>7</x:v>
      </x:c>
      <x:c r="C22" s="2" t="n">
        <x:f>COUNTIFS('Ratings'!$B$6:$B$1387,A22,'Ratings'!$F$6:$F$1387,3)</x:f>
        <x:v>4</x:v>
      </x:c>
      <x:c r="D22" s="2" t="n">
        <x:f>COUNTIFS('Ratings'!$B$6:$B$1387,A22,'Ratings'!$F$6:$F$1387,2)</x:f>
        <x:v>2</x:v>
      </x:c>
      <x:c r="E22" s="2" t="n">
        <x:f>COUNTIFS('Ratings'!$B$6:$B$1387,A22,'Ratings'!$F$6:$F$1387,1)</x:f>
        <x:v>10</x:v>
      </x:c>
      <x:c r="F22" s="2" t="n">
        <x:f>IF(B22&lt;=C22,3,IF(B22&lt;=C22+D22,2,IF(B22&lt;=C22+D22+E22,1,0)))</x:f>
        <x:v>1</x:v>
      </x:c>
      <x:c r="G22" s="2" t="n">
        <x:f>2^F22-1</x:f>
        <x:v>1</x:v>
      </x:c>
      <x:c r="H22" s="14" t="n">
        <x:f>G22/LOG(B22+1,2)</x:f>
        <x:v>0.3333333333333333</x:v>
      </x:c>
    </x:row>
    <x:row r="23" ht="22" customHeight="1">
      <x:c r="A23" s="2" t="str">
        <x:v>S02</x:v>
      </x:c>
      <x:c r="B23" s="2" t="n">
        <x:v>8</x:v>
      </x:c>
      <x:c r="C23" s="2" t="n">
        <x:f>COUNTIFS('Ratings'!$B$6:$B$1387,A23,'Ratings'!$F$6:$F$1387,3)</x:f>
        <x:v>4</x:v>
      </x:c>
      <x:c r="D23" s="2" t="n">
        <x:f>COUNTIFS('Ratings'!$B$6:$B$1387,A23,'Ratings'!$F$6:$F$1387,2)</x:f>
        <x:v>2</x:v>
      </x:c>
      <x:c r="E23" s="2" t="n">
        <x:f>COUNTIFS('Ratings'!$B$6:$B$1387,A23,'Ratings'!$F$6:$F$1387,1)</x:f>
        <x:v>10</x:v>
      </x:c>
      <x:c r="F23" s="2" t="n">
        <x:f>IF(B23&lt;=C23,3,IF(B23&lt;=C23+D23,2,IF(B23&lt;=C23+D23+E23,1,0)))</x:f>
        <x:v>1</x:v>
      </x:c>
      <x:c r="G23" s="2" t="n">
        <x:f>2^F23-1</x:f>
        <x:v>1</x:v>
      </x:c>
      <x:c r="H23" s="14" t="n">
        <x:f>G23/LOG(B23+1,2)</x:f>
        <x:v>0.3154648767857287</x:v>
      </x:c>
    </x:row>
    <x:row r="24" ht="22" customHeight="1">
      <x:c r="A24" s="2" t="str">
        <x:v>S02</x:v>
      </x:c>
      <x:c r="B24" s="2" t="n">
        <x:v>9</x:v>
      </x:c>
      <x:c r="C24" s="2" t="n">
        <x:f>COUNTIFS('Ratings'!$B$6:$B$1387,A24,'Ratings'!$F$6:$F$1387,3)</x:f>
        <x:v>4</x:v>
      </x:c>
      <x:c r="D24" s="2" t="n">
        <x:f>COUNTIFS('Ratings'!$B$6:$B$1387,A24,'Ratings'!$F$6:$F$1387,2)</x:f>
        <x:v>2</x:v>
      </x:c>
      <x:c r="E24" s="2" t="n">
        <x:f>COUNTIFS('Ratings'!$B$6:$B$1387,A24,'Ratings'!$F$6:$F$1387,1)</x:f>
        <x:v>10</x:v>
      </x:c>
      <x:c r="F24" s="2" t="n">
        <x:f>IF(B24&lt;=C24,3,IF(B24&lt;=C24+D24,2,IF(B24&lt;=C24+D24+E24,1,0)))</x:f>
        <x:v>1</x:v>
      </x:c>
      <x:c r="G24" s="2" t="n">
        <x:f>2^F24-1</x:f>
        <x:v>1</x:v>
      </x:c>
      <x:c r="H24" s="14" t="n">
        <x:f>G24/LOG(B24+1,2)</x:f>
        <x:v>0.30102999566398114</x:v>
      </x:c>
    </x:row>
    <x:row r="25" ht="22" customHeight="1">
      <x:c r="A25" s="2" t="str">
        <x:v>S02</x:v>
      </x:c>
      <x:c r="B25" s="2" t="n">
        <x:v>10</x:v>
      </x:c>
      <x:c r="C25" s="2" t="n">
        <x:f>COUNTIFS('Ratings'!$B$6:$B$1387,A25,'Ratings'!$F$6:$F$1387,3)</x:f>
        <x:v>4</x:v>
      </x:c>
      <x:c r="D25" s="2" t="n">
        <x:f>COUNTIFS('Ratings'!$B$6:$B$1387,A25,'Ratings'!$F$6:$F$1387,2)</x:f>
        <x:v>2</x:v>
      </x:c>
      <x:c r="E25" s="2" t="n">
        <x:f>COUNTIFS('Ratings'!$B$6:$B$1387,A25,'Ratings'!$F$6:$F$1387,1)</x:f>
        <x:v>10</x:v>
      </x:c>
      <x:c r="F25" s="2" t="n">
        <x:f>IF(B25&lt;=C25,3,IF(B25&lt;=C25+D25,2,IF(B25&lt;=C25+D25+E25,1,0)))</x:f>
        <x:v>1</x:v>
      </x:c>
      <x:c r="G25" s="2" t="n">
        <x:f>2^F25-1</x:f>
        <x:v>1</x:v>
      </x:c>
      <x:c r="H25" s="14" t="n">
        <x:f>G25/LOG(B25+1,2)</x:f>
        <x:v>0.2890648263178878</x:v>
      </x:c>
    </x:row>
    <x:row r="26" ht="22" customHeight="1">
      <x:c r="A26" s="2" t="str">
        <x:v>S03</x:v>
      </x:c>
      <x:c r="B26" s="2" t="n">
        <x:v>1</x:v>
      </x:c>
      <x:c r="C26" s="2" t="n">
        <x:f>COUNTIFS('Ratings'!$B$6:$B$1387,A26,'Ratings'!$F$6:$F$1387,3)</x:f>
        <x:v>0</x:v>
      </x:c>
      <x:c r="D26" s="2" t="n">
        <x:f>COUNTIFS('Ratings'!$B$6:$B$1387,A26,'Ratings'!$F$6:$F$1387,2)</x:f>
        <x:v>0</x:v>
      </x:c>
      <x:c r="E26" s="2" t="n">
        <x:f>COUNTIFS('Ratings'!$B$6:$B$1387,A26,'Ratings'!$F$6:$F$1387,1)</x:f>
        <x:v>19</x:v>
      </x:c>
      <x:c r="F26" s="2" t="n">
        <x:f>IF(B26&lt;=C26,3,IF(B26&lt;=C26+D26,2,IF(B26&lt;=C26+D26+E26,1,0)))</x:f>
        <x:v>1</x:v>
      </x:c>
      <x:c r="G26" s="2" t="n">
        <x:f>2^F26-1</x:f>
        <x:v>1</x:v>
      </x:c>
      <x:c r="H26" s="14" t="n">
        <x:f>G26/LOG(B26+1,2)</x:f>
        <x:v>1</x:v>
      </x:c>
    </x:row>
    <x:row r="27" ht="22" customHeight="1">
      <x:c r="A27" s="2" t="str">
        <x:v>S03</x:v>
      </x:c>
      <x:c r="B27" s="2" t="n">
        <x:v>2</x:v>
      </x:c>
      <x:c r="C27" s="2" t="n">
        <x:f>COUNTIFS('Ratings'!$B$6:$B$1387,A27,'Ratings'!$F$6:$F$1387,3)</x:f>
        <x:v>0</x:v>
      </x:c>
      <x:c r="D27" s="2" t="n">
        <x:f>COUNTIFS('Ratings'!$B$6:$B$1387,A27,'Ratings'!$F$6:$F$1387,2)</x:f>
        <x:v>0</x:v>
      </x:c>
      <x:c r="E27" s="2" t="n">
        <x:f>COUNTIFS('Ratings'!$B$6:$B$1387,A27,'Ratings'!$F$6:$F$1387,1)</x:f>
        <x:v>19</x:v>
      </x:c>
      <x:c r="F27" s="2" t="n">
        <x:f>IF(B27&lt;=C27,3,IF(B27&lt;=C27+D27,2,IF(B27&lt;=C27+D27+E27,1,0)))</x:f>
        <x:v>1</x:v>
      </x:c>
      <x:c r="G27" s="2" t="n">
        <x:f>2^F27-1</x:f>
        <x:v>1</x:v>
      </x:c>
      <x:c r="H27" s="14" t="n">
        <x:f>G27/LOG(B27+1,2)</x:f>
        <x:v>0.6309297535714575</x:v>
      </x:c>
    </x:row>
    <x:row r="28" ht="22" customHeight="1">
      <x:c r="A28" s="2" t="str">
        <x:v>S03</x:v>
      </x:c>
      <x:c r="B28" s="2" t="n">
        <x:v>3</x:v>
      </x:c>
      <x:c r="C28" s="2" t="n">
        <x:f>COUNTIFS('Ratings'!$B$6:$B$1387,A28,'Ratings'!$F$6:$F$1387,3)</x:f>
        <x:v>0</x:v>
      </x:c>
      <x:c r="D28" s="2" t="n">
        <x:f>COUNTIFS('Ratings'!$B$6:$B$1387,A28,'Ratings'!$F$6:$F$1387,2)</x:f>
        <x:v>0</x:v>
      </x:c>
      <x:c r="E28" s="2" t="n">
        <x:f>COUNTIFS('Ratings'!$B$6:$B$1387,A28,'Ratings'!$F$6:$F$1387,1)</x:f>
        <x:v>19</x:v>
      </x:c>
      <x:c r="F28" s="2" t="n">
        <x:f>IF(B28&lt;=C28,3,IF(B28&lt;=C28+D28,2,IF(B28&lt;=C28+D28+E28,1,0)))</x:f>
        <x:v>1</x:v>
      </x:c>
      <x:c r="G28" s="2" t="n">
        <x:f>2^F28-1</x:f>
        <x:v>1</x:v>
      </x:c>
      <x:c r="H28" s="14" t="n">
        <x:f>G28/LOG(B28+1,2)</x:f>
        <x:v>0.5</x:v>
      </x:c>
    </x:row>
    <x:row r="29" ht="22" customHeight="1">
      <x:c r="A29" s="2" t="str">
        <x:v>S03</x:v>
      </x:c>
      <x:c r="B29" s="2" t="n">
        <x:v>4</x:v>
      </x:c>
      <x:c r="C29" s="2" t="n">
        <x:f>COUNTIFS('Ratings'!$B$6:$B$1387,A29,'Ratings'!$F$6:$F$1387,3)</x:f>
        <x:v>0</x:v>
      </x:c>
      <x:c r="D29" s="2" t="n">
        <x:f>COUNTIFS('Ratings'!$B$6:$B$1387,A29,'Ratings'!$F$6:$F$1387,2)</x:f>
        <x:v>0</x:v>
      </x:c>
      <x:c r="E29" s="2" t="n">
        <x:f>COUNTIFS('Ratings'!$B$6:$B$1387,A29,'Ratings'!$F$6:$F$1387,1)</x:f>
        <x:v>19</x:v>
      </x:c>
      <x:c r="F29" s="2" t="n">
        <x:f>IF(B29&lt;=C29,3,IF(B29&lt;=C29+D29,2,IF(B29&lt;=C29+D29+E29,1,0)))</x:f>
        <x:v>1</x:v>
      </x:c>
      <x:c r="G29" s="2" t="n">
        <x:f>2^F29-1</x:f>
        <x:v>1</x:v>
      </x:c>
      <x:c r="H29" s="14" t="n">
        <x:f>G29/LOG(B29+1,2)</x:f>
        <x:v>0.43067655807339306</x:v>
      </x:c>
    </x:row>
    <x:row r="30" ht="22" customHeight="1">
      <x:c r="A30" s="2" t="str">
        <x:v>S03</x:v>
      </x:c>
      <x:c r="B30" s="2" t="n">
        <x:v>5</x:v>
      </x:c>
      <x:c r="C30" s="2" t="n">
        <x:f>COUNTIFS('Ratings'!$B$6:$B$1387,A30,'Ratings'!$F$6:$F$1387,3)</x:f>
        <x:v>0</x:v>
      </x:c>
      <x:c r="D30" s="2" t="n">
        <x:f>COUNTIFS('Ratings'!$B$6:$B$1387,A30,'Ratings'!$F$6:$F$1387,2)</x:f>
        <x:v>0</x:v>
      </x:c>
      <x:c r="E30" s="2" t="n">
        <x:f>COUNTIFS('Ratings'!$B$6:$B$1387,A30,'Ratings'!$F$6:$F$1387,1)</x:f>
        <x:v>19</x:v>
      </x:c>
      <x:c r="F30" s="2" t="n">
        <x:f>IF(B30&lt;=C30,3,IF(B30&lt;=C30+D30,2,IF(B30&lt;=C30+D30+E30,1,0)))</x:f>
        <x:v>1</x:v>
      </x:c>
      <x:c r="G30" s="2" t="n">
        <x:f>2^F30-1</x:f>
        <x:v>1</x:v>
      </x:c>
      <x:c r="H30" s="14" t="n">
        <x:f>G30/LOG(B30+1,2)</x:f>
        <x:v>0.38685280723454163</x:v>
      </x:c>
    </x:row>
    <x:row r="31" ht="22" customHeight="1">
      <x:c r="A31" s="2" t="str">
        <x:v>S03</x:v>
      </x:c>
      <x:c r="B31" s="2" t="n">
        <x:v>6</x:v>
      </x:c>
      <x:c r="C31" s="2" t="n">
        <x:f>COUNTIFS('Ratings'!$B$6:$B$1387,A31,'Ratings'!$F$6:$F$1387,3)</x:f>
        <x:v>0</x:v>
      </x:c>
      <x:c r="D31" s="2" t="n">
        <x:f>COUNTIFS('Ratings'!$B$6:$B$1387,A31,'Ratings'!$F$6:$F$1387,2)</x:f>
        <x:v>0</x:v>
      </x:c>
      <x:c r="E31" s="2" t="n">
        <x:f>COUNTIFS('Ratings'!$B$6:$B$1387,A31,'Ratings'!$F$6:$F$1387,1)</x:f>
        <x:v>19</x:v>
      </x:c>
      <x:c r="F31" s="2" t="n">
        <x:f>IF(B31&lt;=C31,3,IF(B31&lt;=C31+D31,2,IF(B31&lt;=C31+D31+E31,1,0)))</x:f>
        <x:v>1</x:v>
      </x:c>
      <x:c r="G31" s="2" t="n">
        <x:f>2^F31-1</x:f>
        <x:v>1</x:v>
      </x:c>
      <x:c r="H31" s="14" t="n">
        <x:f>G31/LOG(B31+1,2)</x:f>
        <x:v>0.3562071871080222</x:v>
      </x:c>
    </x:row>
    <x:row r="32" ht="22" customHeight="1">
      <x:c r="A32" s="2" t="str">
        <x:v>S03</x:v>
      </x:c>
      <x:c r="B32" s="2" t="n">
        <x:v>7</x:v>
      </x:c>
      <x:c r="C32" s="2" t="n">
        <x:f>COUNTIFS('Ratings'!$B$6:$B$1387,A32,'Ratings'!$F$6:$F$1387,3)</x:f>
        <x:v>0</x:v>
      </x:c>
      <x:c r="D32" s="2" t="n">
        <x:f>COUNTIFS('Ratings'!$B$6:$B$1387,A32,'Ratings'!$F$6:$F$1387,2)</x:f>
        <x:v>0</x:v>
      </x:c>
      <x:c r="E32" s="2" t="n">
        <x:f>COUNTIFS('Ratings'!$B$6:$B$1387,A32,'Ratings'!$F$6:$F$1387,1)</x:f>
        <x:v>19</x:v>
      </x:c>
      <x:c r="F32" s="2" t="n">
        <x:f>IF(B32&lt;=C32,3,IF(B32&lt;=C32+D32,2,IF(B32&lt;=C32+D32+E32,1,0)))</x:f>
        <x:v>1</x:v>
      </x:c>
      <x:c r="G32" s="2" t="n">
        <x:f>2^F32-1</x:f>
        <x:v>1</x:v>
      </x:c>
      <x:c r="H32" s="14" t="n">
        <x:f>G32/LOG(B32+1,2)</x:f>
        <x:v>0.3333333333333333</x:v>
      </x:c>
    </x:row>
    <x:row r="33" ht="22" customHeight="1">
      <x:c r="A33" s="2" t="str">
        <x:v>S03</x:v>
      </x:c>
      <x:c r="B33" s="2" t="n">
        <x:v>8</x:v>
      </x:c>
      <x:c r="C33" s="2" t="n">
        <x:f>COUNTIFS('Ratings'!$B$6:$B$1387,A33,'Ratings'!$F$6:$F$1387,3)</x:f>
        <x:v>0</x:v>
      </x:c>
      <x:c r="D33" s="2" t="n">
        <x:f>COUNTIFS('Ratings'!$B$6:$B$1387,A33,'Ratings'!$F$6:$F$1387,2)</x:f>
        <x:v>0</x:v>
      </x:c>
      <x:c r="E33" s="2" t="n">
        <x:f>COUNTIFS('Ratings'!$B$6:$B$1387,A33,'Ratings'!$F$6:$F$1387,1)</x:f>
        <x:v>19</x:v>
      </x:c>
      <x:c r="F33" s="2" t="n">
        <x:f>IF(B33&lt;=C33,3,IF(B33&lt;=C33+D33,2,IF(B33&lt;=C33+D33+E33,1,0)))</x:f>
        <x:v>1</x:v>
      </x:c>
      <x:c r="G33" s="2" t="n">
        <x:f>2^F33-1</x:f>
        <x:v>1</x:v>
      </x:c>
      <x:c r="H33" s="14" t="n">
        <x:f>G33/LOG(B33+1,2)</x:f>
        <x:v>0.3154648767857287</x:v>
      </x:c>
    </x:row>
    <x:row r="34" ht="22" customHeight="1">
      <x:c r="A34" s="2" t="str">
        <x:v>S03</x:v>
      </x:c>
      <x:c r="B34" s="2" t="n">
        <x:v>9</x:v>
      </x:c>
      <x:c r="C34" s="2" t="n">
        <x:f>COUNTIFS('Ratings'!$B$6:$B$1387,A34,'Ratings'!$F$6:$F$1387,3)</x:f>
        <x:v>0</x:v>
      </x:c>
      <x:c r="D34" s="2" t="n">
        <x:f>COUNTIFS('Ratings'!$B$6:$B$1387,A34,'Ratings'!$F$6:$F$1387,2)</x:f>
        <x:v>0</x:v>
      </x:c>
      <x:c r="E34" s="2" t="n">
        <x:f>COUNTIFS('Ratings'!$B$6:$B$1387,A34,'Ratings'!$F$6:$F$1387,1)</x:f>
        <x:v>19</x:v>
      </x:c>
      <x:c r="F34" s="2" t="n">
        <x:f>IF(B34&lt;=C34,3,IF(B34&lt;=C34+D34,2,IF(B34&lt;=C34+D34+E34,1,0)))</x:f>
        <x:v>1</x:v>
      </x:c>
      <x:c r="G34" s="2" t="n">
        <x:f>2^F34-1</x:f>
        <x:v>1</x:v>
      </x:c>
      <x:c r="H34" s="14" t="n">
        <x:f>G34/LOG(B34+1,2)</x:f>
        <x:v>0.30102999566398114</x:v>
      </x:c>
    </x:row>
    <x:row r="35" ht="22" customHeight="1">
      <x:c r="A35" s="2" t="str">
        <x:v>S03</x:v>
      </x:c>
      <x:c r="B35" s="2" t="n">
        <x:v>10</x:v>
      </x:c>
      <x:c r="C35" s="2" t="n">
        <x:f>COUNTIFS('Ratings'!$B$6:$B$1387,A35,'Ratings'!$F$6:$F$1387,3)</x:f>
        <x:v>0</x:v>
      </x:c>
      <x:c r="D35" s="2" t="n">
        <x:f>COUNTIFS('Ratings'!$B$6:$B$1387,A35,'Ratings'!$F$6:$F$1387,2)</x:f>
        <x:v>0</x:v>
      </x:c>
      <x:c r="E35" s="2" t="n">
        <x:f>COUNTIFS('Ratings'!$B$6:$B$1387,A35,'Ratings'!$F$6:$F$1387,1)</x:f>
        <x:v>19</x:v>
      </x:c>
      <x:c r="F35" s="2" t="n">
        <x:f>IF(B35&lt;=C35,3,IF(B35&lt;=C35+D35,2,IF(B35&lt;=C35+D35+E35,1,0)))</x:f>
        <x:v>1</x:v>
      </x:c>
      <x:c r="G35" s="2" t="n">
        <x:f>2^F35-1</x:f>
        <x:v>1</x:v>
      </x:c>
      <x:c r="H35" s="14" t="n">
        <x:f>G35/LOG(B35+1,2)</x:f>
        <x:v>0.2890648263178878</x:v>
      </x:c>
    </x:row>
    <x:row r="36" ht="22" customHeight="1">
      <x:c r="A36" s="2" t="str">
        <x:v>S04</x:v>
      </x:c>
      <x:c r="B36" s="2" t="n">
        <x:v>1</x:v>
      </x:c>
      <x:c r="C36" s="2" t="n">
        <x:f>COUNTIFS('Ratings'!$B$6:$B$1387,A36,'Ratings'!$F$6:$F$1387,3)</x:f>
        <x:v>4</x:v>
      </x:c>
      <x:c r="D36" s="2" t="n">
        <x:f>COUNTIFS('Ratings'!$B$6:$B$1387,A36,'Ratings'!$F$6:$F$1387,2)</x:f>
        <x:v>18</x:v>
      </x:c>
      <x:c r="E36" s="2" t="n">
        <x:f>COUNTIFS('Ratings'!$B$6:$B$1387,A36,'Ratings'!$F$6:$F$1387,1)</x:f>
        <x:v>2</x:v>
      </x:c>
      <x:c r="F36" s="2" t="n">
        <x:f>IF(B36&lt;=C36,3,IF(B36&lt;=C36+D36,2,IF(B36&lt;=C36+D36+E36,1,0)))</x:f>
        <x:v>3</x:v>
      </x:c>
      <x:c r="G36" s="2" t="n">
        <x:f>2^F36-1</x:f>
        <x:v>7</x:v>
      </x:c>
      <x:c r="H36" s="14" t="n">
        <x:f>G36/LOG(B36+1,2)</x:f>
        <x:v>7</x:v>
      </x:c>
    </x:row>
    <x:row r="37" ht="22" customHeight="1">
      <x:c r="A37" s="2" t="str">
        <x:v>S04</x:v>
      </x:c>
      <x:c r="B37" s="2" t="n">
        <x:v>2</x:v>
      </x:c>
      <x:c r="C37" s="2" t="n">
        <x:f>COUNTIFS('Ratings'!$B$6:$B$1387,A37,'Ratings'!$F$6:$F$1387,3)</x:f>
        <x:v>4</x:v>
      </x:c>
      <x:c r="D37" s="2" t="n">
        <x:f>COUNTIFS('Ratings'!$B$6:$B$1387,A37,'Ratings'!$F$6:$F$1387,2)</x:f>
        <x:v>18</x:v>
      </x:c>
      <x:c r="E37" s="2" t="n">
        <x:f>COUNTIFS('Ratings'!$B$6:$B$1387,A37,'Ratings'!$F$6:$F$1387,1)</x:f>
        <x:v>2</x:v>
      </x:c>
      <x:c r="F37" s="2" t="n">
        <x:f>IF(B37&lt;=C37,3,IF(B37&lt;=C37+D37,2,IF(B37&lt;=C37+D37+E37,1,0)))</x:f>
        <x:v>3</x:v>
      </x:c>
      <x:c r="G37" s="2" t="n">
        <x:f>2^F37-1</x:f>
        <x:v>7</x:v>
      </x:c>
      <x:c r="H37" s="14" t="n">
        <x:f>G37/LOG(B37+1,2)</x:f>
        <x:v>4.4165082750002025</x:v>
      </x:c>
    </x:row>
    <x:row r="38" ht="22" customHeight="1">
      <x:c r="A38" s="2" t="str">
        <x:v>S04</x:v>
      </x:c>
      <x:c r="B38" s="2" t="n">
        <x:v>3</x:v>
      </x:c>
      <x:c r="C38" s="2" t="n">
        <x:f>COUNTIFS('Ratings'!$B$6:$B$1387,A38,'Ratings'!$F$6:$F$1387,3)</x:f>
        <x:v>4</x:v>
      </x:c>
      <x:c r="D38" s="2" t="n">
        <x:f>COUNTIFS('Ratings'!$B$6:$B$1387,A38,'Ratings'!$F$6:$F$1387,2)</x:f>
        <x:v>18</x:v>
      </x:c>
      <x:c r="E38" s="2" t="n">
        <x:f>COUNTIFS('Ratings'!$B$6:$B$1387,A38,'Ratings'!$F$6:$F$1387,1)</x:f>
        <x:v>2</x:v>
      </x:c>
      <x:c r="F38" s="2" t="n">
        <x:f>IF(B38&lt;=C38,3,IF(B38&lt;=C38+D38,2,IF(B38&lt;=C38+D38+E38,1,0)))</x:f>
        <x:v>3</x:v>
      </x:c>
      <x:c r="G38" s="2" t="n">
        <x:f>2^F38-1</x:f>
        <x:v>7</x:v>
      </x:c>
      <x:c r="H38" s="14" t="n">
        <x:f>G38/LOG(B38+1,2)</x:f>
        <x:v>3.5</x:v>
      </x:c>
    </x:row>
    <x:row r="39" ht="22" customHeight="1">
      <x:c r="A39" s="2" t="str">
        <x:v>S04</x:v>
      </x:c>
      <x:c r="B39" s="2" t="n">
        <x:v>4</x:v>
      </x:c>
      <x:c r="C39" s="2" t="n">
        <x:f>COUNTIFS('Ratings'!$B$6:$B$1387,A39,'Ratings'!$F$6:$F$1387,3)</x:f>
        <x:v>4</x:v>
      </x:c>
      <x:c r="D39" s="2" t="n">
        <x:f>COUNTIFS('Ratings'!$B$6:$B$1387,A39,'Ratings'!$F$6:$F$1387,2)</x:f>
        <x:v>18</x:v>
      </x:c>
      <x:c r="E39" s="2" t="n">
        <x:f>COUNTIFS('Ratings'!$B$6:$B$1387,A39,'Ratings'!$F$6:$F$1387,1)</x:f>
        <x:v>2</x:v>
      </x:c>
      <x:c r="F39" s="2" t="n">
        <x:f>IF(B39&lt;=C39,3,IF(B39&lt;=C39+D39,2,IF(B39&lt;=C39+D39+E39,1,0)))</x:f>
        <x:v>3</x:v>
      </x:c>
      <x:c r="G39" s="2" t="n">
        <x:f>2^F39-1</x:f>
        <x:v>7</x:v>
      </x:c>
      <x:c r="H39" s="14" t="n">
        <x:f>G39/LOG(B39+1,2)</x:f>
        <x:v>3.0147359065137516</x:v>
      </x:c>
    </x:row>
    <x:row r="40" ht="22" customHeight="1">
      <x:c r="A40" s="2" t="str">
        <x:v>S04</x:v>
      </x:c>
      <x:c r="B40" s="2" t="n">
        <x:v>5</x:v>
      </x:c>
      <x:c r="C40" s="2" t="n">
        <x:f>COUNTIFS('Ratings'!$B$6:$B$1387,A40,'Ratings'!$F$6:$F$1387,3)</x:f>
        <x:v>4</x:v>
      </x:c>
      <x:c r="D40" s="2" t="n">
        <x:f>COUNTIFS('Ratings'!$B$6:$B$1387,A40,'Ratings'!$F$6:$F$1387,2)</x:f>
        <x:v>18</x:v>
      </x:c>
      <x:c r="E40" s="2" t="n">
        <x:f>COUNTIFS('Ratings'!$B$6:$B$1387,A40,'Ratings'!$F$6:$F$1387,1)</x:f>
        <x:v>2</x:v>
      </x:c>
      <x:c r="F40" s="2" t="n">
        <x:f>IF(B40&lt;=C40,3,IF(B40&lt;=C40+D40,2,IF(B40&lt;=C40+D40+E40,1,0)))</x:f>
        <x:v>2</x:v>
      </x:c>
      <x:c r="G40" s="2" t="n">
        <x:f>2^F40-1</x:f>
        <x:v>3</x:v>
      </x:c>
      <x:c r="H40" s="14" t="n">
        <x:f>G40/LOG(B40+1,2)</x:f>
        <x:v>1.1605584217036249</x:v>
      </x:c>
    </x:row>
    <x:row r="41" ht="22" customHeight="1">
      <x:c r="A41" s="2" t="str">
        <x:v>S04</x:v>
      </x:c>
      <x:c r="B41" s="2" t="n">
        <x:v>6</x:v>
      </x:c>
      <x:c r="C41" s="2" t="n">
        <x:f>COUNTIFS('Ratings'!$B$6:$B$1387,A41,'Ratings'!$F$6:$F$1387,3)</x:f>
        <x:v>4</x:v>
      </x:c>
      <x:c r="D41" s="2" t="n">
        <x:f>COUNTIFS('Ratings'!$B$6:$B$1387,A41,'Ratings'!$F$6:$F$1387,2)</x:f>
        <x:v>18</x:v>
      </x:c>
      <x:c r="E41" s="2" t="n">
        <x:f>COUNTIFS('Ratings'!$B$6:$B$1387,A41,'Ratings'!$F$6:$F$1387,1)</x:f>
        <x:v>2</x:v>
      </x:c>
      <x:c r="F41" s="2" t="n">
        <x:f>IF(B41&lt;=C41,3,IF(B41&lt;=C41+D41,2,IF(B41&lt;=C41+D41+E41,1,0)))</x:f>
        <x:v>2</x:v>
      </x:c>
      <x:c r="G41" s="2" t="n">
        <x:f>2^F41-1</x:f>
        <x:v>3</x:v>
      </x:c>
      <x:c r="H41" s="14" t="n">
        <x:f>G41/LOG(B41+1,2)</x:f>
        <x:v>1.0686215613240666</x:v>
      </x:c>
    </x:row>
    <x:row r="42" ht="22" customHeight="1">
      <x:c r="A42" s="2" t="str">
        <x:v>S04</x:v>
      </x:c>
      <x:c r="B42" s="2" t="n">
        <x:v>7</x:v>
      </x:c>
      <x:c r="C42" s="2" t="n">
        <x:f>COUNTIFS('Ratings'!$B$6:$B$1387,A42,'Ratings'!$F$6:$F$1387,3)</x:f>
        <x:v>4</x:v>
      </x:c>
      <x:c r="D42" s="2" t="n">
        <x:f>COUNTIFS('Ratings'!$B$6:$B$1387,A42,'Ratings'!$F$6:$F$1387,2)</x:f>
        <x:v>18</x:v>
      </x:c>
      <x:c r="E42" s="2" t="n">
        <x:f>COUNTIFS('Ratings'!$B$6:$B$1387,A42,'Ratings'!$F$6:$F$1387,1)</x:f>
        <x:v>2</x:v>
      </x:c>
      <x:c r="F42" s="2" t="n">
        <x:f>IF(B42&lt;=C42,3,IF(B42&lt;=C42+D42,2,IF(B42&lt;=C42+D42+E42,1,0)))</x:f>
        <x:v>2</x:v>
      </x:c>
      <x:c r="G42" s="2" t="n">
        <x:f>2^F42-1</x:f>
        <x:v>3</x:v>
      </x:c>
      <x:c r="H42" s="14" t="n">
        <x:f>G42/LOG(B42+1,2)</x:f>
        <x:v>1</x:v>
      </x:c>
    </x:row>
    <x:row r="43" ht="22" customHeight="1">
      <x:c r="A43" s="2" t="str">
        <x:v>S04</x:v>
      </x:c>
      <x:c r="B43" s="2" t="n">
        <x:v>8</x:v>
      </x:c>
      <x:c r="C43" s="2" t="n">
        <x:f>COUNTIFS('Ratings'!$B$6:$B$1387,A43,'Ratings'!$F$6:$F$1387,3)</x:f>
        <x:v>4</x:v>
      </x:c>
      <x:c r="D43" s="2" t="n">
        <x:f>COUNTIFS('Ratings'!$B$6:$B$1387,A43,'Ratings'!$F$6:$F$1387,2)</x:f>
        <x:v>18</x:v>
      </x:c>
      <x:c r="E43" s="2" t="n">
        <x:f>COUNTIFS('Ratings'!$B$6:$B$1387,A43,'Ratings'!$F$6:$F$1387,1)</x:f>
        <x:v>2</x:v>
      </x:c>
      <x:c r="F43" s="2" t="n">
        <x:f>IF(B43&lt;=C43,3,IF(B43&lt;=C43+D43,2,IF(B43&lt;=C43+D43+E43,1,0)))</x:f>
        <x:v>2</x:v>
      </x:c>
      <x:c r="G43" s="2" t="n">
        <x:f>2^F43-1</x:f>
        <x:v>3</x:v>
      </x:c>
      <x:c r="H43" s="14" t="n">
        <x:f>G43/LOG(B43+1,2)</x:f>
        <x:v>0.9463946303571861</x:v>
      </x:c>
    </x:row>
    <x:row r="44" ht="22" customHeight="1">
      <x:c r="A44" s="2" t="str">
        <x:v>S04</x:v>
      </x:c>
      <x:c r="B44" s="2" t="n">
        <x:v>9</x:v>
      </x:c>
      <x:c r="C44" s="2" t="n">
        <x:f>COUNTIFS('Ratings'!$B$6:$B$1387,A44,'Ratings'!$F$6:$F$1387,3)</x:f>
        <x:v>4</x:v>
      </x:c>
      <x:c r="D44" s="2" t="n">
        <x:f>COUNTIFS('Ratings'!$B$6:$B$1387,A44,'Ratings'!$F$6:$F$1387,2)</x:f>
        <x:v>18</x:v>
      </x:c>
      <x:c r="E44" s="2" t="n">
        <x:f>COUNTIFS('Ratings'!$B$6:$B$1387,A44,'Ratings'!$F$6:$F$1387,1)</x:f>
        <x:v>2</x:v>
      </x:c>
      <x:c r="F44" s="2" t="n">
        <x:f>IF(B44&lt;=C44,3,IF(B44&lt;=C44+D44,2,IF(B44&lt;=C44+D44+E44,1,0)))</x:f>
        <x:v>2</x:v>
      </x:c>
      <x:c r="G44" s="2" t="n">
        <x:f>2^F44-1</x:f>
        <x:v>3</x:v>
      </x:c>
      <x:c r="H44" s="14" t="n">
        <x:f>G44/LOG(B44+1,2)</x:f>
        <x:v>0.9030899869919435</x:v>
      </x:c>
    </x:row>
    <x:row r="45" ht="22" customHeight="1">
      <x:c r="A45" s="2" t="str">
        <x:v>S04</x:v>
      </x:c>
      <x:c r="B45" s="2" t="n">
        <x:v>10</x:v>
      </x:c>
      <x:c r="C45" s="2" t="n">
        <x:f>COUNTIFS('Ratings'!$B$6:$B$1387,A45,'Ratings'!$F$6:$F$1387,3)</x:f>
        <x:v>4</x:v>
      </x:c>
      <x:c r="D45" s="2" t="n">
        <x:f>COUNTIFS('Ratings'!$B$6:$B$1387,A45,'Ratings'!$F$6:$F$1387,2)</x:f>
        <x:v>18</x:v>
      </x:c>
      <x:c r="E45" s="2" t="n">
        <x:f>COUNTIFS('Ratings'!$B$6:$B$1387,A45,'Ratings'!$F$6:$F$1387,1)</x:f>
        <x:v>2</x:v>
      </x:c>
      <x:c r="F45" s="2" t="n">
        <x:f>IF(B45&lt;=C45,3,IF(B45&lt;=C45+D45,2,IF(B45&lt;=C45+D45+E45,1,0)))</x:f>
        <x:v>2</x:v>
      </x:c>
      <x:c r="G45" s="2" t="n">
        <x:f>2^F45-1</x:f>
        <x:v>3</x:v>
      </x:c>
      <x:c r="H45" s="14" t="n">
        <x:f>G45/LOG(B45+1,2)</x:f>
        <x:v>0.8671944789536634</x:v>
      </x:c>
    </x:row>
    <x:row r="46" ht="22" customHeight="1">
      <x:c r="A46" s="2" t="str">
        <x:v>S05</x:v>
      </x:c>
      <x:c r="B46" s="2" t="n">
        <x:v>1</x:v>
      </x:c>
      <x:c r="C46" s="2" t="n">
        <x:f>COUNTIFS('Ratings'!$B$6:$B$1387,A46,'Ratings'!$F$6:$F$1387,3)</x:f>
        <x:v>2</x:v>
      </x:c>
      <x:c r="D46" s="2" t="n">
        <x:f>COUNTIFS('Ratings'!$B$6:$B$1387,A46,'Ratings'!$F$6:$F$1387,2)</x:f>
        <x:v>7</x:v>
      </x:c>
      <x:c r="E46" s="2" t="n">
        <x:f>COUNTIFS('Ratings'!$B$6:$B$1387,A46,'Ratings'!$F$6:$F$1387,1)</x:f>
        <x:v>9</x:v>
      </x:c>
      <x:c r="F46" s="2" t="n">
        <x:f>IF(B46&lt;=C46,3,IF(B46&lt;=C46+D46,2,IF(B46&lt;=C46+D46+E46,1,0)))</x:f>
        <x:v>3</x:v>
      </x:c>
      <x:c r="G46" s="2" t="n">
        <x:f>2^F46-1</x:f>
        <x:v>7</x:v>
      </x:c>
      <x:c r="H46" s="14" t="n">
        <x:f>G46/LOG(B46+1,2)</x:f>
        <x:v>7</x:v>
      </x:c>
    </x:row>
    <x:row r="47" ht="22" customHeight="1">
      <x:c r="A47" s="2" t="str">
        <x:v>S05</x:v>
      </x:c>
      <x:c r="B47" s="2" t="n">
        <x:v>2</x:v>
      </x:c>
      <x:c r="C47" s="2" t="n">
        <x:f>COUNTIFS('Ratings'!$B$6:$B$1387,A47,'Ratings'!$F$6:$F$1387,3)</x:f>
        <x:v>2</x:v>
      </x:c>
      <x:c r="D47" s="2" t="n">
        <x:f>COUNTIFS('Ratings'!$B$6:$B$1387,A47,'Ratings'!$F$6:$F$1387,2)</x:f>
        <x:v>7</x:v>
      </x:c>
      <x:c r="E47" s="2" t="n">
        <x:f>COUNTIFS('Ratings'!$B$6:$B$1387,A47,'Ratings'!$F$6:$F$1387,1)</x:f>
        <x:v>9</x:v>
      </x:c>
      <x:c r="F47" s="2" t="n">
        <x:f>IF(B47&lt;=C47,3,IF(B47&lt;=C47+D47,2,IF(B47&lt;=C47+D47+E47,1,0)))</x:f>
        <x:v>3</x:v>
      </x:c>
      <x:c r="G47" s="2" t="n">
        <x:f>2^F47-1</x:f>
        <x:v>7</x:v>
      </x:c>
      <x:c r="H47" s="14" t="n">
        <x:f>G47/LOG(B47+1,2)</x:f>
        <x:v>4.4165082750002025</x:v>
      </x:c>
    </x:row>
    <x:row r="48" ht="22" customHeight="1">
      <x:c r="A48" s="2" t="str">
        <x:v>S05</x:v>
      </x:c>
      <x:c r="B48" s="2" t="n">
        <x:v>3</x:v>
      </x:c>
      <x:c r="C48" s="2" t="n">
        <x:f>COUNTIFS('Ratings'!$B$6:$B$1387,A48,'Ratings'!$F$6:$F$1387,3)</x:f>
        <x:v>2</x:v>
      </x:c>
      <x:c r="D48" s="2" t="n">
        <x:f>COUNTIFS('Ratings'!$B$6:$B$1387,A48,'Ratings'!$F$6:$F$1387,2)</x:f>
        <x:v>7</x:v>
      </x:c>
      <x:c r="E48" s="2" t="n">
        <x:f>COUNTIFS('Ratings'!$B$6:$B$1387,A48,'Ratings'!$F$6:$F$1387,1)</x:f>
        <x:v>9</x:v>
      </x:c>
      <x:c r="F48" s="2" t="n">
        <x:f>IF(B48&lt;=C48,3,IF(B48&lt;=C48+D48,2,IF(B48&lt;=C48+D48+E48,1,0)))</x:f>
        <x:v>2</x:v>
      </x:c>
      <x:c r="G48" s="2" t="n">
        <x:f>2^F48-1</x:f>
        <x:v>3</x:v>
      </x:c>
      <x:c r="H48" s="14" t="n">
        <x:f>G48/LOG(B48+1,2)</x:f>
        <x:v>1.5</x:v>
      </x:c>
    </x:row>
    <x:row r="49" ht="22" customHeight="1">
      <x:c r="A49" s="2" t="str">
        <x:v>S05</x:v>
      </x:c>
      <x:c r="B49" s="2" t="n">
        <x:v>4</x:v>
      </x:c>
      <x:c r="C49" s="2" t="n">
        <x:f>COUNTIFS('Ratings'!$B$6:$B$1387,A49,'Ratings'!$F$6:$F$1387,3)</x:f>
        <x:v>2</x:v>
      </x:c>
      <x:c r="D49" s="2" t="n">
        <x:f>COUNTIFS('Ratings'!$B$6:$B$1387,A49,'Ratings'!$F$6:$F$1387,2)</x:f>
        <x:v>7</x:v>
      </x:c>
      <x:c r="E49" s="2" t="n">
        <x:f>COUNTIFS('Ratings'!$B$6:$B$1387,A49,'Ratings'!$F$6:$F$1387,1)</x:f>
        <x:v>9</x:v>
      </x:c>
      <x:c r="F49" s="2" t="n">
        <x:f>IF(B49&lt;=C49,3,IF(B49&lt;=C49+D49,2,IF(B49&lt;=C49+D49+E49,1,0)))</x:f>
        <x:v>2</x:v>
      </x:c>
      <x:c r="G49" s="2" t="n">
        <x:f>2^F49-1</x:f>
        <x:v>3</x:v>
      </x:c>
      <x:c r="H49" s="14" t="n">
        <x:f>G49/LOG(B49+1,2)</x:f>
        <x:v>1.2920296742201793</x:v>
      </x:c>
    </x:row>
    <x:row r="50" ht="22" customHeight="1">
      <x:c r="A50" s="2" t="str">
        <x:v>S05</x:v>
      </x:c>
      <x:c r="B50" s="2" t="n">
        <x:v>5</x:v>
      </x:c>
      <x:c r="C50" s="2" t="n">
        <x:f>COUNTIFS('Ratings'!$B$6:$B$1387,A50,'Ratings'!$F$6:$F$1387,3)</x:f>
        <x:v>2</x:v>
      </x:c>
      <x:c r="D50" s="2" t="n">
        <x:f>COUNTIFS('Ratings'!$B$6:$B$1387,A50,'Ratings'!$F$6:$F$1387,2)</x:f>
        <x:v>7</x:v>
      </x:c>
      <x:c r="E50" s="2" t="n">
        <x:f>COUNTIFS('Ratings'!$B$6:$B$1387,A50,'Ratings'!$F$6:$F$1387,1)</x:f>
        <x:v>9</x:v>
      </x:c>
      <x:c r="F50" s="2" t="n">
        <x:f>IF(B50&lt;=C50,3,IF(B50&lt;=C50+D50,2,IF(B50&lt;=C50+D50+E50,1,0)))</x:f>
        <x:v>2</x:v>
      </x:c>
      <x:c r="G50" s="2" t="n">
        <x:f>2^F50-1</x:f>
        <x:v>3</x:v>
      </x:c>
      <x:c r="H50" s="14" t="n">
        <x:f>G50/LOG(B50+1,2)</x:f>
        <x:v>1.1605584217036249</x:v>
      </x:c>
    </x:row>
    <x:row r="51" ht="22" customHeight="1">
      <x:c r="A51" s="2" t="str">
        <x:v>S05</x:v>
      </x:c>
      <x:c r="B51" s="2" t="n">
        <x:v>6</x:v>
      </x:c>
      <x:c r="C51" s="2" t="n">
        <x:f>COUNTIFS('Ratings'!$B$6:$B$1387,A51,'Ratings'!$F$6:$F$1387,3)</x:f>
        <x:v>2</x:v>
      </x:c>
      <x:c r="D51" s="2" t="n">
        <x:f>COUNTIFS('Ratings'!$B$6:$B$1387,A51,'Ratings'!$F$6:$F$1387,2)</x:f>
        <x:v>7</x:v>
      </x:c>
      <x:c r="E51" s="2" t="n">
        <x:f>COUNTIFS('Ratings'!$B$6:$B$1387,A51,'Ratings'!$F$6:$F$1387,1)</x:f>
        <x:v>9</x:v>
      </x:c>
      <x:c r="F51" s="2" t="n">
        <x:f>IF(B51&lt;=C51,3,IF(B51&lt;=C51+D51,2,IF(B51&lt;=C51+D51+E51,1,0)))</x:f>
        <x:v>2</x:v>
      </x:c>
      <x:c r="G51" s="2" t="n">
        <x:f>2^F51-1</x:f>
        <x:v>3</x:v>
      </x:c>
      <x:c r="H51" s="14" t="n">
        <x:f>G51/LOG(B51+1,2)</x:f>
        <x:v>1.0686215613240666</x:v>
      </x:c>
    </x:row>
    <x:row r="52" ht="22" customHeight="1">
      <x:c r="A52" s="2" t="str">
        <x:v>S05</x:v>
      </x:c>
      <x:c r="B52" s="2" t="n">
        <x:v>7</x:v>
      </x:c>
      <x:c r="C52" s="2" t="n">
        <x:f>COUNTIFS('Ratings'!$B$6:$B$1387,A52,'Ratings'!$F$6:$F$1387,3)</x:f>
        <x:v>2</x:v>
      </x:c>
      <x:c r="D52" s="2" t="n">
        <x:f>COUNTIFS('Ratings'!$B$6:$B$1387,A52,'Ratings'!$F$6:$F$1387,2)</x:f>
        <x:v>7</x:v>
      </x:c>
      <x:c r="E52" s="2" t="n">
        <x:f>COUNTIFS('Ratings'!$B$6:$B$1387,A52,'Ratings'!$F$6:$F$1387,1)</x:f>
        <x:v>9</x:v>
      </x:c>
      <x:c r="F52" s="2" t="n">
        <x:f>IF(B52&lt;=C52,3,IF(B52&lt;=C52+D52,2,IF(B52&lt;=C52+D52+E52,1,0)))</x:f>
        <x:v>2</x:v>
      </x:c>
      <x:c r="G52" s="2" t="n">
        <x:f>2^F52-1</x:f>
        <x:v>3</x:v>
      </x:c>
      <x:c r="H52" s="14" t="n">
        <x:f>G52/LOG(B52+1,2)</x:f>
        <x:v>1</x:v>
      </x:c>
    </x:row>
    <x:row r="53" ht="22" customHeight="1">
      <x:c r="A53" s="2" t="str">
        <x:v>S05</x:v>
      </x:c>
      <x:c r="B53" s="2" t="n">
        <x:v>8</x:v>
      </x:c>
      <x:c r="C53" s="2" t="n">
        <x:f>COUNTIFS('Ratings'!$B$6:$B$1387,A53,'Ratings'!$F$6:$F$1387,3)</x:f>
        <x:v>2</x:v>
      </x:c>
      <x:c r="D53" s="2" t="n">
        <x:f>COUNTIFS('Ratings'!$B$6:$B$1387,A53,'Ratings'!$F$6:$F$1387,2)</x:f>
        <x:v>7</x:v>
      </x:c>
      <x:c r="E53" s="2" t="n">
        <x:f>COUNTIFS('Ratings'!$B$6:$B$1387,A53,'Ratings'!$F$6:$F$1387,1)</x:f>
        <x:v>9</x:v>
      </x:c>
      <x:c r="F53" s="2" t="n">
        <x:f>IF(B53&lt;=C53,3,IF(B53&lt;=C53+D53,2,IF(B53&lt;=C53+D53+E53,1,0)))</x:f>
        <x:v>2</x:v>
      </x:c>
      <x:c r="G53" s="2" t="n">
        <x:f>2^F53-1</x:f>
        <x:v>3</x:v>
      </x:c>
      <x:c r="H53" s="14" t="n">
        <x:f>G53/LOG(B53+1,2)</x:f>
        <x:v>0.9463946303571861</x:v>
      </x:c>
    </x:row>
    <x:row r="54" ht="22" customHeight="1">
      <x:c r="A54" s="2" t="str">
        <x:v>S05</x:v>
      </x:c>
      <x:c r="B54" s="2" t="n">
        <x:v>9</x:v>
      </x:c>
      <x:c r="C54" s="2" t="n">
        <x:f>COUNTIFS('Ratings'!$B$6:$B$1387,A54,'Ratings'!$F$6:$F$1387,3)</x:f>
        <x:v>2</x:v>
      </x:c>
      <x:c r="D54" s="2" t="n">
        <x:f>COUNTIFS('Ratings'!$B$6:$B$1387,A54,'Ratings'!$F$6:$F$1387,2)</x:f>
        <x:v>7</x:v>
      </x:c>
      <x:c r="E54" s="2" t="n">
        <x:f>COUNTIFS('Ratings'!$B$6:$B$1387,A54,'Ratings'!$F$6:$F$1387,1)</x:f>
        <x:v>9</x:v>
      </x:c>
      <x:c r="F54" s="2" t="n">
        <x:f>IF(B54&lt;=C54,3,IF(B54&lt;=C54+D54,2,IF(B54&lt;=C54+D54+E54,1,0)))</x:f>
        <x:v>2</x:v>
      </x:c>
      <x:c r="G54" s="2" t="n">
        <x:f>2^F54-1</x:f>
        <x:v>3</x:v>
      </x:c>
      <x:c r="H54" s="14" t="n">
        <x:f>G54/LOG(B54+1,2)</x:f>
        <x:v>0.9030899869919435</x:v>
      </x:c>
    </x:row>
    <x:row r="55" ht="22" customHeight="1">
      <x:c r="A55" s="2" t="str">
        <x:v>S05</x:v>
      </x:c>
      <x:c r="B55" s="2" t="n">
        <x:v>10</x:v>
      </x:c>
      <x:c r="C55" s="2" t="n">
        <x:f>COUNTIFS('Ratings'!$B$6:$B$1387,A55,'Ratings'!$F$6:$F$1387,3)</x:f>
        <x:v>2</x:v>
      </x:c>
      <x:c r="D55" s="2" t="n">
        <x:f>COUNTIFS('Ratings'!$B$6:$B$1387,A55,'Ratings'!$F$6:$F$1387,2)</x:f>
        <x:v>7</x:v>
      </x:c>
      <x:c r="E55" s="2" t="n">
        <x:f>COUNTIFS('Ratings'!$B$6:$B$1387,A55,'Ratings'!$F$6:$F$1387,1)</x:f>
        <x:v>9</x:v>
      </x:c>
      <x:c r="F55" s="2" t="n">
        <x:f>IF(B55&lt;=C55,3,IF(B55&lt;=C55+D55,2,IF(B55&lt;=C55+D55+E55,1,0)))</x:f>
        <x:v>1</x:v>
      </x:c>
      <x:c r="G55" s="2" t="n">
        <x:f>2^F55-1</x:f>
        <x:v>1</x:v>
      </x:c>
      <x:c r="H55" s="14" t="n">
        <x:f>G55/LOG(B55+1,2)</x:f>
        <x:v>0.2890648263178878</x:v>
      </x:c>
    </x:row>
    <x:row r="56" ht="22" customHeight="1">
      <x:c r="A56" s="2" t="str">
        <x:v>S06</x:v>
      </x:c>
      <x:c r="B56" s="2" t="n">
        <x:v>1</x:v>
      </x:c>
      <x:c r="C56" s="2" t="n">
        <x:f>COUNTIFS('Ratings'!$B$6:$B$1387,A56,'Ratings'!$F$6:$F$1387,3)</x:f>
        <x:v>8</x:v>
      </x:c>
      <x:c r="D56" s="2" t="n">
        <x:f>COUNTIFS('Ratings'!$B$6:$B$1387,A56,'Ratings'!$F$6:$F$1387,2)</x:f>
        <x:v>9</x:v>
      </x:c>
      <x:c r="E56" s="2" t="n">
        <x:f>COUNTIFS('Ratings'!$B$6:$B$1387,A56,'Ratings'!$F$6:$F$1387,1)</x:f>
        <x:v>8</x:v>
      </x:c>
      <x:c r="F56" s="2" t="n">
        <x:f>IF(B56&lt;=C56,3,IF(B56&lt;=C56+D56,2,IF(B56&lt;=C56+D56+E56,1,0)))</x:f>
        <x:v>3</x:v>
      </x:c>
      <x:c r="G56" s="2" t="n">
        <x:f>2^F56-1</x:f>
        <x:v>7</x:v>
      </x:c>
      <x:c r="H56" s="14" t="n">
        <x:f>G56/LOG(B56+1,2)</x:f>
        <x:v>7</x:v>
      </x:c>
    </x:row>
    <x:row r="57" ht="22" customHeight="1">
      <x:c r="A57" s="2" t="str">
        <x:v>S06</x:v>
      </x:c>
      <x:c r="B57" s="2" t="n">
        <x:v>2</x:v>
      </x:c>
      <x:c r="C57" s="2" t="n">
        <x:f>COUNTIFS('Ratings'!$B$6:$B$1387,A57,'Ratings'!$F$6:$F$1387,3)</x:f>
        <x:v>8</x:v>
      </x:c>
      <x:c r="D57" s="2" t="n">
        <x:f>COUNTIFS('Ratings'!$B$6:$B$1387,A57,'Ratings'!$F$6:$F$1387,2)</x:f>
        <x:v>9</x:v>
      </x:c>
      <x:c r="E57" s="2" t="n">
        <x:f>COUNTIFS('Ratings'!$B$6:$B$1387,A57,'Ratings'!$F$6:$F$1387,1)</x:f>
        <x:v>8</x:v>
      </x:c>
      <x:c r="F57" s="2" t="n">
        <x:f>IF(B57&lt;=C57,3,IF(B57&lt;=C57+D57,2,IF(B57&lt;=C57+D57+E57,1,0)))</x:f>
        <x:v>3</x:v>
      </x:c>
      <x:c r="G57" s="2" t="n">
        <x:f>2^F57-1</x:f>
        <x:v>7</x:v>
      </x:c>
      <x:c r="H57" s="14" t="n">
        <x:f>G57/LOG(B57+1,2)</x:f>
        <x:v>4.4165082750002025</x:v>
      </x:c>
    </x:row>
    <x:row r="58" ht="22" customHeight="1">
      <x:c r="A58" s="2" t="str">
        <x:v>S06</x:v>
      </x:c>
      <x:c r="B58" s="2" t="n">
        <x:v>3</x:v>
      </x:c>
      <x:c r="C58" s="2" t="n">
        <x:f>COUNTIFS('Ratings'!$B$6:$B$1387,A58,'Ratings'!$F$6:$F$1387,3)</x:f>
        <x:v>8</x:v>
      </x:c>
      <x:c r="D58" s="2" t="n">
        <x:f>COUNTIFS('Ratings'!$B$6:$B$1387,A58,'Ratings'!$F$6:$F$1387,2)</x:f>
        <x:v>9</x:v>
      </x:c>
      <x:c r="E58" s="2" t="n">
        <x:f>COUNTIFS('Ratings'!$B$6:$B$1387,A58,'Ratings'!$F$6:$F$1387,1)</x:f>
        <x:v>8</x:v>
      </x:c>
      <x:c r="F58" s="2" t="n">
        <x:f>IF(B58&lt;=C58,3,IF(B58&lt;=C58+D58,2,IF(B58&lt;=C58+D58+E58,1,0)))</x:f>
        <x:v>3</x:v>
      </x:c>
      <x:c r="G58" s="2" t="n">
        <x:f>2^F58-1</x:f>
        <x:v>7</x:v>
      </x:c>
      <x:c r="H58" s="14" t="n">
        <x:f>G58/LOG(B58+1,2)</x:f>
        <x:v>3.5</x:v>
      </x:c>
    </x:row>
    <x:row r="59" ht="22" customHeight="1">
      <x:c r="A59" s="2" t="str">
        <x:v>S06</x:v>
      </x:c>
      <x:c r="B59" s="2" t="n">
        <x:v>4</x:v>
      </x:c>
      <x:c r="C59" s="2" t="n">
        <x:f>COUNTIFS('Ratings'!$B$6:$B$1387,A59,'Ratings'!$F$6:$F$1387,3)</x:f>
        <x:v>8</x:v>
      </x:c>
      <x:c r="D59" s="2" t="n">
        <x:f>COUNTIFS('Ratings'!$B$6:$B$1387,A59,'Ratings'!$F$6:$F$1387,2)</x:f>
        <x:v>9</x:v>
      </x:c>
      <x:c r="E59" s="2" t="n">
        <x:f>COUNTIFS('Ratings'!$B$6:$B$1387,A59,'Ratings'!$F$6:$F$1387,1)</x:f>
        <x:v>8</x:v>
      </x:c>
      <x:c r="F59" s="2" t="n">
        <x:f>IF(B59&lt;=C59,3,IF(B59&lt;=C59+D59,2,IF(B59&lt;=C59+D59+E59,1,0)))</x:f>
        <x:v>3</x:v>
      </x:c>
      <x:c r="G59" s="2" t="n">
        <x:f>2^F59-1</x:f>
        <x:v>7</x:v>
      </x:c>
      <x:c r="H59" s="14" t="n">
        <x:f>G59/LOG(B59+1,2)</x:f>
        <x:v>3.0147359065137516</x:v>
      </x:c>
    </x:row>
    <x:row r="60" ht="22" customHeight="1">
      <x:c r="A60" s="2" t="str">
        <x:v>S06</x:v>
      </x:c>
      <x:c r="B60" s="2" t="n">
        <x:v>5</x:v>
      </x:c>
      <x:c r="C60" s="2" t="n">
        <x:f>COUNTIFS('Ratings'!$B$6:$B$1387,A60,'Ratings'!$F$6:$F$1387,3)</x:f>
        <x:v>8</x:v>
      </x:c>
      <x:c r="D60" s="2" t="n">
        <x:f>COUNTIFS('Ratings'!$B$6:$B$1387,A60,'Ratings'!$F$6:$F$1387,2)</x:f>
        <x:v>9</x:v>
      </x:c>
      <x:c r="E60" s="2" t="n">
        <x:f>COUNTIFS('Ratings'!$B$6:$B$1387,A60,'Ratings'!$F$6:$F$1387,1)</x:f>
        <x:v>8</x:v>
      </x:c>
      <x:c r="F60" s="2" t="n">
        <x:f>IF(B60&lt;=C60,3,IF(B60&lt;=C60+D60,2,IF(B60&lt;=C60+D60+E60,1,0)))</x:f>
        <x:v>3</x:v>
      </x:c>
      <x:c r="G60" s="2" t="n">
        <x:f>2^F60-1</x:f>
        <x:v>7</x:v>
      </x:c>
      <x:c r="H60" s="14" t="n">
        <x:f>G60/LOG(B60+1,2)</x:f>
        <x:v>2.7079696506417914</x:v>
      </x:c>
    </x:row>
    <x:row r="61" ht="22" customHeight="1">
      <x:c r="A61" s="2" t="str">
        <x:v>S06</x:v>
      </x:c>
      <x:c r="B61" s="2" t="n">
        <x:v>6</x:v>
      </x:c>
      <x:c r="C61" s="2" t="n">
        <x:f>COUNTIFS('Ratings'!$B$6:$B$1387,A61,'Ratings'!$F$6:$F$1387,3)</x:f>
        <x:v>8</x:v>
      </x:c>
      <x:c r="D61" s="2" t="n">
        <x:f>COUNTIFS('Ratings'!$B$6:$B$1387,A61,'Ratings'!$F$6:$F$1387,2)</x:f>
        <x:v>9</x:v>
      </x:c>
      <x:c r="E61" s="2" t="n">
        <x:f>COUNTIFS('Ratings'!$B$6:$B$1387,A61,'Ratings'!$F$6:$F$1387,1)</x:f>
        <x:v>8</x:v>
      </x:c>
      <x:c r="F61" s="2" t="n">
        <x:f>IF(B61&lt;=C61,3,IF(B61&lt;=C61+D61,2,IF(B61&lt;=C61+D61+E61,1,0)))</x:f>
        <x:v>3</x:v>
      </x:c>
      <x:c r="G61" s="2" t="n">
        <x:f>2^F61-1</x:f>
        <x:v>7</x:v>
      </x:c>
      <x:c r="H61" s="14" t="n">
        <x:f>G61/LOG(B61+1,2)</x:f>
        <x:v>2.493450309756155</x:v>
      </x:c>
    </x:row>
    <x:row r="62" ht="22" customHeight="1">
      <x:c r="A62" s="2" t="str">
        <x:v>S06</x:v>
      </x:c>
      <x:c r="B62" s="2" t="n">
        <x:v>7</x:v>
      </x:c>
      <x:c r="C62" s="2" t="n">
        <x:f>COUNTIFS('Ratings'!$B$6:$B$1387,A62,'Ratings'!$F$6:$F$1387,3)</x:f>
        <x:v>8</x:v>
      </x:c>
      <x:c r="D62" s="2" t="n">
        <x:f>COUNTIFS('Ratings'!$B$6:$B$1387,A62,'Ratings'!$F$6:$F$1387,2)</x:f>
        <x:v>9</x:v>
      </x:c>
      <x:c r="E62" s="2" t="n">
        <x:f>COUNTIFS('Ratings'!$B$6:$B$1387,A62,'Ratings'!$F$6:$F$1387,1)</x:f>
        <x:v>8</x:v>
      </x:c>
      <x:c r="F62" s="2" t="n">
        <x:f>IF(B62&lt;=C62,3,IF(B62&lt;=C62+D62,2,IF(B62&lt;=C62+D62+E62,1,0)))</x:f>
        <x:v>3</x:v>
      </x:c>
      <x:c r="G62" s="2" t="n">
        <x:f>2^F62-1</x:f>
        <x:v>7</x:v>
      </x:c>
      <x:c r="H62" s="14" t="n">
        <x:f>G62/LOG(B62+1,2)</x:f>
        <x:v>2.3333333333333335</x:v>
      </x:c>
    </x:row>
    <x:row r="63" ht="22" customHeight="1">
      <x:c r="A63" s="2" t="str">
        <x:v>S06</x:v>
      </x:c>
      <x:c r="B63" s="2" t="n">
        <x:v>8</x:v>
      </x:c>
      <x:c r="C63" s="2" t="n">
        <x:f>COUNTIFS('Ratings'!$B$6:$B$1387,A63,'Ratings'!$F$6:$F$1387,3)</x:f>
        <x:v>8</x:v>
      </x:c>
      <x:c r="D63" s="2" t="n">
        <x:f>COUNTIFS('Ratings'!$B$6:$B$1387,A63,'Ratings'!$F$6:$F$1387,2)</x:f>
        <x:v>9</x:v>
      </x:c>
      <x:c r="E63" s="2" t="n">
        <x:f>COUNTIFS('Ratings'!$B$6:$B$1387,A63,'Ratings'!$F$6:$F$1387,1)</x:f>
        <x:v>8</x:v>
      </x:c>
      <x:c r="F63" s="2" t="n">
        <x:f>IF(B63&lt;=C63,3,IF(B63&lt;=C63+D63,2,IF(B63&lt;=C63+D63+E63,1,0)))</x:f>
        <x:v>3</x:v>
      </x:c>
      <x:c r="G63" s="2" t="n">
        <x:f>2^F63-1</x:f>
        <x:v>7</x:v>
      </x:c>
      <x:c r="H63" s="14" t="n">
        <x:f>G63/LOG(B63+1,2)</x:f>
        <x:v>2.208254137500101</x:v>
      </x:c>
    </x:row>
    <x:row r="64" ht="22" customHeight="1">
      <x:c r="A64" s="2" t="str">
        <x:v>S06</x:v>
      </x:c>
      <x:c r="B64" s="2" t="n">
        <x:v>9</x:v>
      </x:c>
      <x:c r="C64" s="2" t="n">
        <x:f>COUNTIFS('Ratings'!$B$6:$B$1387,A64,'Ratings'!$F$6:$F$1387,3)</x:f>
        <x:v>8</x:v>
      </x:c>
      <x:c r="D64" s="2" t="n">
        <x:f>COUNTIFS('Ratings'!$B$6:$B$1387,A64,'Ratings'!$F$6:$F$1387,2)</x:f>
        <x:v>9</x:v>
      </x:c>
      <x:c r="E64" s="2" t="n">
        <x:f>COUNTIFS('Ratings'!$B$6:$B$1387,A64,'Ratings'!$F$6:$F$1387,1)</x:f>
        <x:v>8</x:v>
      </x:c>
      <x:c r="F64" s="2" t="n">
        <x:f>IF(B64&lt;=C64,3,IF(B64&lt;=C64+D64,2,IF(B64&lt;=C64+D64+E64,1,0)))</x:f>
        <x:v>2</x:v>
      </x:c>
      <x:c r="G64" s="2" t="n">
        <x:f>2^F64-1</x:f>
        <x:v>3</x:v>
      </x:c>
      <x:c r="H64" s="14" t="n">
        <x:f>G64/LOG(B64+1,2)</x:f>
        <x:v>0.9030899869919435</x:v>
      </x:c>
    </x:row>
    <x:row r="65" ht="22" customHeight="1">
      <x:c r="A65" s="2" t="str">
        <x:v>S06</x:v>
      </x:c>
      <x:c r="B65" s="2" t="n">
        <x:v>10</x:v>
      </x:c>
      <x:c r="C65" s="2" t="n">
        <x:f>COUNTIFS('Ratings'!$B$6:$B$1387,A65,'Ratings'!$F$6:$F$1387,3)</x:f>
        <x:v>8</x:v>
      </x:c>
      <x:c r="D65" s="2" t="n">
        <x:f>COUNTIFS('Ratings'!$B$6:$B$1387,A65,'Ratings'!$F$6:$F$1387,2)</x:f>
        <x:v>9</x:v>
      </x:c>
      <x:c r="E65" s="2" t="n">
        <x:f>COUNTIFS('Ratings'!$B$6:$B$1387,A65,'Ratings'!$F$6:$F$1387,1)</x:f>
        <x:v>8</x:v>
      </x:c>
      <x:c r="F65" s="2" t="n">
        <x:f>IF(B65&lt;=C65,3,IF(B65&lt;=C65+D65,2,IF(B65&lt;=C65+D65+E65,1,0)))</x:f>
        <x:v>2</x:v>
      </x:c>
      <x:c r="G65" s="2" t="n">
        <x:f>2^F65-1</x:f>
        <x:v>3</x:v>
      </x:c>
      <x:c r="H65" s="14" t="n">
        <x:f>G65/LOG(B65+1,2)</x:f>
        <x:v>0.8671944789536634</x:v>
      </x:c>
    </x:row>
    <x:row r="66" ht="22" customHeight="1">
      <x:c r="A66" s="2" t="str">
        <x:v>S07</x:v>
      </x:c>
      <x:c r="B66" s="2" t="n">
        <x:v>1</x:v>
      </x:c>
      <x:c r="C66" s="2" t="n">
        <x:f>COUNTIFS('Ratings'!$B$6:$B$1387,A66,'Ratings'!$F$6:$F$1387,3)</x:f>
        <x:v>4</x:v>
      </x:c>
      <x:c r="D66" s="2" t="n">
        <x:f>COUNTIFS('Ratings'!$B$6:$B$1387,A66,'Ratings'!$F$6:$F$1387,2)</x:f>
        <x:v>13</x:v>
      </x:c>
      <x:c r="E66" s="2" t="n">
        <x:f>COUNTIFS('Ratings'!$B$6:$B$1387,A66,'Ratings'!$F$6:$F$1387,1)</x:f>
        <x:v>8</x:v>
      </x:c>
      <x:c r="F66" s="2" t="n">
        <x:f>IF(B66&lt;=C66,3,IF(B66&lt;=C66+D66,2,IF(B66&lt;=C66+D66+E66,1,0)))</x:f>
        <x:v>3</x:v>
      </x:c>
      <x:c r="G66" s="2" t="n">
        <x:f>2^F66-1</x:f>
        <x:v>7</x:v>
      </x:c>
      <x:c r="H66" s="14" t="n">
        <x:f>G66/LOG(B66+1,2)</x:f>
        <x:v>7</x:v>
      </x:c>
    </x:row>
    <x:row r="67" ht="22" customHeight="1">
      <x:c r="A67" s="2" t="str">
        <x:v>S07</x:v>
      </x:c>
      <x:c r="B67" s="2" t="n">
        <x:v>2</x:v>
      </x:c>
      <x:c r="C67" s="2" t="n">
        <x:f>COUNTIFS('Ratings'!$B$6:$B$1387,A67,'Ratings'!$F$6:$F$1387,3)</x:f>
        <x:v>4</x:v>
      </x:c>
      <x:c r="D67" s="2" t="n">
        <x:f>COUNTIFS('Ratings'!$B$6:$B$1387,A67,'Ratings'!$F$6:$F$1387,2)</x:f>
        <x:v>13</x:v>
      </x:c>
      <x:c r="E67" s="2" t="n">
        <x:f>COUNTIFS('Ratings'!$B$6:$B$1387,A67,'Ratings'!$F$6:$F$1387,1)</x:f>
        <x:v>8</x:v>
      </x:c>
      <x:c r="F67" s="2" t="n">
        <x:f>IF(B67&lt;=C67,3,IF(B67&lt;=C67+D67,2,IF(B67&lt;=C67+D67+E67,1,0)))</x:f>
        <x:v>3</x:v>
      </x:c>
      <x:c r="G67" s="2" t="n">
        <x:f>2^F67-1</x:f>
        <x:v>7</x:v>
      </x:c>
      <x:c r="H67" s="14" t="n">
        <x:f>G67/LOG(B67+1,2)</x:f>
        <x:v>4.4165082750002025</x:v>
      </x:c>
    </x:row>
    <x:row r="68" ht="22" customHeight="1">
      <x:c r="A68" s="2" t="str">
        <x:v>S07</x:v>
      </x:c>
      <x:c r="B68" s="2" t="n">
        <x:v>3</x:v>
      </x:c>
      <x:c r="C68" s="2" t="n">
        <x:f>COUNTIFS('Ratings'!$B$6:$B$1387,A68,'Ratings'!$F$6:$F$1387,3)</x:f>
        <x:v>4</x:v>
      </x:c>
      <x:c r="D68" s="2" t="n">
        <x:f>COUNTIFS('Ratings'!$B$6:$B$1387,A68,'Ratings'!$F$6:$F$1387,2)</x:f>
        <x:v>13</x:v>
      </x:c>
      <x:c r="E68" s="2" t="n">
        <x:f>COUNTIFS('Ratings'!$B$6:$B$1387,A68,'Ratings'!$F$6:$F$1387,1)</x:f>
        <x:v>8</x:v>
      </x:c>
      <x:c r="F68" s="2" t="n">
        <x:f>IF(B68&lt;=C68,3,IF(B68&lt;=C68+D68,2,IF(B68&lt;=C68+D68+E68,1,0)))</x:f>
        <x:v>3</x:v>
      </x:c>
      <x:c r="G68" s="2" t="n">
        <x:f>2^F68-1</x:f>
        <x:v>7</x:v>
      </x:c>
      <x:c r="H68" s="14" t="n">
        <x:f>G68/LOG(B68+1,2)</x:f>
        <x:v>3.5</x:v>
      </x:c>
    </x:row>
    <x:row r="69" ht="22" customHeight="1">
      <x:c r="A69" s="2" t="str">
        <x:v>S07</x:v>
      </x:c>
      <x:c r="B69" s="2" t="n">
        <x:v>4</x:v>
      </x:c>
      <x:c r="C69" s="2" t="n">
        <x:f>COUNTIFS('Ratings'!$B$6:$B$1387,A69,'Ratings'!$F$6:$F$1387,3)</x:f>
        <x:v>4</x:v>
      </x:c>
      <x:c r="D69" s="2" t="n">
        <x:f>COUNTIFS('Ratings'!$B$6:$B$1387,A69,'Ratings'!$F$6:$F$1387,2)</x:f>
        <x:v>13</x:v>
      </x:c>
      <x:c r="E69" s="2" t="n">
        <x:f>COUNTIFS('Ratings'!$B$6:$B$1387,A69,'Ratings'!$F$6:$F$1387,1)</x:f>
        <x:v>8</x:v>
      </x:c>
      <x:c r="F69" s="2" t="n">
        <x:f>IF(B69&lt;=C69,3,IF(B69&lt;=C69+D69,2,IF(B69&lt;=C69+D69+E69,1,0)))</x:f>
        <x:v>3</x:v>
      </x:c>
      <x:c r="G69" s="2" t="n">
        <x:f>2^F69-1</x:f>
        <x:v>7</x:v>
      </x:c>
      <x:c r="H69" s="14" t="n">
        <x:f>G69/LOG(B69+1,2)</x:f>
        <x:v>3.0147359065137516</x:v>
      </x:c>
    </x:row>
    <x:row r="70" ht="22" customHeight="1">
      <x:c r="A70" s="2" t="str">
        <x:v>S07</x:v>
      </x:c>
      <x:c r="B70" s="2" t="n">
        <x:v>5</x:v>
      </x:c>
      <x:c r="C70" s="2" t="n">
        <x:f>COUNTIFS('Ratings'!$B$6:$B$1387,A70,'Ratings'!$F$6:$F$1387,3)</x:f>
        <x:v>4</x:v>
      </x:c>
      <x:c r="D70" s="2" t="n">
        <x:f>COUNTIFS('Ratings'!$B$6:$B$1387,A70,'Ratings'!$F$6:$F$1387,2)</x:f>
        <x:v>13</x:v>
      </x:c>
      <x:c r="E70" s="2" t="n">
        <x:f>COUNTIFS('Ratings'!$B$6:$B$1387,A70,'Ratings'!$F$6:$F$1387,1)</x:f>
        <x:v>8</x:v>
      </x:c>
      <x:c r="F70" s="2" t="n">
        <x:f>IF(B70&lt;=C70,3,IF(B70&lt;=C70+D70,2,IF(B70&lt;=C70+D70+E70,1,0)))</x:f>
        <x:v>2</x:v>
      </x:c>
      <x:c r="G70" s="2" t="n">
        <x:f>2^F70-1</x:f>
        <x:v>3</x:v>
      </x:c>
      <x:c r="H70" s="14" t="n">
        <x:f>G70/LOG(B70+1,2)</x:f>
        <x:v>1.1605584217036249</x:v>
      </x:c>
    </x:row>
    <x:row r="71" ht="22" customHeight="1">
      <x:c r="A71" s="2" t="str">
        <x:v>S07</x:v>
      </x:c>
      <x:c r="B71" s="2" t="n">
        <x:v>6</x:v>
      </x:c>
      <x:c r="C71" s="2" t="n">
        <x:f>COUNTIFS('Ratings'!$B$6:$B$1387,A71,'Ratings'!$F$6:$F$1387,3)</x:f>
        <x:v>4</x:v>
      </x:c>
      <x:c r="D71" s="2" t="n">
        <x:f>COUNTIFS('Ratings'!$B$6:$B$1387,A71,'Ratings'!$F$6:$F$1387,2)</x:f>
        <x:v>13</x:v>
      </x:c>
      <x:c r="E71" s="2" t="n">
        <x:f>COUNTIFS('Ratings'!$B$6:$B$1387,A71,'Ratings'!$F$6:$F$1387,1)</x:f>
        <x:v>8</x:v>
      </x:c>
      <x:c r="F71" s="2" t="n">
        <x:f>IF(B71&lt;=C71,3,IF(B71&lt;=C71+D71,2,IF(B71&lt;=C71+D71+E71,1,0)))</x:f>
        <x:v>2</x:v>
      </x:c>
      <x:c r="G71" s="2" t="n">
        <x:f>2^F71-1</x:f>
        <x:v>3</x:v>
      </x:c>
      <x:c r="H71" s="14" t="n">
        <x:f>G71/LOG(B71+1,2)</x:f>
        <x:v>1.0686215613240666</x:v>
      </x:c>
    </x:row>
    <x:row r="72" ht="22" customHeight="1">
      <x:c r="A72" s="2" t="str">
        <x:v>S07</x:v>
      </x:c>
      <x:c r="B72" s="2" t="n">
        <x:v>7</x:v>
      </x:c>
      <x:c r="C72" s="2" t="n">
        <x:f>COUNTIFS('Ratings'!$B$6:$B$1387,A72,'Ratings'!$F$6:$F$1387,3)</x:f>
        <x:v>4</x:v>
      </x:c>
      <x:c r="D72" s="2" t="n">
        <x:f>COUNTIFS('Ratings'!$B$6:$B$1387,A72,'Ratings'!$F$6:$F$1387,2)</x:f>
        <x:v>13</x:v>
      </x:c>
      <x:c r="E72" s="2" t="n">
        <x:f>COUNTIFS('Ratings'!$B$6:$B$1387,A72,'Ratings'!$F$6:$F$1387,1)</x:f>
        <x:v>8</x:v>
      </x:c>
      <x:c r="F72" s="2" t="n">
        <x:f>IF(B72&lt;=C72,3,IF(B72&lt;=C72+D72,2,IF(B72&lt;=C72+D72+E72,1,0)))</x:f>
        <x:v>2</x:v>
      </x:c>
      <x:c r="G72" s="2" t="n">
        <x:f>2^F72-1</x:f>
        <x:v>3</x:v>
      </x:c>
      <x:c r="H72" s="14" t="n">
        <x:f>G72/LOG(B72+1,2)</x:f>
        <x:v>1</x:v>
      </x:c>
    </x:row>
    <x:row r="73" ht="22" customHeight="1">
      <x:c r="A73" s="2" t="str">
        <x:v>S07</x:v>
      </x:c>
      <x:c r="B73" s="2" t="n">
        <x:v>8</x:v>
      </x:c>
      <x:c r="C73" s="2" t="n">
        <x:f>COUNTIFS('Ratings'!$B$6:$B$1387,A73,'Ratings'!$F$6:$F$1387,3)</x:f>
        <x:v>4</x:v>
      </x:c>
      <x:c r="D73" s="2" t="n">
        <x:f>COUNTIFS('Ratings'!$B$6:$B$1387,A73,'Ratings'!$F$6:$F$1387,2)</x:f>
        <x:v>13</x:v>
      </x:c>
      <x:c r="E73" s="2" t="n">
        <x:f>COUNTIFS('Ratings'!$B$6:$B$1387,A73,'Ratings'!$F$6:$F$1387,1)</x:f>
        <x:v>8</x:v>
      </x:c>
      <x:c r="F73" s="2" t="n">
        <x:f>IF(B73&lt;=C73,3,IF(B73&lt;=C73+D73,2,IF(B73&lt;=C73+D73+E73,1,0)))</x:f>
        <x:v>2</x:v>
      </x:c>
      <x:c r="G73" s="2" t="n">
        <x:f>2^F73-1</x:f>
        <x:v>3</x:v>
      </x:c>
      <x:c r="H73" s="14" t="n">
        <x:f>G73/LOG(B73+1,2)</x:f>
        <x:v>0.9463946303571861</x:v>
      </x:c>
    </x:row>
    <x:row r="74" ht="22" customHeight="1">
      <x:c r="A74" s="2" t="str">
        <x:v>S07</x:v>
      </x:c>
      <x:c r="B74" s="2" t="n">
        <x:v>9</x:v>
      </x:c>
      <x:c r="C74" s="2" t="n">
        <x:f>COUNTIFS('Ratings'!$B$6:$B$1387,A74,'Ratings'!$F$6:$F$1387,3)</x:f>
        <x:v>4</x:v>
      </x:c>
      <x:c r="D74" s="2" t="n">
        <x:f>COUNTIFS('Ratings'!$B$6:$B$1387,A74,'Ratings'!$F$6:$F$1387,2)</x:f>
        <x:v>13</x:v>
      </x:c>
      <x:c r="E74" s="2" t="n">
        <x:f>COUNTIFS('Ratings'!$B$6:$B$1387,A74,'Ratings'!$F$6:$F$1387,1)</x:f>
        <x:v>8</x:v>
      </x:c>
      <x:c r="F74" s="2" t="n">
        <x:f>IF(B74&lt;=C74,3,IF(B74&lt;=C74+D74,2,IF(B74&lt;=C74+D74+E74,1,0)))</x:f>
        <x:v>2</x:v>
      </x:c>
      <x:c r="G74" s="2" t="n">
        <x:f>2^F74-1</x:f>
        <x:v>3</x:v>
      </x:c>
      <x:c r="H74" s="14" t="n">
        <x:f>G74/LOG(B74+1,2)</x:f>
        <x:v>0.9030899869919435</x:v>
      </x:c>
    </x:row>
    <x:row r="75" ht="22" customHeight="1">
      <x:c r="A75" s="2" t="str">
        <x:v>S07</x:v>
      </x:c>
      <x:c r="B75" s="2" t="n">
        <x:v>10</x:v>
      </x:c>
      <x:c r="C75" s="2" t="n">
        <x:f>COUNTIFS('Ratings'!$B$6:$B$1387,A75,'Ratings'!$F$6:$F$1387,3)</x:f>
        <x:v>4</x:v>
      </x:c>
      <x:c r="D75" s="2" t="n">
        <x:f>COUNTIFS('Ratings'!$B$6:$B$1387,A75,'Ratings'!$F$6:$F$1387,2)</x:f>
        <x:v>13</x:v>
      </x:c>
      <x:c r="E75" s="2" t="n">
        <x:f>COUNTIFS('Ratings'!$B$6:$B$1387,A75,'Ratings'!$F$6:$F$1387,1)</x:f>
        <x:v>8</x:v>
      </x:c>
      <x:c r="F75" s="2" t="n">
        <x:f>IF(B75&lt;=C75,3,IF(B75&lt;=C75+D75,2,IF(B75&lt;=C75+D75+E75,1,0)))</x:f>
        <x:v>2</x:v>
      </x:c>
      <x:c r="G75" s="2" t="n">
        <x:f>2^F75-1</x:f>
        <x:v>3</x:v>
      </x:c>
      <x:c r="H75" s="14" t="n">
        <x:f>G75/LOG(B75+1,2)</x:f>
        <x:v>0.8671944789536634</x:v>
      </x:c>
    </x:row>
    <x:row r="76" ht="22" customHeight="1">
      <x:c r="A76" s="2" t="str">
        <x:v>S08</x:v>
      </x:c>
      <x:c r="B76" s="2" t="n">
        <x:v>1</x:v>
      </x:c>
      <x:c r="C76" s="2" t="n">
        <x:f>COUNTIFS('Ratings'!$B$6:$B$1387,A76,'Ratings'!$F$6:$F$1387,3)</x:f>
        <x:v>1</x:v>
      </x:c>
      <x:c r="D76" s="2" t="n">
        <x:f>COUNTIFS('Ratings'!$B$6:$B$1387,A76,'Ratings'!$F$6:$F$1387,2)</x:f>
        <x:v>11</x:v>
      </x:c>
      <x:c r="E76" s="2" t="n">
        <x:f>COUNTIFS('Ratings'!$B$6:$B$1387,A76,'Ratings'!$F$6:$F$1387,1)</x:f>
        <x:v>16</x:v>
      </x:c>
      <x:c r="F76" s="2" t="n">
        <x:f>IF(B76&lt;=C76,3,IF(B76&lt;=C76+D76,2,IF(B76&lt;=C76+D76+E76,1,0)))</x:f>
        <x:v>3</x:v>
      </x:c>
      <x:c r="G76" s="2" t="n">
        <x:f>2^F76-1</x:f>
        <x:v>7</x:v>
      </x:c>
      <x:c r="H76" s="14" t="n">
        <x:f>G76/LOG(B76+1,2)</x:f>
        <x:v>7</x:v>
      </x:c>
    </x:row>
    <x:row r="77" ht="22" customHeight="1">
      <x:c r="A77" s="2" t="str">
        <x:v>S08</x:v>
      </x:c>
      <x:c r="B77" s="2" t="n">
        <x:v>2</x:v>
      </x:c>
      <x:c r="C77" s="2" t="n">
        <x:f>COUNTIFS('Ratings'!$B$6:$B$1387,A77,'Ratings'!$F$6:$F$1387,3)</x:f>
        <x:v>1</x:v>
      </x:c>
      <x:c r="D77" s="2" t="n">
        <x:f>COUNTIFS('Ratings'!$B$6:$B$1387,A77,'Ratings'!$F$6:$F$1387,2)</x:f>
        <x:v>11</x:v>
      </x:c>
      <x:c r="E77" s="2" t="n">
        <x:f>COUNTIFS('Ratings'!$B$6:$B$1387,A77,'Ratings'!$F$6:$F$1387,1)</x:f>
        <x:v>16</x:v>
      </x:c>
      <x:c r="F77" s="2" t="n">
        <x:f>IF(B77&lt;=C77,3,IF(B77&lt;=C77+D77,2,IF(B77&lt;=C77+D77+E77,1,0)))</x:f>
        <x:v>2</x:v>
      </x:c>
      <x:c r="G77" s="2" t="n">
        <x:f>2^F77-1</x:f>
        <x:v>3</x:v>
      </x:c>
      <x:c r="H77" s="14" t="n">
        <x:f>G77/LOG(B77+1,2)</x:f>
        <x:v>1.8927892607143724</x:v>
      </x:c>
    </x:row>
    <x:row r="78" ht="22" customHeight="1">
      <x:c r="A78" s="2" t="str">
        <x:v>S08</x:v>
      </x:c>
      <x:c r="B78" s="2" t="n">
        <x:v>3</x:v>
      </x:c>
      <x:c r="C78" s="2" t="n">
        <x:f>COUNTIFS('Ratings'!$B$6:$B$1387,A78,'Ratings'!$F$6:$F$1387,3)</x:f>
        <x:v>1</x:v>
      </x:c>
      <x:c r="D78" s="2" t="n">
        <x:f>COUNTIFS('Ratings'!$B$6:$B$1387,A78,'Ratings'!$F$6:$F$1387,2)</x:f>
        <x:v>11</x:v>
      </x:c>
      <x:c r="E78" s="2" t="n">
        <x:f>COUNTIFS('Ratings'!$B$6:$B$1387,A78,'Ratings'!$F$6:$F$1387,1)</x:f>
        <x:v>16</x:v>
      </x:c>
      <x:c r="F78" s="2" t="n">
        <x:f>IF(B78&lt;=C78,3,IF(B78&lt;=C78+D78,2,IF(B78&lt;=C78+D78+E78,1,0)))</x:f>
        <x:v>2</x:v>
      </x:c>
      <x:c r="G78" s="2" t="n">
        <x:f>2^F78-1</x:f>
        <x:v>3</x:v>
      </x:c>
      <x:c r="H78" s="14" t="n">
        <x:f>G78/LOG(B78+1,2)</x:f>
        <x:v>1.5</x:v>
      </x:c>
    </x:row>
    <x:row r="79" ht="22" customHeight="1">
      <x:c r="A79" s="2" t="str">
        <x:v>S08</x:v>
      </x:c>
      <x:c r="B79" s="2" t="n">
        <x:v>4</x:v>
      </x:c>
      <x:c r="C79" s="2" t="n">
        <x:f>COUNTIFS('Ratings'!$B$6:$B$1387,A79,'Ratings'!$F$6:$F$1387,3)</x:f>
        <x:v>1</x:v>
      </x:c>
      <x:c r="D79" s="2" t="n">
        <x:f>COUNTIFS('Ratings'!$B$6:$B$1387,A79,'Ratings'!$F$6:$F$1387,2)</x:f>
        <x:v>11</x:v>
      </x:c>
      <x:c r="E79" s="2" t="n">
        <x:f>COUNTIFS('Ratings'!$B$6:$B$1387,A79,'Ratings'!$F$6:$F$1387,1)</x:f>
        <x:v>16</x:v>
      </x:c>
      <x:c r="F79" s="2" t="n">
        <x:f>IF(B79&lt;=C79,3,IF(B79&lt;=C79+D79,2,IF(B79&lt;=C79+D79+E79,1,0)))</x:f>
        <x:v>2</x:v>
      </x:c>
      <x:c r="G79" s="2" t="n">
        <x:f>2^F79-1</x:f>
        <x:v>3</x:v>
      </x:c>
      <x:c r="H79" s="14" t="n">
        <x:f>G79/LOG(B79+1,2)</x:f>
        <x:v>1.2920296742201793</x:v>
      </x:c>
    </x:row>
    <x:row r="80" ht="22" customHeight="1">
      <x:c r="A80" s="2" t="str">
        <x:v>S08</x:v>
      </x:c>
      <x:c r="B80" s="2" t="n">
        <x:v>5</x:v>
      </x:c>
      <x:c r="C80" s="2" t="n">
        <x:f>COUNTIFS('Ratings'!$B$6:$B$1387,A80,'Ratings'!$F$6:$F$1387,3)</x:f>
        <x:v>1</x:v>
      </x:c>
      <x:c r="D80" s="2" t="n">
        <x:f>COUNTIFS('Ratings'!$B$6:$B$1387,A80,'Ratings'!$F$6:$F$1387,2)</x:f>
        <x:v>11</x:v>
      </x:c>
      <x:c r="E80" s="2" t="n">
        <x:f>COUNTIFS('Ratings'!$B$6:$B$1387,A80,'Ratings'!$F$6:$F$1387,1)</x:f>
        <x:v>16</x:v>
      </x:c>
      <x:c r="F80" s="2" t="n">
        <x:f>IF(B80&lt;=C80,3,IF(B80&lt;=C80+D80,2,IF(B80&lt;=C80+D80+E80,1,0)))</x:f>
        <x:v>2</x:v>
      </x:c>
      <x:c r="G80" s="2" t="n">
        <x:f>2^F80-1</x:f>
        <x:v>3</x:v>
      </x:c>
      <x:c r="H80" s="14" t="n">
        <x:f>G80/LOG(B80+1,2)</x:f>
        <x:v>1.1605584217036249</x:v>
      </x:c>
    </x:row>
    <x:row r="81" ht="22" customHeight="1">
      <x:c r="A81" s="2" t="str">
        <x:v>S08</x:v>
      </x:c>
      <x:c r="B81" s="2" t="n">
        <x:v>6</x:v>
      </x:c>
      <x:c r="C81" s="2" t="n">
        <x:f>COUNTIFS('Ratings'!$B$6:$B$1387,A81,'Ratings'!$F$6:$F$1387,3)</x:f>
        <x:v>1</x:v>
      </x:c>
      <x:c r="D81" s="2" t="n">
        <x:f>COUNTIFS('Ratings'!$B$6:$B$1387,A81,'Ratings'!$F$6:$F$1387,2)</x:f>
        <x:v>11</x:v>
      </x:c>
      <x:c r="E81" s="2" t="n">
        <x:f>COUNTIFS('Ratings'!$B$6:$B$1387,A81,'Ratings'!$F$6:$F$1387,1)</x:f>
        <x:v>16</x:v>
      </x:c>
      <x:c r="F81" s="2" t="n">
        <x:f>IF(B81&lt;=C81,3,IF(B81&lt;=C81+D81,2,IF(B81&lt;=C81+D81+E81,1,0)))</x:f>
        <x:v>2</x:v>
      </x:c>
      <x:c r="G81" s="2" t="n">
        <x:f>2^F81-1</x:f>
        <x:v>3</x:v>
      </x:c>
      <x:c r="H81" s="14" t="n">
        <x:f>G81/LOG(B81+1,2)</x:f>
        <x:v>1.0686215613240666</x:v>
      </x:c>
    </x:row>
    <x:row r="82" ht="22" customHeight="1">
      <x:c r="A82" s="2" t="str">
        <x:v>S08</x:v>
      </x:c>
      <x:c r="B82" s="2" t="n">
        <x:v>7</x:v>
      </x:c>
      <x:c r="C82" s="2" t="n">
        <x:f>COUNTIFS('Ratings'!$B$6:$B$1387,A82,'Ratings'!$F$6:$F$1387,3)</x:f>
        <x:v>1</x:v>
      </x:c>
      <x:c r="D82" s="2" t="n">
        <x:f>COUNTIFS('Ratings'!$B$6:$B$1387,A82,'Ratings'!$F$6:$F$1387,2)</x:f>
        <x:v>11</x:v>
      </x:c>
      <x:c r="E82" s="2" t="n">
        <x:f>COUNTIFS('Ratings'!$B$6:$B$1387,A82,'Ratings'!$F$6:$F$1387,1)</x:f>
        <x:v>16</x:v>
      </x:c>
      <x:c r="F82" s="2" t="n">
        <x:f>IF(B82&lt;=C82,3,IF(B82&lt;=C82+D82,2,IF(B82&lt;=C82+D82+E82,1,0)))</x:f>
        <x:v>2</x:v>
      </x:c>
      <x:c r="G82" s="2" t="n">
        <x:f>2^F82-1</x:f>
        <x:v>3</x:v>
      </x:c>
      <x:c r="H82" s="14" t="n">
        <x:f>G82/LOG(B82+1,2)</x:f>
        <x:v>1</x:v>
      </x:c>
    </x:row>
    <x:row r="83" ht="22" customHeight="1">
      <x:c r="A83" s="2" t="str">
        <x:v>S08</x:v>
      </x:c>
      <x:c r="B83" s="2" t="n">
        <x:v>8</x:v>
      </x:c>
      <x:c r="C83" s="2" t="n">
        <x:f>COUNTIFS('Ratings'!$B$6:$B$1387,A83,'Ratings'!$F$6:$F$1387,3)</x:f>
        <x:v>1</x:v>
      </x:c>
      <x:c r="D83" s="2" t="n">
        <x:f>COUNTIFS('Ratings'!$B$6:$B$1387,A83,'Ratings'!$F$6:$F$1387,2)</x:f>
        <x:v>11</x:v>
      </x:c>
      <x:c r="E83" s="2" t="n">
        <x:f>COUNTIFS('Ratings'!$B$6:$B$1387,A83,'Ratings'!$F$6:$F$1387,1)</x:f>
        <x:v>16</x:v>
      </x:c>
      <x:c r="F83" s="2" t="n">
        <x:f>IF(B83&lt;=C83,3,IF(B83&lt;=C83+D83,2,IF(B83&lt;=C83+D83+E83,1,0)))</x:f>
        <x:v>2</x:v>
      </x:c>
      <x:c r="G83" s="2" t="n">
        <x:f>2^F83-1</x:f>
        <x:v>3</x:v>
      </x:c>
      <x:c r="H83" s="14" t="n">
        <x:f>G83/LOG(B83+1,2)</x:f>
        <x:v>0.9463946303571861</x:v>
      </x:c>
    </x:row>
    <x:row r="84" ht="22" customHeight="1">
      <x:c r="A84" s="2" t="str">
        <x:v>S08</x:v>
      </x:c>
      <x:c r="B84" s="2" t="n">
        <x:v>9</x:v>
      </x:c>
      <x:c r="C84" s="2" t="n">
        <x:f>COUNTIFS('Ratings'!$B$6:$B$1387,A84,'Ratings'!$F$6:$F$1387,3)</x:f>
        <x:v>1</x:v>
      </x:c>
      <x:c r="D84" s="2" t="n">
        <x:f>COUNTIFS('Ratings'!$B$6:$B$1387,A84,'Ratings'!$F$6:$F$1387,2)</x:f>
        <x:v>11</x:v>
      </x:c>
      <x:c r="E84" s="2" t="n">
        <x:f>COUNTIFS('Ratings'!$B$6:$B$1387,A84,'Ratings'!$F$6:$F$1387,1)</x:f>
        <x:v>16</x:v>
      </x:c>
      <x:c r="F84" s="2" t="n">
        <x:f>IF(B84&lt;=C84,3,IF(B84&lt;=C84+D84,2,IF(B84&lt;=C84+D84+E84,1,0)))</x:f>
        <x:v>2</x:v>
      </x:c>
      <x:c r="G84" s="2" t="n">
        <x:f>2^F84-1</x:f>
        <x:v>3</x:v>
      </x:c>
      <x:c r="H84" s="14" t="n">
        <x:f>G84/LOG(B84+1,2)</x:f>
        <x:v>0.9030899869919435</x:v>
      </x:c>
    </x:row>
    <x:row r="85" ht="22" customHeight="1">
      <x:c r="A85" s="2" t="str">
        <x:v>S08</x:v>
      </x:c>
      <x:c r="B85" s="2" t="n">
        <x:v>10</x:v>
      </x:c>
      <x:c r="C85" s="2" t="n">
        <x:f>COUNTIFS('Ratings'!$B$6:$B$1387,A85,'Ratings'!$F$6:$F$1387,3)</x:f>
        <x:v>1</x:v>
      </x:c>
      <x:c r="D85" s="2" t="n">
        <x:f>COUNTIFS('Ratings'!$B$6:$B$1387,A85,'Ratings'!$F$6:$F$1387,2)</x:f>
        <x:v>11</x:v>
      </x:c>
      <x:c r="E85" s="2" t="n">
        <x:f>COUNTIFS('Ratings'!$B$6:$B$1387,A85,'Ratings'!$F$6:$F$1387,1)</x:f>
        <x:v>16</x:v>
      </x:c>
      <x:c r="F85" s="2" t="n">
        <x:f>IF(B85&lt;=C85,3,IF(B85&lt;=C85+D85,2,IF(B85&lt;=C85+D85+E85,1,0)))</x:f>
        <x:v>2</x:v>
      </x:c>
      <x:c r="G85" s="2" t="n">
        <x:f>2^F85-1</x:f>
        <x:v>3</x:v>
      </x:c>
      <x:c r="H85" s="14" t="n">
        <x:f>G85/LOG(B85+1,2)</x:f>
        <x:v>0.8671944789536634</x:v>
      </x:c>
    </x:row>
    <x:row r="86" ht="22" customHeight="1">
      <x:c r="A86" s="2" t="str">
        <x:v>S09</x:v>
      </x:c>
      <x:c r="B86" s="2" t="n">
        <x:v>1</x:v>
      </x:c>
      <x:c r="C86" s="2" t="n">
        <x:f>COUNTIFS('Ratings'!$B$6:$B$1387,A86,'Ratings'!$F$6:$F$1387,3)</x:f>
        <x:v>11</x:v>
      </x:c>
      <x:c r="D86" s="2" t="n">
        <x:f>COUNTIFS('Ratings'!$B$6:$B$1387,A86,'Ratings'!$F$6:$F$1387,2)</x:f>
        <x:v>9</x:v>
      </x:c>
      <x:c r="E86" s="2" t="n">
        <x:f>COUNTIFS('Ratings'!$B$6:$B$1387,A86,'Ratings'!$F$6:$F$1387,1)</x:f>
        <x:v>11</x:v>
      </x:c>
      <x:c r="F86" s="2" t="n">
        <x:f>IF(B86&lt;=C86,3,IF(B86&lt;=C86+D86,2,IF(B86&lt;=C86+D86+E86,1,0)))</x:f>
        <x:v>3</x:v>
      </x:c>
      <x:c r="G86" s="2" t="n">
        <x:f>2^F86-1</x:f>
        <x:v>7</x:v>
      </x:c>
      <x:c r="H86" s="14" t="n">
        <x:f>G86/LOG(B86+1,2)</x:f>
        <x:v>7</x:v>
      </x:c>
    </x:row>
    <x:row r="87" ht="22" customHeight="1">
      <x:c r="A87" s="2" t="str">
        <x:v>S09</x:v>
      </x:c>
      <x:c r="B87" s="2" t="n">
        <x:v>2</x:v>
      </x:c>
      <x:c r="C87" s="2" t="n">
        <x:f>COUNTIFS('Ratings'!$B$6:$B$1387,A87,'Ratings'!$F$6:$F$1387,3)</x:f>
        <x:v>11</x:v>
      </x:c>
      <x:c r="D87" s="2" t="n">
        <x:f>COUNTIFS('Ratings'!$B$6:$B$1387,A87,'Ratings'!$F$6:$F$1387,2)</x:f>
        <x:v>9</x:v>
      </x:c>
      <x:c r="E87" s="2" t="n">
        <x:f>COUNTIFS('Ratings'!$B$6:$B$1387,A87,'Ratings'!$F$6:$F$1387,1)</x:f>
        <x:v>11</x:v>
      </x:c>
      <x:c r="F87" s="2" t="n">
        <x:f>IF(B87&lt;=C87,3,IF(B87&lt;=C87+D87,2,IF(B87&lt;=C87+D87+E87,1,0)))</x:f>
        <x:v>3</x:v>
      </x:c>
      <x:c r="G87" s="2" t="n">
        <x:f>2^F87-1</x:f>
        <x:v>7</x:v>
      </x:c>
      <x:c r="H87" s="14" t="n">
        <x:f>G87/LOG(B87+1,2)</x:f>
        <x:v>4.4165082750002025</x:v>
      </x:c>
    </x:row>
    <x:row r="88" ht="22" customHeight="1">
      <x:c r="A88" s="2" t="str">
        <x:v>S09</x:v>
      </x:c>
      <x:c r="B88" s="2" t="n">
        <x:v>3</x:v>
      </x:c>
      <x:c r="C88" s="2" t="n">
        <x:f>COUNTIFS('Ratings'!$B$6:$B$1387,A88,'Ratings'!$F$6:$F$1387,3)</x:f>
        <x:v>11</x:v>
      </x:c>
      <x:c r="D88" s="2" t="n">
        <x:f>COUNTIFS('Ratings'!$B$6:$B$1387,A88,'Ratings'!$F$6:$F$1387,2)</x:f>
        <x:v>9</x:v>
      </x:c>
      <x:c r="E88" s="2" t="n">
        <x:f>COUNTIFS('Ratings'!$B$6:$B$1387,A88,'Ratings'!$F$6:$F$1387,1)</x:f>
        <x:v>11</x:v>
      </x:c>
      <x:c r="F88" s="2" t="n">
        <x:f>IF(B88&lt;=C88,3,IF(B88&lt;=C88+D88,2,IF(B88&lt;=C88+D88+E88,1,0)))</x:f>
        <x:v>3</x:v>
      </x:c>
      <x:c r="G88" s="2" t="n">
        <x:f>2^F88-1</x:f>
        <x:v>7</x:v>
      </x:c>
      <x:c r="H88" s="14" t="n">
        <x:f>G88/LOG(B88+1,2)</x:f>
        <x:v>3.5</x:v>
      </x:c>
    </x:row>
    <x:row r="89" ht="22" customHeight="1">
      <x:c r="A89" s="2" t="str">
        <x:v>S09</x:v>
      </x:c>
      <x:c r="B89" s="2" t="n">
        <x:v>4</x:v>
      </x:c>
      <x:c r="C89" s="2" t="n">
        <x:f>COUNTIFS('Ratings'!$B$6:$B$1387,A89,'Ratings'!$F$6:$F$1387,3)</x:f>
        <x:v>11</x:v>
      </x:c>
      <x:c r="D89" s="2" t="n">
        <x:f>COUNTIFS('Ratings'!$B$6:$B$1387,A89,'Ratings'!$F$6:$F$1387,2)</x:f>
        <x:v>9</x:v>
      </x:c>
      <x:c r="E89" s="2" t="n">
        <x:f>COUNTIFS('Ratings'!$B$6:$B$1387,A89,'Ratings'!$F$6:$F$1387,1)</x:f>
        <x:v>11</x:v>
      </x:c>
      <x:c r="F89" s="2" t="n">
        <x:f>IF(B89&lt;=C89,3,IF(B89&lt;=C89+D89,2,IF(B89&lt;=C89+D89+E89,1,0)))</x:f>
        <x:v>3</x:v>
      </x:c>
      <x:c r="G89" s="2" t="n">
        <x:f>2^F89-1</x:f>
        <x:v>7</x:v>
      </x:c>
      <x:c r="H89" s="14" t="n">
        <x:f>G89/LOG(B89+1,2)</x:f>
        <x:v>3.0147359065137516</x:v>
      </x:c>
    </x:row>
    <x:row r="90" ht="22" customHeight="1">
      <x:c r="A90" s="2" t="str">
        <x:v>S09</x:v>
      </x:c>
      <x:c r="B90" s="2" t="n">
        <x:v>5</x:v>
      </x:c>
      <x:c r="C90" s="2" t="n">
        <x:f>COUNTIFS('Ratings'!$B$6:$B$1387,A90,'Ratings'!$F$6:$F$1387,3)</x:f>
        <x:v>11</x:v>
      </x:c>
      <x:c r="D90" s="2" t="n">
        <x:f>COUNTIFS('Ratings'!$B$6:$B$1387,A90,'Ratings'!$F$6:$F$1387,2)</x:f>
        <x:v>9</x:v>
      </x:c>
      <x:c r="E90" s="2" t="n">
        <x:f>COUNTIFS('Ratings'!$B$6:$B$1387,A90,'Ratings'!$F$6:$F$1387,1)</x:f>
        <x:v>11</x:v>
      </x:c>
      <x:c r="F90" s="2" t="n">
        <x:f>IF(B90&lt;=C90,3,IF(B90&lt;=C90+D90,2,IF(B90&lt;=C90+D90+E90,1,0)))</x:f>
        <x:v>3</x:v>
      </x:c>
      <x:c r="G90" s="2" t="n">
        <x:f>2^F90-1</x:f>
        <x:v>7</x:v>
      </x:c>
      <x:c r="H90" s="14" t="n">
        <x:f>G90/LOG(B90+1,2)</x:f>
        <x:v>2.7079696506417914</x:v>
      </x:c>
    </x:row>
    <x:row r="91" ht="22" customHeight="1">
      <x:c r="A91" s="2" t="str">
        <x:v>S09</x:v>
      </x:c>
      <x:c r="B91" s="2" t="n">
        <x:v>6</x:v>
      </x:c>
      <x:c r="C91" s="2" t="n">
        <x:f>COUNTIFS('Ratings'!$B$6:$B$1387,A91,'Ratings'!$F$6:$F$1387,3)</x:f>
        <x:v>11</x:v>
      </x:c>
      <x:c r="D91" s="2" t="n">
        <x:f>COUNTIFS('Ratings'!$B$6:$B$1387,A91,'Ratings'!$F$6:$F$1387,2)</x:f>
        <x:v>9</x:v>
      </x:c>
      <x:c r="E91" s="2" t="n">
        <x:f>COUNTIFS('Ratings'!$B$6:$B$1387,A91,'Ratings'!$F$6:$F$1387,1)</x:f>
        <x:v>11</x:v>
      </x:c>
      <x:c r="F91" s="2" t="n">
        <x:f>IF(B91&lt;=C91,3,IF(B91&lt;=C91+D91,2,IF(B91&lt;=C91+D91+E91,1,0)))</x:f>
        <x:v>3</x:v>
      </x:c>
      <x:c r="G91" s="2" t="n">
        <x:f>2^F91-1</x:f>
        <x:v>7</x:v>
      </x:c>
      <x:c r="H91" s="14" t="n">
        <x:f>G91/LOG(B91+1,2)</x:f>
        <x:v>2.493450309756155</x:v>
      </x:c>
    </x:row>
    <x:row r="92" ht="22" customHeight="1">
      <x:c r="A92" s="2" t="str">
        <x:v>S09</x:v>
      </x:c>
      <x:c r="B92" s="2" t="n">
        <x:v>7</x:v>
      </x:c>
      <x:c r="C92" s="2" t="n">
        <x:f>COUNTIFS('Ratings'!$B$6:$B$1387,A92,'Ratings'!$F$6:$F$1387,3)</x:f>
        <x:v>11</x:v>
      </x:c>
      <x:c r="D92" s="2" t="n">
        <x:f>COUNTIFS('Ratings'!$B$6:$B$1387,A92,'Ratings'!$F$6:$F$1387,2)</x:f>
        <x:v>9</x:v>
      </x:c>
      <x:c r="E92" s="2" t="n">
        <x:f>COUNTIFS('Ratings'!$B$6:$B$1387,A92,'Ratings'!$F$6:$F$1387,1)</x:f>
        <x:v>11</x:v>
      </x:c>
      <x:c r="F92" s="2" t="n">
        <x:f>IF(B92&lt;=C92,3,IF(B92&lt;=C92+D92,2,IF(B92&lt;=C92+D92+E92,1,0)))</x:f>
        <x:v>3</x:v>
      </x:c>
      <x:c r="G92" s="2" t="n">
        <x:f>2^F92-1</x:f>
        <x:v>7</x:v>
      </x:c>
      <x:c r="H92" s="14" t="n">
        <x:f>G92/LOG(B92+1,2)</x:f>
        <x:v>2.3333333333333335</x:v>
      </x:c>
    </x:row>
    <x:row r="93" ht="22" customHeight="1">
      <x:c r="A93" s="2" t="str">
        <x:v>S09</x:v>
      </x:c>
      <x:c r="B93" s="2" t="n">
        <x:v>8</x:v>
      </x:c>
      <x:c r="C93" s="2" t="n">
        <x:f>COUNTIFS('Ratings'!$B$6:$B$1387,A93,'Ratings'!$F$6:$F$1387,3)</x:f>
        <x:v>11</x:v>
      </x:c>
      <x:c r="D93" s="2" t="n">
        <x:f>COUNTIFS('Ratings'!$B$6:$B$1387,A93,'Ratings'!$F$6:$F$1387,2)</x:f>
        <x:v>9</x:v>
      </x:c>
      <x:c r="E93" s="2" t="n">
        <x:f>COUNTIFS('Ratings'!$B$6:$B$1387,A93,'Ratings'!$F$6:$F$1387,1)</x:f>
        <x:v>11</x:v>
      </x:c>
      <x:c r="F93" s="2" t="n">
        <x:f>IF(B93&lt;=C93,3,IF(B93&lt;=C93+D93,2,IF(B93&lt;=C93+D93+E93,1,0)))</x:f>
        <x:v>3</x:v>
      </x:c>
      <x:c r="G93" s="2" t="n">
        <x:f>2^F93-1</x:f>
        <x:v>7</x:v>
      </x:c>
      <x:c r="H93" s="14" t="n">
        <x:f>G93/LOG(B93+1,2)</x:f>
        <x:v>2.208254137500101</x:v>
      </x:c>
    </x:row>
    <x:row r="94" ht="22" customHeight="1">
      <x:c r="A94" s="2" t="str">
        <x:v>S09</x:v>
      </x:c>
      <x:c r="B94" s="2" t="n">
        <x:v>9</x:v>
      </x:c>
      <x:c r="C94" s="2" t="n">
        <x:f>COUNTIFS('Ratings'!$B$6:$B$1387,A94,'Ratings'!$F$6:$F$1387,3)</x:f>
        <x:v>11</x:v>
      </x:c>
      <x:c r="D94" s="2" t="n">
        <x:f>COUNTIFS('Ratings'!$B$6:$B$1387,A94,'Ratings'!$F$6:$F$1387,2)</x:f>
        <x:v>9</x:v>
      </x:c>
      <x:c r="E94" s="2" t="n">
        <x:f>COUNTIFS('Ratings'!$B$6:$B$1387,A94,'Ratings'!$F$6:$F$1387,1)</x:f>
        <x:v>11</x:v>
      </x:c>
      <x:c r="F94" s="2" t="n">
        <x:f>IF(B94&lt;=C94,3,IF(B94&lt;=C94+D94,2,IF(B94&lt;=C94+D94+E94,1,0)))</x:f>
        <x:v>3</x:v>
      </x:c>
      <x:c r="G94" s="2" t="n">
        <x:f>2^F94-1</x:f>
        <x:v>7</x:v>
      </x:c>
      <x:c r="H94" s="14" t="n">
        <x:f>G94/LOG(B94+1,2)</x:f>
        <x:v>2.1072099696478683</x:v>
      </x:c>
    </x:row>
    <x:row r="95" ht="22" customHeight="1">
      <x:c r="A95" s="2" t="str">
        <x:v>S09</x:v>
      </x:c>
      <x:c r="B95" s="2" t="n">
        <x:v>10</x:v>
      </x:c>
      <x:c r="C95" s="2" t="n">
        <x:f>COUNTIFS('Ratings'!$B$6:$B$1387,A95,'Ratings'!$F$6:$F$1387,3)</x:f>
        <x:v>11</x:v>
      </x:c>
      <x:c r="D95" s="2" t="n">
        <x:f>COUNTIFS('Ratings'!$B$6:$B$1387,A95,'Ratings'!$F$6:$F$1387,2)</x:f>
        <x:v>9</x:v>
      </x:c>
      <x:c r="E95" s="2" t="n">
        <x:f>COUNTIFS('Ratings'!$B$6:$B$1387,A95,'Ratings'!$F$6:$F$1387,1)</x:f>
        <x:v>11</x:v>
      </x:c>
      <x:c r="F95" s="2" t="n">
        <x:f>IF(B95&lt;=C95,3,IF(B95&lt;=C95+D95,2,IF(B95&lt;=C95+D95+E95,1,0)))</x:f>
        <x:v>3</x:v>
      </x:c>
      <x:c r="G95" s="2" t="n">
        <x:f>2^F95-1</x:f>
        <x:v>7</x:v>
      </x:c>
      <x:c r="H95" s="14" t="n">
        <x:f>G95/LOG(B95+1,2)</x:f>
        <x:v>2.023453784225215</x:v>
      </x:c>
    </x:row>
    <x:row r="96" ht="22" customHeight="1">
      <x:c r="A96" s="2" t="str">
        <x:v>S10</x:v>
      </x:c>
      <x:c r="B96" s="2" t="n">
        <x:v>1</x:v>
      </x:c>
      <x:c r="C96" s="2" t="n">
        <x:f>COUNTIFS('Ratings'!$B$6:$B$1387,A96,'Ratings'!$F$6:$F$1387,3)</x:f>
        <x:v>8</x:v>
      </x:c>
      <x:c r="D96" s="2" t="n">
        <x:f>COUNTIFS('Ratings'!$B$6:$B$1387,A96,'Ratings'!$F$6:$F$1387,2)</x:f>
        <x:v>10</x:v>
      </x:c>
      <x:c r="E96" s="2" t="n">
        <x:f>COUNTIFS('Ratings'!$B$6:$B$1387,A96,'Ratings'!$F$6:$F$1387,1)</x:f>
        <x:v>4</x:v>
      </x:c>
      <x:c r="F96" s="2" t="n">
        <x:f>IF(B96&lt;=C96,3,IF(B96&lt;=C96+D96,2,IF(B96&lt;=C96+D96+E96,1,0)))</x:f>
        <x:v>3</x:v>
      </x:c>
      <x:c r="G96" s="2" t="n">
        <x:f>2^F96-1</x:f>
        <x:v>7</x:v>
      </x:c>
      <x:c r="H96" s="14" t="n">
        <x:f>G96/LOG(B96+1,2)</x:f>
        <x:v>7</x:v>
      </x:c>
    </x:row>
    <x:row r="97" ht="22" customHeight="1">
      <x:c r="A97" s="2" t="str">
        <x:v>S10</x:v>
      </x:c>
      <x:c r="B97" s="2" t="n">
        <x:v>2</x:v>
      </x:c>
      <x:c r="C97" s="2" t="n">
        <x:f>COUNTIFS('Ratings'!$B$6:$B$1387,A97,'Ratings'!$F$6:$F$1387,3)</x:f>
        <x:v>8</x:v>
      </x:c>
      <x:c r="D97" s="2" t="n">
        <x:f>COUNTIFS('Ratings'!$B$6:$B$1387,A97,'Ratings'!$F$6:$F$1387,2)</x:f>
        <x:v>10</x:v>
      </x:c>
      <x:c r="E97" s="2" t="n">
        <x:f>COUNTIFS('Ratings'!$B$6:$B$1387,A97,'Ratings'!$F$6:$F$1387,1)</x:f>
        <x:v>4</x:v>
      </x:c>
      <x:c r="F97" s="2" t="n">
        <x:f>IF(B97&lt;=C97,3,IF(B97&lt;=C97+D97,2,IF(B97&lt;=C97+D97+E97,1,0)))</x:f>
        <x:v>3</x:v>
      </x:c>
      <x:c r="G97" s="2" t="n">
        <x:f>2^F97-1</x:f>
        <x:v>7</x:v>
      </x:c>
      <x:c r="H97" s="14" t="n">
        <x:f>G97/LOG(B97+1,2)</x:f>
        <x:v>4.4165082750002025</x:v>
      </x:c>
    </x:row>
    <x:row r="98" ht="22" customHeight="1">
      <x:c r="A98" s="2" t="str">
        <x:v>S10</x:v>
      </x:c>
      <x:c r="B98" s="2" t="n">
        <x:v>3</x:v>
      </x:c>
      <x:c r="C98" s="2" t="n">
        <x:f>COUNTIFS('Ratings'!$B$6:$B$1387,A98,'Ratings'!$F$6:$F$1387,3)</x:f>
        <x:v>8</x:v>
      </x:c>
      <x:c r="D98" s="2" t="n">
        <x:f>COUNTIFS('Ratings'!$B$6:$B$1387,A98,'Ratings'!$F$6:$F$1387,2)</x:f>
        <x:v>10</x:v>
      </x:c>
      <x:c r="E98" s="2" t="n">
        <x:f>COUNTIFS('Ratings'!$B$6:$B$1387,A98,'Ratings'!$F$6:$F$1387,1)</x:f>
        <x:v>4</x:v>
      </x:c>
      <x:c r="F98" s="2" t="n">
        <x:f>IF(B98&lt;=C98,3,IF(B98&lt;=C98+D98,2,IF(B98&lt;=C98+D98+E98,1,0)))</x:f>
        <x:v>3</x:v>
      </x:c>
      <x:c r="G98" s="2" t="n">
        <x:f>2^F98-1</x:f>
        <x:v>7</x:v>
      </x:c>
      <x:c r="H98" s="14" t="n">
        <x:f>G98/LOG(B98+1,2)</x:f>
        <x:v>3.5</x:v>
      </x:c>
    </x:row>
    <x:row r="99" ht="22" customHeight="1">
      <x:c r="A99" s="2" t="str">
        <x:v>S10</x:v>
      </x:c>
      <x:c r="B99" s="2" t="n">
        <x:v>4</x:v>
      </x:c>
      <x:c r="C99" s="2" t="n">
        <x:f>COUNTIFS('Ratings'!$B$6:$B$1387,A99,'Ratings'!$F$6:$F$1387,3)</x:f>
        <x:v>8</x:v>
      </x:c>
      <x:c r="D99" s="2" t="n">
        <x:f>COUNTIFS('Ratings'!$B$6:$B$1387,A99,'Ratings'!$F$6:$F$1387,2)</x:f>
        <x:v>10</x:v>
      </x:c>
      <x:c r="E99" s="2" t="n">
        <x:f>COUNTIFS('Ratings'!$B$6:$B$1387,A99,'Ratings'!$F$6:$F$1387,1)</x:f>
        <x:v>4</x:v>
      </x:c>
      <x:c r="F99" s="2" t="n">
        <x:f>IF(B99&lt;=C99,3,IF(B99&lt;=C99+D99,2,IF(B99&lt;=C99+D99+E99,1,0)))</x:f>
        <x:v>3</x:v>
      </x:c>
      <x:c r="G99" s="2" t="n">
        <x:f>2^F99-1</x:f>
        <x:v>7</x:v>
      </x:c>
      <x:c r="H99" s="14" t="n">
        <x:f>G99/LOG(B99+1,2)</x:f>
        <x:v>3.0147359065137516</x:v>
      </x:c>
    </x:row>
    <x:row r="100" ht="22" customHeight="1">
      <x:c r="A100" s="2" t="str">
        <x:v>S10</x:v>
      </x:c>
      <x:c r="B100" s="2" t="n">
        <x:v>5</x:v>
      </x:c>
      <x:c r="C100" s="2" t="n">
        <x:f>COUNTIFS('Ratings'!$B$6:$B$1387,A100,'Ratings'!$F$6:$F$1387,3)</x:f>
        <x:v>8</x:v>
      </x:c>
      <x:c r="D100" s="2" t="n">
        <x:f>COUNTIFS('Ratings'!$B$6:$B$1387,A100,'Ratings'!$F$6:$F$1387,2)</x:f>
        <x:v>10</x:v>
      </x:c>
      <x:c r="E100" s="2" t="n">
        <x:f>COUNTIFS('Ratings'!$B$6:$B$1387,A100,'Ratings'!$F$6:$F$1387,1)</x:f>
        <x:v>4</x:v>
      </x:c>
      <x:c r="F100" s="2" t="n">
        <x:f>IF(B100&lt;=C100,3,IF(B100&lt;=C100+D100,2,IF(B100&lt;=C100+D100+E100,1,0)))</x:f>
        <x:v>3</x:v>
      </x:c>
      <x:c r="G100" s="2" t="n">
        <x:f>2^F100-1</x:f>
        <x:v>7</x:v>
      </x:c>
      <x:c r="H100" s="14" t="n">
        <x:f>G100/LOG(B100+1,2)</x:f>
        <x:v>2.7079696506417914</x:v>
      </x:c>
    </x:row>
    <x:row r="101" ht="22" customHeight="1">
      <x:c r="A101" s="2" t="str">
        <x:v>S10</x:v>
      </x:c>
      <x:c r="B101" s="2" t="n">
        <x:v>6</x:v>
      </x:c>
      <x:c r="C101" s="2" t="n">
        <x:f>COUNTIFS('Ratings'!$B$6:$B$1387,A101,'Ratings'!$F$6:$F$1387,3)</x:f>
        <x:v>8</x:v>
      </x:c>
      <x:c r="D101" s="2" t="n">
        <x:f>COUNTIFS('Ratings'!$B$6:$B$1387,A101,'Ratings'!$F$6:$F$1387,2)</x:f>
        <x:v>10</x:v>
      </x:c>
      <x:c r="E101" s="2" t="n">
        <x:f>COUNTIFS('Ratings'!$B$6:$B$1387,A101,'Ratings'!$F$6:$F$1387,1)</x:f>
        <x:v>4</x:v>
      </x:c>
      <x:c r="F101" s="2" t="n">
        <x:f>IF(B101&lt;=C101,3,IF(B101&lt;=C101+D101,2,IF(B101&lt;=C101+D101+E101,1,0)))</x:f>
        <x:v>3</x:v>
      </x:c>
      <x:c r="G101" s="2" t="n">
        <x:f>2^F101-1</x:f>
        <x:v>7</x:v>
      </x:c>
      <x:c r="H101" s="14" t="n">
        <x:f>G101/LOG(B101+1,2)</x:f>
        <x:v>2.493450309756155</x:v>
      </x:c>
    </x:row>
    <x:row r="102" ht="22" customHeight="1">
      <x:c r="A102" s="2" t="str">
        <x:v>S10</x:v>
      </x:c>
      <x:c r="B102" s="2" t="n">
        <x:v>7</x:v>
      </x:c>
      <x:c r="C102" s="2" t="n">
        <x:f>COUNTIFS('Ratings'!$B$6:$B$1387,A102,'Ratings'!$F$6:$F$1387,3)</x:f>
        <x:v>8</x:v>
      </x:c>
      <x:c r="D102" s="2" t="n">
        <x:f>COUNTIFS('Ratings'!$B$6:$B$1387,A102,'Ratings'!$F$6:$F$1387,2)</x:f>
        <x:v>10</x:v>
      </x:c>
      <x:c r="E102" s="2" t="n">
        <x:f>COUNTIFS('Ratings'!$B$6:$B$1387,A102,'Ratings'!$F$6:$F$1387,1)</x:f>
        <x:v>4</x:v>
      </x:c>
      <x:c r="F102" s="2" t="n">
        <x:f>IF(B102&lt;=C102,3,IF(B102&lt;=C102+D102,2,IF(B102&lt;=C102+D102+E102,1,0)))</x:f>
        <x:v>3</x:v>
      </x:c>
      <x:c r="G102" s="2" t="n">
        <x:f>2^F102-1</x:f>
        <x:v>7</x:v>
      </x:c>
      <x:c r="H102" s="14" t="n">
        <x:f>G102/LOG(B102+1,2)</x:f>
        <x:v>2.3333333333333335</x:v>
      </x:c>
    </x:row>
    <x:row r="103" ht="22" customHeight="1">
      <x:c r="A103" s="2" t="str">
        <x:v>S10</x:v>
      </x:c>
      <x:c r="B103" s="2" t="n">
        <x:v>8</x:v>
      </x:c>
      <x:c r="C103" s="2" t="n">
        <x:f>COUNTIFS('Ratings'!$B$6:$B$1387,A103,'Ratings'!$F$6:$F$1387,3)</x:f>
        <x:v>8</x:v>
      </x:c>
      <x:c r="D103" s="2" t="n">
        <x:f>COUNTIFS('Ratings'!$B$6:$B$1387,A103,'Ratings'!$F$6:$F$1387,2)</x:f>
        <x:v>10</x:v>
      </x:c>
      <x:c r="E103" s="2" t="n">
        <x:f>COUNTIFS('Ratings'!$B$6:$B$1387,A103,'Ratings'!$F$6:$F$1387,1)</x:f>
        <x:v>4</x:v>
      </x:c>
      <x:c r="F103" s="2" t="n">
        <x:f>IF(B103&lt;=C103,3,IF(B103&lt;=C103+D103,2,IF(B103&lt;=C103+D103+E103,1,0)))</x:f>
        <x:v>3</x:v>
      </x:c>
      <x:c r="G103" s="2" t="n">
        <x:f>2^F103-1</x:f>
        <x:v>7</x:v>
      </x:c>
      <x:c r="H103" s="14" t="n">
        <x:f>G103/LOG(B103+1,2)</x:f>
        <x:v>2.208254137500101</x:v>
      </x:c>
    </x:row>
    <x:row r="104" ht="22" customHeight="1">
      <x:c r="A104" s="2" t="str">
        <x:v>S10</x:v>
      </x:c>
      <x:c r="B104" s="2" t="n">
        <x:v>9</x:v>
      </x:c>
      <x:c r="C104" s="2" t="n">
        <x:f>COUNTIFS('Ratings'!$B$6:$B$1387,A104,'Ratings'!$F$6:$F$1387,3)</x:f>
        <x:v>8</x:v>
      </x:c>
      <x:c r="D104" s="2" t="n">
        <x:f>COUNTIFS('Ratings'!$B$6:$B$1387,A104,'Ratings'!$F$6:$F$1387,2)</x:f>
        <x:v>10</x:v>
      </x:c>
      <x:c r="E104" s="2" t="n">
        <x:f>COUNTIFS('Ratings'!$B$6:$B$1387,A104,'Ratings'!$F$6:$F$1387,1)</x:f>
        <x:v>4</x:v>
      </x:c>
      <x:c r="F104" s="2" t="n">
        <x:f>IF(B104&lt;=C104,3,IF(B104&lt;=C104+D104,2,IF(B104&lt;=C104+D104+E104,1,0)))</x:f>
        <x:v>2</x:v>
      </x:c>
      <x:c r="G104" s="2" t="n">
        <x:f>2^F104-1</x:f>
        <x:v>3</x:v>
      </x:c>
      <x:c r="H104" s="14" t="n">
        <x:f>G104/LOG(B104+1,2)</x:f>
        <x:v>0.9030899869919435</x:v>
      </x:c>
    </x:row>
    <x:row r="105" ht="22" customHeight="1">
      <x:c r="A105" s="2" t="str">
        <x:v>S10</x:v>
      </x:c>
      <x:c r="B105" s="2" t="n">
        <x:v>10</x:v>
      </x:c>
      <x:c r="C105" s="2" t="n">
        <x:f>COUNTIFS('Ratings'!$B$6:$B$1387,A105,'Ratings'!$F$6:$F$1387,3)</x:f>
        <x:v>8</x:v>
      </x:c>
      <x:c r="D105" s="2" t="n">
        <x:f>COUNTIFS('Ratings'!$B$6:$B$1387,A105,'Ratings'!$F$6:$F$1387,2)</x:f>
        <x:v>10</x:v>
      </x:c>
      <x:c r="E105" s="2" t="n">
        <x:f>COUNTIFS('Ratings'!$B$6:$B$1387,A105,'Ratings'!$F$6:$F$1387,1)</x:f>
        <x:v>4</x:v>
      </x:c>
      <x:c r="F105" s="2" t="n">
        <x:f>IF(B105&lt;=C105,3,IF(B105&lt;=C105+D105,2,IF(B105&lt;=C105+D105+E105,1,0)))</x:f>
        <x:v>2</x:v>
      </x:c>
      <x:c r="G105" s="2" t="n">
        <x:f>2^F105-1</x:f>
        <x:v>3</x:v>
      </x:c>
      <x:c r="H105" s="14" t="n">
        <x:f>G105/LOG(B105+1,2)</x:f>
        <x:v>0.8671944789536634</x:v>
      </x:c>
    </x:row>
    <x:row r="106" ht="22" customHeight="1">
      <x:c r="A106" s="2" t="str">
        <x:v>S11</x:v>
      </x:c>
      <x:c r="B106" s="2" t="n">
        <x:v>1</x:v>
      </x:c>
      <x:c r="C106" s="2" t="n">
        <x:f>COUNTIFS('Ratings'!$B$6:$B$1387,A106,'Ratings'!$F$6:$F$1387,3)</x:f>
        <x:v>5</x:v>
      </x:c>
      <x:c r="D106" s="2" t="n">
        <x:f>COUNTIFS('Ratings'!$B$6:$B$1387,A106,'Ratings'!$F$6:$F$1387,2)</x:f>
        <x:v>8</x:v>
      </x:c>
      <x:c r="E106" s="2" t="n">
        <x:f>COUNTIFS('Ratings'!$B$6:$B$1387,A106,'Ratings'!$F$6:$F$1387,1)</x:f>
        <x:v>11</x:v>
      </x:c>
      <x:c r="F106" s="2" t="n">
        <x:f>IF(B106&lt;=C106,3,IF(B106&lt;=C106+D106,2,IF(B106&lt;=C106+D106+E106,1,0)))</x:f>
        <x:v>3</x:v>
      </x:c>
      <x:c r="G106" s="2" t="n">
        <x:f>2^F106-1</x:f>
        <x:v>7</x:v>
      </x:c>
      <x:c r="H106" s="14" t="n">
        <x:f>G106/LOG(B106+1,2)</x:f>
        <x:v>7</x:v>
      </x:c>
    </x:row>
    <x:row r="107" ht="22" customHeight="1">
      <x:c r="A107" s="2" t="str">
        <x:v>S11</x:v>
      </x:c>
      <x:c r="B107" s="2" t="n">
        <x:v>2</x:v>
      </x:c>
      <x:c r="C107" s="2" t="n">
        <x:f>COUNTIFS('Ratings'!$B$6:$B$1387,A107,'Ratings'!$F$6:$F$1387,3)</x:f>
        <x:v>5</x:v>
      </x:c>
      <x:c r="D107" s="2" t="n">
        <x:f>COUNTIFS('Ratings'!$B$6:$B$1387,A107,'Ratings'!$F$6:$F$1387,2)</x:f>
        <x:v>8</x:v>
      </x:c>
      <x:c r="E107" s="2" t="n">
        <x:f>COUNTIFS('Ratings'!$B$6:$B$1387,A107,'Ratings'!$F$6:$F$1387,1)</x:f>
        <x:v>11</x:v>
      </x:c>
      <x:c r="F107" s="2" t="n">
        <x:f>IF(B107&lt;=C107,3,IF(B107&lt;=C107+D107,2,IF(B107&lt;=C107+D107+E107,1,0)))</x:f>
        <x:v>3</x:v>
      </x:c>
      <x:c r="G107" s="2" t="n">
        <x:f>2^F107-1</x:f>
        <x:v>7</x:v>
      </x:c>
      <x:c r="H107" s="14" t="n">
        <x:f>G107/LOG(B107+1,2)</x:f>
        <x:v>4.4165082750002025</x:v>
      </x:c>
    </x:row>
    <x:row r="108" ht="22" customHeight="1">
      <x:c r="A108" s="2" t="str">
        <x:v>S11</x:v>
      </x:c>
      <x:c r="B108" s="2" t="n">
        <x:v>3</x:v>
      </x:c>
      <x:c r="C108" s="2" t="n">
        <x:f>COUNTIFS('Ratings'!$B$6:$B$1387,A108,'Ratings'!$F$6:$F$1387,3)</x:f>
        <x:v>5</x:v>
      </x:c>
      <x:c r="D108" s="2" t="n">
        <x:f>COUNTIFS('Ratings'!$B$6:$B$1387,A108,'Ratings'!$F$6:$F$1387,2)</x:f>
        <x:v>8</x:v>
      </x:c>
      <x:c r="E108" s="2" t="n">
        <x:f>COUNTIFS('Ratings'!$B$6:$B$1387,A108,'Ratings'!$F$6:$F$1387,1)</x:f>
        <x:v>11</x:v>
      </x:c>
      <x:c r="F108" s="2" t="n">
        <x:f>IF(B108&lt;=C108,3,IF(B108&lt;=C108+D108,2,IF(B108&lt;=C108+D108+E108,1,0)))</x:f>
        <x:v>3</x:v>
      </x:c>
      <x:c r="G108" s="2" t="n">
        <x:f>2^F108-1</x:f>
        <x:v>7</x:v>
      </x:c>
      <x:c r="H108" s="14" t="n">
        <x:f>G108/LOG(B108+1,2)</x:f>
        <x:v>3.5</x:v>
      </x:c>
    </x:row>
    <x:row r="109" ht="22" customHeight="1">
      <x:c r="A109" s="2" t="str">
        <x:v>S11</x:v>
      </x:c>
      <x:c r="B109" s="2" t="n">
        <x:v>4</x:v>
      </x:c>
      <x:c r="C109" s="2" t="n">
        <x:f>COUNTIFS('Ratings'!$B$6:$B$1387,A109,'Ratings'!$F$6:$F$1387,3)</x:f>
        <x:v>5</x:v>
      </x:c>
      <x:c r="D109" s="2" t="n">
        <x:f>COUNTIFS('Ratings'!$B$6:$B$1387,A109,'Ratings'!$F$6:$F$1387,2)</x:f>
        <x:v>8</x:v>
      </x:c>
      <x:c r="E109" s="2" t="n">
        <x:f>COUNTIFS('Ratings'!$B$6:$B$1387,A109,'Ratings'!$F$6:$F$1387,1)</x:f>
        <x:v>11</x:v>
      </x:c>
      <x:c r="F109" s="2" t="n">
        <x:f>IF(B109&lt;=C109,3,IF(B109&lt;=C109+D109,2,IF(B109&lt;=C109+D109+E109,1,0)))</x:f>
        <x:v>3</x:v>
      </x:c>
      <x:c r="G109" s="2" t="n">
        <x:f>2^F109-1</x:f>
        <x:v>7</x:v>
      </x:c>
      <x:c r="H109" s="14" t="n">
        <x:f>G109/LOG(B109+1,2)</x:f>
        <x:v>3.0147359065137516</x:v>
      </x:c>
    </x:row>
    <x:row r="110" ht="22" customHeight="1">
      <x:c r="A110" s="2" t="str">
        <x:v>S11</x:v>
      </x:c>
      <x:c r="B110" s="2" t="n">
        <x:v>5</x:v>
      </x:c>
      <x:c r="C110" s="2" t="n">
        <x:f>COUNTIFS('Ratings'!$B$6:$B$1387,A110,'Ratings'!$F$6:$F$1387,3)</x:f>
        <x:v>5</x:v>
      </x:c>
      <x:c r="D110" s="2" t="n">
        <x:f>COUNTIFS('Ratings'!$B$6:$B$1387,A110,'Ratings'!$F$6:$F$1387,2)</x:f>
        <x:v>8</x:v>
      </x:c>
      <x:c r="E110" s="2" t="n">
        <x:f>COUNTIFS('Ratings'!$B$6:$B$1387,A110,'Ratings'!$F$6:$F$1387,1)</x:f>
        <x:v>11</x:v>
      </x:c>
      <x:c r="F110" s="2" t="n">
        <x:f>IF(B110&lt;=C110,3,IF(B110&lt;=C110+D110,2,IF(B110&lt;=C110+D110+E110,1,0)))</x:f>
        <x:v>3</x:v>
      </x:c>
      <x:c r="G110" s="2" t="n">
        <x:f>2^F110-1</x:f>
        <x:v>7</x:v>
      </x:c>
      <x:c r="H110" s="14" t="n">
        <x:f>G110/LOG(B110+1,2)</x:f>
        <x:v>2.7079696506417914</x:v>
      </x:c>
    </x:row>
    <x:row r="111" ht="22" customHeight="1">
      <x:c r="A111" s="2" t="str">
        <x:v>S11</x:v>
      </x:c>
      <x:c r="B111" s="2" t="n">
        <x:v>6</x:v>
      </x:c>
      <x:c r="C111" s="2" t="n">
        <x:f>COUNTIFS('Ratings'!$B$6:$B$1387,A111,'Ratings'!$F$6:$F$1387,3)</x:f>
        <x:v>5</x:v>
      </x:c>
      <x:c r="D111" s="2" t="n">
        <x:f>COUNTIFS('Ratings'!$B$6:$B$1387,A111,'Ratings'!$F$6:$F$1387,2)</x:f>
        <x:v>8</x:v>
      </x:c>
      <x:c r="E111" s="2" t="n">
        <x:f>COUNTIFS('Ratings'!$B$6:$B$1387,A111,'Ratings'!$F$6:$F$1387,1)</x:f>
        <x:v>11</x:v>
      </x:c>
      <x:c r="F111" s="2" t="n">
        <x:f>IF(B111&lt;=C111,3,IF(B111&lt;=C111+D111,2,IF(B111&lt;=C111+D111+E111,1,0)))</x:f>
        <x:v>2</x:v>
      </x:c>
      <x:c r="G111" s="2" t="n">
        <x:f>2^F111-1</x:f>
        <x:v>3</x:v>
      </x:c>
      <x:c r="H111" s="14" t="n">
        <x:f>G111/LOG(B111+1,2)</x:f>
        <x:v>1.0686215613240666</x:v>
      </x:c>
    </x:row>
    <x:row r="112" ht="22" customHeight="1">
      <x:c r="A112" s="2" t="str">
        <x:v>S11</x:v>
      </x:c>
      <x:c r="B112" s="2" t="n">
        <x:v>7</x:v>
      </x:c>
      <x:c r="C112" s="2" t="n">
        <x:f>COUNTIFS('Ratings'!$B$6:$B$1387,A112,'Ratings'!$F$6:$F$1387,3)</x:f>
        <x:v>5</x:v>
      </x:c>
      <x:c r="D112" s="2" t="n">
        <x:f>COUNTIFS('Ratings'!$B$6:$B$1387,A112,'Ratings'!$F$6:$F$1387,2)</x:f>
        <x:v>8</x:v>
      </x:c>
      <x:c r="E112" s="2" t="n">
        <x:f>COUNTIFS('Ratings'!$B$6:$B$1387,A112,'Ratings'!$F$6:$F$1387,1)</x:f>
        <x:v>11</x:v>
      </x:c>
      <x:c r="F112" s="2" t="n">
        <x:f>IF(B112&lt;=C112,3,IF(B112&lt;=C112+D112,2,IF(B112&lt;=C112+D112+E112,1,0)))</x:f>
        <x:v>2</x:v>
      </x:c>
      <x:c r="G112" s="2" t="n">
        <x:f>2^F112-1</x:f>
        <x:v>3</x:v>
      </x:c>
      <x:c r="H112" s="14" t="n">
        <x:f>G112/LOG(B112+1,2)</x:f>
        <x:v>1</x:v>
      </x:c>
    </x:row>
    <x:row r="113" ht="22" customHeight="1">
      <x:c r="A113" s="2" t="str">
        <x:v>S11</x:v>
      </x:c>
      <x:c r="B113" s="2" t="n">
        <x:v>8</x:v>
      </x:c>
      <x:c r="C113" s="2" t="n">
        <x:f>COUNTIFS('Ratings'!$B$6:$B$1387,A113,'Ratings'!$F$6:$F$1387,3)</x:f>
        <x:v>5</x:v>
      </x:c>
      <x:c r="D113" s="2" t="n">
        <x:f>COUNTIFS('Ratings'!$B$6:$B$1387,A113,'Ratings'!$F$6:$F$1387,2)</x:f>
        <x:v>8</x:v>
      </x:c>
      <x:c r="E113" s="2" t="n">
        <x:f>COUNTIFS('Ratings'!$B$6:$B$1387,A113,'Ratings'!$F$6:$F$1387,1)</x:f>
        <x:v>11</x:v>
      </x:c>
      <x:c r="F113" s="2" t="n">
        <x:f>IF(B113&lt;=C113,3,IF(B113&lt;=C113+D113,2,IF(B113&lt;=C113+D113+E113,1,0)))</x:f>
        <x:v>2</x:v>
      </x:c>
      <x:c r="G113" s="2" t="n">
        <x:f>2^F113-1</x:f>
        <x:v>3</x:v>
      </x:c>
      <x:c r="H113" s="14" t="n">
        <x:f>G113/LOG(B113+1,2)</x:f>
        <x:v>0.9463946303571861</x:v>
      </x:c>
    </x:row>
    <x:row r="114" ht="22" customHeight="1">
      <x:c r="A114" s="2" t="str">
        <x:v>S11</x:v>
      </x:c>
      <x:c r="B114" s="2" t="n">
        <x:v>9</x:v>
      </x:c>
      <x:c r="C114" s="2" t="n">
        <x:f>COUNTIFS('Ratings'!$B$6:$B$1387,A114,'Ratings'!$F$6:$F$1387,3)</x:f>
        <x:v>5</x:v>
      </x:c>
      <x:c r="D114" s="2" t="n">
        <x:f>COUNTIFS('Ratings'!$B$6:$B$1387,A114,'Ratings'!$F$6:$F$1387,2)</x:f>
        <x:v>8</x:v>
      </x:c>
      <x:c r="E114" s="2" t="n">
        <x:f>COUNTIFS('Ratings'!$B$6:$B$1387,A114,'Ratings'!$F$6:$F$1387,1)</x:f>
        <x:v>11</x:v>
      </x:c>
      <x:c r="F114" s="2" t="n">
        <x:f>IF(B114&lt;=C114,3,IF(B114&lt;=C114+D114,2,IF(B114&lt;=C114+D114+E114,1,0)))</x:f>
        <x:v>2</x:v>
      </x:c>
      <x:c r="G114" s="2" t="n">
        <x:f>2^F114-1</x:f>
        <x:v>3</x:v>
      </x:c>
      <x:c r="H114" s="14" t="n">
        <x:f>G114/LOG(B114+1,2)</x:f>
        <x:v>0.9030899869919435</x:v>
      </x:c>
    </x:row>
    <x:row r="115" ht="22" customHeight="1">
      <x:c r="A115" s="2" t="str">
        <x:v>S11</x:v>
      </x:c>
      <x:c r="B115" s="2" t="n">
        <x:v>10</x:v>
      </x:c>
      <x:c r="C115" s="2" t="n">
        <x:f>COUNTIFS('Ratings'!$B$6:$B$1387,A115,'Ratings'!$F$6:$F$1387,3)</x:f>
        <x:v>5</x:v>
      </x:c>
      <x:c r="D115" s="2" t="n">
        <x:f>COUNTIFS('Ratings'!$B$6:$B$1387,A115,'Ratings'!$F$6:$F$1387,2)</x:f>
        <x:v>8</x:v>
      </x:c>
      <x:c r="E115" s="2" t="n">
        <x:f>COUNTIFS('Ratings'!$B$6:$B$1387,A115,'Ratings'!$F$6:$F$1387,1)</x:f>
        <x:v>11</x:v>
      </x:c>
      <x:c r="F115" s="2" t="n">
        <x:f>IF(B115&lt;=C115,3,IF(B115&lt;=C115+D115,2,IF(B115&lt;=C115+D115+E115,1,0)))</x:f>
        <x:v>2</x:v>
      </x:c>
      <x:c r="G115" s="2" t="n">
        <x:f>2^F115-1</x:f>
        <x:v>3</x:v>
      </x:c>
      <x:c r="H115" s="14" t="n">
        <x:f>G115/LOG(B115+1,2)</x:f>
        <x:v>0.8671944789536634</x:v>
      </x:c>
    </x:row>
    <x:row r="116" ht="22" customHeight="1">
      <x:c r="A116" s="2" t="str">
        <x:v>S12</x:v>
      </x:c>
      <x:c r="B116" s="2" t="n">
        <x:v>1</x:v>
      </x:c>
      <x:c r="C116" s="2" t="n">
        <x:f>COUNTIFS('Ratings'!$B$6:$B$1387,A116,'Ratings'!$F$6:$F$1387,3)</x:f>
        <x:v>10</x:v>
      </x:c>
      <x:c r="D116" s="2" t="n">
        <x:f>COUNTIFS('Ratings'!$B$6:$B$1387,A116,'Ratings'!$F$6:$F$1387,2)</x:f>
        <x:v>5</x:v>
      </x:c>
      <x:c r="E116" s="2" t="n">
        <x:f>COUNTIFS('Ratings'!$B$6:$B$1387,A116,'Ratings'!$F$6:$F$1387,1)</x:f>
        <x:v>8</x:v>
      </x:c>
      <x:c r="F116" s="2" t="n">
        <x:f>IF(B116&lt;=C116,3,IF(B116&lt;=C116+D116,2,IF(B116&lt;=C116+D116+E116,1,0)))</x:f>
        <x:v>3</x:v>
      </x:c>
      <x:c r="G116" s="2" t="n">
        <x:f>2^F116-1</x:f>
        <x:v>7</x:v>
      </x:c>
      <x:c r="H116" s="14" t="n">
        <x:f>G116/LOG(B116+1,2)</x:f>
        <x:v>7</x:v>
      </x:c>
    </x:row>
    <x:row r="117" ht="22" customHeight="1">
      <x:c r="A117" s="2" t="str">
        <x:v>S12</x:v>
      </x:c>
      <x:c r="B117" s="2" t="n">
        <x:v>2</x:v>
      </x:c>
      <x:c r="C117" s="2" t="n">
        <x:f>COUNTIFS('Ratings'!$B$6:$B$1387,A117,'Ratings'!$F$6:$F$1387,3)</x:f>
        <x:v>10</x:v>
      </x:c>
      <x:c r="D117" s="2" t="n">
        <x:f>COUNTIFS('Ratings'!$B$6:$B$1387,A117,'Ratings'!$F$6:$F$1387,2)</x:f>
        <x:v>5</x:v>
      </x:c>
      <x:c r="E117" s="2" t="n">
        <x:f>COUNTIFS('Ratings'!$B$6:$B$1387,A117,'Ratings'!$F$6:$F$1387,1)</x:f>
        <x:v>8</x:v>
      </x:c>
      <x:c r="F117" s="2" t="n">
        <x:f>IF(B117&lt;=C117,3,IF(B117&lt;=C117+D117,2,IF(B117&lt;=C117+D117+E117,1,0)))</x:f>
        <x:v>3</x:v>
      </x:c>
      <x:c r="G117" s="2" t="n">
        <x:f>2^F117-1</x:f>
        <x:v>7</x:v>
      </x:c>
      <x:c r="H117" s="14" t="n">
        <x:f>G117/LOG(B117+1,2)</x:f>
        <x:v>4.4165082750002025</x:v>
      </x:c>
    </x:row>
    <x:row r="118" ht="22" customHeight="1">
      <x:c r="A118" s="2" t="str">
        <x:v>S12</x:v>
      </x:c>
      <x:c r="B118" s="2" t="n">
        <x:v>3</x:v>
      </x:c>
      <x:c r="C118" s="2" t="n">
        <x:f>COUNTIFS('Ratings'!$B$6:$B$1387,A118,'Ratings'!$F$6:$F$1387,3)</x:f>
        <x:v>10</x:v>
      </x:c>
      <x:c r="D118" s="2" t="n">
        <x:f>COUNTIFS('Ratings'!$B$6:$B$1387,A118,'Ratings'!$F$6:$F$1387,2)</x:f>
        <x:v>5</x:v>
      </x:c>
      <x:c r="E118" s="2" t="n">
        <x:f>COUNTIFS('Ratings'!$B$6:$B$1387,A118,'Ratings'!$F$6:$F$1387,1)</x:f>
        <x:v>8</x:v>
      </x:c>
      <x:c r="F118" s="2" t="n">
        <x:f>IF(B118&lt;=C118,3,IF(B118&lt;=C118+D118,2,IF(B118&lt;=C118+D118+E118,1,0)))</x:f>
        <x:v>3</x:v>
      </x:c>
      <x:c r="G118" s="2" t="n">
        <x:f>2^F118-1</x:f>
        <x:v>7</x:v>
      </x:c>
      <x:c r="H118" s="14" t="n">
        <x:f>G118/LOG(B118+1,2)</x:f>
        <x:v>3.5</x:v>
      </x:c>
    </x:row>
    <x:row r="119" ht="22" customHeight="1">
      <x:c r="A119" s="2" t="str">
        <x:v>S12</x:v>
      </x:c>
      <x:c r="B119" s="2" t="n">
        <x:v>4</x:v>
      </x:c>
      <x:c r="C119" s="2" t="n">
        <x:f>COUNTIFS('Ratings'!$B$6:$B$1387,A119,'Ratings'!$F$6:$F$1387,3)</x:f>
        <x:v>10</x:v>
      </x:c>
      <x:c r="D119" s="2" t="n">
        <x:f>COUNTIFS('Ratings'!$B$6:$B$1387,A119,'Ratings'!$F$6:$F$1387,2)</x:f>
        <x:v>5</x:v>
      </x:c>
      <x:c r="E119" s="2" t="n">
        <x:f>COUNTIFS('Ratings'!$B$6:$B$1387,A119,'Ratings'!$F$6:$F$1387,1)</x:f>
        <x:v>8</x:v>
      </x:c>
      <x:c r="F119" s="2" t="n">
        <x:f>IF(B119&lt;=C119,3,IF(B119&lt;=C119+D119,2,IF(B119&lt;=C119+D119+E119,1,0)))</x:f>
        <x:v>3</x:v>
      </x:c>
      <x:c r="G119" s="2" t="n">
        <x:f>2^F119-1</x:f>
        <x:v>7</x:v>
      </x:c>
      <x:c r="H119" s="14" t="n">
        <x:f>G119/LOG(B119+1,2)</x:f>
        <x:v>3.0147359065137516</x:v>
      </x:c>
    </x:row>
    <x:row r="120" ht="22" customHeight="1">
      <x:c r="A120" s="2" t="str">
        <x:v>S12</x:v>
      </x:c>
      <x:c r="B120" s="2" t="n">
        <x:v>5</x:v>
      </x:c>
      <x:c r="C120" s="2" t="n">
        <x:f>COUNTIFS('Ratings'!$B$6:$B$1387,A120,'Ratings'!$F$6:$F$1387,3)</x:f>
        <x:v>10</x:v>
      </x:c>
      <x:c r="D120" s="2" t="n">
        <x:f>COUNTIFS('Ratings'!$B$6:$B$1387,A120,'Ratings'!$F$6:$F$1387,2)</x:f>
        <x:v>5</x:v>
      </x:c>
      <x:c r="E120" s="2" t="n">
        <x:f>COUNTIFS('Ratings'!$B$6:$B$1387,A120,'Ratings'!$F$6:$F$1387,1)</x:f>
        <x:v>8</x:v>
      </x:c>
      <x:c r="F120" s="2" t="n">
        <x:f>IF(B120&lt;=C120,3,IF(B120&lt;=C120+D120,2,IF(B120&lt;=C120+D120+E120,1,0)))</x:f>
        <x:v>3</x:v>
      </x:c>
      <x:c r="G120" s="2" t="n">
        <x:f>2^F120-1</x:f>
        <x:v>7</x:v>
      </x:c>
      <x:c r="H120" s="14" t="n">
        <x:f>G120/LOG(B120+1,2)</x:f>
        <x:v>2.7079696506417914</x:v>
      </x:c>
    </x:row>
    <x:row r="121" ht="22" customHeight="1">
      <x:c r="A121" s="2" t="str">
        <x:v>S12</x:v>
      </x:c>
      <x:c r="B121" s="2" t="n">
        <x:v>6</x:v>
      </x:c>
      <x:c r="C121" s="2" t="n">
        <x:f>COUNTIFS('Ratings'!$B$6:$B$1387,A121,'Ratings'!$F$6:$F$1387,3)</x:f>
        <x:v>10</x:v>
      </x:c>
      <x:c r="D121" s="2" t="n">
        <x:f>COUNTIFS('Ratings'!$B$6:$B$1387,A121,'Ratings'!$F$6:$F$1387,2)</x:f>
        <x:v>5</x:v>
      </x:c>
      <x:c r="E121" s="2" t="n">
        <x:f>COUNTIFS('Ratings'!$B$6:$B$1387,A121,'Ratings'!$F$6:$F$1387,1)</x:f>
        <x:v>8</x:v>
      </x:c>
      <x:c r="F121" s="2" t="n">
        <x:f>IF(B121&lt;=C121,3,IF(B121&lt;=C121+D121,2,IF(B121&lt;=C121+D121+E121,1,0)))</x:f>
        <x:v>3</x:v>
      </x:c>
      <x:c r="G121" s="2" t="n">
        <x:f>2^F121-1</x:f>
        <x:v>7</x:v>
      </x:c>
      <x:c r="H121" s="14" t="n">
        <x:f>G121/LOG(B121+1,2)</x:f>
        <x:v>2.493450309756155</x:v>
      </x:c>
    </x:row>
    <x:row r="122" ht="22" customHeight="1">
      <x:c r="A122" s="2" t="str">
        <x:v>S12</x:v>
      </x:c>
      <x:c r="B122" s="2" t="n">
        <x:v>7</x:v>
      </x:c>
      <x:c r="C122" s="2" t="n">
        <x:f>COUNTIFS('Ratings'!$B$6:$B$1387,A122,'Ratings'!$F$6:$F$1387,3)</x:f>
        <x:v>10</x:v>
      </x:c>
      <x:c r="D122" s="2" t="n">
        <x:f>COUNTIFS('Ratings'!$B$6:$B$1387,A122,'Ratings'!$F$6:$F$1387,2)</x:f>
        <x:v>5</x:v>
      </x:c>
      <x:c r="E122" s="2" t="n">
        <x:f>COUNTIFS('Ratings'!$B$6:$B$1387,A122,'Ratings'!$F$6:$F$1387,1)</x:f>
        <x:v>8</x:v>
      </x:c>
      <x:c r="F122" s="2" t="n">
        <x:f>IF(B122&lt;=C122,3,IF(B122&lt;=C122+D122,2,IF(B122&lt;=C122+D122+E122,1,0)))</x:f>
        <x:v>3</x:v>
      </x:c>
      <x:c r="G122" s="2" t="n">
        <x:f>2^F122-1</x:f>
        <x:v>7</x:v>
      </x:c>
      <x:c r="H122" s="14" t="n">
        <x:f>G122/LOG(B122+1,2)</x:f>
        <x:v>2.3333333333333335</x:v>
      </x:c>
    </x:row>
    <x:row r="123" ht="22" customHeight="1">
      <x:c r="A123" s="2" t="str">
        <x:v>S12</x:v>
      </x:c>
      <x:c r="B123" s="2" t="n">
        <x:v>8</x:v>
      </x:c>
      <x:c r="C123" s="2" t="n">
        <x:f>COUNTIFS('Ratings'!$B$6:$B$1387,A123,'Ratings'!$F$6:$F$1387,3)</x:f>
        <x:v>10</x:v>
      </x:c>
      <x:c r="D123" s="2" t="n">
        <x:f>COUNTIFS('Ratings'!$B$6:$B$1387,A123,'Ratings'!$F$6:$F$1387,2)</x:f>
        <x:v>5</x:v>
      </x:c>
      <x:c r="E123" s="2" t="n">
        <x:f>COUNTIFS('Ratings'!$B$6:$B$1387,A123,'Ratings'!$F$6:$F$1387,1)</x:f>
        <x:v>8</x:v>
      </x:c>
      <x:c r="F123" s="2" t="n">
        <x:f>IF(B123&lt;=C123,3,IF(B123&lt;=C123+D123,2,IF(B123&lt;=C123+D123+E123,1,0)))</x:f>
        <x:v>3</x:v>
      </x:c>
      <x:c r="G123" s="2" t="n">
        <x:f>2^F123-1</x:f>
        <x:v>7</x:v>
      </x:c>
      <x:c r="H123" s="14" t="n">
        <x:f>G123/LOG(B123+1,2)</x:f>
        <x:v>2.208254137500101</x:v>
      </x:c>
    </x:row>
    <x:row r="124" ht="22" customHeight="1">
      <x:c r="A124" s="2" t="str">
        <x:v>S12</x:v>
      </x:c>
      <x:c r="B124" s="2" t="n">
        <x:v>9</x:v>
      </x:c>
      <x:c r="C124" s="2" t="n">
        <x:f>COUNTIFS('Ratings'!$B$6:$B$1387,A124,'Ratings'!$F$6:$F$1387,3)</x:f>
        <x:v>10</x:v>
      </x:c>
      <x:c r="D124" s="2" t="n">
        <x:f>COUNTIFS('Ratings'!$B$6:$B$1387,A124,'Ratings'!$F$6:$F$1387,2)</x:f>
        <x:v>5</x:v>
      </x:c>
      <x:c r="E124" s="2" t="n">
        <x:f>COUNTIFS('Ratings'!$B$6:$B$1387,A124,'Ratings'!$F$6:$F$1387,1)</x:f>
        <x:v>8</x:v>
      </x:c>
      <x:c r="F124" s="2" t="n">
        <x:f>IF(B124&lt;=C124,3,IF(B124&lt;=C124+D124,2,IF(B124&lt;=C124+D124+E124,1,0)))</x:f>
        <x:v>3</x:v>
      </x:c>
      <x:c r="G124" s="2" t="n">
        <x:f>2^F124-1</x:f>
        <x:v>7</x:v>
      </x:c>
      <x:c r="H124" s="14" t="n">
        <x:f>G124/LOG(B124+1,2)</x:f>
        <x:v>2.1072099696478683</x:v>
      </x:c>
    </x:row>
    <x:row r="125" ht="22" customHeight="1">
      <x:c r="A125" s="2" t="str">
        <x:v>S12</x:v>
      </x:c>
      <x:c r="B125" s="2" t="n">
        <x:v>10</x:v>
      </x:c>
      <x:c r="C125" s="2" t="n">
        <x:f>COUNTIFS('Ratings'!$B$6:$B$1387,A125,'Ratings'!$F$6:$F$1387,3)</x:f>
        <x:v>10</x:v>
      </x:c>
      <x:c r="D125" s="2" t="n">
        <x:f>COUNTIFS('Ratings'!$B$6:$B$1387,A125,'Ratings'!$F$6:$F$1387,2)</x:f>
        <x:v>5</x:v>
      </x:c>
      <x:c r="E125" s="2" t="n">
        <x:f>COUNTIFS('Ratings'!$B$6:$B$1387,A125,'Ratings'!$F$6:$F$1387,1)</x:f>
        <x:v>8</x:v>
      </x:c>
      <x:c r="F125" s="2" t="n">
        <x:f>IF(B125&lt;=C125,3,IF(B125&lt;=C125+D125,2,IF(B125&lt;=C125+D125+E125,1,0)))</x:f>
        <x:v>3</x:v>
      </x:c>
      <x:c r="G125" s="2" t="n">
        <x:f>2^F125-1</x:f>
        <x:v>7</x:v>
      </x:c>
      <x:c r="H125" s="14" t="n">
        <x:f>G125/LOG(B125+1,2)</x:f>
        <x:v>2.023453784225215</x:v>
      </x:c>
    </x:row>
    <x:row r="126" ht="22" customHeight="1">
      <x:c r="A126" s="2" t="str">
        <x:v>S13</x:v>
      </x:c>
      <x:c r="B126" s="2" t="n">
        <x:v>1</x:v>
      </x:c>
      <x:c r="C126" s="2" t="n">
        <x:f>COUNTIFS('Ratings'!$B$6:$B$1387,A126,'Ratings'!$F$6:$F$1387,3)</x:f>
        <x:v>6</x:v>
      </x:c>
      <x:c r="D126" s="2" t="n">
        <x:f>COUNTIFS('Ratings'!$B$6:$B$1387,A126,'Ratings'!$F$6:$F$1387,2)</x:f>
        <x:v>9</x:v>
      </x:c>
      <x:c r="E126" s="2" t="n">
        <x:f>COUNTIFS('Ratings'!$B$6:$B$1387,A126,'Ratings'!$F$6:$F$1387,1)</x:f>
        <x:v>9</x:v>
      </x:c>
      <x:c r="F126" s="2" t="n">
        <x:f>IF(B126&lt;=C126,3,IF(B126&lt;=C126+D126,2,IF(B126&lt;=C126+D126+E126,1,0)))</x:f>
        <x:v>3</x:v>
      </x:c>
      <x:c r="G126" s="2" t="n">
        <x:f>2^F126-1</x:f>
        <x:v>7</x:v>
      </x:c>
      <x:c r="H126" s="14" t="n">
        <x:f>G126/LOG(B126+1,2)</x:f>
        <x:v>7</x:v>
      </x:c>
    </x:row>
    <x:row r="127" ht="22" customHeight="1">
      <x:c r="A127" s="2" t="str">
        <x:v>S13</x:v>
      </x:c>
      <x:c r="B127" s="2" t="n">
        <x:v>2</x:v>
      </x:c>
      <x:c r="C127" s="2" t="n">
        <x:f>COUNTIFS('Ratings'!$B$6:$B$1387,A127,'Ratings'!$F$6:$F$1387,3)</x:f>
        <x:v>6</x:v>
      </x:c>
      <x:c r="D127" s="2" t="n">
        <x:f>COUNTIFS('Ratings'!$B$6:$B$1387,A127,'Ratings'!$F$6:$F$1387,2)</x:f>
        <x:v>9</x:v>
      </x:c>
      <x:c r="E127" s="2" t="n">
        <x:f>COUNTIFS('Ratings'!$B$6:$B$1387,A127,'Ratings'!$F$6:$F$1387,1)</x:f>
        <x:v>9</x:v>
      </x:c>
      <x:c r="F127" s="2" t="n">
        <x:f>IF(B127&lt;=C127,3,IF(B127&lt;=C127+D127,2,IF(B127&lt;=C127+D127+E127,1,0)))</x:f>
        <x:v>3</x:v>
      </x:c>
      <x:c r="G127" s="2" t="n">
        <x:f>2^F127-1</x:f>
        <x:v>7</x:v>
      </x:c>
      <x:c r="H127" s="14" t="n">
        <x:f>G127/LOG(B127+1,2)</x:f>
        <x:v>4.4165082750002025</x:v>
      </x:c>
    </x:row>
    <x:row r="128" ht="22" customHeight="1">
      <x:c r="A128" s="2" t="str">
        <x:v>S13</x:v>
      </x:c>
      <x:c r="B128" s="2" t="n">
        <x:v>3</x:v>
      </x:c>
      <x:c r="C128" s="2" t="n">
        <x:f>COUNTIFS('Ratings'!$B$6:$B$1387,A128,'Ratings'!$F$6:$F$1387,3)</x:f>
        <x:v>6</x:v>
      </x:c>
      <x:c r="D128" s="2" t="n">
        <x:f>COUNTIFS('Ratings'!$B$6:$B$1387,A128,'Ratings'!$F$6:$F$1387,2)</x:f>
        <x:v>9</x:v>
      </x:c>
      <x:c r="E128" s="2" t="n">
        <x:f>COUNTIFS('Ratings'!$B$6:$B$1387,A128,'Ratings'!$F$6:$F$1387,1)</x:f>
        <x:v>9</x:v>
      </x:c>
      <x:c r="F128" s="2" t="n">
        <x:f>IF(B128&lt;=C128,3,IF(B128&lt;=C128+D128,2,IF(B128&lt;=C128+D128+E128,1,0)))</x:f>
        <x:v>3</x:v>
      </x:c>
      <x:c r="G128" s="2" t="n">
        <x:f>2^F128-1</x:f>
        <x:v>7</x:v>
      </x:c>
      <x:c r="H128" s="14" t="n">
        <x:f>G128/LOG(B128+1,2)</x:f>
        <x:v>3.5</x:v>
      </x:c>
    </x:row>
    <x:row r="129" ht="22" customHeight="1">
      <x:c r="A129" s="2" t="str">
        <x:v>S13</x:v>
      </x:c>
      <x:c r="B129" s="2" t="n">
        <x:v>4</x:v>
      </x:c>
      <x:c r="C129" s="2" t="n">
        <x:f>COUNTIFS('Ratings'!$B$6:$B$1387,A129,'Ratings'!$F$6:$F$1387,3)</x:f>
        <x:v>6</x:v>
      </x:c>
      <x:c r="D129" s="2" t="n">
        <x:f>COUNTIFS('Ratings'!$B$6:$B$1387,A129,'Ratings'!$F$6:$F$1387,2)</x:f>
        <x:v>9</x:v>
      </x:c>
      <x:c r="E129" s="2" t="n">
        <x:f>COUNTIFS('Ratings'!$B$6:$B$1387,A129,'Ratings'!$F$6:$F$1387,1)</x:f>
        <x:v>9</x:v>
      </x:c>
      <x:c r="F129" s="2" t="n">
        <x:f>IF(B129&lt;=C129,3,IF(B129&lt;=C129+D129,2,IF(B129&lt;=C129+D129+E129,1,0)))</x:f>
        <x:v>3</x:v>
      </x:c>
      <x:c r="G129" s="2" t="n">
        <x:f>2^F129-1</x:f>
        <x:v>7</x:v>
      </x:c>
      <x:c r="H129" s="14" t="n">
        <x:f>G129/LOG(B129+1,2)</x:f>
        <x:v>3.0147359065137516</x:v>
      </x:c>
    </x:row>
    <x:row r="130" ht="22" customHeight="1">
      <x:c r="A130" s="2" t="str">
        <x:v>S13</x:v>
      </x:c>
      <x:c r="B130" s="2" t="n">
        <x:v>5</x:v>
      </x:c>
      <x:c r="C130" s="2" t="n">
        <x:f>COUNTIFS('Ratings'!$B$6:$B$1387,A130,'Ratings'!$F$6:$F$1387,3)</x:f>
        <x:v>6</x:v>
      </x:c>
      <x:c r="D130" s="2" t="n">
        <x:f>COUNTIFS('Ratings'!$B$6:$B$1387,A130,'Ratings'!$F$6:$F$1387,2)</x:f>
        <x:v>9</x:v>
      </x:c>
      <x:c r="E130" s="2" t="n">
        <x:f>COUNTIFS('Ratings'!$B$6:$B$1387,A130,'Ratings'!$F$6:$F$1387,1)</x:f>
        <x:v>9</x:v>
      </x:c>
      <x:c r="F130" s="2" t="n">
        <x:f>IF(B130&lt;=C130,3,IF(B130&lt;=C130+D130,2,IF(B130&lt;=C130+D130+E130,1,0)))</x:f>
        <x:v>3</x:v>
      </x:c>
      <x:c r="G130" s="2" t="n">
        <x:f>2^F130-1</x:f>
        <x:v>7</x:v>
      </x:c>
      <x:c r="H130" s="14" t="n">
        <x:f>G130/LOG(B130+1,2)</x:f>
        <x:v>2.7079696506417914</x:v>
      </x:c>
    </x:row>
    <x:row r="131" ht="22" customHeight="1">
      <x:c r="A131" s="2" t="str">
        <x:v>S13</x:v>
      </x:c>
      <x:c r="B131" s="2" t="n">
        <x:v>6</x:v>
      </x:c>
      <x:c r="C131" s="2" t="n">
        <x:f>COUNTIFS('Ratings'!$B$6:$B$1387,A131,'Ratings'!$F$6:$F$1387,3)</x:f>
        <x:v>6</x:v>
      </x:c>
      <x:c r="D131" s="2" t="n">
        <x:f>COUNTIFS('Ratings'!$B$6:$B$1387,A131,'Ratings'!$F$6:$F$1387,2)</x:f>
        <x:v>9</x:v>
      </x:c>
      <x:c r="E131" s="2" t="n">
        <x:f>COUNTIFS('Ratings'!$B$6:$B$1387,A131,'Ratings'!$F$6:$F$1387,1)</x:f>
        <x:v>9</x:v>
      </x:c>
      <x:c r="F131" s="2" t="n">
        <x:f>IF(B131&lt;=C131,3,IF(B131&lt;=C131+D131,2,IF(B131&lt;=C131+D131+E131,1,0)))</x:f>
        <x:v>3</x:v>
      </x:c>
      <x:c r="G131" s="2" t="n">
        <x:f>2^F131-1</x:f>
        <x:v>7</x:v>
      </x:c>
      <x:c r="H131" s="14" t="n">
        <x:f>G131/LOG(B131+1,2)</x:f>
        <x:v>2.493450309756155</x:v>
      </x:c>
    </x:row>
    <x:row r="132" ht="22" customHeight="1">
      <x:c r="A132" s="2" t="str">
        <x:v>S13</x:v>
      </x:c>
      <x:c r="B132" s="2" t="n">
        <x:v>7</x:v>
      </x:c>
      <x:c r="C132" s="2" t="n">
        <x:f>COUNTIFS('Ratings'!$B$6:$B$1387,A132,'Ratings'!$F$6:$F$1387,3)</x:f>
        <x:v>6</x:v>
      </x:c>
      <x:c r="D132" s="2" t="n">
        <x:f>COUNTIFS('Ratings'!$B$6:$B$1387,A132,'Ratings'!$F$6:$F$1387,2)</x:f>
        <x:v>9</x:v>
      </x:c>
      <x:c r="E132" s="2" t="n">
        <x:f>COUNTIFS('Ratings'!$B$6:$B$1387,A132,'Ratings'!$F$6:$F$1387,1)</x:f>
        <x:v>9</x:v>
      </x:c>
      <x:c r="F132" s="2" t="n">
        <x:f>IF(B132&lt;=C132,3,IF(B132&lt;=C132+D132,2,IF(B132&lt;=C132+D132+E132,1,0)))</x:f>
        <x:v>2</x:v>
      </x:c>
      <x:c r="G132" s="2" t="n">
        <x:f>2^F132-1</x:f>
        <x:v>3</x:v>
      </x:c>
      <x:c r="H132" s="14" t="n">
        <x:f>G132/LOG(B132+1,2)</x:f>
        <x:v>1</x:v>
      </x:c>
    </x:row>
    <x:row r="133" ht="22" customHeight="1">
      <x:c r="A133" s="2" t="str">
        <x:v>S13</x:v>
      </x:c>
      <x:c r="B133" s="2" t="n">
        <x:v>8</x:v>
      </x:c>
      <x:c r="C133" s="2" t="n">
        <x:f>COUNTIFS('Ratings'!$B$6:$B$1387,A133,'Ratings'!$F$6:$F$1387,3)</x:f>
        <x:v>6</x:v>
      </x:c>
      <x:c r="D133" s="2" t="n">
        <x:f>COUNTIFS('Ratings'!$B$6:$B$1387,A133,'Ratings'!$F$6:$F$1387,2)</x:f>
        <x:v>9</x:v>
      </x:c>
      <x:c r="E133" s="2" t="n">
        <x:f>COUNTIFS('Ratings'!$B$6:$B$1387,A133,'Ratings'!$F$6:$F$1387,1)</x:f>
        <x:v>9</x:v>
      </x:c>
      <x:c r="F133" s="2" t="n">
        <x:f>IF(B133&lt;=C133,3,IF(B133&lt;=C133+D133,2,IF(B133&lt;=C133+D133+E133,1,0)))</x:f>
        <x:v>2</x:v>
      </x:c>
      <x:c r="G133" s="2" t="n">
        <x:f>2^F133-1</x:f>
        <x:v>3</x:v>
      </x:c>
      <x:c r="H133" s="14" t="n">
        <x:f>G133/LOG(B133+1,2)</x:f>
        <x:v>0.9463946303571861</x:v>
      </x:c>
    </x:row>
    <x:row r="134" ht="22" customHeight="1">
      <x:c r="A134" s="2" t="str">
        <x:v>S13</x:v>
      </x:c>
      <x:c r="B134" s="2" t="n">
        <x:v>9</x:v>
      </x:c>
      <x:c r="C134" s="2" t="n">
        <x:f>COUNTIFS('Ratings'!$B$6:$B$1387,A134,'Ratings'!$F$6:$F$1387,3)</x:f>
        <x:v>6</x:v>
      </x:c>
      <x:c r="D134" s="2" t="n">
        <x:f>COUNTIFS('Ratings'!$B$6:$B$1387,A134,'Ratings'!$F$6:$F$1387,2)</x:f>
        <x:v>9</x:v>
      </x:c>
      <x:c r="E134" s="2" t="n">
        <x:f>COUNTIFS('Ratings'!$B$6:$B$1387,A134,'Ratings'!$F$6:$F$1387,1)</x:f>
        <x:v>9</x:v>
      </x:c>
      <x:c r="F134" s="2" t="n">
        <x:f>IF(B134&lt;=C134,3,IF(B134&lt;=C134+D134,2,IF(B134&lt;=C134+D134+E134,1,0)))</x:f>
        <x:v>2</x:v>
      </x:c>
      <x:c r="G134" s="2" t="n">
        <x:f>2^F134-1</x:f>
        <x:v>3</x:v>
      </x:c>
      <x:c r="H134" s="14" t="n">
        <x:f>G134/LOG(B134+1,2)</x:f>
        <x:v>0.9030899869919435</x:v>
      </x:c>
    </x:row>
    <x:row r="135" ht="22" customHeight="1">
      <x:c r="A135" s="2" t="str">
        <x:v>S13</x:v>
      </x:c>
      <x:c r="B135" s="2" t="n">
        <x:v>10</x:v>
      </x:c>
      <x:c r="C135" s="2" t="n">
        <x:f>COUNTIFS('Ratings'!$B$6:$B$1387,A135,'Ratings'!$F$6:$F$1387,3)</x:f>
        <x:v>6</x:v>
      </x:c>
      <x:c r="D135" s="2" t="n">
        <x:f>COUNTIFS('Ratings'!$B$6:$B$1387,A135,'Ratings'!$F$6:$F$1387,2)</x:f>
        <x:v>9</x:v>
      </x:c>
      <x:c r="E135" s="2" t="n">
        <x:f>COUNTIFS('Ratings'!$B$6:$B$1387,A135,'Ratings'!$F$6:$F$1387,1)</x:f>
        <x:v>9</x:v>
      </x:c>
      <x:c r="F135" s="2" t="n">
        <x:f>IF(B135&lt;=C135,3,IF(B135&lt;=C135+D135,2,IF(B135&lt;=C135+D135+E135,1,0)))</x:f>
        <x:v>2</x:v>
      </x:c>
      <x:c r="G135" s="2" t="n">
        <x:f>2^F135-1</x:f>
        <x:v>3</x:v>
      </x:c>
      <x:c r="H135" s="14" t="n">
        <x:f>G135/LOG(B135+1,2)</x:f>
        <x:v>0.8671944789536634</x:v>
      </x:c>
    </x:row>
    <x:row r="136" ht="22" customHeight="1">
      <x:c r="A136" s="2" t="str">
        <x:v>S14</x:v>
      </x:c>
      <x:c r="B136" s="2" t="n">
        <x:v>1</x:v>
      </x:c>
      <x:c r="C136" s="2" t="n">
        <x:f>COUNTIFS('Ratings'!$B$6:$B$1387,A136,'Ratings'!$F$6:$F$1387,3)</x:f>
        <x:v>9</x:v>
      </x:c>
      <x:c r="D136" s="2" t="n">
        <x:f>COUNTIFS('Ratings'!$B$6:$B$1387,A136,'Ratings'!$F$6:$F$1387,2)</x:f>
        <x:v>12</x:v>
      </x:c>
      <x:c r="E136" s="2" t="n">
        <x:f>COUNTIFS('Ratings'!$B$6:$B$1387,A136,'Ratings'!$F$6:$F$1387,1)</x:f>
        <x:v>8</x:v>
      </x:c>
      <x:c r="F136" s="2" t="n">
        <x:f>IF(B136&lt;=C136,3,IF(B136&lt;=C136+D136,2,IF(B136&lt;=C136+D136+E136,1,0)))</x:f>
        <x:v>3</x:v>
      </x:c>
      <x:c r="G136" s="2" t="n">
        <x:f>2^F136-1</x:f>
        <x:v>7</x:v>
      </x:c>
      <x:c r="H136" s="14" t="n">
        <x:f>G136/LOG(B136+1,2)</x:f>
        <x:v>7</x:v>
      </x:c>
    </x:row>
    <x:row r="137" ht="22" customHeight="1">
      <x:c r="A137" s="2" t="str">
        <x:v>S14</x:v>
      </x:c>
      <x:c r="B137" s="2" t="n">
        <x:v>2</x:v>
      </x:c>
      <x:c r="C137" s="2" t="n">
        <x:f>COUNTIFS('Ratings'!$B$6:$B$1387,A137,'Ratings'!$F$6:$F$1387,3)</x:f>
        <x:v>9</x:v>
      </x:c>
      <x:c r="D137" s="2" t="n">
        <x:f>COUNTIFS('Ratings'!$B$6:$B$1387,A137,'Ratings'!$F$6:$F$1387,2)</x:f>
        <x:v>12</x:v>
      </x:c>
      <x:c r="E137" s="2" t="n">
        <x:f>COUNTIFS('Ratings'!$B$6:$B$1387,A137,'Ratings'!$F$6:$F$1387,1)</x:f>
        <x:v>8</x:v>
      </x:c>
      <x:c r="F137" s="2" t="n">
        <x:f>IF(B137&lt;=C137,3,IF(B137&lt;=C137+D137,2,IF(B137&lt;=C137+D137+E137,1,0)))</x:f>
        <x:v>3</x:v>
      </x:c>
      <x:c r="G137" s="2" t="n">
        <x:f>2^F137-1</x:f>
        <x:v>7</x:v>
      </x:c>
      <x:c r="H137" s="14" t="n">
        <x:f>G137/LOG(B137+1,2)</x:f>
        <x:v>4.4165082750002025</x:v>
      </x:c>
    </x:row>
    <x:row r="138" ht="22" customHeight="1">
      <x:c r="A138" s="2" t="str">
        <x:v>S14</x:v>
      </x:c>
      <x:c r="B138" s="2" t="n">
        <x:v>3</x:v>
      </x:c>
      <x:c r="C138" s="2" t="n">
        <x:f>COUNTIFS('Ratings'!$B$6:$B$1387,A138,'Ratings'!$F$6:$F$1387,3)</x:f>
        <x:v>9</x:v>
      </x:c>
      <x:c r="D138" s="2" t="n">
        <x:f>COUNTIFS('Ratings'!$B$6:$B$1387,A138,'Ratings'!$F$6:$F$1387,2)</x:f>
        <x:v>12</x:v>
      </x:c>
      <x:c r="E138" s="2" t="n">
        <x:f>COUNTIFS('Ratings'!$B$6:$B$1387,A138,'Ratings'!$F$6:$F$1387,1)</x:f>
        <x:v>8</x:v>
      </x:c>
      <x:c r="F138" s="2" t="n">
        <x:f>IF(B138&lt;=C138,3,IF(B138&lt;=C138+D138,2,IF(B138&lt;=C138+D138+E138,1,0)))</x:f>
        <x:v>3</x:v>
      </x:c>
      <x:c r="G138" s="2" t="n">
        <x:f>2^F138-1</x:f>
        <x:v>7</x:v>
      </x:c>
      <x:c r="H138" s="14" t="n">
        <x:f>G138/LOG(B138+1,2)</x:f>
        <x:v>3.5</x:v>
      </x:c>
    </x:row>
    <x:row r="139" ht="22" customHeight="1">
      <x:c r="A139" s="2" t="str">
        <x:v>S14</x:v>
      </x:c>
      <x:c r="B139" s="2" t="n">
        <x:v>4</x:v>
      </x:c>
      <x:c r="C139" s="2" t="n">
        <x:f>COUNTIFS('Ratings'!$B$6:$B$1387,A139,'Ratings'!$F$6:$F$1387,3)</x:f>
        <x:v>9</x:v>
      </x:c>
      <x:c r="D139" s="2" t="n">
        <x:f>COUNTIFS('Ratings'!$B$6:$B$1387,A139,'Ratings'!$F$6:$F$1387,2)</x:f>
        <x:v>12</x:v>
      </x:c>
      <x:c r="E139" s="2" t="n">
        <x:f>COUNTIFS('Ratings'!$B$6:$B$1387,A139,'Ratings'!$F$6:$F$1387,1)</x:f>
        <x:v>8</x:v>
      </x:c>
      <x:c r="F139" s="2" t="n">
        <x:f>IF(B139&lt;=C139,3,IF(B139&lt;=C139+D139,2,IF(B139&lt;=C139+D139+E139,1,0)))</x:f>
        <x:v>3</x:v>
      </x:c>
      <x:c r="G139" s="2" t="n">
        <x:f>2^F139-1</x:f>
        <x:v>7</x:v>
      </x:c>
      <x:c r="H139" s="14" t="n">
        <x:f>G139/LOG(B139+1,2)</x:f>
        <x:v>3.0147359065137516</x:v>
      </x:c>
    </x:row>
    <x:row r="140" ht="22" customHeight="1">
      <x:c r="A140" s="2" t="str">
        <x:v>S14</x:v>
      </x:c>
      <x:c r="B140" s="2" t="n">
        <x:v>5</x:v>
      </x:c>
      <x:c r="C140" s="2" t="n">
        <x:f>COUNTIFS('Ratings'!$B$6:$B$1387,A140,'Ratings'!$F$6:$F$1387,3)</x:f>
        <x:v>9</x:v>
      </x:c>
      <x:c r="D140" s="2" t="n">
        <x:f>COUNTIFS('Ratings'!$B$6:$B$1387,A140,'Ratings'!$F$6:$F$1387,2)</x:f>
        <x:v>12</x:v>
      </x:c>
      <x:c r="E140" s="2" t="n">
        <x:f>COUNTIFS('Ratings'!$B$6:$B$1387,A140,'Ratings'!$F$6:$F$1387,1)</x:f>
        <x:v>8</x:v>
      </x:c>
      <x:c r="F140" s="2" t="n">
        <x:f>IF(B140&lt;=C140,3,IF(B140&lt;=C140+D140,2,IF(B140&lt;=C140+D140+E140,1,0)))</x:f>
        <x:v>3</x:v>
      </x:c>
      <x:c r="G140" s="2" t="n">
        <x:f>2^F140-1</x:f>
        <x:v>7</x:v>
      </x:c>
      <x:c r="H140" s="14" t="n">
        <x:f>G140/LOG(B140+1,2)</x:f>
        <x:v>2.7079696506417914</x:v>
      </x:c>
    </x:row>
    <x:row r="141" ht="22" customHeight="1">
      <x:c r="A141" s="2" t="str">
        <x:v>S14</x:v>
      </x:c>
      <x:c r="B141" s="2" t="n">
        <x:v>6</x:v>
      </x:c>
      <x:c r="C141" s="2" t="n">
        <x:f>COUNTIFS('Ratings'!$B$6:$B$1387,A141,'Ratings'!$F$6:$F$1387,3)</x:f>
        <x:v>9</x:v>
      </x:c>
      <x:c r="D141" s="2" t="n">
        <x:f>COUNTIFS('Ratings'!$B$6:$B$1387,A141,'Ratings'!$F$6:$F$1387,2)</x:f>
        <x:v>12</x:v>
      </x:c>
      <x:c r="E141" s="2" t="n">
        <x:f>COUNTIFS('Ratings'!$B$6:$B$1387,A141,'Ratings'!$F$6:$F$1387,1)</x:f>
        <x:v>8</x:v>
      </x:c>
      <x:c r="F141" s="2" t="n">
        <x:f>IF(B141&lt;=C141,3,IF(B141&lt;=C141+D141,2,IF(B141&lt;=C141+D141+E141,1,0)))</x:f>
        <x:v>3</x:v>
      </x:c>
      <x:c r="G141" s="2" t="n">
        <x:f>2^F141-1</x:f>
        <x:v>7</x:v>
      </x:c>
      <x:c r="H141" s="14" t="n">
        <x:f>G141/LOG(B141+1,2)</x:f>
        <x:v>2.493450309756155</x:v>
      </x:c>
    </x:row>
    <x:row r="142" ht="22" customHeight="1">
      <x:c r="A142" s="2" t="str">
        <x:v>S14</x:v>
      </x:c>
      <x:c r="B142" s="2" t="n">
        <x:v>7</x:v>
      </x:c>
      <x:c r="C142" s="2" t="n">
        <x:f>COUNTIFS('Ratings'!$B$6:$B$1387,A142,'Ratings'!$F$6:$F$1387,3)</x:f>
        <x:v>9</x:v>
      </x:c>
      <x:c r="D142" s="2" t="n">
        <x:f>COUNTIFS('Ratings'!$B$6:$B$1387,A142,'Ratings'!$F$6:$F$1387,2)</x:f>
        <x:v>12</x:v>
      </x:c>
      <x:c r="E142" s="2" t="n">
        <x:f>COUNTIFS('Ratings'!$B$6:$B$1387,A142,'Ratings'!$F$6:$F$1387,1)</x:f>
        <x:v>8</x:v>
      </x:c>
      <x:c r="F142" s="2" t="n">
        <x:f>IF(B142&lt;=C142,3,IF(B142&lt;=C142+D142,2,IF(B142&lt;=C142+D142+E142,1,0)))</x:f>
        <x:v>3</x:v>
      </x:c>
      <x:c r="G142" s="2" t="n">
        <x:f>2^F142-1</x:f>
        <x:v>7</x:v>
      </x:c>
      <x:c r="H142" s="14" t="n">
        <x:f>G142/LOG(B142+1,2)</x:f>
        <x:v>2.3333333333333335</x:v>
      </x:c>
    </x:row>
    <x:row r="143" ht="22" customHeight="1">
      <x:c r="A143" s="2" t="str">
        <x:v>S14</x:v>
      </x:c>
      <x:c r="B143" s="2" t="n">
        <x:v>8</x:v>
      </x:c>
      <x:c r="C143" s="2" t="n">
        <x:f>COUNTIFS('Ratings'!$B$6:$B$1387,A143,'Ratings'!$F$6:$F$1387,3)</x:f>
        <x:v>9</x:v>
      </x:c>
      <x:c r="D143" s="2" t="n">
        <x:f>COUNTIFS('Ratings'!$B$6:$B$1387,A143,'Ratings'!$F$6:$F$1387,2)</x:f>
        <x:v>12</x:v>
      </x:c>
      <x:c r="E143" s="2" t="n">
        <x:f>COUNTIFS('Ratings'!$B$6:$B$1387,A143,'Ratings'!$F$6:$F$1387,1)</x:f>
        <x:v>8</x:v>
      </x:c>
      <x:c r="F143" s="2" t="n">
        <x:f>IF(B143&lt;=C143,3,IF(B143&lt;=C143+D143,2,IF(B143&lt;=C143+D143+E143,1,0)))</x:f>
        <x:v>3</x:v>
      </x:c>
      <x:c r="G143" s="2" t="n">
        <x:f>2^F143-1</x:f>
        <x:v>7</x:v>
      </x:c>
      <x:c r="H143" s="14" t="n">
        <x:f>G143/LOG(B143+1,2)</x:f>
        <x:v>2.208254137500101</x:v>
      </x:c>
    </x:row>
    <x:row r="144" ht="22" customHeight="1">
      <x:c r="A144" s="2" t="str">
        <x:v>S14</x:v>
      </x:c>
      <x:c r="B144" s="2" t="n">
        <x:v>9</x:v>
      </x:c>
      <x:c r="C144" s="2" t="n">
        <x:f>COUNTIFS('Ratings'!$B$6:$B$1387,A144,'Ratings'!$F$6:$F$1387,3)</x:f>
        <x:v>9</x:v>
      </x:c>
      <x:c r="D144" s="2" t="n">
        <x:f>COUNTIFS('Ratings'!$B$6:$B$1387,A144,'Ratings'!$F$6:$F$1387,2)</x:f>
        <x:v>12</x:v>
      </x:c>
      <x:c r="E144" s="2" t="n">
        <x:f>COUNTIFS('Ratings'!$B$6:$B$1387,A144,'Ratings'!$F$6:$F$1387,1)</x:f>
        <x:v>8</x:v>
      </x:c>
      <x:c r="F144" s="2" t="n">
        <x:f>IF(B144&lt;=C144,3,IF(B144&lt;=C144+D144,2,IF(B144&lt;=C144+D144+E144,1,0)))</x:f>
        <x:v>3</x:v>
      </x:c>
      <x:c r="G144" s="2" t="n">
        <x:f>2^F144-1</x:f>
        <x:v>7</x:v>
      </x:c>
      <x:c r="H144" s="14" t="n">
        <x:f>G144/LOG(B144+1,2)</x:f>
        <x:v>2.1072099696478683</x:v>
      </x:c>
    </x:row>
    <x:row r="145" ht="22" customHeight="1">
      <x:c r="A145" s="2" t="str">
        <x:v>S14</x:v>
      </x:c>
      <x:c r="B145" s="2" t="n">
        <x:v>10</x:v>
      </x:c>
      <x:c r="C145" s="2" t="n">
        <x:f>COUNTIFS('Ratings'!$B$6:$B$1387,A145,'Ratings'!$F$6:$F$1387,3)</x:f>
        <x:v>9</x:v>
      </x:c>
      <x:c r="D145" s="2" t="n">
        <x:f>COUNTIFS('Ratings'!$B$6:$B$1387,A145,'Ratings'!$F$6:$F$1387,2)</x:f>
        <x:v>12</x:v>
      </x:c>
      <x:c r="E145" s="2" t="n">
        <x:f>COUNTIFS('Ratings'!$B$6:$B$1387,A145,'Ratings'!$F$6:$F$1387,1)</x:f>
        <x:v>8</x:v>
      </x:c>
      <x:c r="F145" s="2" t="n">
        <x:f>IF(B145&lt;=C145,3,IF(B145&lt;=C145+D145,2,IF(B145&lt;=C145+D145+E145,1,0)))</x:f>
        <x:v>2</x:v>
      </x:c>
      <x:c r="G145" s="2" t="n">
        <x:f>2^F145-1</x:f>
        <x:v>3</x:v>
      </x:c>
      <x:c r="H145" s="14" t="n">
        <x:f>G145/LOG(B145+1,2)</x:f>
        <x:v>0.8671944789536634</x:v>
      </x:c>
    </x:row>
    <x:row r="146" ht="22" customHeight="1">
      <x:c r="A146" s="2" t="str">
        <x:v>S15</x:v>
      </x:c>
      <x:c r="B146" s="2" t="n">
        <x:v>1</x:v>
      </x:c>
      <x:c r="C146" s="2" t="n">
        <x:f>COUNTIFS('Ratings'!$B$6:$B$1387,A146,'Ratings'!$F$6:$F$1387,3)</x:f>
        <x:v>13</x:v>
      </x:c>
      <x:c r="D146" s="2" t="n">
        <x:f>COUNTIFS('Ratings'!$B$6:$B$1387,A146,'Ratings'!$F$6:$F$1387,2)</x:f>
        <x:v>6</x:v>
      </x:c>
      <x:c r="E146" s="2" t="n">
        <x:f>COUNTIFS('Ratings'!$B$6:$B$1387,A146,'Ratings'!$F$6:$F$1387,1)</x:f>
        <x:v>9</x:v>
      </x:c>
      <x:c r="F146" s="2" t="n">
        <x:f>IF(B146&lt;=C146,3,IF(B146&lt;=C146+D146,2,IF(B146&lt;=C146+D146+E146,1,0)))</x:f>
        <x:v>3</x:v>
      </x:c>
      <x:c r="G146" s="2" t="n">
        <x:f>2^F146-1</x:f>
        <x:v>7</x:v>
      </x:c>
      <x:c r="H146" s="14" t="n">
        <x:f>G146/LOG(B146+1,2)</x:f>
        <x:v>7</x:v>
      </x:c>
    </x:row>
    <x:row r="147" ht="22" customHeight="1">
      <x:c r="A147" s="2" t="str">
        <x:v>S15</x:v>
      </x:c>
      <x:c r="B147" s="2" t="n">
        <x:v>2</x:v>
      </x:c>
      <x:c r="C147" s="2" t="n">
        <x:f>COUNTIFS('Ratings'!$B$6:$B$1387,A147,'Ratings'!$F$6:$F$1387,3)</x:f>
        <x:v>13</x:v>
      </x:c>
      <x:c r="D147" s="2" t="n">
        <x:f>COUNTIFS('Ratings'!$B$6:$B$1387,A147,'Ratings'!$F$6:$F$1387,2)</x:f>
        <x:v>6</x:v>
      </x:c>
      <x:c r="E147" s="2" t="n">
        <x:f>COUNTIFS('Ratings'!$B$6:$B$1387,A147,'Ratings'!$F$6:$F$1387,1)</x:f>
        <x:v>9</x:v>
      </x:c>
      <x:c r="F147" s="2" t="n">
        <x:f>IF(B147&lt;=C147,3,IF(B147&lt;=C147+D147,2,IF(B147&lt;=C147+D147+E147,1,0)))</x:f>
        <x:v>3</x:v>
      </x:c>
      <x:c r="G147" s="2" t="n">
        <x:f>2^F147-1</x:f>
        <x:v>7</x:v>
      </x:c>
      <x:c r="H147" s="14" t="n">
        <x:f>G147/LOG(B147+1,2)</x:f>
        <x:v>4.4165082750002025</x:v>
      </x:c>
    </x:row>
    <x:row r="148" ht="22" customHeight="1">
      <x:c r="A148" s="2" t="str">
        <x:v>S15</x:v>
      </x:c>
      <x:c r="B148" s="2" t="n">
        <x:v>3</x:v>
      </x:c>
      <x:c r="C148" s="2" t="n">
        <x:f>COUNTIFS('Ratings'!$B$6:$B$1387,A148,'Ratings'!$F$6:$F$1387,3)</x:f>
        <x:v>13</x:v>
      </x:c>
      <x:c r="D148" s="2" t="n">
        <x:f>COUNTIFS('Ratings'!$B$6:$B$1387,A148,'Ratings'!$F$6:$F$1387,2)</x:f>
        <x:v>6</x:v>
      </x:c>
      <x:c r="E148" s="2" t="n">
        <x:f>COUNTIFS('Ratings'!$B$6:$B$1387,A148,'Ratings'!$F$6:$F$1387,1)</x:f>
        <x:v>9</x:v>
      </x:c>
      <x:c r="F148" s="2" t="n">
        <x:f>IF(B148&lt;=C148,3,IF(B148&lt;=C148+D148,2,IF(B148&lt;=C148+D148+E148,1,0)))</x:f>
        <x:v>3</x:v>
      </x:c>
      <x:c r="G148" s="2" t="n">
        <x:f>2^F148-1</x:f>
        <x:v>7</x:v>
      </x:c>
      <x:c r="H148" s="14" t="n">
        <x:f>G148/LOG(B148+1,2)</x:f>
        <x:v>3.5</x:v>
      </x:c>
    </x:row>
    <x:row r="149" ht="22" customHeight="1">
      <x:c r="A149" s="2" t="str">
        <x:v>S15</x:v>
      </x:c>
      <x:c r="B149" s="2" t="n">
        <x:v>4</x:v>
      </x:c>
      <x:c r="C149" s="2" t="n">
        <x:f>COUNTIFS('Ratings'!$B$6:$B$1387,A149,'Ratings'!$F$6:$F$1387,3)</x:f>
        <x:v>13</x:v>
      </x:c>
      <x:c r="D149" s="2" t="n">
        <x:f>COUNTIFS('Ratings'!$B$6:$B$1387,A149,'Ratings'!$F$6:$F$1387,2)</x:f>
        <x:v>6</x:v>
      </x:c>
      <x:c r="E149" s="2" t="n">
        <x:f>COUNTIFS('Ratings'!$B$6:$B$1387,A149,'Ratings'!$F$6:$F$1387,1)</x:f>
        <x:v>9</x:v>
      </x:c>
      <x:c r="F149" s="2" t="n">
        <x:f>IF(B149&lt;=C149,3,IF(B149&lt;=C149+D149,2,IF(B149&lt;=C149+D149+E149,1,0)))</x:f>
        <x:v>3</x:v>
      </x:c>
      <x:c r="G149" s="2" t="n">
        <x:f>2^F149-1</x:f>
        <x:v>7</x:v>
      </x:c>
      <x:c r="H149" s="14" t="n">
        <x:f>G149/LOG(B149+1,2)</x:f>
        <x:v>3.0147359065137516</x:v>
      </x:c>
    </x:row>
    <x:row r="150" ht="22" customHeight="1">
      <x:c r="A150" s="2" t="str">
        <x:v>S15</x:v>
      </x:c>
      <x:c r="B150" s="2" t="n">
        <x:v>5</x:v>
      </x:c>
      <x:c r="C150" s="2" t="n">
        <x:f>COUNTIFS('Ratings'!$B$6:$B$1387,A150,'Ratings'!$F$6:$F$1387,3)</x:f>
        <x:v>13</x:v>
      </x:c>
      <x:c r="D150" s="2" t="n">
        <x:f>COUNTIFS('Ratings'!$B$6:$B$1387,A150,'Ratings'!$F$6:$F$1387,2)</x:f>
        <x:v>6</x:v>
      </x:c>
      <x:c r="E150" s="2" t="n">
        <x:f>COUNTIFS('Ratings'!$B$6:$B$1387,A150,'Ratings'!$F$6:$F$1387,1)</x:f>
        <x:v>9</x:v>
      </x:c>
      <x:c r="F150" s="2" t="n">
        <x:f>IF(B150&lt;=C150,3,IF(B150&lt;=C150+D150,2,IF(B150&lt;=C150+D150+E150,1,0)))</x:f>
        <x:v>3</x:v>
      </x:c>
      <x:c r="G150" s="2" t="n">
        <x:f>2^F150-1</x:f>
        <x:v>7</x:v>
      </x:c>
      <x:c r="H150" s="14" t="n">
        <x:f>G150/LOG(B150+1,2)</x:f>
        <x:v>2.7079696506417914</x:v>
      </x:c>
    </x:row>
    <x:row r="151" ht="22" customHeight="1">
      <x:c r="A151" s="2" t="str">
        <x:v>S15</x:v>
      </x:c>
      <x:c r="B151" s="2" t="n">
        <x:v>6</x:v>
      </x:c>
      <x:c r="C151" s="2" t="n">
        <x:f>COUNTIFS('Ratings'!$B$6:$B$1387,A151,'Ratings'!$F$6:$F$1387,3)</x:f>
        <x:v>13</x:v>
      </x:c>
      <x:c r="D151" s="2" t="n">
        <x:f>COUNTIFS('Ratings'!$B$6:$B$1387,A151,'Ratings'!$F$6:$F$1387,2)</x:f>
        <x:v>6</x:v>
      </x:c>
      <x:c r="E151" s="2" t="n">
        <x:f>COUNTIFS('Ratings'!$B$6:$B$1387,A151,'Ratings'!$F$6:$F$1387,1)</x:f>
        <x:v>9</x:v>
      </x:c>
      <x:c r="F151" s="2" t="n">
        <x:f>IF(B151&lt;=C151,3,IF(B151&lt;=C151+D151,2,IF(B151&lt;=C151+D151+E151,1,0)))</x:f>
        <x:v>3</x:v>
      </x:c>
      <x:c r="G151" s="2" t="n">
        <x:f>2^F151-1</x:f>
        <x:v>7</x:v>
      </x:c>
      <x:c r="H151" s="14" t="n">
        <x:f>G151/LOG(B151+1,2)</x:f>
        <x:v>2.493450309756155</x:v>
      </x:c>
    </x:row>
    <x:row r="152" ht="22" customHeight="1">
      <x:c r="A152" s="2" t="str">
        <x:v>S15</x:v>
      </x:c>
      <x:c r="B152" s="2" t="n">
        <x:v>7</x:v>
      </x:c>
      <x:c r="C152" s="2" t="n">
        <x:f>COUNTIFS('Ratings'!$B$6:$B$1387,A152,'Ratings'!$F$6:$F$1387,3)</x:f>
        <x:v>13</x:v>
      </x:c>
      <x:c r="D152" s="2" t="n">
        <x:f>COUNTIFS('Ratings'!$B$6:$B$1387,A152,'Ratings'!$F$6:$F$1387,2)</x:f>
        <x:v>6</x:v>
      </x:c>
      <x:c r="E152" s="2" t="n">
        <x:f>COUNTIFS('Ratings'!$B$6:$B$1387,A152,'Ratings'!$F$6:$F$1387,1)</x:f>
        <x:v>9</x:v>
      </x:c>
      <x:c r="F152" s="2" t="n">
        <x:f>IF(B152&lt;=C152,3,IF(B152&lt;=C152+D152,2,IF(B152&lt;=C152+D152+E152,1,0)))</x:f>
        <x:v>3</x:v>
      </x:c>
      <x:c r="G152" s="2" t="n">
        <x:f>2^F152-1</x:f>
        <x:v>7</x:v>
      </x:c>
      <x:c r="H152" s="14" t="n">
        <x:f>G152/LOG(B152+1,2)</x:f>
        <x:v>2.3333333333333335</x:v>
      </x:c>
    </x:row>
    <x:row r="153" ht="22" customHeight="1">
      <x:c r="A153" s="2" t="str">
        <x:v>S15</x:v>
      </x:c>
      <x:c r="B153" s="2" t="n">
        <x:v>8</x:v>
      </x:c>
      <x:c r="C153" s="2" t="n">
        <x:f>COUNTIFS('Ratings'!$B$6:$B$1387,A153,'Ratings'!$F$6:$F$1387,3)</x:f>
        <x:v>13</x:v>
      </x:c>
      <x:c r="D153" s="2" t="n">
        <x:f>COUNTIFS('Ratings'!$B$6:$B$1387,A153,'Ratings'!$F$6:$F$1387,2)</x:f>
        <x:v>6</x:v>
      </x:c>
      <x:c r="E153" s="2" t="n">
        <x:f>COUNTIFS('Ratings'!$B$6:$B$1387,A153,'Ratings'!$F$6:$F$1387,1)</x:f>
        <x:v>9</x:v>
      </x:c>
      <x:c r="F153" s="2" t="n">
        <x:f>IF(B153&lt;=C153,3,IF(B153&lt;=C153+D153,2,IF(B153&lt;=C153+D153+E153,1,0)))</x:f>
        <x:v>3</x:v>
      </x:c>
      <x:c r="G153" s="2" t="n">
        <x:f>2^F153-1</x:f>
        <x:v>7</x:v>
      </x:c>
      <x:c r="H153" s="14" t="n">
        <x:f>G153/LOG(B153+1,2)</x:f>
        <x:v>2.208254137500101</x:v>
      </x:c>
    </x:row>
    <x:row r="154" ht="22" customHeight="1">
      <x:c r="A154" s="2" t="str">
        <x:v>S15</x:v>
      </x:c>
      <x:c r="B154" s="2" t="n">
        <x:v>9</x:v>
      </x:c>
      <x:c r="C154" s="2" t="n">
        <x:f>COUNTIFS('Ratings'!$B$6:$B$1387,A154,'Ratings'!$F$6:$F$1387,3)</x:f>
        <x:v>13</x:v>
      </x:c>
      <x:c r="D154" s="2" t="n">
        <x:f>COUNTIFS('Ratings'!$B$6:$B$1387,A154,'Ratings'!$F$6:$F$1387,2)</x:f>
        <x:v>6</x:v>
      </x:c>
      <x:c r="E154" s="2" t="n">
        <x:f>COUNTIFS('Ratings'!$B$6:$B$1387,A154,'Ratings'!$F$6:$F$1387,1)</x:f>
        <x:v>9</x:v>
      </x:c>
      <x:c r="F154" s="2" t="n">
        <x:f>IF(B154&lt;=C154,3,IF(B154&lt;=C154+D154,2,IF(B154&lt;=C154+D154+E154,1,0)))</x:f>
        <x:v>3</x:v>
      </x:c>
      <x:c r="G154" s="2" t="n">
        <x:f>2^F154-1</x:f>
        <x:v>7</x:v>
      </x:c>
      <x:c r="H154" s="14" t="n">
        <x:f>G154/LOG(B154+1,2)</x:f>
        <x:v>2.1072099696478683</x:v>
      </x:c>
    </x:row>
    <x:row r="155" ht="22" customHeight="1">
      <x:c r="A155" s="2" t="str">
        <x:v>S15</x:v>
      </x:c>
      <x:c r="B155" s="2" t="n">
        <x:v>10</x:v>
      </x:c>
      <x:c r="C155" s="2" t="n">
        <x:f>COUNTIFS('Ratings'!$B$6:$B$1387,A155,'Ratings'!$F$6:$F$1387,3)</x:f>
        <x:v>13</x:v>
      </x:c>
      <x:c r="D155" s="2" t="n">
        <x:f>COUNTIFS('Ratings'!$B$6:$B$1387,A155,'Ratings'!$F$6:$F$1387,2)</x:f>
        <x:v>6</x:v>
      </x:c>
      <x:c r="E155" s="2" t="n">
        <x:f>COUNTIFS('Ratings'!$B$6:$B$1387,A155,'Ratings'!$F$6:$F$1387,1)</x:f>
        <x:v>9</x:v>
      </x:c>
      <x:c r="F155" s="2" t="n">
        <x:f>IF(B155&lt;=C155,3,IF(B155&lt;=C155+D155,2,IF(B155&lt;=C155+D155+E155,1,0)))</x:f>
        <x:v>3</x:v>
      </x:c>
      <x:c r="G155" s="2" t="n">
        <x:f>2^F155-1</x:f>
        <x:v>7</x:v>
      </x:c>
      <x:c r="H155" s="14" t="n">
        <x:f>G155/LOG(B155+1,2)</x:f>
        <x:v>2.023453784225215</x:v>
      </x:c>
    </x:row>
    <x:row r="156" ht="22" customHeight="1">
      <x:c r="A156" s="2" t="str">
        <x:v>S16</x:v>
      </x:c>
      <x:c r="B156" s="2" t="n">
        <x:v>1</x:v>
      </x:c>
      <x:c r="C156" s="2" t="n">
        <x:f>COUNTIFS('Ratings'!$B$6:$B$1387,A156,'Ratings'!$F$6:$F$1387,3)</x:f>
        <x:v>15</x:v>
      </x:c>
      <x:c r="D156" s="2" t="n">
        <x:f>COUNTIFS('Ratings'!$B$6:$B$1387,A156,'Ratings'!$F$6:$F$1387,2)</x:f>
        <x:v>6</x:v>
      </x:c>
      <x:c r="E156" s="2" t="n">
        <x:f>COUNTIFS('Ratings'!$B$6:$B$1387,A156,'Ratings'!$F$6:$F$1387,1)</x:f>
        <x:v>8</x:v>
      </x:c>
      <x:c r="F156" s="2" t="n">
        <x:f>IF(B156&lt;=C156,3,IF(B156&lt;=C156+D156,2,IF(B156&lt;=C156+D156+E156,1,0)))</x:f>
        <x:v>3</x:v>
      </x:c>
      <x:c r="G156" s="2" t="n">
        <x:f>2^F156-1</x:f>
        <x:v>7</x:v>
      </x:c>
      <x:c r="H156" s="14" t="n">
        <x:f>G156/LOG(B156+1,2)</x:f>
        <x:v>7</x:v>
      </x:c>
    </x:row>
    <x:row r="157" ht="22" customHeight="1">
      <x:c r="A157" s="2" t="str">
        <x:v>S16</x:v>
      </x:c>
      <x:c r="B157" s="2" t="n">
        <x:v>2</x:v>
      </x:c>
      <x:c r="C157" s="2" t="n">
        <x:f>COUNTIFS('Ratings'!$B$6:$B$1387,A157,'Ratings'!$F$6:$F$1387,3)</x:f>
        <x:v>15</x:v>
      </x:c>
      <x:c r="D157" s="2" t="n">
        <x:f>COUNTIFS('Ratings'!$B$6:$B$1387,A157,'Ratings'!$F$6:$F$1387,2)</x:f>
        <x:v>6</x:v>
      </x:c>
      <x:c r="E157" s="2" t="n">
        <x:f>COUNTIFS('Ratings'!$B$6:$B$1387,A157,'Ratings'!$F$6:$F$1387,1)</x:f>
        <x:v>8</x:v>
      </x:c>
      <x:c r="F157" s="2" t="n">
        <x:f>IF(B157&lt;=C157,3,IF(B157&lt;=C157+D157,2,IF(B157&lt;=C157+D157+E157,1,0)))</x:f>
        <x:v>3</x:v>
      </x:c>
      <x:c r="G157" s="2" t="n">
        <x:f>2^F157-1</x:f>
        <x:v>7</x:v>
      </x:c>
      <x:c r="H157" s="14" t="n">
        <x:f>G157/LOG(B157+1,2)</x:f>
        <x:v>4.4165082750002025</x:v>
      </x:c>
    </x:row>
    <x:row r="158" ht="22" customHeight="1">
      <x:c r="A158" s="2" t="str">
        <x:v>S16</x:v>
      </x:c>
      <x:c r="B158" s="2" t="n">
        <x:v>3</x:v>
      </x:c>
      <x:c r="C158" s="2" t="n">
        <x:f>COUNTIFS('Ratings'!$B$6:$B$1387,A158,'Ratings'!$F$6:$F$1387,3)</x:f>
        <x:v>15</x:v>
      </x:c>
      <x:c r="D158" s="2" t="n">
        <x:f>COUNTIFS('Ratings'!$B$6:$B$1387,A158,'Ratings'!$F$6:$F$1387,2)</x:f>
        <x:v>6</x:v>
      </x:c>
      <x:c r="E158" s="2" t="n">
        <x:f>COUNTIFS('Ratings'!$B$6:$B$1387,A158,'Ratings'!$F$6:$F$1387,1)</x:f>
        <x:v>8</x:v>
      </x:c>
      <x:c r="F158" s="2" t="n">
        <x:f>IF(B158&lt;=C158,3,IF(B158&lt;=C158+D158,2,IF(B158&lt;=C158+D158+E158,1,0)))</x:f>
        <x:v>3</x:v>
      </x:c>
      <x:c r="G158" s="2" t="n">
        <x:f>2^F158-1</x:f>
        <x:v>7</x:v>
      </x:c>
      <x:c r="H158" s="14" t="n">
        <x:f>G158/LOG(B158+1,2)</x:f>
        <x:v>3.5</x:v>
      </x:c>
    </x:row>
    <x:row r="159" ht="22" customHeight="1">
      <x:c r="A159" s="2" t="str">
        <x:v>S16</x:v>
      </x:c>
      <x:c r="B159" s="2" t="n">
        <x:v>4</x:v>
      </x:c>
      <x:c r="C159" s="2" t="n">
        <x:f>COUNTIFS('Ratings'!$B$6:$B$1387,A159,'Ratings'!$F$6:$F$1387,3)</x:f>
        <x:v>15</x:v>
      </x:c>
      <x:c r="D159" s="2" t="n">
        <x:f>COUNTIFS('Ratings'!$B$6:$B$1387,A159,'Ratings'!$F$6:$F$1387,2)</x:f>
        <x:v>6</x:v>
      </x:c>
      <x:c r="E159" s="2" t="n">
        <x:f>COUNTIFS('Ratings'!$B$6:$B$1387,A159,'Ratings'!$F$6:$F$1387,1)</x:f>
        <x:v>8</x:v>
      </x:c>
      <x:c r="F159" s="2" t="n">
        <x:f>IF(B159&lt;=C159,3,IF(B159&lt;=C159+D159,2,IF(B159&lt;=C159+D159+E159,1,0)))</x:f>
        <x:v>3</x:v>
      </x:c>
      <x:c r="G159" s="2" t="n">
        <x:f>2^F159-1</x:f>
        <x:v>7</x:v>
      </x:c>
      <x:c r="H159" s="14" t="n">
        <x:f>G159/LOG(B159+1,2)</x:f>
        <x:v>3.0147359065137516</x:v>
      </x:c>
    </x:row>
    <x:row r="160" ht="22" customHeight="1">
      <x:c r="A160" s="2" t="str">
        <x:v>S16</x:v>
      </x:c>
      <x:c r="B160" s="2" t="n">
        <x:v>5</x:v>
      </x:c>
      <x:c r="C160" s="2" t="n">
        <x:f>COUNTIFS('Ratings'!$B$6:$B$1387,A160,'Ratings'!$F$6:$F$1387,3)</x:f>
        <x:v>15</x:v>
      </x:c>
      <x:c r="D160" s="2" t="n">
        <x:f>COUNTIFS('Ratings'!$B$6:$B$1387,A160,'Ratings'!$F$6:$F$1387,2)</x:f>
        <x:v>6</x:v>
      </x:c>
      <x:c r="E160" s="2" t="n">
        <x:f>COUNTIFS('Ratings'!$B$6:$B$1387,A160,'Ratings'!$F$6:$F$1387,1)</x:f>
        <x:v>8</x:v>
      </x:c>
      <x:c r="F160" s="2" t="n">
        <x:f>IF(B160&lt;=C160,3,IF(B160&lt;=C160+D160,2,IF(B160&lt;=C160+D160+E160,1,0)))</x:f>
        <x:v>3</x:v>
      </x:c>
      <x:c r="G160" s="2" t="n">
        <x:f>2^F160-1</x:f>
        <x:v>7</x:v>
      </x:c>
      <x:c r="H160" s="14" t="n">
        <x:f>G160/LOG(B160+1,2)</x:f>
        <x:v>2.7079696506417914</x:v>
      </x:c>
    </x:row>
    <x:row r="161" ht="22" customHeight="1">
      <x:c r="A161" s="2" t="str">
        <x:v>S16</x:v>
      </x:c>
      <x:c r="B161" s="2" t="n">
        <x:v>6</x:v>
      </x:c>
      <x:c r="C161" s="2" t="n">
        <x:f>COUNTIFS('Ratings'!$B$6:$B$1387,A161,'Ratings'!$F$6:$F$1387,3)</x:f>
        <x:v>15</x:v>
      </x:c>
      <x:c r="D161" s="2" t="n">
        <x:f>COUNTIFS('Ratings'!$B$6:$B$1387,A161,'Ratings'!$F$6:$F$1387,2)</x:f>
        <x:v>6</x:v>
      </x:c>
      <x:c r="E161" s="2" t="n">
        <x:f>COUNTIFS('Ratings'!$B$6:$B$1387,A161,'Ratings'!$F$6:$F$1387,1)</x:f>
        <x:v>8</x:v>
      </x:c>
      <x:c r="F161" s="2" t="n">
        <x:f>IF(B161&lt;=C161,3,IF(B161&lt;=C161+D161,2,IF(B161&lt;=C161+D161+E161,1,0)))</x:f>
        <x:v>3</x:v>
      </x:c>
      <x:c r="G161" s="2" t="n">
        <x:f>2^F161-1</x:f>
        <x:v>7</x:v>
      </x:c>
      <x:c r="H161" s="14" t="n">
        <x:f>G161/LOG(B161+1,2)</x:f>
        <x:v>2.493450309756155</x:v>
      </x:c>
    </x:row>
    <x:row r="162" ht="22" customHeight="1">
      <x:c r="A162" s="2" t="str">
        <x:v>S16</x:v>
      </x:c>
      <x:c r="B162" s="2" t="n">
        <x:v>7</x:v>
      </x:c>
      <x:c r="C162" s="2" t="n">
        <x:f>COUNTIFS('Ratings'!$B$6:$B$1387,A162,'Ratings'!$F$6:$F$1387,3)</x:f>
        <x:v>15</x:v>
      </x:c>
      <x:c r="D162" s="2" t="n">
        <x:f>COUNTIFS('Ratings'!$B$6:$B$1387,A162,'Ratings'!$F$6:$F$1387,2)</x:f>
        <x:v>6</x:v>
      </x:c>
      <x:c r="E162" s="2" t="n">
        <x:f>COUNTIFS('Ratings'!$B$6:$B$1387,A162,'Ratings'!$F$6:$F$1387,1)</x:f>
        <x:v>8</x:v>
      </x:c>
      <x:c r="F162" s="2" t="n">
        <x:f>IF(B162&lt;=C162,3,IF(B162&lt;=C162+D162,2,IF(B162&lt;=C162+D162+E162,1,0)))</x:f>
        <x:v>3</x:v>
      </x:c>
      <x:c r="G162" s="2" t="n">
        <x:f>2^F162-1</x:f>
        <x:v>7</x:v>
      </x:c>
      <x:c r="H162" s="14" t="n">
        <x:f>G162/LOG(B162+1,2)</x:f>
        <x:v>2.3333333333333335</x:v>
      </x:c>
    </x:row>
    <x:row r="163" ht="22" customHeight="1">
      <x:c r="A163" s="2" t="str">
        <x:v>S16</x:v>
      </x:c>
      <x:c r="B163" s="2" t="n">
        <x:v>8</x:v>
      </x:c>
      <x:c r="C163" s="2" t="n">
        <x:f>COUNTIFS('Ratings'!$B$6:$B$1387,A163,'Ratings'!$F$6:$F$1387,3)</x:f>
        <x:v>15</x:v>
      </x:c>
      <x:c r="D163" s="2" t="n">
        <x:f>COUNTIFS('Ratings'!$B$6:$B$1387,A163,'Ratings'!$F$6:$F$1387,2)</x:f>
        <x:v>6</x:v>
      </x:c>
      <x:c r="E163" s="2" t="n">
        <x:f>COUNTIFS('Ratings'!$B$6:$B$1387,A163,'Ratings'!$F$6:$F$1387,1)</x:f>
        <x:v>8</x:v>
      </x:c>
      <x:c r="F163" s="2" t="n">
        <x:f>IF(B163&lt;=C163,3,IF(B163&lt;=C163+D163,2,IF(B163&lt;=C163+D163+E163,1,0)))</x:f>
        <x:v>3</x:v>
      </x:c>
      <x:c r="G163" s="2" t="n">
        <x:f>2^F163-1</x:f>
        <x:v>7</x:v>
      </x:c>
      <x:c r="H163" s="14" t="n">
        <x:f>G163/LOG(B163+1,2)</x:f>
        <x:v>2.208254137500101</x:v>
      </x:c>
    </x:row>
    <x:row r="164" ht="22" customHeight="1">
      <x:c r="A164" s="2" t="str">
        <x:v>S16</x:v>
      </x:c>
      <x:c r="B164" s="2" t="n">
        <x:v>9</x:v>
      </x:c>
      <x:c r="C164" s="2" t="n">
        <x:f>COUNTIFS('Ratings'!$B$6:$B$1387,A164,'Ratings'!$F$6:$F$1387,3)</x:f>
        <x:v>15</x:v>
      </x:c>
      <x:c r="D164" s="2" t="n">
        <x:f>COUNTIFS('Ratings'!$B$6:$B$1387,A164,'Ratings'!$F$6:$F$1387,2)</x:f>
        <x:v>6</x:v>
      </x:c>
      <x:c r="E164" s="2" t="n">
        <x:f>COUNTIFS('Ratings'!$B$6:$B$1387,A164,'Ratings'!$F$6:$F$1387,1)</x:f>
        <x:v>8</x:v>
      </x:c>
      <x:c r="F164" s="2" t="n">
        <x:f>IF(B164&lt;=C164,3,IF(B164&lt;=C164+D164,2,IF(B164&lt;=C164+D164+E164,1,0)))</x:f>
        <x:v>3</x:v>
      </x:c>
      <x:c r="G164" s="2" t="n">
        <x:f>2^F164-1</x:f>
        <x:v>7</x:v>
      </x:c>
      <x:c r="H164" s="14" t="n">
        <x:f>G164/LOG(B164+1,2)</x:f>
        <x:v>2.1072099696478683</x:v>
      </x:c>
    </x:row>
    <x:row r="165" ht="22" customHeight="1">
      <x:c r="A165" s="2" t="str">
        <x:v>S16</x:v>
      </x:c>
      <x:c r="B165" s="2" t="n">
        <x:v>10</x:v>
      </x:c>
      <x:c r="C165" s="2" t="n">
        <x:f>COUNTIFS('Ratings'!$B$6:$B$1387,A165,'Ratings'!$F$6:$F$1387,3)</x:f>
        <x:v>15</x:v>
      </x:c>
      <x:c r="D165" s="2" t="n">
        <x:f>COUNTIFS('Ratings'!$B$6:$B$1387,A165,'Ratings'!$F$6:$F$1387,2)</x:f>
        <x:v>6</x:v>
      </x:c>
      <x:c r="E165" s="2" t="n">
        <x:f>COUNTIFS('Ratings'!$B$6:$B$1387,A165,'Ratings'!$F$6:$F$1387,1)</x:f>
        <x:v>8</x:v>
      </x:c>
      <x:c r="F165" s="2" t="n">
        <x:f>IF(B165&lt;=C165,3,IF(B165&lt;=C165+D165,2,IF(B165&lt;=C165+D165+E165,1,0)))</x:f>
        <x:v>3</x:v>
      </x:c>
      <x:c r="G165" s="2" t="n">
        <x:f>2^F165-1</x:f>
        <x:v>7</x:v>
      </x:c>
      <x:c r="H165" s="14" t="n">
        <x:f>G165/LOG(B165+1,2)</x:f>
        <x:v>2.023453784225215</x:v>
      </x:c>
    </x:row>
    <x:row r="166" ht="22" customHeight="1">
      <x:c r="A166" s="2" t="str">
        <x:v>S17</x:v>
      </x:c>
      <x:c r="B166" s="2" t="n">
        <x:v>1</x:v>
      </x:c>
      <x:c r="C166" s="2" t="n">
        <x:f>COUNTIFS('Ratings'!$B$6:$B$1387,A166,'Ratings'!$F$6:$F$1387,3)</x:f>
        <x:v>3</x:v>
      </x:c>
      <x:c r="D166" s="2" t="n">
        <x:f>COUNTIFS('Ratings'!$B$6:$B$1387,A166,'Ratings'!$F$6:$F$1387,2)</x:f>
        <x:v>0</x:v>
      </x:c>
      <x:c r="E166" s="2" t="n">
        <x:f>COUNTIFS('Ratings'!$B$6:$B$1387,A166,'Ratings'!$F$6:$F$1387,1)</x:f>
        <x:v>0</x:v>
      </x:c>
      <x:c r="F166" s="2" t="n">
        <x:f>IF(B166&lt;=C166,3,IF(B166&lt;=C166+D166,2,IF(B166&lt;=C166+D166+E166,1,0)))</x:f>
        <x:v>3</x:v>
      </x:c>
      <x:c r="G166" s="2" t="n">
        <x:f>2^F166-1</x:f>
        <x:v>7</x:v>
      </x:c>
      <x:c r="H166" s="14" t="n">
        <x:f>G166/LOG(B166+1,2)</x:f>
        <x:v>7</x:v>
      </x:c>
    </x:row>
    <x:row r="167" ht="22" customHeight="1">
      <x:c r="A167" s="2" t="str">
        <x:v>S17</x:v>
      </x:c>
      <x:c r="B167" s="2" t="n">
        <x:v>2</x:v>
      </x:c>
      <x:c r="C167" s="2" t="n">
        <x:f>COUNTIFS('Ratings'!$B$6:$B$1387,A167,'Ratings'!$F$6:$F$1387,3)</x:f>
        <x:v>3</x:v>
      </x:c>
      <x:c r="D167" s="2" t="n">
        <x:f>COUNTIFS('Ratings'!$B$6:$B$1387,A167,'Ratings'!$F$6:$F$1387,2)</x:f>
        <x:v>0</x:v>
      </x:c>
      <x:c r="E167" s="2" t="n">
        <x:f>COUNTIFS('Ratings'!$B$6:$B$1387,A167,'Ratings'!$F$6:$F$1387,1)</x:f>
        <x:v>0</x:v>
      </x:c>
      <x:c r="F167" s="2" t="n">
        <x:f>IF(B167&lt;=C167,3,IF(B167&lt;=C167+D167,2,IF(B167&lt;=C167+D167+E167,1,0)))</x:f>
        <x:v>3</x:v>
      </x:c>
      <x:c r="G167" s="2" t="n">
        <x:f>2^F167-1</x:f>
        <x:v>7</x:v>
      </x:c>
      <x:c r="H167" s="14" t="n">
        <x:f>G167/LOG(B167+1,2)</x:f>
        <x:v>4.4165082750002025</x:v>
      </x:c>
    </x:row>
    <x:row r="168" ht="22" customHeight="1">
      <x:c r="A168" s="2" t="str">
        <x:v>S17</x:v>
      </x:c>
      <x:c r="B168" s="2" t="n">
        <x:v>3</x:v>
      </x:c>
      <x:c r="C168" s="2" t="n">
        <x:f>COUNTIFS('Ratings'!$B$6:$B$1387,A168,'Ratings'!$F$6:$F$1387,3)</x:f>
        <x:v>3</x:v>
      </x:c>
      <x:c r="D168" s="2" t="n">
        <x:f>COUNTIFS('Ratings'!$B$6:$B$1387,A168,'Ratings'!$F$6:$F$1387,2)</x:f>
        <x:v>0</x:v>
      </x:c>
      <x:c r="E168" s="2" t="n">
        <x:f>COUNTIFS('Ratings'!$B$6:$B$1387,A168,'Ratings'!$F$6:$F$1387,1)</x:f>
        <x:v>0</x:v>
      </x:c>
      <x:c r="F168" s="2" t="n">
        <x:f>IF(B168&lt;=C168,3,IF(B168&lt;=C168+D168,2,IF(B168&lt;=C168+D168+E168,1,0)))</x:f>
        <x:v>3</x:v>
      </x:c>
      <x:c r="G168" s="2" t="n">
        <x:f>2^F168-1</x:f>
        <x:v>7</x:v>
      </x:c>
      <x:c r="H168" s="14" t="n">
        <x:f>G168/LOG(B168+1,2)</x:f>
        <x:v>3.5</x:v>
      </x:c>
    </x:row>
    <x:row r="169" ht="22" customHeight="1">
      <x:c r="A169" s="2" t="str">
        <x:v>S17</x:v>
      </x:c>
      <x:c r="B169" s="2" t="n">
        <x:v>4</x:v>
      </x:c>
      <x:c r="C169" s="2" t="n">
        <x:f>COUNTIFS('Ratings'!$B$6:$B$1387,A169,'Ratings'!$F$6:$F$1387,3)</x:f>
        <x:v>3</x:v>
      </x:c>
      <x:c r="D169" s="2" t="n">
        <x:f>COUNTIFS('Ratings'!$B$6:$B$1387,A169,'Ratings'!$F$6:$F$1387,2)</x:f>
        <x:v>0</x:v>
      </x:c>
      <x:c r="E169" s="2" t="n">
        <x:f>COUNTIFS('Ratings'!$B$6:$B$1387,A169,'Ratings'!$F$6:$F$1387,1)</x:f>
        <x:v>0</x:v>
      </x:c>
      <x:c r="F169" s="2" t="n">
        <x:f>IF(B169&lt;=C169,3,IF(B169&lt;=C169+D169,2,IF(B169&lt;=C169+D169+E169,1,0)))</x:f>
        <x:v>0</x:v>
      </x:c>
      <x:c r="G169" s="2" t="n">
        <x:f>2^F169-1</x:f>
        <x:v>0</x:v>
      </x:c>
      <x:c r="H169" s="14" t="n">
        <x:f>G169/LOG(B169+1,2)</x:f>
        <x:v>0</x:v>
      </x:c>
    </x:row>
    <x:row r="170" ht="22" customHeight="1">
      <x:c r="A170" s="2" t="str">
        <x:v>S17</x:v>
      </x:c>
      <x:c r="B170" s="2" t="n">
        <x:v>5</x:v>
      </x:c>
      <x:c r="C170" s="2" t="n">
        <x:f>COUNTIFS('Ratings'!$B$6:$B$1387,A170,'Ratings'!$F$6:$F$1387,3)</x:f>
        <x:v>3</x:v>
      </x:c>
      <x:c r="D170" s="2" t="n">
        <x:f>COUNTIFS('Ratings'!$B$6:$B$1387,A170,'Ratings'!$F$6:$F$1387,2)</x:f>
        <x:v>0</x:v>
      </x:c>
      <x:c r="E170" s="2" t="n">
        <x:f>COUNTIFS('Ratings'!$B$6:$B$1387,A170,'Ratings'!$F$6:$F$1387,1)</x:f>
        <x:v>0</x:v>
      </x:c>
      <x:c r="F170" s="2" t="n">
        <x:f>IF(B170&lt;=C170,3,IF(B170&lt;=C170+D170,2,IF(B170&lt;=C170+D170+E170,1,0)))</x:f>
        <x:v>0</x:v>
      </x:c>
      <x:c r="G170" s="2" t="n">
        <x:f>2^F170-1</x:f>
        <x:v>0</x:v>
      </x:c>
      <x:c r="H170" s="14" t="n">
        <x:f>G170/LOG(B170+1,2)</x:f>
        <x:v>0</x:v>
      </x:c>
    </x:row>
    <x:row r="171" ht="22" customHeight="1">
      <x:c r="A171" s="2" t="str">
        <x:v>S17</x:v>
      </x:c>
      <x:c r="B171" s="2" t="n">
        <x:v>6</x:v>
      </x:c>
      <x:c r="C171" s="2" t="n">
        <x:f>COUNTIFS('Ratings'!$B$6:$B$1387,A171,'Ratings'!$F$6:$F$1387,3)</x:f>
        <x:v>3</x:v>
      </x:c>
      <x:c r="D171" s="2" t="n">
        <x:f>COUNTIFS('Ratings'!$B$6:$B$1387,A171,'Ratings'!$F$6:$F$1387,2)</x:f>
        <x:v>0</x:v>
      </x:c>
      <x:c r="E171" s="2" t="n">
        <x:f>COUNTIFS('Ratings'!$B$6:$B$1387,A171,'Ratings'!$F$6:$F$1387,1)</x:f>
        <x:v>0</x:v>
      </x:c>
      <x:c r="F171" s="2" t="n">
        <x:f>IF(B171&lt;=C171,3,IF(B171&lt;=C171+D171,2,IF(B171&lt;=C171+D171+E171,1,0)))</x:f>
        <x:v>0</x:v>
      </x:c>
      <x:c r="G171" s="2" t="n">
        <x:f>2^F171-1</x:f>
        <x:v>0</x:v>
      </x:c>
      <x:c r="H171" s="14" t="n">
        <x:f>G171/LOG(B171+1,2)</x:f>
        <x:v>0</x:v>
      </x:c>
    </x:row>
    <x:row r="172" ht="22" customHeight="1">
      <x:c r="A172" s="2" t="str">
        <x:v>S17</x:v>
      </x:c>
      <x:c r="B172" s="2" t="n">
        <x:v>7</x:v>
      </x:c>
      <x:c r="C172" s="2" t="n">
        <x:f>COUNTIFS('Ratings'!$B$6:$B$1387,A172,'Ratings'!$F$6:$F$1387,3)</x:f>
        <x:v>3</x:v>
      </x:c>
      <x:c r="D172" s="2" t="n">
        <x:f>COUNTIFS('Ratings'!$B$6:$B$1387,A172,'Ratings'!$F$6:$F$1387,2)</x:f>
        <x:v>0</x:v>
      </x:c>
      <x:c r="E172" s="2" t="n">
        <x:f>COUNTIFS('Ratings'!$B$6:$B$1387,A172,'Ratings'!$F$6:$F$1387,1)</x:f>
        <x:v>0</x:v>
      </x:c>
      <x:c r="F172" s="2" t="n">
        <x:f>IF(B172&lt;=C172,3,IF(B172&lt;=C172+D172,2,IF(B172&lt;=C172+D172+E172,1,0)))</x:f>
        <x:v>0</x:v>
      </x:c>
      <x:c r="G172" s="2" t="n">
        <x:f>2^F172-1</x:f>
        <x:v>0</x:v>
      </x:c>
      <x:c r="H172" s="14" t="n">
        <x:f>G172/LOG(B172+1,2)</x:f>
        <x:v>0</x:v>
      </x:c>
    </x:row>
    <x:row r="173" ht="22" customHeight="1">
      <x:c r="A173" s="2" t="str">
        <x:v>S17</x:v>
      </x:c>
      <x:c r="B173" s="2" t="n">
        <x:v>8</x:v>
      </x:c>
      <x:c r="C173" s="2" t="n">
        <x:f>COUNTIFS('Ratings'!$B$6:$B$1387,A173,'Ratings'!$F$6:$F$1387,3)</x:f>
        <x:v>3</x:v>
      </x:c>
      <x:c r="D173" s="2" t="n">
        <x:f>COUNTIFS('Ratings'!$B$6:$B$1387,A173,'Ratings'!$F$6:$F$1387,2)</x:f>
        <x:v>0</x:v>
      </x:c>
      <x:c r="E173" s="2" t="n">
        <x:f>COUNTIFS('Ratings'!$B$6:$B$1387,A173,'Ratings'!$F$6:$F$1387,1)</x:f>
        <x:v>0</x:v>
      </x:c>
      <x:c r="F173" s="2" t="n">
        <x:f>IF(B173&lt;=C173,3,IF(B173&lt;=C173+D173,2,IF(B173&lt;=C173+D173+E173,1,0)))</x:f>
        <x:v>0</x:v>
      </x:c>
      <x:c r="G173" s="2" t="n">
        <x:f>2^F173-1</x:f>
        <x:v>0</x:v>
      </x:c>
      <x:c r="H173" s="14" t="n">
        <x:f>G173/LOG(B173+1,2)</x:f>
        <x:v>0</x:v>
      </x:c>
    </x:row>
    <x:row r="174" ht="22" customHeight="1">
      <x:c r="A174" s="2" t="str">
        <x:v>S17</x:v>
      </x:c>
      <x:c r="B174" s="2" t="n">
        <x:v>9</x:v>
      </x:c>
      <x:c r="C174" s="2" t="n">
        <x:f>COUNTIFS('Ratings'!$B$6:$B$1387,A174,'Ratings'!$F$6:$F$1387,3)</x:f>
        <x:v>3</x:v>
      </x:c>
      <x:c r="D174" s="2" t="n">
        <x:f>COUNTIFS('Ratings'!$B$6:$B$1387,A174,'Ratings'!$F$6:$F$1387,2)</x:f>
        <x:v>0</x:v>
      </x:c>
      <x:c r="E174" s="2" t="n">
        <x:f>COUNTIFS('Ratings'!$B$6:$B$1387,A174,'Ratings'!$F$6:$F$1387,1)</x:f>
        <x:v>0</x:v>
      </x:c>
      <x:c r="F174" s="2" t="n">
        <x:f>IF(B174&lt;=C174,3,IF(B174&lt;=C174+D174,2,IF(B174&lt;=C174+D174+E174,1,0)))</x:f>
        <x:v>0</x:v>
      </x:c>
      <x:c r="G174" s="2" t="n">
        <x:f>2^F174-1</x:f>
        <x:v>0</x:v>
      </x:c>
      <x:c r="H174" s="14" t="n">
        <x:f>G174/LOG(B174+1,2)</x:f>
        <x:v>0</x:v>
      </x:c>
    </x:row>
    <x:row r="175" ht="22" customHeight="1">
      <x:c r="A175" s="2" t="str">
        <x:v>S17</x:v>
      </x:c>
      <x:c r="B175" s="2" t="n">
        <x:v>10</x:v>
      </x:c>
      <x:c r="C175" s="2" t="n">
        <x:f>COUNTIFS('Ratings'!$B$6:$B$1387,A175,'Ratings'!$F$6:$F$1387,3)</x:f>
        <x:v>3</x:v>
      </x:c>
      <x:c r="D175" s="2" t="n">
        <x:f>COUNTIFS('Ratings'!$B$6:$B$1387,A175,'Ratings'!$F$6:$F$1387,2)</x:f>
        <x:v>0</x:v>
      </x:c>
      <x:c r="E175" s="2" t="n">
        <x:f>COUNTIFS('Ratings'!$B$6:$B$1387,A175,'Ratings'!$F$6:$F$1387,1)</x:f>
        <x:v>0</x:v>
      </x:c>
      <x:c r="F175" s="2" t="n">
        <x:f>IF(B175&lt;=C175,3,IF(B175&lt;=C175+D175,2,IF(B175&lt;=C175+D175+E175,1,0)))</x:f>
        <x:v>0</x:v>
      </x:c>
      <x:c r="G175" s="2" t="n">
        <x:f>2^F175-1</x:f>
        <x:v>0</x:v>
      </x:c>
      <x:c r="H175" s="14" t="n">
        <x:f>G175/LOG(B175+1,2)</x:f>
        <x:v>0</x:v>
      </x:c>
    </x:row>
    <x:row r="176" ht="22" customHeight="1">
      <x:c r="A176" s="2" t="str">
        <x:v>S18</x:v>
      </x:c>
      <x:c r="B176" s="2" t="n">
        <x:v>1</x:v>
      </x:c>
      <x:c r="C176" s="2" t="n">
        <x:f>COUNTIFS('Ratings'!$B$6:$B$1387,A176,'Ratings'!$F$6:$F$1387,3)</x:f>
        <x:v>4</x:v>
      </x:c>
      <x:c r="D176" s="2" t="n">
        <x:f>COUNTIFS('Ratings'!$B$6:$B$1387,A176,'Ratings'!$F$6:$F$1387,2)</x:f>
        <x:v>6</x:v>
      </x:c>
      <x:c r="E176" s="2" t="n">
        <x:f>COUNTIFS('Ratings'!$B$6:$B$1387,A176,'Ratings'!$F$6:$F$1387,1)</x:f>
        <x:v>13</x:v>
      </x:c>
      <x:c r="F176" s="2" t="n">
        <x:f>IF(B176&lt;=C176,3,IF(B176&lt;=C176+D176,2,IF(B176&lt;=C176+D176+E176,1,0)))</x:f>
        <x:v>3</x:v>
      </x:c>
      <x:c r="G176" s="2" t="n">
        <x:f>2^F176-1</x:f>
        <x:v>7</x:v>
      </x:c>
      <x:c r="H176" s="14" t="n">
        <x:f>G176/LOG(B176+1,2)</x:f>
        <x:v>7</x:v>
      </x:c>
    </x:row>
    <x:row r="177" ht="22" customHeight="1">
      <x:c r="A177" s="2" t="str">
        <x:v>S18</x:v>
      </x:c>
      <x:c r="B177" s="2" t="n">
        <x:v>2</x:v>
      </x:c>
      <x:c r="C177" s="2" t="n">
        <x:f>COUNTIFS('Ratings'!$B$6:$B$1387,A177,'Ratings'!$F$6:$F$1387,3)</x:f>
        <x:v>4</x:v>
      </x:c>
      <x:c r="D177" s="2" t="n">
        <x:f>COUNTIFS('Ratings'!$B$6:$B$1387,A177,'Ratings'!$F$6:$F$1387,2)</x:f>
        <x:v>6</x:v>
      </x:c>
      <x:c r="E177" s="2" t="n">
        <x:f>COUNTIFS('Ratings'!$B$6:$B$1387,A177,'Ratings'!$F$6:$F$1387,1)</x:f>
        <x:v>13</x:v>
      </x:c>
      <x:c r="F177" s="2" t="n">
        <x:f>IF(B177&lt;=C177,3,IF(B177&lt;=C177+D177,2,IF(B177&lt;=C177+D177+E177,1,0)))</x:f>
        <x:v>3</x:v>
      </x:c>
      <x:c r="G177" s="2" t="n">
        <x:f>2^F177-1</x:f>
        <x:v>7</x:v>
      </x:c>
      <x:c r="H177" s="14" t="n">
        <x:f>G177/LOG(B177+1,2)</x:f>
        <x:v>4.4165082750002025</x:v>
      </x:c>
    </x:row>
    <x:row r="178" ht="22" customHeight="1">
      <x:c r="A178" s="2" t="str">
        <x:v>S18</x:v>
      </x:c>
      <x:c r="B178" s="2" t="n">
        <x:v>3</x:v>
      </x:c>
      <x:c r="C178" s="2" t="n">
        <x:f>COUNTIFS('Ratings'!$B$6:$B$1387,A178,'Ratings'!$F$6:$F$1387,3)</x:f>
        <x:v>4</x:v>
      </x:c>
      <x:c r="D178" s="2" t="n">
        <x:f>COUNTIFS('Ratings'!$B$6:$B$1387,A178,'Ratings'!$F$6:$F$1387,2)</x:f>
        <x:v>6</x:v>
      </x:c>
      <x:c r="E178" s="2" t="n">
        <x:f>COUNTIFS('Ratings'!$B$6:$B$1387,A178,'Ratings'!$F$6:$F$1387,1)</x:f>
        <x:v>13</x:v>
      </x:c>
      <x:c r="F178" s="2" t="n">
        <x:f>IF(B178&lt;=C178,3,IF(B178&lt;=C178+D178,2,IF(B178&lt;=C178+D178+E178,1,0)))</x:f>
        <x:v>3</x:v>
      </x:c>
      <x:c r="G178" s="2" t="n">
        <x:f>2^F178-1</x:f>
        <x:v>7</x:v>
      </x:c>
      <x:c r="H178" s="14" t="n">
        <x:f>G178/LOG(B178+1,2)</x:f>
        <x:v>3.5</x:v>
      </x:c>
    </x:row>
    <x:row r="179" ht="22" customHeight="1">
      <x:c r="A179" s="2" t="str">
        <x:v>S18</x:v>
      </x:c>
      <x:c r="B179" s="2" t="n">
        <x:v>4</x:v>
      </x:c>
      <x:c r="C179" s="2" t="n">
        <x:f>COUNTIFS('Ratings'!$B$6:$B$1387,A179,'Ratings'!$F$6:$F$1387,3)</x:f>
        <x:v>4</x:v>
      </x:c>
      <x:c r="D179" s="2" t="n">
        <x:f>COUNTIFS('Ratings'!$B$6:$B$1387,A179,'Ratings'!$F$6:$F$1387,2)</x:f>
        <x:v>6</x:v>
      </x:c>
      <x:c r="E179" s="2" t="n">
        <x:f>COUNTIFS('Ratings'!$B$6:$B$1387,A179,'Ratings'!$F$6:$F$1387,1)</x:f>
        <x:v>13</x:v>
      </x:c>
      <x:c r="F179" s="2" t="n">
        <x:f>IF(B179&lt;=C179,3,IF(B179&lt;=C179+D179,2,IF(B179&lt;=C179+D179+E179,1,0)))</x:f>
        <x:v>3</x:v>
      </x:c>
      <x:c r="G179" s="2" t="n">
        <x:f>2^F179-1</x:f>
        <x:v>7</x:v>
      </x:c>
      <x:c r="H179" s="14" t="n">
        <x:f>G179/LOG(B179+1,2)</x:f>
        <x:v>3.0147359065137516</x:v>
      </x:c>
    </x:row>
    <x:row r="180" ht="22" customHeight="1">
      <x:c r="A180" s="2" t="str">
        <x:v>S18</x:v>
      </x:c>
      <x:c r="B180" s="2" t="n">
        <x:v>5</x:v>
      </x:c>
      <x:c r="C180" s="2" t="n">
        <x:f>COUNTIFS('Ratings'!$B$6:$B$1387,A180,'Ratings'!$F$6:$F$1387,3)</x:f>
        <x:v>4</x:v>
      </x:c>
      <x:c r="D180" s="2" t="n">
        <x:f>COUNTIFS('Ratings'!$B$6:$B$1387,A180,'Ratings'!$F$6:$F$1387,2)</x:f>
        <x:v>6</x:v>
      </x:c>
      <x:c r="E180" s="2" t="n">
        <x:f>COUNTIFS('Ratings'!$B$6:$B$1387,A180,'Ratings'!$F$6:$F$1387,1)</x:f>
        <x:v>13</x:v>
      </x:c>
      <x:c r="F180" s="2" t="n">
        <x:f>IF(B180&lt;=C180,3,IF(B180&lt;=C180+D180,2,IF(B180&lt;=C180+D180+E180,1,0)))</x:f>
        <x:v>2</x:v>
      </x:c>
      <x:c r="G180" s="2" t="n">
        <x:f>2^F180-1</x:f>
        <x:v>3</x:v>
      </x:c>
      <x:c r="H180" s="14" t="n">
        <x:f>G180/LOG(B180+1,2)</x:f>
        <x:v>1.1605584217036249</x:v>
      </x:c>
    </x:row>
    <x:row r="181" ht="22" customHeight="1">
      <x:c r="A181" s="2" t="str">
        <x:v>S18</x:v>
      </x:c>
      <x:c r="B181" s="2" t="n">
        <x:v>6</x:v>
      </x:c>
      <x:c r="C181" s="2" t="n">
        <x:f>COUNTIFS('Ratings'!$B$6:$B$1387,A181,'Ratings'!$F$6:$F$1387,3)</x:f>
        <x:v>4</x:v>
      </x:c>
      <x:c r="D181" s="2" t="n">
        <x:f>COUNTIFS('Ratings'!$B$6:$B$1387,A181,'Ratings'!$F$6:$F$1387,2)</x:f>
        <x:v>6</x:v>
      </x:c>
      <x:c r="E181" s="2" t="n">
        <x:f>COUNTIFS('Ratings'!$B$6:$B$1387,A181,'Ratings'!$F$6:$F$1387,1)</x:f>
        <x:v>13</x:v>
      </x:c>
      <x:c r="F181" s="2" t="n">
        <x:f>IF(B181&lt;=C181,3,IF(B181&lt;=C181+D181,2,IF(B181&lt;=C181+D181+E181,1,0)))</x:f>
        <x:v>2</x:v>
      </x:c>
      <x:c r="G181" s="2" t="n">
        <x:f>2^F181-1</x:f>
        <x:v>3</x:v>
      </x:c>
      <x:c r="H181" s="14" t="n">
        <x:f>G181/LOG(B181+1,2)</x:f>
        <x:v>1.0686215613240666</x:v>
      </x:c>
    </x:row>
    <x:row r="182" ht="22" customHeight="1">
      <x:c r="A182" s="2" t="str">
        <x:v>S18</x:v>
      </x:c>
      <x:c r="B182" s="2" t="n">
        <x:v>7</x:v>
      </x:c>
      <x:c r="C182" s="2" t="n">
        <x:f>COUNTIFS('Ratings'!$B$6:$B$1387,A182,'Ratings'!$F$6:$F$1387,3)</x:f>
        <x:v>4</x:v>
      </x:c>
      <x:c r="D182" s="2" t="n">
        <x:f>COUNTIFS('Ratings'!$B$6:$B$1387,A182,'Ratings'!$F$6:$F$1387,2)</x:f>
        <x:v>6</x:v>
      </x:c>
      <x:c r="E182" s="2" t="n">
        <x:f>COUNTIFS('Ratings'!$B$6:$B$1387,A182,'Ratings'!$F$6:$F$1387,1)</x:f>
        <x:v>13</x:v>
      </x:c>
      <x:c r="F182" s="2" t="n">
        <x:f>IF(B182&lt;=C182,3,IF(B182&lt;=C182+D182,2,IF(B182&lt;=C182+D182+E182,1,0)))</x:f>
        <x:v>2</x:v>
      </x:c>
      <x:c r="G182" s="2" t="n">
        <x:f>2^F182-1</x:f>
        <x:v>3</x:v>
      </x:c>
      <x:c r="H182" s="14" t="n">
        <x:f>G182/LOG(B182+1,2)</x:f>
        <x:v>1</x:v>
      </x:c>
    </x:row>
    <x:row r="183" ht="22" customHeight="1">
      <x:c r="A183" s="2" t="str">
        <x:v>S18</x:v>
      </x:c>
      <x:c r="B183" s="2" t="n">
        <x:v>8</x:v>
      </x:c>
      <x:c r="C183" s="2" t="n">
        <x:f>COUNTIFS('Ratings'!$B$6:$B$1387,A183,'Ratings'!$F$6:$F$1387,3)</x:f>
        <x:v>4</x:v>
      </x:c>
      <x:c r="D183" s="2" t="n">
        <x:f>COUNTIFS('Ratings'!$B$6:$B$1387,A183,'Ratings'!$F$6:$F$1387,2)</x:f>
        <x:v>6</x:v>
      </x:c>
      <x:c r="E183" s="2" t="n">
        <x:f>COUNTIFS('Ratings'!$B$6:$B$1387,A183,'Ratings'!$F$6:$F$1387,1)</x:f>
        <x:v>13</x:v>
      </x:c>
      <x:c r="F183" s="2" t="n">
        <x:f>IF(B183&lt;=C183,3,IF(B183&lt;=C183+D183,2,IF(B183&lt;=C183+D183+E183,1,0)))</x:f>
        <x:v>2</x:v>
      </x:c>
      <x:c r="G183" s="2" t="n">
        <x:f>2^F183-1</x:f>
        <x:v>3</x:v>
      </x:c>
      <x:c r="H183" s="14" t="n">
        <x:f>G183/LOG(B183+1,2)</x:f>
        <x:v>0.9463946303571861</x:v>
      </x:c>
    </x:row>
    <x:row r="184" ht="22" customHeight="1">
      <x:c r="A184" s="2" t="str">
        <x:v>S18</x:v>
      </x:c>
      <x:c r="B184" s="2" t="n">
        <x:v>9</x:v>
      </x:c>
      <x:c r="C184" s="2" t="n">
        <x:f>COUNTIFS('Ratings'!$B$6:$B$1387,A184,'Ratings'!$F$6:$F$1387,3)</x:f>
        <x:v>4</x:v>
      </x:c>
      <x:c r="D184" s="2" t="n">
        <x:f>COUNTIFS('Ratings'!$B$6:$B$1387,A184,'Ratings'!$F$6:$F$1387,2)</x:f>
        <x:v>6</x:v>
      </x:c>
      <x:c r="E184" s="2" t="n">
        <x:f>COUNTIFS('Ratings'!$B$6:$B$1387,A184,'Ratings'!$F$6:$F$1387,1)</x:f>
        <x:v>13</x:v>
      </x:c>
      <x:c r="F184" s="2" t="n">
        <x:f>IF(B184&lt;=C184,3,IF(B184&lt;=C184+D184,2,IF(B184&lt;=C184+D184+E184,1,0)))</x:f>
        <x:v>2</x:v>
      </x:c>
      <x:c r="G184" s="2" t="n">
        <x:f>2^F184-1</x:f>
        <x:v>3</x:v>
      </x:c>
      <x:c r="H184" s="14" t="n">
        <x:f>G184/LOG(B184+1,2)</x:f>
        <x:v>0.9030899869919435</x:v>
      </x:c>
    </x:row>
    <x:row r="185" ht="22" customHeight="1">
      <x:c r="A185" s="2" t="str">
        <x:v>S18</x:v>
      </x:c>
      <x:c r="B185" s="2" t="n">
        <x:v>10</x:v>
      </x:c>
      <x:c r="C185" s="2" t="n">
        <x:f>COUNTIFS('Ratings'!$B$6:$B$1387,A185,'Ratings'!$F$6:$F$1387,3)</x:f>
        <x:v>4</x:v>
      </x:c>
      <x:c r="D185" s="2" t="n">
        <x:f>COUNTIFS('Ratings'!$B$6:$B$1387,A185,'Ratings'!$F$6:$F$1387,2)</x:f>
        <x:v>6</x:v>
      </x:c>
      <x:c r="E185" s="2" t="n">
        <x:f>COUNTIFS('Ratings'!$B$6:$B$1387,A185,'Ratings'!$F$6:$F$1387,1)</x:f>
        <x:v>13</x:v>
      </x:c>
      <x:c r="F185" s="2" t="n">
        <x:f>IF(B185&lt;=C185,3,IF(B185&lt;=C185+D185,2,IF(B185&lt;=C185+D185+E185,1,0)))</x:f>
        <x:v>2</x:v>
      </x:c>
      <x:c r="G185" s="2" t="n">
        <x:f>2^F185-1</x:f>
        <x:v>3</x:v>
      </x:c>
      <x:c r="H185" s="14" t="n">
        <x:f>G185/LOG(B185+1,2)</x:f>
        <x:v>0.8671944789536634</x:v>
      </x:c>
    </x:row>
    <x:row r="186" ht="22" customHeight="1">
      <x:c r="A186" s="2" t="str">
        <x:v>S21</x:v>
      </x:c>
      <x:c r="B186" s="2" t="n">
        <x:v>1</x:v>
      </x:c>
      <x:c r="C186" s="2" t="n">
        <x:f>COUNTIFS('Ratings'!$B$6:$B$1387,A186,'Ratings'!$F$6:$F$1387,3)</x:f>
        <x:v>8</x:v>
      </x:c>
      <x:c r="D186" s="2" t="n">
        <x:f>COUNTIFS('Ratings'!$B$6:$B$1387,A186,'Ratings'!$F$6:$F$1387,2)</x:f>
        <x:v>8</x:v>
      </x:c>
      <x:c r="E186" s="2" t="n">
        <x:f>COUNTIFS('Ratings'!$B$6:$B$1387,A186,'Ratings'!$F$6:$F$1387,1)</x:f>
        <x:v>6</x:v>
      </x:c>
      <x:c r="F186" s="2" t="n">
        <x:f>IF(B186&lt;=C186,3,IF(B186&lt;=C186+D186,2,IF(B186&lt;=C186+D186+E186,1,0)))</x:f>
        <x:v>3</x:v>
      </x:c>
      <x:c r="G186" s="2" t="n">
        <x:f>2^F186-1</x:f>
        <x:v>7</x:v>
      </x:c>
      <x:c r="H186" s="14" t="n">
        <x:f>G186/LOG(B186+1,2)</x:f>
        <x:v>7</x:v>
      </x:c>
    </x:row>
    <x:row r="187" ht="22" customHeight="1">
      <x:c r="A187" s="2" t="str">
        <x:v>S21</x:v>
      </x:c>
      <x:c r="B187" s="2" t="n">
        <x:v>2</x:v>
      </x:c>
      <x:c r="C187" s="2" t="n">
        <x:f>COUNTIFS('Ratings'!$B$6:$B$1387,A187,'Ratings'!$F$6:$F$1387,3)</x:f>
        <x:v>8</x:v>
      </x:c>
      <x:c r="D187" s="2" t="n">
        <x:f>COUNTIFS('Ratings'!$B$6:$B$1387,A187,'Ratings'!$F$6:$F$1387,2)</x:f>
        <x:v>8</x:v>
      </x:c>
      <x:c r="E187" s="2" t="n">
        <x:f>COUNTIFS('Ratings'!$B$6:$B$1387,A187,'Ratings'!$F$6:$F$1387,1)</x:f>
        <x:v>6</x:v>
      </x:c>
      <x:c r="F187" s="2" t="n">
        <x:f>IF(B187&lt;=C187,3,IF(B187&lt;=C187+D187,2,IF(B187&lt;=C187+D187+E187,1,0)))</x:f>
        <x:v>3</x:v>
      </x:c>
      <x:c r="G187" s="2" t="n">
        <x:f>2^F187-1</x:f>
        <x:v>7</x:v>
      </x:c>
      <x:c r="H187" s="14" t="n">
        <x:f>G187/LOG(B187+1,2)</x:f>
        <x:v>4.4165082750002025</x:v>
      </x:c>
    </x:row>
    <x:row r="188" ht="22" customHeight="1">
      <x:c r="A188" s="2" t="str">
        <x:v>S21</x:v>
      </x:c>
      <x:c r="B188" s="2" t="n">
        <x:v>3</x:v>
      </x:c>
      <x:c r="C188" s="2" t="n">
        <x:f>COUNTIFS('Ratings'!$B$6:$B$1387,A188,'Ratings'!$F$6:$F$1387,3)</x:f>
        <x:v>8</x:v>
      </x:c>
      <x:c r="D188" s="2" t="n">
        <x:f>COUNTIFS('Ratings'!$B$6:$B$1387,A188,'Ratings'!$F$6:$F$1387,2)</x:f>
        <x:v>8</x:v>
      </x:c>
      <x:c r="E188" s="2" t="n">
        <x:f>COUNTIFS('Ratings'!$B$6:$B$1387,A188,'Ratings'!$F$6:$F$1387,1)</x:f>
        <x:v>6</x:v>
      </x:c>
      <x:c r="F188" s="2" t="n">
        <x:f>IF(B188&lt;=C188,3,IF(B188&lt;=C188+D188,2,IF(B188&lt;=C188+D188+E188,1,0)))</x:f>
        <x:v>3</x:v>
      </x:c>
      <x:c r="G188" s="2" t="n">
        <x:f>2^F188-1</x:f>
        <x:v>7</x:v>
      </x:c>
      <x:c r="H188" s="14" t="n">
        <x:f>G188/LOG(B188+1,2)</x:f>
        <x:v>3.5</x:v>
      </x:c>
    </x:row>
    <x:row r="189" ht="22" customHeight="1">
      <x:c r="A189" s="2" t="str">
        <x:v>S21</x:v>
      </x:c>
      <x:c r="B189" s="2" t="n">
        <x:v>4</x:v>
      </x:c>
      <x:c r="C189" s="2" t="n">
        <x:f>COUNTIFS('Ratings'!$B$6:$B$1387,A189,'Ratings'!$F$6:$F$1387,3)</x:f>
        <x:v>8</x:v>
      </x:c>
      <x:c r="D189" s="2" t="n">
        <x:f>COUNTIFS('Ratings'!$B$6:$B$1387,A189,'Ratings'!$F$6:$F$1387,2)</x:f>
        <x:v>8</x:v>
      </x:c>
      <x:c r="E189" s="2" t="n">
        <x:f>COUNTIFS('Ratings'!$B$6:$B$1387,A189,'Ratings'!$F$6:$F$1387,1)</x:f>
        <x:v>6</x:v>
      </x:c>
      <x:c r="F189" s="2" t="n">
        <x:f>IF(B189&lt;=C189,3,IF(B189&lt;=C189+D189,2,IF(B189&lt;=C189+D189+E189,1,0)))</x:f>
        <x:v>3</x:v>
      </x:c>
      <x:c r="G189" s="2" t="n">
        <x:f>2^F189-1</x:f>
        <x:v>7</x:v>
      </x:c>
      <x:c r="H189" s="14" t="n">
        <x:f>G189/LOG(B189+1,2)</x:f>
        <x:v>3.0147359065137516</x:v>
      </x:c>
    </x:row>
    <x:row r="190" ht="22" customHeight="1">
      <x:c r="A190" s="2" t="str">
        <x:v>S21</x:v>
      </x:c>
      <x:c r="B190" s="2" t="n">
        <x:v>5</x:v>
      </x:c>
      <x:c r="C190" s="2" t="n">
        <x:f>COUNTIFS('Ratings'!$B$6:$B$1387,A190,'Ratings'!$F$6:$F$1387,3)</x:f>
        <x:v>8</x:v>
      </x:c>
      <x:c r="D190" s="2" t="n">
        <x:f>COUNTIFS('Ratings'!$B$6:$B$1387,A190,'Ratings'!$F$6:$F$1387,2)</x:f>
        <x:v>8</x:v>
      </x:c>
      <x:c r="E190" s="2" t="n">
        <x:f>COUNTIFS('Ratings'!$B$6:$B$1387,A190,'Ratings'!$F$6:$F$1387,1)</x:f>
        <x:v>6</x:v>
      </x:c>
      <x:c r="F190" s="2" t="n">
        <x:f>IF(B190&lt;=C190,3,IF(B190&lt;=C190+D190,2,IF(B190&lt;=C190+D190+E190,1,0)))</x:f>
        <x:v>3</x:v>
      </x:c>
      <x:c r="G190" s="2" t="n">
        <x:f>2^F190-1</x:f>
        <x:v>7</x:v>
      </x:c>
      <x:c r="H190" s="14" t="n">
        <x:f>G190/LOG(B190+1,2)</x:f>
        <x:v>2.7079696506417914</x:v>
      </x:c>
    </x:row>
    <x:row r="191" ht="22" customHeight="1">
      <x:c r="A191" s="2" t="str">
        <x:v>S21</x:v>
      </x:c>
      <x:c r="B191" s="2" t="n">
        <x:v>6</x:v>
      </x:c>
      <x:c r="C191" s="2" t="n">
        <x:f>COUNTIFS('Ratings'!$B$6:$B$1387,A191,'Ratings'!$F$6:$F$1387,3)</x:f>
        <x:v>8</x:v>
      </x:c>
      <x:c r="D191" s="2" t="n">
        <x:f>COUNTIFS('Ratings'!$B$6:$B$1387,A191,'Ratings'!$F$6:$F$1387,2)</x:f>
        <x:v>8</x:v>
      </x:c>
      <x:c r="E191" s="2" t="n">
        <x:f>COUNTIFS('Ratings'!$B$6:$B$1387,A191,'Ratings'!$F$6:$F$1387,1)</x:f>
        <x:v>6</x:v>
      </x:c>
      <x:c r="F191" s="2" t="n">
        <x:f>IF(B191&lt;=C191,3,IF(B191&lt;=C191+D191,2,IF(B191&lt;=C191+D191+E191,1,0)))</x:f>
        <x:v>3</x:v>
      </x:c>
      <x:c r="G191" s="2" t="n">
        <x:f>2^F191-1</x:f>
        <x:v>7</x:v>
      </x:c>
      <x:c r="H191" s="14" t="n">
        <x:f>G191/LOG(B191+1,2)</x:f>
        <x:v>2.493450309756155</x:v>
      </x:c>
    </x:row>
    <x:row r="192" ht="22" customHeight="1">
      <x:c r="A192" s="2" t="str">
        <x:v>S21</x:v>
      </x:c>
      <x:c r="B192" s="2" t="n">
        <x:v>7</x:v>
      </x:c>
      <x:c r="C192" s="2" t="n">
        <x:f>COUNTIFS('Ratings'!$B$6:$B$1387,A192,'Ratings'!$F$6:$F$1387,3)</x:f>
        <x:v>8</x:v>
      </x:c>
      <x:c r="D192" s="2" t="n">
        <x:f>COUNTIFS('Ratings'!$B$6:$B$1387,A192,'Ratings'!$F$6:$F$1387,2)</x:f>
        <x:v>8</x:v>
      </x:c>
      <x:c r="E192" s="2" t="n">
        <x:f>COUNTIFS('Ratings'!$B$6:$B$1387,A192,'Ratings'!$F$6:$F$1387,1)</x:f>
        <x:v>6</x:v>
      </x:c>
      <x:c r="F192" s="2" t="n">
        <x:f>IF(B192&lt;=C192,3,IF(B192&lt;=C192+D192,2,IF(B192&lt;=C192+D192+E192,1,0)))</x:f>
        <x:v>3</x:v>
      </x:c>
      <x:c r="G192" s="2" t="n">
        <x:f>2^F192-1</x:f>
        <x:v>7</x:v>
      </x:c>
      <x:c r="H192" s="14" t="n">
        <x:f>G192/LOG(B192+1,2)</x:f>
        <x:v>2.3333333333333335</x:v>
      </x:c>
    </x:row>
    <x:row r="193" ht="22" customHeight="1">
      <x:c r="A193" s="2" t="str">
        <x:v>S21</x:v>
      </x:c>
      <x:c r="B193" s="2" t="n">
        <x:v>8</x:v>
      </x:c>
      <x:c r="C193" s="2" t="n">
        <x:f>COUNTIFS('Ratings'!$B$6:$B$1387,A193,'Ratings'!$F$6:$F$1387,3)</x:f>
        <x:v>8</x:v>
      </x:c>
      <x:c r="D193" s="2" t="n">
        <x:f>COUNTIFS('Ratings'!$B$6:$B$1387,A193,'Ratings'!$F$6:$F$1387,2)</x:f>
        <x:v>8</x:v>
      </x:c>
      <x:c r="E193" s="2" t="n">
        <x:f>COUNTIFS('Ratings'!$B$6:$B$1387,A193,'Ratings'!$F$6:$F$1387,1)</x:f>
        <x:v>6</x:v>
      </x:c>
      <x:c r="F193" s="2" t="n">
        <x:f>IF(B193&lt;=C193,3,IF(B193&lt;=C193+D193,2,IF(B193&lt;=C193+D193+E193,1,0)))</x:f>
        <x:v>3</x:v>
      </x:c>
      <x:c r="G193" s="2" t="n">
        <x:f>2^F193-1</x:f>
        <x:v>7</x:v>
      </x:c>
      <x:c r="H193" s="14" t="n">
        <x:f>G193/LOG(B193+1,2)</x:f>
        <x:v>2.208254137500101</x:v>
      </x:c>
    </x:row>
    <x:row r="194" ht="22" customHeight="1">
      <x:c r="A194" s="2" t="str">
        <x:v>S21</x:v>
      </x:c>
      <x:c r="B194" s="2" t="n">
        <x:v>9</x:v>
      </x:c>
      <x:c r="C194" s="2" t="n">
        <x:f>COUNTIFS('Ratings'!$B$6:$B$1387,A194,'Ratings'!$F$6:$F$1387,3)</x:f>
        <x:v>8</x:v>
      </x:c>
      <x:c r="D194" s="2" t="n">
        <x:f>COUNTIFS('Ratings'!$B$6:$B$1387,A194,'Ratings'!$F$6:$F$1387,2)</x:f>
        <x:v>8</x:v>
      </x:c>
      <x:c r="E194" s="2" t="n">
        <x:f>COUNTIFS('Ratings'!$B$6:$B$1387,A194,'Ratings'!$F$6:$F$1387,1)</x:f>
        <x:v>6</x:v>
      </x:c>
      <x:c r="F194" s="2" t="n">
        <x:f>IF(B194&lt;=C194,3,IF(B194&lt;=C194+D194,2,IF(B194&lt;=C194+D194+E194,1,0)))</x:f>
        <x:v>2</x:v>
      </x:c>
      <x:c r="G194" s="2" t="n">
        <x:f>2^F194-1</x:f>
        <x:v>3</x:v>
      </x:c>
      <x:c r="H194" s="14" t="n">
        <x:f>G194/LOG(B194+1,2)</x:f>
        <x:v>0.9030899869919435</x:v>
      </x:c>
    </x:row>
    <x:row r="195" ht="22" customHeight="1">
      <x:c r="A195" s="2" t="str">
        <x:v>S21</x:v>
      </x:c>
      <x:c r="B195" s="2" t="n">
        <x:v>10</x:v>
      </x:c>
      <x:c r="C195" s="2" t="n">
        <x:f>COUNTIFS('Ratings'!$B$6:$B$1387,A195,'Ratings'!$F$6:$F$1387,3)</x:f>
        <x:v>8</x:v>
      </x:c>
      <x:c r="D195" s="2" t="n">
        <x:f>COUNTIFS('Ratings'!$B$6:$B$1387,A195,'Ratings'!$F$6:$F$1387,2)</x:f>
        <x:v>8</x:v>
      </x:c>
      <x:c r="E195" s="2" t="n">
        <x:f>COUNTIFS('Ratings'!$B$6:$B$1387,A195,'Ratings'!$F$6:$F$1387,1)</x:f>
        <x:v>6</x:v>
      </x:c>
      <x:c r="F195" s="2" t="n">
        <x:f>IF(B195&lt;=C195,3,IF(B195&lt;=C195+D195,2,IF(B195&lt;=C195+D195+E195,1,0)))</x:f>
        <x:v>2</x:v>
      </x:c>
      <x:c r="G195" s="2" t="n">
        <x:f>2^F195-1</x:f>
        <x:v>3</x:v>
      </x:c>
      <x:c r="H195" s="14" t="n">
        <x:f>G195/LOG(B195+1,2)</x:f>
        <x:v>0.8671944789536634</x:v>
      </x:c>
    </x:row>
    <x:row r="196" ht="22" customHeight="1">
      <x:c r="A196" s="2" t="str">
        <x:v>S22</x:v>
      </x:c>
      <x:c r="B196" s="2" t="n">
        <x:v>1</x:v>
      </x:c>
      <x:c r="C196" s="2" t="n">
        <x:f>COUNTIFS('Ratings'!$B$6:$B$1387,A196,'Ratings'!$F$6:$F$1387,3)</x:f>
        <x:v>16</x:v>
      </x:c>
      <x:c r="D196" s="2" t="n">
        <x:f>COUNTIFS('Ratings'!$B$6:$B$1387,A196,'Ratings'!$F$6:$F$1387,2)</x:f>
        <x:v>8</x:v>
      </x:c>
      <x:c r="E196" s="2" t="n">
        <x:f>COUNTIFS('Ratings'!$B$6:$B$1387,A196,'Ratings'!$F$6:$F$1387,1)</x:f>
        <x:v>6</x:v>
      </x:c>
      <x:c r="F196" s="2" t="n">
        <x:f>IF(B196&lt;=C196,3,IF(B196&lt;=C196+D196,2,IF(B196&lt;=C196+D196+E196,1,0)))</x:f>
        <x:v>3</x:v>
      </x:c>
      <x:c r="G196" s="2" t="n">
        <x:f>2^F196-1</x:f>
        <x:v>7</x:v>
      </x:c>
      <x:c r="H196" s="14" t="n">
        <x:f>G196/LOG(B196+1,2)</x:f>
        <x:v>7</x:v>
      </x:c>
    </x:row>
    <x:row r="197" ht="22" customHeight="1">
      <x:c r="A197" s="2" t="str">
        <x:v>S22</x:v>
      </x:c>
      <x:c r="B197" s="2" t="n">
        <x:v>2</x:v>
      </x:c>
      <x:c r="C197" s="2" t="n">
        <x:f>COUNTIFS('Ratings'!$B$6:$B$1387,A197,'Ratings'!$F$6:$F$1387,3)</x:f>
        <x:v>16</x:v>
      </x:c>
      <x:c r="D197" s="2" t="n">
        <x:f>COUNTIFS('Ratings'!$B$6:$B$1387,A197,'Ratings'!$F$6:$F$1387,2)</x:f>
        <x:v>8</x:v>
      </x:c>
      <x:c r="E197" s="2" t="n">
        <x:f>COUNTIFS('Ratings'!$B$6:$B$1387,A197,'Ratings'!$F$6:$F$1387,1)</x:f>
        <x:v>6</x:v>
      </x:c>
      <x:c r="F197" s="2" t="n">
        <x:f>IF(B197&lt;=C197,3,IF(B197&lt;=C197+D197,2,IF(B197&lt;=C197+D197+E197,1,0)))</x:f>
        <x:v>3</x:v>
      </x:c>
      <x:c r="G197" s="2" t="n">
        <x:f>2^F197-1</x:f>
        <x:v>7</x:v>
      </x:c>
      <x:c r="H197" s="14" t="n">
        <x:f>G197/LOG(B197+1,2)</x:f>
        <x:v>4.4165082750002025</x:v>
      </x:c>
    </x:row>
    <x:row r="198" ht="22" customHeight="1">
      <x:c r="A198" s="2" t="str">
        <x:v>S22</x:v>
      </x:c>
      <x:c r="B198" s="2" t="n">
        <x:v>3</x:v>
      </x:c>
      <x:c r="C198" s="2" t="n">
        <x:f>COUNTIFS('Ratings'!$B$6:$B$1387,A198,'Ratings'!$F$6:$F$1387,3)</x:f>
        <x:v>16</x:v>
      </x:c>
      <x:c r="D198" s="2" t="n">
        <x:f>COUNTIFS('Ratings'!$B$6:$B$1387,A198,'Ratings'!$F$6:$F$1387,2)</x:f>
        <x:v>8</x:v>
      </x:c>
      <x:c r="E198" s="2" t="n">
        <x:f>COUNTIFS('Ratings'!$B$6:$B$1387,A198,'Ratings'!$F$6:$F$1387,1)</x:f>
        <x:v>6</x:v>
      </x:c>
      <x:c r="F198" s="2" t="n">
        <x:f>IF(B198&lt;=C198,3,IF(B198&lt;=C198+D198,2,IF(B198&lt;=C198+D198+E198,1,0)))</x:f>
        <x:v>3</x:v>
      </x:c>
      <x:c r="G198" s="2" t="n">
        <x:f>2^F198-1</x:f>
        <x:v>7</x:v>
      </x:c>
      <x:c r="H198" s="14" t="n">
        <x:f>G198/LOG(B198+1,2)</x:f>
        <x:v>3.5</x:v>
      </x:c>
    </x:row>
    <x:row r="199" ht="22" customHeight="1">
      <x:c r="A199" s="2" t="str">
        <x:v>S22</x:v>
      </x:c>
      <x:c r="B199" s="2" t="n">
        <x:v>4</x:v>
      </x:c>
      <x:c r="C199" s="2" t="n">
        <x:f>COUNTIFS('Ratings'!$B$6:$B$1387,A199,'Ratings'!$F$6:$F$1387,3)</x:f>
        <x:v>16</x:v>
      </x:c>
      <x:c r="D199" s="2" t="n">
        <x:f>COUNTIFS('Ratings'!$B$6:$B$1387,A199,'Ratings'!$F$6:$F$1387,2)</x:f>
        <x:v>8</x:v>
      </x:c>
      <x:c r="E199" s="2" t="n">
        <x:f>COUNTIFS('Ratings'!$B$6:$B$1387,A199,'Ratings'!$F$6:$F$1387,1)</x:f>
        <x:v>6</x:v>
      </x:c>
      <x:c r="F199" s="2" t="n">
        <x:f>IF(B199&lt;=C199,3,IF(B199&lt;=C199+D199,2,IF(B199&lt;=C199+D199+E199,1,0)))</x:f>
        <x:v>3</x:v>
      </x:c>
      <x:c r="G199" s="2" t="n">
        <x:f>2^F199-1</x:f>
        <x:v>7</x:v>
      </x:c>
      <x:c r="H199" s="14" t="n">
        <x:f>G199/LOG(B199+1,2)</x:f>
        <x:v>3.0147359065137516</x:v>
      </x:c>
    </x:row>
    <x:row r="200" ht="22" customHeight="1">
      <x:c r="A200" s="2" t="str">
        <x:v>S22</x:v>
      </x:c>
      <x:c r="B200" s="2" t="n">
        <x:v>5</x:v>
      </x:c>
      <x:c r="C200" s="2" t="n">
        <x:f>COUNTIFS('Ratings'!$B$6:$B$1387,A200,'Ratings'!$F$6:$F$1387,3)</x:f>
        <x:v>16</x:v>
      </x:c>
      <x:c r="D200" s="2" t="n">
        <x:f>COUNTIFS('Ratings'!$B$6:$B$1387,A200,'Ratings'!$F$6:$F$1387,2)</x:f>
        <x:v>8</x:v>
      </x:c>
      <x:c r="E200" s="2" t="n">
        <x:f>COUNTIFS('Ratings'!$B$6:$B$1387,A200,'Ratings'!$F$6:$F$1387,1)</x:f>
        <x:v>6</x:v>
      </x:c>
      <x:c r="F200" s="2" t="n">
        <x:f>IF(B200&lt;=C200,3,IF(B200&lt;=C200+D200,2,IF(B200&lt;=C200+D200+E200,1,0)))</x:f>
        <x:v>3</x:v>
      </x:c>
      <x:c r="G200" s="2" t="n">
        <x:f>2^F200-1</x:f>
        <x:v>7</x:v>
      </x:c>
      <x:c r="H200" s="14" t="n">
        <x:f>G200/LOG(B200+1,2)</x:f>
        <x:v>2.7079696506417914</x:v>
      </x:c>
    </x:row>
    <x:row r="201" ht="22" customHeight="1">
      <x:c r="A201" s="2" t="str">
        <x:v>S22</x:v>
      </x:c>
      <x:c r="B201" s="2" t="n">
        <x:v>6</x:v>
      </x:c>
      <x:c r="C201" s="2" t="n">
        <x:f>COUNTIFS('Ratings'!$B$6:$B$1387,A201,'Ratings'!$F$6:$F$1387,3)</x:f>
        <x:v>16</x:v>
      </x:c>
      <x:c r="D201" s="2" t="n">
        <x:f>COUNTIFS('Ratings'!$B$6:$B$1387,A201,'Ratings'!$F$6:$F$1387,2)</x:f>
        <x:v>8</x:v>
      </x:c>
      <x:c r="E201" s="2" t="n">
        <x:f>COUNTIFS('Ratings'!$B$6:$B$1387,A201,'Ratings'!$F$6:$F$1387,1)</x:f>
        <x:v>6</x:v>
      </x:c>
      <x:c r="F201" s="2" t="n">
        <x:f>IF(B201&lt;=C201,3,IF(B201&lt;=C201+D201,2,IF(B201&lt;=C201+D201+E201,1,0)))</x:f>
        <x:v>3</x:v>
      </x:c>
      <x:c r="G201" s="2" t="n">
        <x:f>2^F201-1</x:f>
        <x:v>7</x:v>
      </x:c>
      <x:c r="H201" s="14" t="n">
        <x:f>G201/LOG(B201+1,2)</x:f>
        <x:v>2.493450309756155</x:v>
      </x:c>
    </x:row>
    <x:row r="202" ht="22" customHeight="1">
      <x:c r="A202" s="2" t="str">
        <x:v>S22</x:v>
      </x:c>
      <x:c r="B202" s="2" t="n">
        <x:v>7</x:v>
      </x:c>
      <x:c r="C202" s="2" t="n">
        <x:f>COUNTIFS('Ratings'!$B$6:$B$1387,A202,'Ratings'!$F$6:$F$1387,3)</x:f>
        <x:v>16</x:v>
      </x:c>
      <x:c r="D202" s="2" t="n">
        <x:f>COUNTIFS('Ratings'!$B$6:$B$1387,A202,'Ratings'!$F$6:$F$1387,2)</x:f>
        <x:v>8</x:v>
      </x:c>
      <x:c r="E202" s="2" t="n">
        <x:f>COUNTIFS('Ratings'!$B$6:$B$1387,A202,'Ratings'!$F$6:$F$1387,1)</x:f>
        <x:v>6</x:v>
      </x:c>
      <x:c r="F202" s="2" t="n">
        <x:f>IF(B202&lt;=C202,3,IF(B202&lt;=C202+D202,2,IF(B202&lt;=C202+D202+E202,1,0)))</x:f>
        <x:v>3</x:v>
      </x:c>
      <x:c r="G202" s="2" t="n">
        <x:f>2^F202-1</x:f>
        <x:v>7</x:v>
      </x:c>
      <x:c r="H202" s="14" t="n">
        <x:f>G202/LOG(B202+1,2)</x:f>
        <x:v>2.3333333333333335</x:v>
      </x:c>
    </x:row>
    <x:row r="203" ht="22" customHeight="1">
      <x:c r="A203" s="2" t="str">
        <x:v>S22</x:v>
      </x:c>
      <x:c r="B203" s="2" t="n">
        <x:v>8</x:v>
      </x:c>
      <x:c r="C203" s="2" t="n">
        <x:f>COUNTIFS('Ratings'!$B$6:$B$1387,A203,'Ratings'!$F$6:$F$1387,3)</x:f>
        <x:v>16</x:v>
      </x:c>
      <x:c r="D203" s="2" t="n">
        <x:f>COUNTIFS('Ratings'!$B$6:$B$1387,A203,'Ratings'!$F$6:$F$1387,2)</x:f>
        <x:v>8</x:v>
      </x:c>
      <x:c r="E203" s="2" t="n">
        <x:f>COUNTIFS('Ratings'!$B$6:$B$1387,A203,'Ratings'!$F$6:$F$1387,1)</x:f>
        <x:v>6</x:v>
      </x:c>
      <x:c r="F203" s="2" t="n">
        <x:f>IF(B203&lt;=C203,3,IF(B203&lt;=C203+D203,2,IF(B203&lt;=C203+D203+E203,1,0)))</x:f>
        <x:v>3</x:v>
      </x:c>
      <x:c r="G203" s="2" t="n">
        <x:f>2^F203-1</x:f>
        <x:v>7</x:v>
      </x:c>
      <x:c r="H203" s="14" t="n">
        <x:f>G203/LOG(B203+1,2)</x:f>
        <x:v>2.208254137500101</x:v>
      </x:c>
    </x:row>
    <x:row r="204" ht="22" customHeight="1">
      <x:c r="A204" s="2" t="str">
        <x:v>S22</x:v>
      </x:c>
      <x:c r="B204" s="2" t="n">
        <x:v>9</x:v>
      </x:c>
      <x:c r="C204" s="2" t="n">
        <x:f>COUNTIFS('Ratings'!$B$6:$B$1387,A204,'Ratings'!$F$6:$F$1387,3)</x:f>
        <x:v>16</x:v>
      </x:c>
      <x:c r="D204" s="2" t="n">
        <x:f>COUNTIFS('Ratings'!$B$6:$B$1387,A204,'Ratings'!$F$6:$F$1387,2)</x:f>
        <x:v>8</x:v>
      </x:c>
      <x:c r="E204" s="2" t="n">
        <x:f>COUNTIFS('Ratings'!$B$6:$B$1387,A204,'Ratings'!$F$6:$F$1387,1)</x:f>
        <x:v>6</x:v>
      </x:c>
      <x:c r="F204" s="2" t="n">
        <x:f>IF(B204&lt;=C204,3,IF(B204&lt;=C204+D204,2,IF(B204&lt;=C204+D204+E204,1,0)))</x:f>
        <x:v>3</x:v>
      </x:c>
      <x:c r="G204" s="2" t="n">
        <x:f>2^F204-1</x:f>
        <x:v>7</x:v>
      </x:c>
      <x:c r="H204" s="14" t="n">
        <x:f>G204/LOG(B204+1,2)</x:f>
        <x:v>2.1072099696478683</x:v>
      </x:c>
    </x:row>
    <x:row r="205" ht="22" customHeight="1">
      <x:c r="A205" s="2" t="str">
        <x:v>S22</x:v>
      </x:c>
      <x:c r="B205" s="2" t="n">
        <x:v>10</x:v>
      </x:c>
      <x:c r="C205" s="2" t="n">
        <x:f>COUNTIFS('Ratings'!$B$6:$B$1387,A205,'Ratings'!$F$6:$F$1387,3)</x:f>
        <x:v>16</x:v>
      </x:c>
      <x:c r="D205" s="2" t="n">
        <x:f>COUNTIFS('Ratings'!$B$6:$B$1387,A205,'Ratings'!$F$6:$F$1387,2)</x:f>
        <x:v>8</x:v>
      </x:c>
      <x:c r="E205" s="2" t="n">
        <x:f>COUNTIFS('Ratings'!$B$6:$B$1387,A205,'Ratings'!$F$6:$F$1387,1)</x:f>
        <x:v>6</x:v>
      </x:c>
      <x:c r="F205" s="2" t="n">
        <x:f>IF(B205&lt;=C205,3,IF(B205&lt;=C205+D205,2,IF(B205&lt;=C205+D205+E205,1,0)))</x:f>
        <x:v>3</x:v>
      </x:c>
      <x:c r="G205" s="2" t="n">
        <x:f>2^F205-1</x:f>
        <x:v>7</x:v>
      </x:c>
      <x:c r="H205" s="14" t="n">
        <x:f>G205/LOG(B205+1,2)</x:f>
        <x:v>2.023453784225215</x:v>
      </x:c>
    </x:row>
    <x:row r="206" ht="22" customHeight="1">
      <x:c r="A206" s="2" t="str">
        <x:v>S23</x:v>
      </x:c>
      <x:c r="B206" s="2" t="n">
        <x:v>1</x:v>
      </x:c>
      <x:c r="C206" s="2" t="n">
        <x:f>COUNTIFS('Ratings'!$B$6:$B$1387,A206,'Ratings'!$F$6:$F$1387,3)</x:f>
        <x:v>14</x:v>
      </x:c>
      <x:c r="D206" s="2" t="n">
        <x:f>COUNTIFS('Ratings'!$B$6:$B$1387,A206,'Ratings'!$F$6:$F$1387,2)</x:f>
        <x:v>8</x:v>
      </x:c>
      <x:c r="E206" s="2" t="n">
        <x:f>COUNTIFS('Ratings'!$B$6:$B$1387,A206,'Ratings'!$F$6:$F$1387,1)</x:f>
        <x:v>6</x:v>
      </x:c>
      <x:c r="F206" s="2" t="n">
        <x:f>IF(B206&lt;=C206,3,IF(B206&lt;=C206+D206,2,IF(B206&lt;=C206+D206+E206,1,0)))</x:f>
        <x:v>3</x:v>
      </x:c>
      <x:c r="G206" s="2" t="n">
        <x:f>2^F206-1</x:f>
        <x:v>7</x:v>
      </x:c>
      <x:c r="H206" s="14" t="n">
        <x:f>G206/LOG(B206+1,2)</x:f>
        <x:v>7</x:v>
      </x:c>
    </x:row>
    <x:row r="207" ht="22" customHeight="1">
      <x:c r="A207" s="2" t="str">
        <x:v>S23</x:v>
      </x:c>
      <x:c r="B207" s="2" t="n">
        <x:v>2</x:v>
      </x:c>
      <x:c r="C207" s="2" t="n">
        <x:f>COUNTIFS('Ratings'!$B$6:$B$1387,A207,'Ratings'!$F$6:$F$1387,3)</x:f>
        <x:v>14</x:v>
      </x:c>
      <x:c r="D207" s="2" t="n">
        <x:f>COUNTIFS('Ratings'!$B$6:$B$1387,A207,'Ratings'!$F$6:$F$1387,2)</x:f>
        <x:v>8</x:v>
      </x:c>
      <x:c r="E207" s="2" t="n">
        <x:f>COUNTIFS('Ratings'!$B$6:$B$1387,A207,'Ratings'!$F$6:$F$1387,1)</x:f>
        <x:v>6</x:v>
      </x:c>
      <x:c r="F207" s="2" t="n">
        <x:f>IF(B207&lt;=C207,3,IF(B207&lt;=C207+D207,2,IF(B207&lt;=C207+D207+E207,1,0)))</x:f>
        <x:v>3</x:v>
      </x:c>
      <x:c r="G207" s="2" t="n">
        <x:f>2^F207-1</x:f>
        <x:v>7</x:v>
      </x:c>
      <x:c r="H207" s="14" t="n">
        <x:f>G207/LOG(B207+1,2)</x:f>
        <x:v>4.4165082750002025</x:v>
      </x:c>
    </x:row>
    <x:row r="208" ht="22" customHeight="1">
      <x:c r="A208" s="2" t="str">
        <x:v>S23</x:v>
      </x:c>
      <x:c r="B208" s="2" t="n">
        <x:v>3</x:v>
      </x:c>
      <x:c r="C208" s="2" t="n">
        <x:f>COUNTIFS('Ratings'!$B$6:$B$1387,A208,'Ratings'!$F$6:$F$1387,3)</x:f>
        <x:v>14</x:v>
      </x:c>
      <x:c r="D208" s="2" t="n">
        <x:f>COUNTIFS('Ratings'!$B$6:$B$1387,A208,'Ratings'!$F$6:$F$1387,2)</x:f>
        <x:v>8</x:v>
      </x:c>
      <x:c r="E208" s="2" t="n">
        <x:f>COUNTIFS('Ratings'!$B$6:$B$1387,A208,'Ratings'!$F$6:$F$1387,1)</x:f>
        <x:v>6</x:v>
      </x:c>
      <x:c r="F208" s="2" t="n">
        <x:f>IF(B208&lt;=C208,3,IF(B208&lt;=C208+D208,2,IF(B208&lt;=C208+D208+E208,1,0)))</x:f>
        <x:v>3</x:v>
      </x:c>
      <x:c r="G208" s="2" t="n">
        <x:f>2^F208-1</x:f>
        <x:v>7</x:v>
      </x:c>
      <x:c r="H208" s="14" t="n">
        <x:f>G208/LOG(B208+1,2)</x:f>
        <x:v>3.5</x:v>
      </x:c>
    </x:row>
    <x:row r="209" ht="22" customHeight="1">
      <x:c r="A209" s="2" t="str">
        <x:v>S23</x:v>
      </x:c>
      <x:c r="B209" s="2" t="n">
        <x:v>4</x:v>
      </x:c>
      <x:c r="C209" s="2" t="n">
        <x:f>COUNTIFS('Ratings'!$B$6:$B$1387,A209,'Ratings'!$F$6:$F$1387,3)</x:f>
        <x:v>14</x:v>
      </x:c>
      <x:c r="D209" s="2" t="n">
        <x:f>COUNTIFS('Ratings'!$B$6:$B$1387,A209,'Ratings'!$F$6:$F$1387,2)</x:f>
        <x:v>8</x:v>
      </x:c>
      <x:c r="E209" s="2" t="n">
        <x:f>COUNTIFS('Ratings'!$B$6:$B$1387,A209,'Ratings'!$F$6:$F$1387,1)</x:f>
        <x:v>6</x:v>
      </x:c>
      <x:c r="F209" s="2" t="n">
        <x:f>IF(B209&lt;=C209,3,IF(B209&lt;=C209+D209,2,IF(B209&lt;=C209+D209+E209,1,0)))</x:f>
        <x:v>3</x:v>
      </x:c>
      <x:c r="G209" s="2" t="n">
        <x:f>2^F209-1</x:f>
        <x:v>7</x:v>
      </x:c>
      <x:c r="H209" s="14" t="n">
        <x:f>G209/LOG(B209+1,2)</x:f>
        <x:v>3.0147359065137516</x:v>
      </x:c>
    </x:row>
    <x:row r="210" ht="22" customHeight="1">
      <x:c r="A210" s="2" t="str">
        <x:v>S23</x:v>
      </x:c>
      <x:c r="B210" s="2" t="n">
        <x:v>5</x:v>
      </x:c>
      <x:c r="C210" s="2" t="n">
        <x:f>COUNTIFS('Ratings'!$B$6:$B$1387,A210,'Ratings'!$F$6:$F$1387,3)</x:f>
        <x:v>14</x:v>
      </x:c>
      <x:c r="D210" s="2" t="n">
        <x:f>COUNTIFS('Ratings'!$B$6:$B$1387,A210,'Ratings'!$F$6:$F$1387,2)</x:f>
        <x:v>8</x:v>
      </x:c>
      <x:c r="E210" s="2" t="n">
        <x:f>COUNTIFS('Ratings'!$B$6:$B$1387,A210,'Ratings'!$F$6:$F$1387,1)</x:f>
        <x:v>6</x:v>
      </x:c>
      <x:c r="F210" s="2" t="n">
        <x:f>IF(B210&lt;=C210,3,IF(B210&lt;=C210+D210,2,IF(B210&lt;=C210+D210+E210,1,0)))</x:f>
        <x:v>3</x:v>
      </x:c>
      <x:c r="G210" s="2" t="n">
        <x:f>2^F210-1</x:f>
        <x:v>7</x:v>
      </x:c>
      <x:c r="H210" s="14" t="n">
        <x:f>G210/LOG(B210+1,2)</x:f>
        <x:v>2.7079696506417914</x:v>
      </x:c>
    </x:row>
    <x:row r="211" ht="22" customHeight="1">
      <x:c r="A211" s="2" t="str">
        <x:v>S23</x:v>
      </x:c>
      <x:c r="B211" s="2" t="n">
        <x:v>6</x:v>
      </x:c>
      <x:c r="C211" s="2" t="n">
        <x:f>COUNTIFS('Ratings'!$B$6:$B$1387,A211,'Ratings'!$F$6:$F$1387,3)</x:f>
        <x:v>14</x:v>
      </x:c>
      <x:c r="D211" s="2" t="n">
        <x:f>COUNTIFS('Ratings'!$B$6:$B$1387,A211,'Ratings'!$F$6:$F$1387,2)</x:f>
        <x:v>8</x:v>
      </x:c>
      <x:c r="E211" s="2" t="n">
        <x:f>COUNTIFS('Ratings'!$B$6:$B$1387,A211,'Ratings'!$F$6:$F$1387,1)</x:f>
        <x:v>6</x:v>
      </x:c>
      <x:c r="F211" s="2" t="n">
        <x:f>IF(B211&lt;=C211,3,IF(B211&lt;=C211+D211,2,IF(B211&lt;=C211+D211+E211,1,0)))</x:f>
        <x:v>3</x:v>
      </x:c>
      <x:c r="G211" s="2" t="n">
        <x:f>2^F211-1</x:f>
        <x:v>7</x:v>
      </x:c>
      <x:c r="H211" s="14" t="n">
        <x:f>G211/LOG(B211+1,2)</x:f>
        <x:v>2.493450309756155</x:v>
      </x:c>
    </x:row>
    <x:row r="212" ht="22" customHeight="1">
      <x:c r="A212" s="2" t="str">
        <x:v>S23</x:v>
      </x:c>
      <x:c r="B212" s="2" t="n">
        <x:v>7</x:v>
      </x:c>
      <x:c r="C212" s="2" t="n">
        <x:f>COUNTIFS('Ratings'!$B$6:$B$1387,A212,'Ratings'!$F$6:$F$1387,3)</x:f>
        <x:v>14</x:v>
      </x:c>
      <x:c r="D212" s="2" t="n">
        <x:f>COUNTIFS('Ratings'!$B$6:$B$1387,A212,'Ratings'!$F$6:$F$1387,2)</x:f>
        <x:v>8</x:v>
      </x:c>
      <x:c r="E212" s="2" t="n">
        <x:f>COUNTIFS('Ratings'!$B$6:$B$1387,A212,'Ratings'!$F$6:$F$1387,1)</x:f>
        <x:v>6</x:v>
      </x:c>
      <x:c r="F212" s="2" t="n">
        <x:f>IF(B212&lt;=C212,3,IF(B212&lt;=C212+D212,2,IF(B212&lt;=C212+D212+E212,1,0)))</x:f>
        <x:v>3</x:v>
      </x:c>
      <x:c r="G212" s="2" t="n">
        <x:f>2^F212-1</x:f>
        <x:v>7</x:v>
      </x:c>
      <x:c r="H212" s="14" t="n">
        <x:f>G212/LOG(B212+1,2)</x:f>
        <x:v>2.3333333333333335</x:v>
      </x:c>
    </x:row>
    <x:row r="213" ht="22" customHeight="1">
      <x:c r="A213" s="2" t="str">
        <x:v>S23</x:v>
      </x:c>
      <x:c r="B213" s="2" t="n">
        <x:v>8</x:v>
      </x:c>
      <x:c r="C213" s="2" t="n">
        <x:f>COUNTIFS('Ratings'!$B$6:$B$1387,A213,'Ratings'!$F$6:$F$1387,3)</x:f>
        <x:v>14</x:v>
      </x:c>
      <x:c r="D213" s="2" t="n">
        <x:f>COUNTIFS('Ratings'!$B$6:$B$1387,A213,'Ratings'!$F$6:$F$1387,2)</x:f>
        <x:v>8</x:v>
      </x:c>
      <x:c r="E213" s="2" t="n">
        <x:f>COUNTIFS('Ratings'!$B$6:$B$1387,A213,'Ratings'!$F$6:$F$1387,1)</x:f>
        <x:v>6</x:v>
      </x:c>
      <x:c r="F213" s="2" t="n">
        <x:f>IF(B213&lt;=C213,3,IF(B213&lt;=C213+D213,2,IF(B213&lt;=C213+D213+E213,1,0)))</x:f>
        <x:v>3</x:v>
      </x:c>
      <x:c r="G213" s="2" t="n">
        <x:f>2^F213-1</x:f>
        <x:v>7</x:v>
      </x:c>
      <x:c r="H213" s="14" t="n">
        <x:f>G213/LOG(B213+1,2)</x:f>
        <x:v>2.208254137500101</x:v>
      </x:c>
    </x:row>
    <x:row r="214" ht="22" customHeight="1">
      <x:c r="A214" s="2" t="str">
        <x:v>S23</x:v>
      </x:c>
      <x:c r="B214" s="2" t="n">
        <x:v>9</x:v>
      </x:c>
      <x:c r="C214" s="2" t="n">
        <x:f>COUNTIFS('Ratings'!$B$6:$B$1387,A214,'Ratings'!$F$6:$F$1387,3)</x:f>
        <x:v>14</x:v>
      </x:c>
      <x:c r="D214" s="2" t="n">
        <x:f>COUNTIFS('Ratings'!$B$6:$B$1387,A214,'Ratings'!$F$6:$F$1387,2)</x:f>
        <x:v>8</x:v>
      </x:c>
      <x:c r="E214" s="2" t="n">
        <x:f>COUNTIFS('Ratings'!$B$6:$B$1387,A214,'Ratings'!$F$6:$F$1387,1)</x:f>
        <x:v>6</x:v>
      </x:c>
      <x:c r="F214" s="2" t="n">
        <x:f>IF(B214&lt;=C214,3,IF(B214&lt;=C214+D214,2,IF(B214&lt;=C214+D214+E214,1,0)))</x:f>
        <x:v>3</x:v>
      </x:c>
      <x:c r="G214" s="2" t="n">
        <x:f>2^F214-1</x:f>
        <x:v>7</x:v>
      </x:c>
      <x:c r="H214" s="14" t="n">
        <x:f>G214/LOG(B214+1,2)</x:f>
        <x:v>2.1072099696478683</x:v>
      </x:c>
    </x:row>
    <x:row r="215" ht="22" customHeight="1">
      <x:c r="A215" s="2" t="str">
        <x:v>S23</x:v>
      </x:c>
      <x:c r="B215" s="2" t="n">
        <x:v>10</x:v>
      </x:c>
      <x:c r="C215" s="2" t="n">
        <x:f>COUNTIFS('Ratings'!$B$6:$B$1387,A215,'Ratings'!$F$6:$F$1387,3)</x:f>
        <x:v>14</x:v>
      </x:c>
      <x:c r="D215" s="2" t="n">
        <x:f>COUNTIFS('Ratings'!$B$6:$B$1387,A215,'Ratings'!$F$6:$F$1387,2)</x:f>
        <x:v>8</x:v>
      </x:c>
      <x:c r="E215" s="2" t="n">
        <x:f>COUNTIFS('Ratings'!$B$6:$B$1387,A215,'Ratings'!$F$6:$F$1387,1)</x:f>
        <x:v>6</x:v>
      </x:c>
      <x:c r="F215" s="2" t="n">
        <x:f>IF(B215&lt;=C215,3,IF(B215&lt;=C215+D215,2,IF(B215&lt;=C215+D215+E215,1,0)))</x:f>
        <x:v>3</x:v>
      </x:c>
      <x:c r="G215" s="2" t="n">
        <x:f>2^F215-1</x:f>
        <x:v>7</x:v>
      </x:c>
      <x:c r="H215" s="14" t="n">
        <x:f>G215/LOG(B215+1,2)</x:f>
        <x:v>2.023453784225215</x:v>
      </x:c>
    </x:row>
    <x:row r="216" ht="22" customHeight="1">
      <x:c r="A216" s="2" t="str">
        <x:v>S24</x:v>
      </x:c>
      <x:c r="B216" s="2" t="n">
        <x:v>1</x:v>
      </x:c>
      <x:c r="C216" s="2" t="n">
        <x:f>COUNTIFS('Ratings'!$B$6:$B$1387,A216,'Ratings'!$F$6:$F$1387,3)</x:f>
        <x:v>7</x:v>
      </x:c>
      <x:c r="D216" s="2" t="n">
        <x:f>COUNTIFS('Ratings'!$B$6:$B$1387,A216,'Ratings'!$F$6:$F$1387,2)</x:f>
        <x:v>15</x:v>
      </x:c>
      <x:c r="E216" s="2" t="n">
        <x:f>COUNTIFS('Ratings'!$B$6:$B$1387,A216,'Ratings'!$F$6:$F$1387,1)</x:f>
        <x:v>6</x:v>
      </x:c>
      <x:c r="F216" s="2" t="n">
        <x:f>IF(B216&lt;=C216,3,IF(B216&lt;=C216+D216,2,IF(B216&lt;=C216+D216+E216,1,0)))</x:f>
        <x:v>3</x:v>
      </x:c>
      <x:c r="G216" s="2" t="n">
        <x:f>2^F216-1</x:f>
        <x:v>7</x:v>
      </x:c>
      <x:c r="H216" s="14" t="n">
        <x:f>G216/LOG(B216+1,2)</x:f>
        <x:v>7</x:v>
      </x:c>
    </x:row>
    <x:row r="217" ht="22" customHeight="1">
      <x:c r="A217" s="2" t="str">
        <x:v>S24</x:v>
      </x:c>
      <x:c r="B217" s="2" t="n">
        <x:v>2</x:v>
      </x:c>
      <x:c r="C217" s="2" t="n">
        <x:f>COUNTIFS('Ratings'!$B$6:$B$1387,A217,'Ratings'!$F$6:$F$1387,3)</x:f>
        <x:v>7</x:v>
      </x:c>
      <x:c r="D217" s="2" t="n">
        <x:f>COUNTIFS('Ratings'!$B$6:$B$1387,A217,'Ratings'!$F$6:$F$1387,2)</x:f>
        <x:v>15</x:v>
      </x:c>
      <x:c r="E217" s="2" t="n">
        <x:f>COUNTIFS('Ratings'!$B$6:$B$1387,A217,'Ratings'!$F$6:$F$1387,1)</x:f>
        <x:v>6</x:v>
      </x:c>
      <x:c r="F217" s="2" t="n">
        <x:f>IF(B217&lt;=C217,3,IF(B217&lt;=C217+D217,2,IF(B217&lt;=C217+D217+E217,1,0)))</x:f>
        <x:v>3</x:v>
      </x:c>
      <x:c r="G217" s="2" t="n">
        <x:f>2^F217-1</x:f>
        <x:v>7</x:v>
      </x:c>
      <x:c r="H217" s="14" t="n">
        <x:f>G217/LOG(B217+1,2)</x:f>
        <x:v>4.4165082750002025</x:v>
      </x:c>
    </x:row>
    <x:row r="218" ht="22" customHeight="1">
      <x:c r="A218" s="2" t="str">
        <x:v>S24</x:v>
      </x:c>
      <x:c r="B218" s="2" t="n">
        <x:v>3</x:v>
      </x:c>
      <x:c r="C218" s="2" t="n">
        <x:f>COUNTIFS('Ratings'!$B$6:$B$1387,A218,'Ratings'!$F$6:$F$1387,3)</x:f>
        <x:v>7</x:v>
      </x:c>
      <x:c r="D218" s="2" t="n">
        <x:f>COUNTIFS('Ratings'!$B$6:$B$1387,A218,'Ratings'!$F$6:$F$1387,2)</x:f>
        <x:v>15</x:v>
      </x:c>
      <x:c r="E218" s="2" t="n">
        <x:f>COUNTIFS('Ratings'!$B$6:$B$1387,A218,'Ratings'!$F$6:$F$1387,1)</x:f>
        <x:v>6</x:v>
      </x:c>
      <x:c r="F218" s="2" t="n">
        <x:f>IF(B218&lt;=C218,3,IF(B218&lt;=C218+D218,2,IF(B218&lt;=C218+D218+E218,1,0)))</x:f>
        <x:v>3</x:v>
      </x:c>
      <x:c r="G218" s="2" t="n">
        <x:f>2^F218-1</x:f>
        <x:v>7</x:v>
      </x:c>
      <x:c r="H218" s="14" t="n">
        <x:f>G218/LOG(B218+1,2)</x:f>
        <x:v>3.5</x:v>
      </x:c>
    </x:row>
    <x:row r="219" ht="22" customHeight="1">
      <x:c r="A219" s="2" t="str">
        <x:v>S24</x:v>
      </x:c>
      <x:c r="B219" s="2" t="n">
        <x:v>4</x:v>
      </x:c>
      <x:c r="C219" s="2" t="n">
        <x:f>COUNTIFS('Ratings'!$B$6:$B$1387,A219,'Ratings'!$F$6:$F$1387,3)</x:f>
        <x:v>7</x:v>
      </x:c>
      <x:c r="D219" s="2" t="n">
        <x:f>COUNTIFS('Ratings'!$B$6:$B$1387,A219,'Ratings'!$F$6:$F$1387,2)</x:f>
        <x:v>15</x:v>
      </x:c>
      <x:c r="E219" s="2" t="n">
        <x:f>COUNTIFS('Ratings'!$B$6:$B$1387,A219,'Ratings'!$F$6:$F$1387,1)</x:f>
        <x:v>6</x:v>
      </x:c>
      <x:c r="F219" s="2" t="n">
        <x:f>IF(B219&lt;=C219,3,IF(B219&lt;=C219+D219,2,IF(B219&lt;=C219+D219+E219,1,0)))</x:f>
        <x:v>3</x:v>
      </x:c>
      <x:c r="G219" s="2" t="n">
        <x:f>2^F219-1</x:f>
        <x:v>7</x:v>
      </x:c>
      <x:c r="H219" s="14" t="n">
        <x:f>G219/LOG(B219+1,2)</x:f>
        <x:v>3.0147359065137516</x:v>
      </x:c>
    </x:row>
    <x:row r="220" ht="22" customHeight="1">
      <x:c r="A220" s="2" t="str">
        <x:v>S24</x:v>
      </x:c>
      <x:c r="B220" s="2" t="n">
        <x:v>5</x:v>
      </x:c>
      <x:c r="C220" s="2" t="n">
        <x:f>COUNTIFS('Ratings'!$B$6:$B$1387,A220,'Ratings'!$F$6:$F$1387,3)</x:f>
        <x:v>7</x:v>
      </x:c>
      <x:c r="D220" s="2" t="n">
        <x:f>COUNTIFS('Ratings'!$B$6:$B$1387,A220,'Ratings'!$F$6:$F$1387,2)</x:f>
        <x:v>15</x:v>
      </x:c>
      <x:c r="E220" s="2" t="n">
        <x:f>COUNTIFS('Ratings'!$B$6:$B$1387,A220,'Ratings'!$F$6:$F$1387,1)</x:f>
        <x:v>6</x:v>
      </x:c>
      <x:c r="F220" s="2" t="n">
        <x:f>IF(B220&lt;=C220,3,IF(B220&lt;=C220+D220,2,IF(B220&lt;=C220+D220+E220,1,0)))</x:f>
        <x:v>3</x:v>
      </x:c>
      <x:c r="G220" s="2" t="n">
        <x:f>2^F220-1</x:f>
        <x:v>7</x:v>
      </x:c>
      <x:c r="H220" s="14" t="n">
        <x:f>G220/LOG(B220+1,2)</x:f>
        <x:v>2.7079696506417914</x:v>
      </x:c>
    </x:row>
    <x:row r="221" ht="22" customHeight="1">
      <x:c r="A221" s="2" t="str">
        <x:v>S24</x:v>
      </x:c>
      <x:c r="B221" s="2" t="n">
        <x:v>6</x:v>
      </x:c>
      <x:c r="C221" s="2" t="n">
        <x:f>COUNTIFS('Ratings'!$B$6:$B$1387,A221,'Ratings'!$F$6:$F$1387,3)</x:f>
        <x:v>7</x:v>
      </x:c>
      <x:c r="D221" s="2" t="n">
        <x:f>COUNTIFS('Ratings'!$B$6:$B$1387,A221,'Ratings'!$F$6:$F$1387,2)</x:f>
        <x:v>15</x:v>
      </x:c>
      <x:c r="E221" s="2" t="n">
        <x:f>COUNTIFS('Ratings'!$B$6:$B$1387,A221,'Ratings'!$F$6:$F$1387,1)</x:f>
        <x:v>6</x:v>
      </x:c>
      <x:c r="F221" s="2" t="n">
        <x:f>IF(B221&lt;=C221,3,IF(B221&lt;=C221+D221,2,IF(B221&lt;=C221+D221+E221,1,0)))</x:f>
        <x:v>3</x:v>
      </x:c>
      <x:c r="G221" s="2" t="n">
        <x:f>2^F221-1</x:f>
        <x:v>7</x:v>
      </x:c>
      <x:c r="H221" s="14" t="n">
        <x:f>G221/LOG(B221+1,2)</x:f>
        <x:v>2.493450309756155</x:v>
      </x:c>
    </x:row>
    <x:row r="222" ht="22" customHeight="1">
      <x:c r="A222" s="2" t="str">
        <x:v>S24</x:v>
      </x:c>
      <x:c r="B222" s="2" t="n">
        <x:v>7</x:v>
      </x:c>
      <x:c r="C222" s="2" t="n">
        <x:f>COUNTIFS('Ratings'!$B$6:$B$1387,A222,'Ratings'!$F$6:$F$1387,3)</x:f>
        <x:v>7</x:v>
      </x:c>
      <x:c r="D222" s="2" t="n">
        <x:f>COUNTIFS('Ratings'!$B$6:$B$1387,A222,'Ratings'!$F$6:$F$1387,2)</x:f>
        <x:v>15</x:v>
      </x:c>
      <x:c r="E222" s="2" t="n">
        <x:f>COUNTIFS('Ratings'!$B$6:$B$1387,A222,'Ratings'!$F$6:$F$1387,1)</x:f>
        <x:v>6</x:v>
      </x:c>
      <x:c r="F222" s="2" t="n">
        <x:f>IF(B222&lt;=C222,3,IF(B222&lt;=C222+D222,2,IF(B222&lt;=C222+D222+E222,1,0)))</x:f>
        <x:v>3</x:v>
      </x:c>
      <x:c r="G222" s="2" t="n">
        <x:f>2^F222-1</x:f>
        <x:v>7</x:v>
      </x:c>
      <x:c r="H222" s="14" t="n">
        <x:f>G222/LOG(B222+1,2)</x:f>
        <x:v>2.3333333333333335</x:v>
      </x:c>
    </x:row>
    <x:row r="223" ht="22" customHeight="1">
      <x:c r="A223" s="2" t="str">
        <x:v>S24</x:v>
      </x:c>
      <x:c r="B223" s="2" t="n">
        <x:v>8</x:v>
      </x:c>
      <x:c r="C223" s="2" t="n">
        <x:f>COUNTIFS('Ratings'!$B$6:$B$1387,A223,'Ratings'!$F$6:$F$1387,3)</x:f>
        <x:v>7</x:v>
      </x:c>
      <x:c r="D223" s="2" t="n">
        <x:f>COUNTIFS('Ratings'!$B$6:$B$1387,A223,'Ratings'!$F$6:$F$1387,2)</x:f>
        <x:v>15</x:v>
      </x:c>
      <x:c r="E223" s="2" t="n">
        <x:f>COUNTIFS('Ratings'!$B$6:$B$1387,A223,'Ratings'!$F$6:$F$1387,1)</x:f>
        <x:v>6</x:v>
      </x:c>
      <x:c r="F223" s="2" t="n">
        <x:f>IF(B223&lt;=C223,3,IF(B223&lt;=C223+D223,2,IF(B223&lt;=C223+D223+E223,1,0)))</x:f>
        <x:v>2</x:v>
      </x:c>
      <x:c r="G223" s="2" t="n">
        <x:f>2^F223-1</x:f>
        <x:v>3</x:v>
      </x:c>
      <x:c r="H223" s="14" t="n">
        <x:f>G223/LOG(B223+1,2)</x:f>
        <x:v>0.9463946303571861</x:v>
      </x:c>
    </x:row>
    <x:row r="224" ht="22" customHeight="1">
      <x:c r="A224" s="2" t="str">
        <x:v>S24</x:v>
      </x:c>
      <x:c r="B224" s="2" t="n">
        <x:v>9</x:v>
      </x:c>
      <x:c r="C224" s="2" t="n">
        <x:f>COUNTIFS('Ratings'!$B$6:$B$1387,A224,'Ratings'!$F$6:$F$1387,3)</x:f>
        <x:v>7</x:v>
      </x:c>
      <x:c r="D224" s="2" t="n">
        <x:f>COUNTIFS('Ratings'!$B$6:$B$1387,A224,'Ratings'!$F$6:$F$1387,2)</x:f>
        <x:v>15</x:v>
      </x:c>
      <x:c r="E224" s="2" t="n">
        <x:f>COUNTIFS('Ratings'!$B$6:$B$1387,A224,'Ratings'!$F$6:$F$1387,1)</x:f>
        <x:v>6</x:v>
      </x:c>
      <x:c r="F224" s="2" t="n">
        <x:f>IF(B224&lt;=C224,3,IF(B224&lt;=C224+D224,2,IF(B224&lt;=C224+D224+E224,1,0)))</x:f>
        <x:v>2</x:v>
      </x:c>
      <x:c r="G224" s="2" t="n">
        <x:f>2^F224-1</x:f>
        <x:v>3</x:v>
      </x:c>
      <x:c r="H224" s="14" t="n">
        <x:f>G224/LOG(B224+1,2)</x:f>
        <x:v>0.9030899869919435</x:v>
      </x:c>
    </x:row>
    <x:row r="225" ht="22" customHeight="1">
      <x:c r="A225" s="2" t="str">
        <x:v>S24</x:v>
      </x:c>
      <x:c r="B225" s="2" t="n">
        <x:v>10</x:v>
      </x:c>
      <x:c r="C225" s="2" t="n">
        <x:f>COUNTIFS('Ratings'!$B$6:$B$1387,A225,'Ratings'!$F$6:$F$1387,3)</x:f>
        <x:v>7</x:v>
      </x:c>
      <x:c r="D225" s="2" t="n">
        <x:f>COUNTIFS('Ratings'!$B$6:$B$1387,A225,'Ratings'!$F$6:$F$1387,2)</x:f>
        <x:v>15</x:v>
      </x:c>
      <x:c r="E225" s="2" t="n">
        <x:f>COUNTIFS('Ratings'!$B$6:$B$1387,A225,'Ratings'!$F$6:$F$1387,1)</x:f>
        <x:v>6</x:v>
      </x:c>
      <x:c r="F225" s="2" t="n">
        <x:f>IF(B225&lt;=C225,3,IF(B225&lt;=C225+D225,2,IF(B225&lt;=C225+D225+E225,1,0)))</x:f>
        <x:v>2</x:v>
      </x:c>
      <x:c r="G225" s="2" t="n">
        <x:f>2^F225-1</x:f>
        <x:v>3</x:v>
      </x:c>
      <x:c r="H225" s="14" t="n">
        <x:f>G225/LOG(B225+1,2)</x:f>
        <x:v>0.8671944789536634</x:v>
      </x:c>
    </x:row>
    <x:row r="226" ht="22" customHeight="1">
      <x:c r="A226" s="2" t="str">
        <x:v>S25</x:v>
      </x:c>
      <x:c r="B226" s="2" t="n">
        <x:v>1</x:v>
      </x:c>
      <x:c r="C226" s="2" t="n">
        <x:f>COUNTIFS('Ratings'!$B$6:$B$1387,A226,'Ratings'!$F$6:$F$1387,3)</x:f>
        <x:v>16</x:v>
      </x:c>
      <x:c r="D226" s="2" t="n">
        <x:f>COUNTIFS('Ratings'!$B$6:$B$1387,A226,'Ratings'!$F$6:$F$1387,2)</x:f>
        <x:v>8</x:v>
      </x:c>
      <x:c r="E226" s="2" t="n">
        <x:f>COUNTIFS('Ratings'!$B$6:$B$1387,A226,'Ratings'!$F$6:$F$1387,1)</x:f>
        <x:v>6</x:v>
      </x:c>
      <x:c r="F226" s="2" t="n">
        <x:f>IF(B226&lt;=C226,3,IF(B226&lt;=C226+D226,2,IF(B226&lt;=C226+D226+E226,1,0)))</x:f>
        <x:v>3</x:v>
      </x:c>
      <x:c r="G226" s="2" t="n">
        <x:f>2^F226-1</x:f>
        <x:v>7</x:v>
      </x:c>
      <x:c r="H226" s="14" t="n">
        <x:f>G226/LOG(B226+1,2)</x:f>
        <x:v>7</x:v>
      </x:c>
    </x:row>
    <x:row r="227" ht="22" customHeight="1">
      <x:c r="A227" s="2" t="str">
        <x:v>S25</x:v>
      </x:c>
      <x:c r="B227" s="2" t="n">
        <x:v>2</x:v>
      </x:c>
      <x:c r="C227" s="2" t="n">
        <x:f>COUNTIFS('Ratings'!$B$6:$B$1387,A227,'Ratings'!$F$6:$F$1387,3)</x:f>
        <x:v>16</x:v>
      </x:c>
      <x:c r="D227" s="2" t="n">
        <x:f>COUNTIFS('Ratings'!$B$6:$B$1387,A227,'Ratings'!$F$6:$F$1387,2)</x:f>
        <x:v>8</x:v>
      </x:c>
      <x:c r="E227" s="2" t="n">
        <x:f>COUNTIFS('Ratings'!$B$6:$B$1387,A227,'Ratings'!$F$6:$F$1387,1)</x:f>
        <x:v>6</x:v>
      </x:c>
      <x:c r="F227" s="2" t="n">
        <x:f>IF(B227&lt;=C227,3,IF(B227&lt;=C227+D227,2,IF(B227&lt;=C227+D227+E227,1,0)))</x:f>
        <x:v>3</x:v>
      </x:c>
      <x:c r="G227" s="2" t="n">
        <x:f>2^F227-1</x:f>
        <x:v>7</x:v>
      </x:c>
      <x:c r="H227" s="14" t="n">
        <x:f>G227/LOG(B227+1,2)</x:f>
        <x:v>4.4165082750002025</x:v>
      </x:c>
    </x:row>
    <x:row r="228" ht="22" customHeight="1">
      <x:c r="A228" s="2" t="str">
        <x:v>S25</x:v>
      </x:c>
      <x:c r="B228" s="2" t="n">
        <x:v>3</x:v>
      </x:c>
      <x:c r="C228" s="2" t="n">
        <x:f>COUNTIFS('Ratings'!$B$6:$B$1387,A228,'Ratings'!$F$6:$F$1387,3)</x:f>
        <x:v>16</x:v>
      </x:c>
      <x:c r="D228" s="2" t="n">
        <x:f>COUNTIFS('Ratings'!$B$6:$B$1387,A228,'Ratings'!$F$6:$F$1387,2)</x:f>
        <x:v>8</x:v>
      </x:c>
      <x:c r="E228" s="2" t="n">
        <x:f>COUNTIFS('Ratings'!$B$6:$B$1387,A228,'Ratings'!$F$6:$F$1387,1)</x:f>
        <x:v>6</x:v>
      </x:c>
      <x:c r="F228" s="2" t="n">
        <x:f>IF(B228&lt;=C228,3,IF(B228&lt;=C228+D228,2,IF(B228&lt;=C228+D228+E228,1,0)))</x:f>
        <x:v>3</x:v>
      </x:c>
      <x:c r="G228" s="2" t="n">
        <x:f>2^F228-1</x:f>
        <x:v>7</x:v>
      </x:c>
      <x:c r="H228" s="14" t="n">
        <x:f>G228/LOG(B228+1,2)</x:f>
        <x:v>3.5</x:v>
      </x:c>
    </x:row>
    <x:row r="229" ht="22" customHeight="1">
      <x:c r="A229" s="2" t="str">
        <x:v>S25</x:v>
      </x:c>
      <x:c r="B229" s="2" t="n">
        <x:v>4</x:v>
      </x:c>
      <x:c r="C229" s="2" t="n">
        <x:f>COUNTIFS('Ratings'!$B$6:$B$1387,A229,'Ratings'!$F$6:$F$1387,3)</x:f>
        <x:v>16</x:v>
      </x:c>
      <x:c r="D229" s="2" t="n">
        <x:f>COUNTIFS('Ratings'!$B$6:$B$1387,A229,'Ratings'!$F$6:$F$1387,2)</x:f>
        <x:v>8</x:v>
      </x:c>
      <x:c r="E229" s="2" t="n">
        <x:f>COUNTIFS('Ratings'!$B$6:$B$1387,A229,'Ratings'!$F$6:$F$1387,1)</x:f>
        <x:v>6</x:v>
      </x:c>
      <x:c r="F229" s="2" t="n">
        <x:f>IF(B229&lt;=C229,3,IF(B229&lt;=C229+D229,2,IF(B229&lt;=C229+D229+E229,1,0)))</x:f>
        <x:v>3</x:v>
      </x:c>
      <x:c r="G229" s="2" t="n">
        <x:f>2^F229-1</x:f>
        <x:v>7</x:v>
      </x:c>
      <x:c r="H229" s="14" t="n">
        <x:f>G229/LOG(B229+1,2)</x:f>
        <x:v>3.0147359065137516</x:v>
      </x:c>
    </x:row>
    <x:row r="230" ht="22" customHeight="1">
      <x:c r="A230" s="2" t="str">
        <x:v>S25</x:v>
      </x:c>
      <x:c r="B230" s="2" t="n">
        <x:v>5</x:v>
      </x:c>
      <x:c r="C230" s="2" t="n">
        <x:f>COUNTIFS('Ratings'!$B$6:$B$1387,A230,'Ratings'!$F$6:$F$1387,3)</x:f>
        <x:v>16</x:v>
      </x:c>
      <x:c r="D230" s="2" t="n">
        <x:f>COUNTIFS('Ratings'!$B$6:$B$1387,A230,'Ratings'!$F$6:$F$1387,2)</x:f>
        <x:v>8</x:v>
      </x:c>
      <x:c r="E230" s="2" t="n">
        <x:f>COUNTIFS('Ratings'!$B$6:$B$1387,A230,'Ratings'!$F$6:$F$1387,1)</x:f>
        <x:v>6</x:v>
      </x:c>
      <x:c r="F230" s="2" t="n">
        <x:f>IF(B230&lt;=C230,3,IF(B230&lt;=C230+D230,2,IF(B230&lt;=C230+D230+E230,1,0)))</x:f>
        <x:v>3</x:v>
      </x:c>
      <x:c r="G230" s="2" t="n">
        <x:f>2^F230-1</x:f>
        <x:v>7</x:v>
      </x:c>
      <x:c r="H230" s="14" t="n">
        <x:f>G230/LOG(B230+1,2)</x:f>
        <x:v>2.7079696506417914</x:v>
      </x:c>
    </x:row>
    <x:row r="231" ht="22" customHeight="1">
      <x:c r="A231" s="2" t="str">
        <x:v>S25</x:v>
      </x:c>
      <x:c r="B231" s="2" t="n">
        <x:v>6</x:v>
      </x:c>
      <x:c r="C231" s="2" t="n">
        <x:f>COUNTIFS('Ratings'!$B$6:$B$1387,A231,'Ratings'!$F$6:$F$1387,3)</x:f>
        <x:v>16</x:v>
      </x:c>
      <x:c r="D231" s="2" t="n">
        <x:f>COUNTIFS('Ratings'!$B$6:$B$1387,A231,'Ratings'!$F$6:$F$1387,2)</x:f>
        <x:v>8</x:v>
      </x:c>
      <x:c r="E231" s="2" t="n">
        <x:f>COUNTIFS('Ratings'!$B$6:$B$1387,A231,'Ratings'!$F$6:$F$1387,1)</x:f>
        <x:v>6</x:v>
      </x:c>
      <x:c r="F231" s="2" t="n">
        <x:f>IF(B231&lt;=C231,3,IF(B231&lt;=C231+D231,2,IF(B231&lt;=C231+D231+E231,1,0)))</x:f>
        <x:v>3</x:v>
      </x:c>
      <x:c r="G231" s="2" t="n">
        <x:f>2^F231-1</x:f>
        <x:v>7</x:v>
      </x:c>
      <x:c r="H231" s="14" t="n">
        <x:f>G231/LOG(B231+1,2)</x:f>
        <x:v>2.493450309756155</x:v>
      </x:c>
    </x:row>
    <x:row r="232" ht="22" customHeight="1">
      <x:c r="A232" s="2" t="str">
        <x:v>S25</x:v>
      </x:c>
      <x:c r="B232" s="2" t="n">
        <x:v>7</x:v>
      </x:c>
      <x:c r="C232" s="2" t="n">
        <x:f>COUNTIFS('Ratings'!$B$6:$B$1387,A232,'Ratings'!$F$6:$F$1387,3)</x:f>
        <x:v>16</x:v>
      </x:c>
      <x:c r="D232" s="2" t="n">
        <x:f>COUNTIFS('Ratings'!$B$6:$B$1387,A232,'Ratings'!$F$6:$F$1387,2)</x:f>
        <x:v>8</x:v>
      </x:c>
      <x:c r="E232" s="2" t="n">
        <x:f>COUNTIFS('Ratings'!$B$6:$B$1387,A232,'Ratings'!$F$6:$F$1387,1)</x:f>
        <x:v>6</x:v>
      </x:c>
      <x:c r="F232" s="2" t="n">
        <x:f>IF(B232&lt;=C232,3,IF(B232&lt;=C232+D232,2,IF(B232&lt;=C232+D232+E232,1,0)))</x:f>
        <x:v>3</x:v>
      </x:c>
      <x:c r="G232" s="2" t="n">
        <x:f>2^F232-1</x:f>
        <x:v>7</x:v>
      </x:c>
      <x:c r="H232" s="14" t="n">
        <x:f>G232/LOG(B232+1,2)</x:f>
        <x:v>2.3333333333333335</x:v>
      </x:c>
    </x:row>
    <x:row r="233" ht="22" customHeight="1">
      <x:c r="A233" s="2" t="str">
        <x:v>S25</x:v>
      </x:c>
      <x:c r="B233" s="2" t="n">
        <x:v>8</x:v>
      </x:c>
      <x:c r="C233" s="2" t="n">
        <x:f>COUNTIFS('Ratings'!$B$6:$B$1387,A233,'Ratings'!$F$6:$F$1387,3)</x:f>
        <x:v>16</x:v>
      </x:c>
      <x:c r="D233" s="2" t="n">
        <x:f>COUNTIFS('Ratings'!$B$6:$B$1387,A233,'Ratings'!$F$6:$F$1387,2)</x:f>
        <x:v>8</x:v>
      </x:c>
      <x:c r="E233" s="2" t="n">
        <x:f>COUNTIFS('Ratings'!$B$6:$B$1387,A233,'Ratings'!$F$6:$F$1387,1)</x:f>
        <x:v>6</x:v>
      </x:c>
      <x:c r="F233" s="2" t="n">
        <x:f>IF(B233&lt;=C233,3,IF(B233&lt;=C233+D233,2,IF(B233&lt;=C233+D233+E233,1,0)))</x:f>
        <x:v>3</x:v>
      </x:c>
      <x:c r="G233" s="2" t="n">
        <x:f>2^F233-1</x:f>
        <x:v>7</x:v>
      </x:c>
      <x:c r="H233" s="14" t="n">
        <x:f>G233/LOG(B233+1,2)</x:f>
        <x:v>2.208254137500101</x:v>
      </x:c>
    </x:row>
    <x:row r="234" ht="22" customHeight="1">
      <x:c r="A234" s="2" t="str">
        <x:v>S25</x:v>
      </x:c>
      <x:c r="B234" s="2" t="n">
        <x:v>9</x:v>
      </x:c>
      <x:c r="C234" s="2" t="n">
        <x:f>COUNTIFS('Ratings'!$B$6:$B$1387,A234,'Ratings'!$F$6:$F$1387,3)</x:f>
        <x:v>16</x:v>
      </x:c>
      <x:c r="D234" s="2" t="n">
        <x:f>COUNTIFS('Ratings'!$B$6:$B$1387,A234,'Ratings'!$F$6:$F$1387,2)</x:f>
        <x:v>8</x:v>
      </x:c>
      <x:c r="E234" s="2" t="n">
        <x:f>COUNTIFS('Ratings'!$B$6:$B$1387,A234,'Ratings'!$F$6:$F$1387,1)</x:f>
        <x:v>6</x:v>
      </x:c>
      <x:c r="F234" s="2" t="n">
        <x:f>IF(B234&lt;=C234,3,IF(B234&lt;=C234+D234,2,IF(B234&lt;=C234+D234+E234,1,0)))</x:f>
        <x:v>3</x:v>
      </x:c>
      <x:c r="G234" s="2" t="n">
        <x:f>2^F234-1</x:f>
        <x:v>7</x:v>
      </x:c>
      <x:c r="H234" s="14" t="n">
        <x:f>G234/LOG(B234+1,2)</x:f>
        <x:v>2.1072099696478683</x:v>
      </x:c>
    </x:row>
    <x:row r="235" ht="22" customHeight="1">
      <x:c r="A235" s="2" t="str">
        <x:v>S25</x:v>
      </x:c>
      <x:c r="B235" s="2" t="n">
        <x:v>10</x:v>
      </x:c>
      <x:c r="C235" s="2" t="n">
        <x:f>COUNTIFS('Ratings'!$B$6:$B$1387,A235,'Ratings'!$F$6:$F$1387,3)</x:f>
        <x:v>16</x:v>
      </x:c>
      <x:c r="D235" s="2" t="n">
        <x:f>COUNTIFS('Ratings'!$B$6:$B$1387,A235,'Ratings'!$F$6:$F$1387,2)</x:f>
        <x:v>8</x:v>
      </x:c>
      <x:c r="E235" s="2" t="n">
        <x:f>COUNTIFS('Ratings'!$B$6:$B$1387,A235,'Ratings'!$F$6:$F$1387,1)</x:f>
        <x:v>6</x:v>
      </x:c>
      <x:c r="F235" s="2" t="n">
        <x:f>IF(B235&lt;=C235,3,IF(B235&lt;=C235+D235,2,IF(B235&lt;=C235+D235+E235,1,0)))</x:f>
        <x:v>3</x:v>
      </x:c>
      <x:c r="G235" s="2" t="n">
        <x:f>2^F235-1</x:f>
        <x:v>7</x:v>
      </x:c>
      <x:c r="H235" s="14" t="n">
        <x:f>G235/LOG(B235+1,2)</x:f>
        <x:v>2.023453784225215</x:v>
      </x:c>
    </x:row>
    <x:row r="236" ht="22" customHeight="1">
      <x:c r="A236" s="2" t="str">
        <x:v>S26</x:v>
      </x:c>
      <x:c r="B236" s="2" t="n">
        <x:v>1</x:v>
      </x:c>
      <x:c r="C236" s="2" t="n">
        <x:f>COUNTIFS('Ratings'!$B$6:$B$1387,A236,'Ratings'!$F$6:$F$1387,3)</x:f>
        <x:v>0</x:v>
      </x:c>
      <x:c r="D236" s="2" t="n">
        <x:f>COUNTIFS('Ratings'!$B$6:$B$1387,A236,'Ratings'!$F$6:$F$1387,2)</x:f>
        <x:v>3</x:v>
      </x:c>
      <x:c r="E236" s="2" t="n">
        <x:f>COUNTIFS('Ratings'!$B$6:$B$1387,A236,'Ratings'!$F$6:$F$1387,1)</x:f>
        <x:v>11</x:v>
      </x:c>
      <x:c r="F236" s="2" t="n">
        <x:f>IF(B236&lt;=C236,3,IF(B236&lt;=C236+D236,2,IF(B236&lt;=C236+D236+E236,1,0)))</x:f>
        <x:v>2</x:v>
      </x:c>
      <x:c r="G236" s="2" t="n">
        <x:f>2^F236-1</x:f>
        <x:v>3</x:v>
      </x:c>
      <x:c r="H236" s="14" t="n">
        <x:f>G236/LOG(B236+1,2)</x:f>
        <x:v>3</x:v>
      </x:c>
    </x:row>
    <x:row r="237" ht="22" customHeight="1">
      <x:c r="A237" s="2" t="str">
        <x:v>S26</x:v>
      </x:c>
      <x:c r="B237" s="2" t="n">
        <x:v>2</x:v>
      </x:c>
      <x:c r="C237" s="2" t="n">
        <x:f>COUNTIFS('Ratings'!$B$6:$B$1387,A237,'Ratings'!$F$6:$F$1387,3)</x:f>
        <x:v>0</x:v>
      </x:c>
      <x:c r="D237" s="2" t="n">
        <x:f>COUNTIFS('Ratings'!$B$6:$B$1387,A237,'Ratings'!$F$6:$F$1387,2)</x:f>
        <x:v>3</x:v>
      </x:c>
      <x:c r="E237" s="2" t="n">
        <x:f>COUNTIFS('Ratings'!$B$6:$B$1387,A237,'Ratings'!$F$6:$F$1387,1)</x:f>
        <x:v>11</x:v>
      </x:c>
      <x:c r="F237" s="2" t="n">
        <x:f>IF(B237&lt;=C237,3,IF(B237&lt;=C237+D237,2,IF(B237&lt;=C237+D237+E237,1,0)))</x:f>
        <x:v>2</x:v>
      </x:c>
      <x:c r="G237" s="2" t="n">
        <x:f>2^F237-1</x:f>
        <x:v>3</x:v>
      </x:c>
      <x:c r="H237" s="14" t="n">
        <x:f>G237/LOG(B237+1,2)</x:f>
        <x:v>1.8927892607143724</x:v>
      </x:c>
    </x:row>
    <x:row r="238" ht="22" customHeight="1">
      <x:c r="A238" s="2" t="str">
        <x:v>S26</x:v>
      </x:c>
      <x:c r="B238" s="2" t="n">
        <x:v>3</x:v>
      </x:c>
      <x:c r="C238" s="2" t="n">
        <x:f>COUNTIFS('Ratings'!$B$6:$B$1387,A238,'Ratings'!$F$6:$F$1387,3)</x:f>
        <x:v>0</x:v>
      </x:c>
      <x:c r="D238" s="2" t="n">
        <x:f>COUNTIFS('Ratings'!$B$6:$B$1387,A238,'Ratings'!$F$6:$F$1387,2)</x:f>
        <x:v>3</x:v>
      </x:c>
      <x:c r="E238" s="2" t="n">
        <x:f>COUNTIFS('Ratings'!$B$6:$B$1387,A238,'Ratings'!$F$6:$F$1387,1)</x:f>
        <x:v>11</x:v>
      </x:c>
      <x:c r="F238" s="2" t="n">
        <x:f>IF(B238&lt;=C238,3,IF(B238&lt;=C238+D238,2,IF(B238&lt;=C238+D238+E238,1,0)))</x:f>
        <x:v>2</x:v>
      </x:c>
      <x:c r="G238" s="2" t="n">
        <x:f>2^F238-1</x:f>
        <x:v>3</x:v>
      </x:c>
      <x:c r="H238" s="14" t="n">
        <x:f>G238/LOG(B238+1,2)</x:f>
        <x:v>1.5</x:v>
      </x:c>
    </x:row>
    <x:row r="239" ht="22" customHeight="1">
      <x:c r="A239" s="2" t="str">
        <x:v>S26</x:v>
      </x:c>
      <x:c r="B239" s="2" t="n">
        <x:v>4</x:v>
      </x:c>
      <x:c r="C239" s="2" t="n">
        <x:f>COUNTIFS('Ratings'!$B$6:$B$1387,A239,'Ratings'!$F$6:$F$1387,3)</x:f>
        <x:v>0</x:v>
      </x:c>
      <x:c r="D239" s="2" t="n">
        <x:f>COUNTIFS('Ratings'!$B$6:$B$1387,A239,'Ratings'!$F$6:$F$1387,2)</x:f>
        <x:v>3</x:v>
      </x:c>
      <x:c r="E239" s="2" t="n">
        <x:f>COUNTIFS('Ratings'!$B$6:$B$1387,A239,'Ratings'!$F$6:$F$1387,1)</x:f>
        <x:v>11</x:v>
      </x:c>
      <x:c r="F239" s="2" t="n">
        <x:f>IF(B239&lt;=C239,3,IF(B239&lt;=C239+D239,2,IF(B239&lt;=C239+D239+E239,1,0)))</x:f>
        <x:v>1</x:v>
      </x:c>
      <x:c r="G239" s="2" t="n">
        <x:f>2^F239-1</x:f>
        <x:v>1</x:v>
      </x:c>
      <x:c r="H239" s="14" t="n">
        <x:f>G239/LOG(B239+1,2)</x:f>
        <x:v>0.43067655807339306</x:v>
      </x:c>
    </x:row>
    <x:row r="240" ht="22" customHeight="1">
      <x:c r="A240" s="2" t="str">
        <x:v>S26</x:v>
      </x:c>
      <x:c r="B240" s="2" t="n">
        <x:v>5</x:v>
      </x:c>
      <x:c r="C240" s="2" t="n">
        <x:f>COUNTIFS('Ratings'!$B$6:$B$1387,A240,'Ratings'!$F$6:$F$1387,3)</x:f>
        <x:v>0</x:v>
      </x:c>
      <x:c r="D240" s="2" t="n">
        <x:f>COUNTIFS('Ratings'!$B$6:$B$1387,A240,'Ratings'!$F$6:$F$1387,2)</x:f>
        <x:v>3</x:v>
      </x:c>
      <x:c r="E240" s="2" t="n">
        <x:f>COUNTIFS('Ratings'!$B$6:$B$1387,A240,'Ratings'!$F$6:$F$1387,1)</x:f>
        <x:v>11</x:v>
      </x:c>
      <x:c r="F240" s="2" t="n">
        <x:f>IF(B240&lt;=C240,3,IF(B240&lt;=C240+D240,2,IF(B240&lt;=C240+D240+E240,1,0)))</x:f>
        <x:v>1</x:v>
      </x:c>
      <x:c r="G240" s="2" t="n">
        <x:f>2^F240-1</x:f>
        <x:v>1</x:v>
      </x:c>
      <x:c r="H240" s="14" t="n">
        <x:f>G240/LOG(B240+1,2)</x:f>
        <x:v>0.38685280723454163</x:v>
      </x:c>
    </x:row>
    <x:row r="241" ht="22" customHeight="1">
      <x:c r="A241" s="2" t="str">
        <x:v>S26</x:v>
      </x:c>
      <x:c r="B241" s="2" t="n">
        <x:v>6</x:v>
      </x:c>
      <x:c r="C241" s="2" t="n">
        <x:f>COUNTIFS('Ratings'!$B$6:$B$1387,A241,'Ratings'!$F$6:$F$1387,3)</x:f>
        <x:v>0</x:v>
      </x:c>
      <x:c r="D241" s="2" t="n">
        <x:f>COUNTIFS('Ratings'!$B$6:$B$1387,A241,'Ratings'!$F$6:$F$1387,2)</x:f>
        <x:v>3</x:v>
      </x:c>
      <x:c r="E241" s="2" t="n">
        <x:f>COUNTIFS('Ratings'!$B$6:$B$1387,A241,'Ratings'!$F$6:$F$1387,1)</x:f>
        <x:v>11</x:v>
      </x:c>
      <x:c r="F241" s="2" t="n">
        <x:f>IF(B241&lt;=C241,3,IF(B241&lt;=C241+D241,2,IF(B241&lt;=C241+D241+E241,1,0)))</x:f>
        <x:v>1</x:v>
      </x:c>
      <x:c r="G241" s="2" t="n">
        <x:f>2^F241-1</x:f>
        <x:v>1</x:v>
      </x:c>
      <x:c r="H241" s="14" t="n">
        <x:f>G241/LOG(B241+1,2)</x:f>
        <x:v>0.3562071871080222</x:v>
      </x:c>
    </x:row>
    <x:row r="242" ht="22" customHeight="1">
      <x:c r="A242" s="2" t="str">
        <x:v>S26</x:v>
      </x:c>
      <x:c r="B242" s="2" t="n">
        <x:v>7</x:v>
      </x:c>
      <x:c r="C242" s="2" t="n">
        <x:f>COUNTIFS('Ratings'!$B$6:$B$1387,A242,'Ratings'!$F$6:$F$1387,3)</x:f>
        <x:v>0</x:v>
      </x:c>
      <x:c r="D242" s="2" t="n">
        <x:f>COUNTIFS('Ratings'!$B$6:$B$1387,A242,'Ratings'!$F$6:$F$1387,2)</x:f>
        <x:v>3</x:v>
      </x:c>
      <x:c r="E242" s="2" t="n">
        <x:f>COUNTIFS('Ratings'!$B$6:$B$1387,A242,'Ratings'!$F$6:$F$1387,1)</x:f>
        <x:v>11</x:v>
      </x:c>
      <x:c r="F242" s="2" t="n">
        <x:f>IF(B242&lt;=C242,3,IF(B242&lt;=C242+D242,2,IF(B242&lt;=C242+D242+E242,1,0)))</x:f>
        <x:v>1</x:v>
      </x:c>
      <x:c r="G242" s="2" t="n">
        <x:f>2^F242-1</x:f>
        <x:v>1</x:v>
      </x:c>
      <x:c r="H242" s="14" t="n">
        <x:f>G242/LOG(B242+1,2)</x:f>
        <x:v>0.3333333333333333</x:v>
      </x:c>
    </x:row>
    <x:row r="243" ht="22" customHeight="1">
      <x:c r="A243" s="2" t="str">
        <x:v>S26</x:v>
      </x:c>
      <x:c r="B243" s="2" t="n">
        <x:v>8</x:v>
      </x:c>
      <x:c r="C243" s="2" t="n">
        <x:f>COUNTIFS('Ratings'!$B$6:$B$1387,A243,'Ratings'!$F$6:$F$1387,3)</x:f>
        <x:v>0</x:v>
      </x:c>
      <x:c r="D243" s="2" t="n">
        <x:f>COUNTIFS('Ratings'!$B$6:$B$1387,A243,'Ratings'!$F$6:$F$1387,2)</x:f>
        <x:v>3</x:v>
      </x:c>
      <x:c r="E243" s="2" t="n">
        <x:f>COUNTIFS('Ratings'!$B$6:$B$1387,A243,'Ratings'!$F$6:$F$1387,1)</x:f>
        <x:v>11</x:v>
      </x:c>
      <x:c r="F243" s="2" t="n">
        <x:f>IF(B243&lt;=C243,3,IF(B243&lt;=C243+D243,2,IF(B243&lt;=C243+D243+E243,1,0)))</x:f>
        <x:v>1</x:v>
      </x:c>
      <x:c r="G243" s="2" t="n">
        <x:f>2^F243-1</x:f>
        <x:v>1</x:v>
      </x:c>
      <x:c r="H243" s="14" t="n">
        <x:f>G243/LOG(B243+1,2)</x:f>
        <x:v>0.3154648767857287</x:v>
      </x:c>
    </x:row>
    <x:row r="244" ht="22" customHeight="1">
      <x:c r="A244" s="2" t="str">
        <x:v>S26</x:v>
      </x:c>
      <x:c r="B244" s="2" t="n">
        <x:v>9</x:v>
      </x:c>
      <x:c r="C244" s="2" t="n">
        <x:f>COUNTIFS('Ratings'!$B$6:$B$1387,A244,'Ratings'!$F$6:$F$1387,3)</x:f>
        <x:v>0</x:v>
      </x:c>
      <x:c r="D244" s="2" t="n">
        <x:f>COUNTIFS('Ratings'!$B$6:$B$1387,A244,'Ratings'!$F$6:$F$1387,2)</x:f>
        <x:v>3</x:v>
      </x:c>
      <x:c r="E244" s="2" t="n">
        <x:f>COUNTIFS('Ratings'!$B$6:$B$1387,A244,'Ratings'!$F$6:$F$1387,1)</x:f>
        <x:v>11</x:v>
      </x:c>
      <x:c r="F244" s="2" t="n">
        <x:f>IF(B244&lt;=C244,3,IF(B244&lt;=C244+D244,2,IF(B244&lt;=C244+D244+E244,1,0)))</x:f>
        <x:v>1</x:v>
      </x:c>
      <x:c r="G244" s="2" t="n">
        <x:f>2^F244-1</x:f>
        <x:v>1</x:v>
      </x:c>
      <x:c r="H244" s="14" t="n">
        <x:f>G244/LOG(B244+1,2)</x:f>
        <x:v>0.30102999566398114</x:v>
      </x:c>
    </x:row>
    <x:row r="245" ht="22" customHeight="1">
      <x:c r="A245" s="2" t="str">
        <x:v>S26</x:v>
      </x:c>
      <x:c r="B245" s="2" t="n">
        <x:v>10</x:v>
      </x:c>
      <x:c r="C245" s="2" t="n">
        <x:f>COUNTIFS('Ratings'!$B$6:$B$1387,A245,'Ratings'!$F$6:$F$1387,3)</x:f>
        <x:v>0</x:v>
      </x:c>
      <x:c r="D245" s="2" t="n">
        <x:f>COUNTIFS('Ratings'!$B$6:$B$1387,A245,'Ratings'!$F$6:$F$1387,2)</x:f>
        <x:v>3</x:v>
      </x:c>
      <x:c r="E245" s="2" t="n">
        <x:f>COUNTIFS('Ratings'!$B$6:$B$1387,A245,'Ratings'!$F$6:$F$1387,1)</x:f>
        <x:v>11</x:v>
      </x:c>
      <x:c r="F245" s="2" t="n">
        <x:f>IF(B245&lt;=C245,3,IF(B245&lt;=C245+D245,2,IF(B245&lt;=C245+D245+E245,1,0)))</x:f>
        <x:v>1</x:v>
      </x:c>
      <x:c r="G245" s="2" t="n">
        <x:f>2^F245-1</x:f>
        <x:v>1</x:v>
      </x:c>
      <x:c r="H245" s="14" t="n">
        <x:f>G245/LOG(B245+1,2)</x:f>
        <x:v>0.2890648263178878</x:v>
      </x:c>
    </x:row>
    <x:row r="246" ht="22" customHeight="1">
      <x:c r="A246" s="2" t="str">
        <x:v>S27</x:v>
      </x:c>
      <x:c r="B246" s="2" t="n">
        <x:v>1</x:v>
      </x:c>
      <x:c r="C246" s="2" t="n">
        <x:f>COUNTIFS('Ratings'!$B$6:$B$1387,A246,'Ratings'!$F$6:$F$1387,3)</x:f>
        <x:v>38</x:v>
      </x:c>
      <x:c r="D246" s="2" t="n">
        <x:f>COUNTIFS('Ratings'!$B$6:$B$1387,A246,'Ratings'!$F$6:$F$1387,2)</x:f>
        <x:v>8</x:v>
      </x:c>
      <x:c r="E246" s="2" t="n">
        <x:f>COUNTIFS('Ratings'!$B$6:$B$1387,A246,'Ratings'!$F$6:$F$1387,1)</x:f>
        <x:v>6</x:v>
      </x:c>
      <x:c r="F246" s="2" t="n">
        <x:f>IF(B246&lt;=C246,3,IF(B246&lt;=C246+D246,2,IF(B246&lt;=C246+D246+E246,1,0)))</x:f>
        <x:v>3</x:v>
      </x:c>
      <x:c r="G246" s="2" t="n">
        <x:f>2^F246-1</x:f>
        <x:v>7</x:v>
      </x:c>
      <x:c r="H246" s="14" t="n">
        <x:f>G246/LOG(B246+1,2)</x:f>
        <x:v>7</x:v>
      </x:c>
    </x:row>
    <x:row r="247" ht="22" customHeight="1">
      <x:c r="A247" s="2" t="str">
        <x:v>S27</x:v>
      </x:c>
      <x:c r="B247" s="2" t="n">
        <x:v>2</x:v>
      </x:c>
      <x:c r="C247" s="2" t="n">
        <x:f>COUNTIFS('Ratings'!$B$6:$B$1387,A247,'Ratings'!$F$6:$F$1387,3)</x:f>
        <x:v>38</x:v>
      </x:c>
      <x:c r="D247" s="2" t="n">
        <x:f>COUNTIFS('Ratings'!$B$6:$B$1387,A247,'Ratings'!$F$6:$F$1387,2)</x:f>
        <x:v>8</x:v>
      </x:c>
      <x:c r="E247" s="2" t="n">
        <x:f>COUNTIFS('Ratings'!$B$6:$B$1387,A247,'Ratings'!$F$6:$F$1387,1)</x:f>
        <x:v>6</x:v>
      </x:c>
      <x:c r="F247" s="2" t="n">
        <x:f>IF(B247&lt;=C247,3,IF(B247&lt;=C247+D247,2,IF(B247&lt;=C247+D247+E247,1,0)))</x:f>
        <x:v>3</x:v>
      </x:c>
      <x:c r="G247" s="2" t="n">
        <x:f>2^F247-1</x:f>
        <x:v>7</x:v>
      </x:c>
      <x:c r="H247" s="14" t="n">
        <x:f>G247/LOG(B247+1,2)</x:f>
        <x:v>4.4165082750002025</x:v>
      </x:c>
    </x:row>
    <x:row r="248" ht="22" customHeight="1">
      <x:c r="A248" s="2" t="str">
        <x:v>S27</x:v>
      </x:c>
      <x:c r="B248" s="2" t="n">
        <x:v>3</x:v>
      </x:c>
      <x:c r="C248" s="2" t="n">
        <x:f>COUNTIFS('Ratings'!$B$6:$B$1387,A248,'Ratings'!$F$6:$F$1387,3)</x:f>
        <x:v>38</x:v>
      </x:c>
      <x:c r="D248" s="2" t="n">
        <x:f>COUNTIFS('Ratings'!$B$6:$B$1387,A248,'Ratings'!$F$6:$F$1387,2)</x:f>
        <x:v>8</x:v>
      </x:c>
      <x:c r="E248" s="2" t="n">
        <x:f>COUNTIFS('Ratings'!$B$6:$B$1387,A248,'Ratings'!$F$6:$F$1387,1)</x:f>
        <x:v>6</x:v>
      </x:c>
      <x:c r="F248" s="2" t="n">
        <x:f>IF(B248&lt;=C248,3,IF(B248&lt;=C248+D248,2,IF(B248&lt;=C248+D248+E248,1,0)))</x:f>
        <x:v>3</x:v>
      </x:c>
      <x:c r="G248" s="2" t="n">
        <x:f>2^F248-1</x:f>
        <x:v>7</x:v>
      </x:c>
      <x:c r="H248" s="14" t="n">
        <x:f>G248/LOG(B248+1,2)</x:f>
        <x:v>3.5</x:v>
      </x:c>
    </x:row>
    <x:row r="249" ht="22" customHeight="1">
      <x:c r="A249" s="2" t="str">
        <x:v>S27</x:v>
      </x:c>
      <x:c r="B249" s="2" t="n">
        <x:v>4</x:v>
      </x:c>
      <x:c r="C249" s="2" t="n">
        <x:f>COUNTIFS('Ratings'!$B$6:$B$1387,A249,'Ratings'!$F$6:$F$1387,3)</x:f>
        <x:v>38</x:v>
      </x:c>
      <x:c r="D249" s="2" t="n">
        <x:f>COUNTIFS('Ratings'!$B$6:$B$1387,A249,'Ratings'!$F$6:$F$1387,2)</x:f>
        <x:v>8</x:v>
      </x:c>
      <x:c r="E249" s="2" t="n">
        <x:f>COUNTIFS('Ratings'!$B$6:$B$1387,A249,'Ratings'!$F$6:$F$1387,1)</x:f>
        <x:v>6</x:v>
      </x:c>
      <x:c r="F249" s="2" t="n">
        <x:f>IF(B249&lt;=C249,3,IF(B249&lt;=C249+D249,2,IF(B249&lt;=C249+D249+E249,1,0)))</x:f>
        <x:v>3</x:v>
      </x:c>
      <x:c r="G249" s="2" t="n">
        <x:f>2^F249-1</x:f>
        <x:v>7</x:v>
      </x:c>
      <x:c r="H249" s="14" t="n">
        <x:f>G249/LOG(B249+1,2)</x:f>
        <x:v>3.0147359065137516</x:v>
      </x:c>
    </x:row>
    <x:row r="250" ht="22" customHeight="1">
      <x:c r="A250" s="2" t="str">
        <x:v>S27</x:v>
      </x:c>
      <x:c r="B250" s="2" t="n">
        <x:v>5</x:v>
      </x:c>
      <x:c r="C250" s="2" t="n">
        <x:f>COUNTIFS('Ratings'!$B$6:$B$1387,A250,'Ratings'!$F$6:$F$1387,3)</x:f>
        <x:v>38</x:v>
      </x:c>
      <x:c r="D250" s="2" t="n">
        <x:f>COUNTIFS('Ratings'!$B$6:$B$1387,A250,'Ratings'!$F$6:$F$1387,2)</x:f>
        <x:v>8</x:v>
      </x:c>
      <x:c r="E250" s="2" t="n">
        <x:f>COUNTIFS('Ratings'!$B$6:$B$1387,A250,'Ratings'!$F$6:$F$1387,1)</x:f>
        <x:v>6</x:v>
      </x:c>
      <x:c r="F250" s="2" t="n">
        <x:f>IF(B250&lt;=C250,3,IF(B250&lt;=C250+D250,2,IF(B250&lt;=C250+D250+E250,1,0)))</x:f>
        <x:v>3</x:v>
      </x:c>
      <x:c r="G250" s="2" t="n">
        <x:f>2^F250-1</x:f>
        <x:v>7</x:v>
      </x:c>
      <x:c r="H250" s="14" t="n">
        <x:f>G250/LOG(B250+1,2)</x:f>
        <x:v>2.7079696506417914</x:v>
      </x:c>
    </x:row>
    <x:row r="251" ht="22" customHeight="1">
      <x:c r="A251" s="2" t="str">
        <x:v>S27</x:v>
      </x:c>
      <x:c r="B251" s="2" t="n">
        <x:v>6</x:v>
      </x:c>
      <x:c r="C251" s="2" t="n">
        <x:f>COUNTIFS('Ratings'!$B$6:$B$1387,A251,'Ratings'!$F$6:$F$1387,3)</x:f>
        <x:v>38</x:v>
      </x:c>
      <x:c r="D251" s="2" t="n">
        <x:f>COUNTIFS('Ratings'!$B$6:$B$1387,A251,'Ratings'!$F$6:$F$1387,2)</x:f>
        <x:v>8</x:v>
      </x:c>
      <x:c r="E251" s="2" t="n">
        <x:f>COUNTIFS('Ratings'!$B$6:$B$1387,A251,'Ratings'!$F$6:$F$1387,1)</x:f>
        <x:v>6</x:v>
      </x:c>
      <x:c r="F251" s="2" t="n">
        <x:f>IF(B251&lt;=C251,3,IF(B251&lt;=C251+D251,2,IF(B251&lt;=C251+D251+E251,1,0)))</x:f>
        <x:v>3</x:v>
      </x:c>
      <x:c r="G251" s="2" t="n">
        <x:f>2^F251-1</x:f>
        <x:v>7</x:v>
      </x:c>
      <x:c r="H251" s="14" t="n">
        <x:f>G251/LOG(B251+1,2)</x:f>
        <x:v>2.493450309756155</x:v>
      </x:c>
    </x:row>
    <x:row r="252" ht="22" customHeight="1">
      <x:c r="A252" s="2" t="str">
        <x:v>S27</x:v>
      </x:c>
      <x:c r="B252" s="2" t="n">
        <x:v>7</x:v>
      </x:c>
      <x:c r="C252" s="2" t="n">
        <x:f>COUNTIFS('Ratings'!$B$6:$B$1387,A252,'Ratings'!$F$6:$F$1387,3)</x:f>
        <x:v>38</x:v>
      </x:c>
      <x:c r="D252" s="2" t="n">
        <x:f>COUNTIFS('Ratings'!$B$6:$B$1387,A252,'Ratings'!$F$6:$F$1387,2)</x:f>
        <x:v>8</x:v>
      </x:c>
      <x:c r="E252" s="2" t="n">
        <x:f>COUNTIFS('Ratings'!$B$6:$B$1387,A252,'Ratings'!$F$6:$F$1387,1)</x:f>
        <x:v>6</x:v>
      </x:c>
      <x:c r="F252" s="2" t="n">
        <x:f>IF(B252&lt;=C252,3,IF(B252&lt;=C252+D252,2,IF(B252&lt;=C252+D252+E252,1,0)))</x:f>
        <x:v>3</x:v>
      </x:c>
      <x:c r="G252" s="2" t="n">
        <x:f>2^F252-1</x:f>
        <x:v>7</x:v>
      </x:c>
      <x:c r="H252" s="14" t="n">
        <x:f>G252/LOG(B252+1,2)</x:f>
        <x:v>2.3333333333333335</x:v>
      </x:c>
    </x:row>
    <x:row r="253" ht="22" customHeight="1">
      <x:c r="A253" s="2" t="str">
        <x:v>S27</x:v>
      </x:c>
      <x:c r="B253" s="2" t="n">
        <x:v>8</x:v>
      </x:c>
      <x:c r="C253" s="2" t="n">
        <x:f>COUNTIFS('Ratings'!$B$6:$B$1387,A253,'Ratings'!$F$6:$F$1387,3)</x:f>
        <x:v>38</x:v>
      </x:c>
      <x:c r="D253" s="2" t="n">
        <x:f>COUNTIFS('Ratings'!$B$6:$B$1387,A253,'Ratings'!$F$6:$F$1387,2)</x:f>
        <x:v>8</x:v>
      </x:c>
      <x:c r="E253" s="2" t="n">
        <x:f>COUNTIFS('Ratings'!$B$6:$B$1387,A253,'Ratings'!$F$6:$F$1387,1)</x:f>
        <x:v>6</x:v>
      </x:c>
      <x:c r="F253" s="2" t="n">
        <x:f>IF(B253&lt;=C253,3,IF(B253&lt;=C253+D253,2,IF(B253&lt;=C253+D253+E253,1,0)))</x:f>
        <x:v>3</x:v>
      </x:c>
      <x:c r="G253" s="2" t="n">
        <x:f>2^F253-1</x:f>
        <x:v>7</x:v>
      </x:c>
      <x:c r="H253" s="14" t="n">
        <x:f>G253/LOG(B253+1,2)</x:f>
        <x:v>2.208254137500101</x:v>
      </x:c>
    </x:row>
    <x:row r="254" ht="22" customHeight="1">
      <x:c r="A254" s="2" t="str">
        <x:v>S27</x:v>
      </x:c>
      <x:c r="B254" s="2" t="n">
        <x:v>9</x:v>
      </x:c>
      <x:c r="C254" s="2" t="n">
        <x:f>COUNTIFS('Ratings'!$B$6:$B$1387,A254,'Ratings'!$F$6:$F$1387,3)</x:f>
        <x:v>38</x:v>
      </x:c>
      <x:c r="D254" s="2" t="n">
        <x:f>COUNTIFS('Ratings'!$B$6:$B$1387,A254,'Ratings'!$F$6:$F$1387,2)</x:f>
        <x:v>8</x:v>
      </x:c>
      <x:c r="E254" s="2" t="n">
        <x:f>COUNTIFS('Ratings'!$B$6:$B$1387,A254,'Ratings'!$F$6:$F$1387,1)</x:f>
        <x:v>6</x:v>
      </x:c>
      <x:c r="F254" s="2" t="n">
        <x:f>IF(B254&lt;=C254,3,IF(B254&lt;=C254+D254,2,IF(B254&lt;=C254+D254+E254,1,0)))</x:f>
        <x:v>3</x:v>
      </x:c>
      <x:c r="G254" s="2" t="n">
        <x:f>2^F254-1</x:f>
        <x:v>7</x:v>
      </x:c>
      <x:c r="H254" s="14" t="n">
        <x:f>G254/LOG(B254+1,2)</x:f>
        <x:v>2.1072099696478683</x:v>
      </x:c>
    </x:row>
    <x:row r="255" ht="22" customHeight="1">
      <x:c r="A255" s="2" t="str">
        <x:v>S27</x:v>
      </x:c>
      <x:c r="B255" s="2" t="n">
        <x:v>10</x:v>
      </x:c>
      <x:c r="C255" s="2" t="n">
        <x:f>COUNTIFS('Ratings'!$B$6:$B$1387,A255,'Ratings'!$F$6:$F$1387,3)</x:f>
        <x:v>38</x:v>
      </x:c>
      <x:c r="D255" s="2" t="n">
        <x:f>COUNTIFS('Ratings'!$B$6:$B$1387,A255,'Ratings'!$F$6:$F$1387,2)</x:f>
        <x:v>8</x:v>
      </x:c>
      <x:c r="E255" s="2" t="n">
        <x:f>COUNTIFS('Ratings'!$B$6:$B$1387,A255,'Ratings'!$F$6:$F$1387,1)</x:f>
        <x:v>6</x:v>
      </x:c>
      <x:c r="F255" s="2" t="n">
        <x:f>IF(B255&lt;=C255,3,IF(B255&lt;=C255+D255,2,IF(B255&lt;=C255+D255+E255,1,0)))</x:f>
        <x:v>3</x:v>
      </x:c>
      <x:c r="G255" s="2" t="n">
        <x:f>2^F255-1</x:f>
        <x:v>7</x:v>
      </x:c>
      <x:c r="H255" s="14" t="n">
        <x:f>G255/LOG(B255+1,2)</x:f>
        <x:v>2.023453784225215</x:v>
      </x:c>
    </x:row>
    <x:row r="256" ht="22" customHeight="1">
      <x:c r="A256" s="2" t="str">
        <x:v>S28</x:v>
      </x:c>
      <x:c r="B256" s="2" t="n">
        <x:v>1</x:v>
      </x:c>
      <x:c r="C256" s="2" t="n">
        <x:f>COUNTIFS('Ratings'!$B$6:$B$1387,A256,'Ratings'!$F$6:$F$1387,3)</x:f>
        <x:v>15</x:v>
      </x:c>
      <x:c r="D256" s="2" t="n">
        <x:f>COUNTIFS('Ratings'!$B$6:$B$1387,A256,'Ratings'!$F$6:$F$1387,2)</x:f>
        <x:v>8</x:v>
      </x:c>
      <x:c r="E256" s="2" t="n">
        <x:f>COUNTIFS('Ratings'!$B$6:$B$1387,A256,'Ratings'!$F$6:$F$1387,1)</x:f>
        <x:v>6</x:v>
      </x:c>
      <x:c r="F256" s="2" t="n">
        <x:f>IF(B256&lt;=C256,3,IF(B256&lt;=C256+D256,2,IF(B256&lt;=C256+D256+E256,1,0)))</x:f>
        <x:v>3</x:v>
      </x:c>
      <x:c r="G256" s="2" t="n">
        <x:f>2^F256-1</x:f>
        <x:v>7</x:v>
      </x:c>
      <x:c r="H256" s="14" t="n">
        <x:f>G256/LOG(B256+1,2)</x:f>
        <x:v>7</x:v>
      </x:c>
    </x:row>
    <x:row r="257" ht="22" customHeight="1">
      <x:c r="A257" s="2" t="str">
        <x:v>S28</x:v>
      </x:c>
      <x:c r="B257" s="2" t="n">
        <x:v>2</x:v>
      </x:c>
      <x:c r="C257" s="2" t="n">
        <x:f>COUNTIFS('Ratings'!$B$6:$B$1387,A257,'Ratings'!$F$6:$F$1387,3)</x:f>
        <x:v>15</x:v>
      </x:c>
      <x:c r="D257" s="2" t="n">
        <x:f>COUNTIFS('Ratings'!$B$6:$B$1387,A257,'Ratings'!$F$6:$F$1387,2)</x:f>
        <x:v>8</x:v>
      </x:c>
      <x:c r="E257" s="2" t="n">
        <x:f>COUNTIFS('Ratings'!$B$6:$B$1387,A257,'Ratings'!$F$6:$F$1387,1)</x:f>
        <x:v>6</x:v>
      </x:c>
      <x:c r="F257" s="2" t="n">
        <x:f>IF(B257&lt;=C257,3,IF(B257&lt;=C257+D257,2,IF(B257&lt;=C257+D257+E257,1,0)))</x:f>
        <x:v>3</x:v>
      </x:c>
      <x:c r="G257" s="2" t="n">
        <x:f>2^F257-1</x:f>
        <x:v>7</x:v>
      </x:c>
      <x:c r="H257" s="14" t="n">
        <x:f>G257/LOG(B257+1,2)</x:f>
        <x:v>4.4165082750002025</x:v>
      </x:c>
    </x:row>
    <x:row r="258" ht="22" customHeight="1">
      <x:c r="A258" s="2" t="str">
        <x:v>S28</x:v>
      </x:c>
      <x:c r="B258" s="2" t="n">
        <x:v>3</x:v>
      </x:c>
      <x:c r="C258" s="2" t="n">
        <x:f>COUNTIFS('Ratings'!$B$6:$B$1387,A258,'Ratings'!$F$6:$F$1387,3)</x:f>
        <x:v>15</x:v>
      </x:c>
      <x:c r="D258" s="2" t="n">
        <x:f>COUNTIFS('Ratings'!$B$6:$B$1387,A258,'Ratings'!$F$6:$F$1387,2)</x:f>
        <x:v>8</x:v>
      </x:c>
      <x:c r="E258" s="2" t="n">
        <x:f>COUNTIFS('Ratings'!$B$6:$B$1387,A258,'Ratings'!$F$6:$F$1387,1)</x:f>
        <x:v>6</x:v>
      </x:c>
      <x:c r="F258" s="2" t="n">
        <x:f>IF(B258&lt;=C258,3,IF(B258&lt;=C258+D258,2,IF(B258&lt;=C258+D258+E258,1,0)))</x:f>
        <x:v>3</x:v>
      </x:c>
      <x:c r="G258" s="2" t="n">
        <x:f>2^F258-1</x:f>
        <x:v>7</x:v>
      </x:c>
      <x:c r="H258" s="14" t="n">
        <x:f>G258/LOG(B258+1,2)</x:f>
        <x:v>3.5</x:v>
      </x:c>
    </x:row>
    <x:row r="259" ht="22" customHeight="1">
      <x:c r="A259" s="2" t="str">
        <x:v>S28</x:v>
      </x:c>
      <x:c r="B259" s="2" t="n">
        <x:v>4</x:v>
      </x:c>
      <x:c r="C259" s="2" t="n">
        <x:f>COUNTIFS('Ratings'!$B$6:$B$1387,A259,'Ratings'!$F$6:$F$1387,3)</x:f>
        <x:v>15</x:v>
      </x:c>
      <x:c r="D259" s="2" t="n">
        <x:f>COUNTIFS('Ratings'!$B$6:$B$1387,A259,'Ratings'!$F$6:$F$1387,2)</x:f>
        <x:v>8</x:v>
      </x:c>
      <x:c r="E259" s="2" t="n">
        <x:f>COUNTIFS('Ratings'!$B$6:$B$1387,A259,'Ratings'!$F$6:$F$1387,1)</x:f>
        <x:v>6</x:v>
      </x:c>
      <x:c r="F259" s="2" t="n">
        <x:f>IF(B259&lt;=C259,3,IF(B259&lt;=C259+D259,2,IF(B259&lt;=C259+D259+E259,1,0)))</x:f>
        <x:v>3</x:v>
      </x:c>
      <x:c r="G259" s="2" t="n">
        <x:f>2^F259-1</x:f>
        <x:v>7</x:v>
      </x:c>
      <x:c r="H259" s="14" t="n">
        <x:f>G259/LOG(B259+1,2)</x:f>
        <x:v>3.0147359065137516</x:v>
      </x:c>
    </x:row>
    <x:row r="260" ht="22" customHeight="1">
      <x:c r="A260" s="2" t="str">
        <x:v>S28</x:v>
      </x:c>
      <x:c r="B260" s="2" t="n">
        <x:v>5</x:v>
      </x:c>
      <x:c r="C260" s="2" t="n">
        <x:f>COUNTIFS('Ratings'!$B$6:$B$1387,A260,'Ratings'!$F$6:$F$1387,3)</x:f>
        <x:v>15</x:v>
      </x:c>
      <x:c r="D260" s="2" t="n">
        <x:f>COUNTIFS('Ratings'!$B$6:$B$1387,A260,'Ratings'!$F$6:$F$1387,2)</x:f>
        <x:v>8</x:v>
      </x:c>
      <x:c r="E260" s="2" t="n">
        <x:f>COUNTIFS('Ratings'!$B$6:$B$1387,A260,'Ratings'!$F$6:$F$1387,1)</x:f>
        <x:v>6</x:v>
      </x:c>
      <x:c r="F260" s="2" t="n">
        <x:f>IF(B260&lt;=C260,3,IF(B260&lt;=C260+D260,2,IF(B260&lt;=C260+D260+E260,1,0)))</x:f>
        <x:v>3</x:v>
      </x:c>
      <x:c r="G260" s="2" t="n">
        <x:f>2^F260-1</x:f>
        <x:v>7</x:v>
      </x:c>
      <x:c r="H260" s="14" t="n">
        <x:f>G260/LOG(B260+1,2)</x:f>
        <x:v>2.7079696506417914</x:v>
      </x:c>
    </x:row>
    <x:row r="261" ht="22" customHeight="1">
      <x:c r="A261" s="2" t="str">
        <x:v>S28</x:v>
      </x:c>
      <x:c r="B261" s="2" t="n">
        <x:v>6</x:v>
      </x:c>
      <x:c r="C261" s="2" t="n">
        <x:f>COUNTIFS('Ratings'!$B$6:$B$1387,A261,'Ratings'!$F$6:$F$1387,3)</x:f>
        <x:v>15</x:v>
      </x:c>
      <x:c r="D261" s="2" t="n">
        <x:f>COUNTIFS('Ratings'!$B$6:$B$1387,A261,'Ratings'!$F$6:$F$1387,2)</x:f>
        <x:v>8</x:v>
      </x:c>
      <x:c r="E261" s="2" t="n">
        <x:f>COUNTIFS('Ratings'!$B$6:$B$1387,A261,'Ratings'!$F$6:$F$1387,1)</x:f>
        <x:v>6</x:v>
      </x:c>
      <x:c r="F261" s="2" t="n">
        <x:f>IF(B261&lt;=C261,3,IF(B261&lt;=C261+D261,2,IF(B261&lt;=C261+D261+E261,1,0)))</x:f>
        <x:v>3</x:v>
      </x:c>
      <x:c r="G261" s="2" t="n">
        <x:f>2^F261-1</x:f>
        <x:v>7</x:v>
      </x:c>
      <x:c r="H261" s="14" t="n">
        <x:f>G261/LOG(B261+1,2)</x:f>
        <x:v>2.493450309756155</x:v>
      </x:c>
    </x:row>
    <x:row r="262" ht="22" customHeight="1">
      <x:c r="A262" s="2" t="str">
        <x:v>S28</x:v>
      </x:c>
      <x:c r="B262" s="2" t="n">
        <x:v>7</x:v>
      </x:c>
      <x:c r="C262" s="2" t="n">
        <x:f>COUNTIFS('Ratings'!$B$6:$B$1387,A262,'Ratings'!$F$6:$F$1387,3)</x:f>
        <x:v>15</x:v>
      </x:c>
      <x:c r="D262" s="2" t="n">
        <x:f>COUNTIFS('Ratings'!$B$6:$B$1387,A262,'Ratings'!$F$6:$F$1387,2)</x:f>
        <x:v>8</x:v>
      </x:c>
      <x:c r="E262" s="2" t="n">
        <x:f>COUNTIFS('Ratings'!$B$6:$B$1387,A262,'Ratings'!$F$6:$F$1387,1)</x:f>
        <x:v>6</x:v>
      </x:c>
      <x:c r="F262" s="2" t="n">
        <x:f>IF(B262&lt;=C262,3,IF(B262&lt;=C262+D262,2,IF(B262&lt;=C262+D262+E262,1,0)))</x:f>
        <x:v>3</x:v>
      </x:c>
      <x:c r="G262" s="2" t="n">
        <x:f>2^F262-1</x:f>
        <x:v>7</x:v>
      </x:c>
      <x:c r="H262" s="14" t="n">
        <x:f>G262/LOG(B262+1,2)</x:f>
        <x:v>2.3333333333333335</x:v>
      </x:c>
    </x:row>
    <x:row r="263" ht="22" customHeight="1">
      <x:c r="A263" s="2" t="str">
        <x:v>S28</x:v>
      </x:c>
      <x:c r="B263" s="2" t="n">
        <x:v>8</x:v>
      </x:c>
      <x:c r="C263" s="2" t="n">
        <x:f>COUNTIFS('Ratings'!$B$6:$B$1387,A263,'Ratings'!$F$6:$F$1387,3)</x:f>
        <x:v>15</x:v>
      </x:c>
      <x:c r="D263" s="2" t="n">
        <x:f>COUNTIFS('Ratings'!$B$6:$B$1387,A263,'Ratings'!$F$6:$F$1387,2)</x:f>
        <x:v>8</x:v>
      </x:c>
      <x:c r="E263" s="2" t="n">
        <x:f>COUNTIFS('Ratings'!$B$6:$B$1387,A263,'Ratings'!$F$6:$F$1387,1)</x:f>
        <x:v>6</x:v>
      </x:c>
      <x:c r="F263" s="2" t="n">
        <x:f>IF(B263&lt;=C263,3,IF(B263&lt;=C263+D263,2,IF(B263&lt;=C263+D263+E263,1,0)))</x:f>
        <x:v>3</x:v>
      </x:c>
      <x:c r="G263" s="2" t="n">
        <x:f>2^F263-1</x:f>
        <x:v>7</x:v>
      </x:c>
      <x:c r="H263" s="14" t="n">
        <x:f>G263/LOG(B263+1,2)</x:f>
        <x:v>2.208254137500101</x:v>
      </x:c>
    </x:row>
    <x:row r="264" ht="22" customHeight="1">
      <x:c r="A264" s="2" t="str">
        <x:v>S28</x:v>
      </x:c>
      <x:c r="B264" s="2" t="n">
        <x:v>9</x:v>
      </x:c>
      <x:c r="C264" s="2" t="n">
        <x:f>COUNTIFS('Ratings'!$B$6:$B$1387,A264,'Ratings'!$F$6:$F$1387,3)</x:f>
        <x:v>15</x:v>
      </x:c>
      <x:c r="D264" s="2" t="n">
        <x:f>COUNTIFS('Ratings'!$B$6:$B$1387,A264,'Ratings'!$F$6:$F$1387,2)</x:f>
        <x:v>8</x:v>
      </x:c>
      <x:c r="E264" s="2" t="n">
        <x:f>COUNTIFS('Ratings'!$B$6:$B$1387,A264,'Ratings'!$F$6:$F$1387,1)</x:f>
        <x:v>6</x:v>
      </x:c>
      <x:c r="F264" s="2" t="n">
        <x:f>IF(B264&lt;=C264,3,IF(B264&lt;=C264+D264,2,IF(B264&lt;=C264+D264+E264,1,0)))</x:f>
        <x:v>3</x:v>
      </x:c>
      <x:c r="G264" s="2" t="n">
        <x:f>2^F264-1</x:f>
        <x:v>7</x:v>
      </x:c>
      <x:c r="H264" s="14" t="n">
        <x:f>G264/LOG(B264+1,2)</x:f>
        <x:v>2.1072099696478683</x:v>
      </x:c>
    </x:row>
    <x:row r="265" ht="22" customHeight="1">
      <x:c r="A265" s="2" t="str">
        <x:v>S28</x:v>
      </x:c>
      <x:c r="B265" s="2" t="n">
        <x:v>10</x:v>
      </x:c>
      <x:c r="C265" s="2" t="n">
        <x:f>COUNTIFS('Ratings'!$B$6:$B$1387,A265,'Ratings'!$F$6:$F$1387,3)</x:f>
        <x:v>15</x:v>
      </x:c>
      <x:c r="D265" s="2" t="n">
        <x:f>COUNTIFS('Ratings'!$B$6:$B$1387,A265,'Ratings'!$F$6:$F$1387,2)</x:f>
        <x:v>8</x:v>
      </x:c>
      <x:c r="E265" s="2" t="n">
        <x:f>COUNTIFS('Ratings'!$B$6:$B$1387,A265,'Ratings'!$F$6:$F$1387,1)</x:f>
        <x:v>6</x:v>
      </x:c>
      <x:c r="F265" s="2" t="n">
        <x:f>IF(B265&lt;=C265,3,IF(B265&lt;=C265+D265,2,IF(B265&lt;=C265+D265+E265,1,0)))</x:f>
        <x:v>3</x:v>
      </x:c>
      <x:c r="G265" s="2" t="n">
        <x:f>2^F265-1</x:f>
        <x:v>7</x:v>
      </x:c>
      <x:c r="H265" s="14" t="n">
        <x:f>G265/LOG(B265+1,2)</x:f>
        <x:v>2.023453784225215</x:v>
      </x:c>
    </x:row>
    <x:row r="266" ht="22" customHeight="1">
      <x:c r="A266" s="2" t="str">
        <x:v>S29</x:v>
      </x:c>
      <x:c r="B266" s="2" t="n">
        <x:v>1</x:v>
      </x:c>
      <x:c r="C266" s="2" t="n">
        <x:f>COUNTIFS('Ratings'!$B$6:$B$1387,A266,'Ratings'!$F$6:$F$1387,3)</x:f>
        <x:v>3</x:v>
      </x:c>
      <x:c r="D266" s="2" t="n">
        <x:f>COUNTIFS('Ratings'!$B$6:$B$1387,A266,'Ratings'!$F$6:$F$1387,2)</x:f>
        <x:v>26</x:v>
      </x:c>
      <x:c r="E266" s="2" t="n">
        <x:f>COUNTIFS('Ratings'!$B$6:$B$1387,A266,'Ratings'!$F$6:$F$1387,1)</x:f>
        <x:v>6</x:v>
      </x:c>
      <x:c r="F266" s="2" t="n">
        <x:f>IF(B266&lt;=C266,3,IF(B266&lt;=C266+D266,2,IF(B266&lt;=C266+D266+E266,1,0)))</x:f>
        <x:v>3</x:v>
      </x:c>
      <x:c r="G266" s="2" t="n">
        <x:f>2^F266-1</x:f>
        <x:v>7</x:v>
      </x:c>
      <x:c r="H266" s="14" t="n">
        <x:f>G266/LOG(B266+1,2)</x:f>
        <x:v>7</x:v>
      </x:c>
    </x:row>
    <x:row r="267" ht="22" customHeight="1">
      <x:c r="A267" s="2" t="str">
        <x:v>S29</x:v>
      </x:c>
      <x:c r="B267" s="2" t="n">
        <x:v>2</x:v>
      </x:c>
      <x:c r="C267" s="2" t="n">
        <x:f>COUNTIFS('Ratings'!$B$6:$B$1387,A267,'Ratings'!$F$6:$F$1387,3)</x:f>
        <x:v>3</x:v>
      </x:c>
      <x:c r="D267" s="2" t="n">
        <x:f>COUNTIFS('Ratings'!$B$6:$B$1387,A267,'Ratings'!$F$6:$F$1387,2)</x:f>
        <x:v>26</x:v>
      </x:c>
      <x:c r="E267" s="2" t="n">
        <x:f>COUNTIFS('Ratings'!$B$6:$B$1387,A267,'Ratings'!$F$6:$F$1387,1)</x:f>
        <x:v>6</x:v>
      </x:c>
      <x:c r="F267" s="2" t="n">
        <x:f>IF(B267&lt;=C267,3,IF(B267&lt;=C267+D267,2,IF(B267&lt;=C267+D267+E267,1,0)))</x:f>
        <x:v>3</x:v>
      </x:c>
      <x:c r="G267" s="2" t="n">
        <x:f>2^F267-1</x:f>
        <x:v>7</x:v>
      </x:c>
      <x:c r="H267" s="14" t="n">
        <x:f>G267/LOG(B267+1,2)</x:f>
        <x:v>4.4165082750002025</x:v>
      </x:c>
    </x:row>
    <x:row r="268" ht="22" customHeight="1">
      <x:c r="A268" s="2" t="str">
        <x:v>S29</x:v>
      </x:c>
      <x:c r="B268" s="2" t="n">
        <x:v>3</x:v>
      </x:c>
      <x:c r="C268" s="2" t="n">
        <x:f>COUNTIFS('Ratings'!$B$6:$B$1387,A268,'Ratings'!$F$6:$F$1387,3)</x:f>
        <x:v>3</x:v>
      </x:c>
      <x:c r="D268" s="2" t="n">
        <x:f>COUNTIFS('Ratings'!$B$6:$B$1387,A268,'Ratings'!$F$6:$F$1387,2)</x:f>
        <x:v>26</x:v>
      </x:c>
      <x:c r="E268" s="2" t="n">
        <x:f>COUNTIFS('Ratings'!$B$6:$B$1387,A268,'Ratings'!$F$6:$F$1387,1)</x:f>
        <x:v>6</x:v>
      </x:c>
      <x:c r="F268" s="2" t="n">
        <x:f>IF(B268&lt;=C268,3,IF(B268&lt;=C268+D268,2,IF(B268&lt;=C268+D268+E268,1,0)))</x:f>
        <x:v>3</x:v>
      </x:c>
      <x:c r="G268" s="2" t="n">
        <x:f>2^F268-1</x:f>
        <x:v>7</x:v>
      </x:c>
      <x:c r="H268" s="14" t="n">
        <x:f>G268/LOG(B268+1,2)</x:f>
        <x:v>3.5</x:v>
      </x:c>
    </x:row>
    <x:row r="269" ht="22" customHeight="1">
      <x:c r="A269" s="2" t="str">
        <x:v>S29</x:v>
      </x:c>
      <x:c r="B269" s="2" t="n">
        <x:v>4</x:v>
      </x:c>
      <x:c r="C269" s="2" t="n">
        <x:f>COUNTIFS('Ratings'!$B$6:$B$1387,A269,'Ratings'!$F$6:$F$1387,3)</x:f>
        <x:v>3</x:v>
      </x:c>
      <x:c r="D269" s="2" t="n">
        <x:f>COUNTIFS('Ratings'!$B$6:$B$1387,A269,'Ratings'!$F$6:$F$1387,2)</x:f>
        <x:v>26</x:v>
      </x:c>
      <x:c r="E269" s="2" t="n">
        <x:f>COUNTIFS('Ratings'!$B$6:$B$1387,A269,'Ratings'!$F$6:$F$1387,1)</x:f>
        <x:v>6</x:v>
      </x:c>
      <x:c r="F269" s="2" t="n">
        <x:f>IF(B269&lt;=C269,3,IF(B269&lt;=C269+D269,2,IF(B269&lt;=C269+D269+E269,1,0)))</x:f>
        <x:v>2</x:v>
      </x:c>
      <x:c r="G269" s="2" t="n">
        <x:f>2^F269-1</x:f>
        <x:v>3</x:v>
      </x:c>
      <x:c r="H269" s="14" t="n">
        <x:f>G269/LOG(B269+1,2)</x:f>
        <x:v>1.2920296742201793</x:v>
      </x:c>
    </x:row>
    <x:row r="270" ht="22" customHeight="1">
      <x:c r="A270" s="2" t="str">
        <x:v>S29</x:v>
      </x:c>
      <x:c r="B270" s="2" t="n">
        <x:v>5</x:v>
      </x:c>
      <x:c r="C270" s="2" t="n">
        <x:f>COUNTIFS('Ratings'!$B$6:$B$1387,A270,'Ratings'!$F$6:$F$1387,3)</x:f>
        <x:v>3</x:v>
      </x:c>
      <x:c r="D270" s="2" t="n">
        <x:f>COUNTIFS('Ratings'!$B$6:$B$1387,A270,'Ratings'!$F$6:$F$1387,2)</x:f>
        <x:v>26</x:v>
      </x:c>
      <x:c r="E270" s="2" t="n">
        <x:f>COUNTIFS('Ratings'!$B$6:$B$1387,A270,'Ratings'!$F$6:$F$1387,1)</x:f>
        <x:v>6</x:v>
      </x:c>
      <x:c r="F270" s="2" t="n">
        <x:f>IF(B270&lt;=C270,3,IF(B270&lt;=C270+D270,2,IF(B270&lt;=C270+D270+E270,1,0)))</x:f>
        <x:v>2</x:v>
      </x:c>
      <x:c r="G270" s="2" t="n">
        <x:f>2^F270-1</x:f>
        <x:v>3</x:v>
      </x:c>
      <x:c r="H270" s="14" t="n">
        <x:f>G270/LOG(B270+1,2)</x:f>
        <x:v>1.1605584217036249</x:v>
      </x:c>
    </x:row>
    <x:row r="271" ht="22" customHeight="1">
      <x:c r="A271" s="2" t="str">
        <x:v>S29</x:v>
      </x:c>
      <x:c r="B271" s="2" t="n">
        <x:v>6</x:v>
      </x:c>
      <x:c r="C271" s="2" t="n">
        <x:f>COUNTIFS('Ratings'!$B$6:$B$1387,A271,'Ratings'!$F$6:$F$1387,3)</x:f>
        <x:v>3</x:v>
      </x:c>
      <x:c r="D271" s="2" t="n">
        <x:f>COUNTIFS('Ratings'!$B$6:$B$1387,A271,'Ratings'!$F$6:$F$1387,2)</x:f>
        <x:v>26</x:v>
      </x:c>
      <x:c r="E271" s="2" t="n">
        <x:f>COUNTIFS('Ratings'!$B$6:$B$1387,A271,'Ratings'!$F$6:$F$1387,1)</x:f>
        <x:v>6</x:v>
      </x:c>
      <x:c r="F271" s="2" t="n">
        <x:f>IF(B271&lt;=C271,3,IF(B271&lt;=C271+D271,2,IF(B271&lt;=C271+D271+E271,1,0)))</x:f>
        <x:v>2</x:v>
      </x:c>
      <x:c r="G271" s="2" t="n">
        <x:f>2^F271-1</x:f>
        <x:v>3</x:v>
      </x:c>
      <x:c r="H271" s="14" t="n">
        <x:f>G271/LOG(B271+1,2)</x:f>
        <x:v>1.0686215613240666</x:v>
      </x:c>
    </x:row>
    <x:row r="272" ht="22" customHeight="1">
      <x:c r="A272" s="2" t="str">
        <x:v>S29</x:v>
      </x:c>
      <x:c r="B272" s="2" t="n">
        <x:v>7</x:v>
      </x:c>
      <x:c r="C272" s="2" t="n">
        <x:f>COUNTIFS('Ratings'!$B$6:$B$1387,A272,'Ratings'!$F$6:$F$1387,3)</x:f>
        <x:v>3</x:v>
      </x:c>
      <x:c r="D272" s="2" t="n">
        <x:f>COUNTIFS('Ratings'!$B$6:$B$1387,A272,'Ratings'!$F$6:$F$1387,2)</x:f>
        <x:v>26</x:v>
      </x:c>
      <x:c r="E272" s="2" t="n">
        <x:f>COUNTIFS('Ratings'!$B$6:$B$1387,A272,'Ratings'!$F$6:$F$1387,1)</x:f>
        <x:v>6</x:v>
      </x:c>
      <x:c r="F272" s="2" t="n">
        <x:f>IF(B272&lt;=C272,3,IF(B272&lt;=C272+D272,2,IF(B272&lt;=C272+D272+E272,1,0)))</x:f>
        <x:v>2</x:v>
      </x:c>
      <x:c r="G272" s="2" t="n">
        <x:f>2^F272-1</x:f>
        <x:v>3</x:v>
      </x:c>
      <x:c r="H272" s="14" t="n">
        <x:f>G272/LOG(B272+1,2)</x:f>
        <x:v>1</x:v>
      </x:c>
    </x:row>
    <x:row r="273" ht="22" customHeight="1">
      <x:c r="A273" s="2" t="str">
        <x:v>S29</x:v>
      </x:c>
      <x:c r="B273" s="2" t="n">
        <x:v>8</x:v>
      </x:c>
      <x:c r="C273" s="2" t="n">
        <x:f>COUNTIFS('Ratings'!$B$6:$B$1387,A273,'Ratings'!$F$6:$F$1387,3)</x:f>
        <x:v>3</x:v>
      </x:c>
      <x:c r="D273" s="2" t="n">
        <x:f>COUNTIFS('Ratings'!$B$6:$B$1387,A273,'Ratings'!$F$6:$F$1387,2)</x:f>
        <x:v>26</x:v>
      </x:c>
      <x:c r="E273" s="2" t="n">
        <x:f>COUNTIFS('Ratings'!$B$6:$B$1387,A273,'Ratings'!$F$6:$F$1387,1)</x:f>
        <x:v>6</x:v>
      </x:c>
      <x:c r="F273" s="2" t="n">
        <x:f>IF(B273&lt;=C273,3,IF(B273&lt;=C273+D273,2,IF(B273&lt;=C273+D273+E273,1,0)))</x:f>
        <x:v>2</x:v>
      </x:c>
      <x:c r="G273" s="2" t="n">
        <x:f>2^F273-1</x:f>
        <x:v>3</x:v>
      </x:c>
      <x:c r="H273" s="14" t="n">
        <x:f>G273/LOG(B273+1,2)</x:f>
        <x:v>0.9463946303571861</x:v>
      </x:c>
    </x:row>
    <x:row r="274" ht="22" customHeight="1">
      <x:c r="A274" s="2" t="str">
        <x:v>S29</x:v>
      </x:c>
      <x:c r="B274" s="2" t="n">
        <x:v>9</x:v>
      </x:c>
      <x:c r="C274" s="2" t="n">
        <x:f>COUNTIFS('Ratings'!$B$6:$B$1387,A274,'Ratings'!$F$6:$F$1387,3)</x:f>
        <x:v>3</x:v>
      </x:c>
      <x:c r="D274" s="2" t="n">
        <x:f>COUNTIFS('Ratings'!$B$6:$B$1387,A274,'Ratings'!$F$6:$F$1387,2)</x:f>
        <x:v>26</x:v>
      </x:c>
      <x:c r="E274" s="2" t="n">
        <x:f>COUNTIFS('Ratings'!$B$6:$B$1387,A274,'Ratings'!$F$6:$F$1387,1)</x:f>
        <x:v>6</x:v>
      </x:c>
      <x:c r="F274" s="2" t="n">
        <x:f>IF(B274&lt;=C274,3,IF(B274&lt;=C274+D274,2,IF(B274&lt;=C274+D274+E274,1,0)))</x:f>
        <x:v>2</x:v>
      </x:c>
      <x:c r="G274" s="2" t="n">
        <x:f>2^F274-1</x:f>
        <x:v>3</x:v>
      </x:c>
      <x:c r="H274" s="14" t="n">
        <x:f>G274/LOG(B274+1,2)</x:f>
        <x:v>0.9030899869919435</x:v>
      </x:c>
    </x:row>
    <x:row r="275" ht="22" customHeight="1">
      <x:c r="A275" s="2" t="str">
        <x:v>S29</x:v>
      </x:c>
      <x:c r="B275" s="2" t="n">
        <x:v>10</x:v>
      </x:c>
      <x:c r="C275" s="2" t="n">
        <x:f>COUNTIFS('Ratings'!$B$6:$B$1387,A275,'Ratings'!$F$6:$F$1387,3)</x:f>
        <x:v>3</x:v>
      </x:c>
      <x:c r="D275" s="2" t="n">
        <x:f>COUNTIFS('Ratings'!$B$6:$B$1387,A275,'Ratings'!$F$6:$F$1387,2)</x:f>
        <x:v>26</x:v>
      </x:c>
      <x:c r="E275" s="2" t="n">
        <x:f>COUNTIFS('Ratings'!$B$6:$B$1387,A275,'Ratings'!$F$6:$F$1387,1)</x:f>
        <x:v>6</x:v>
      </x:c>
      <x:c r="F275" s="2" t="n">
        <x:f>IF(B275&lt;=C275,3,IF(B275&lt;=C275+D275,2,IF(B275&lt;=C275+D275+E275,1,0)))</x:f>
        <x:v>2</x:v>
      </x:c>
      <x:c r="G275" s="2" t="n">
        <x:f>2^F275-1</x:f>
        <x:v>3</x:v>
      </x:c>
      <x:c r="H275" s="14" t="n">
        <x:f>G275/LOG(B275+1,2)</x:f>
        <x:v>0.8671944789536634</x:v>
      </x:c>
    </x:row>
    <x:row r="276" ht="22" customHeight="1">
      <x:c r="A276" s="2" t="str">
        <x:v>S30</x:v>
      </x:c>
      <x:c r="B276" s="2" t="n">
        <x:v>1</x:v>
      </x:c>
      <x:c r="C276" s="2" t="n">
        <x:f>COUNTIFS('Ratings'!$B$6:$B$1387,A276,'Ratings'!$F$6:$F$1387,3)</x:f>
        <x:v>15</x:v>
      </x:c>
      <x:c r="D276" s="2" t="n">
        <x:f>COUNTIFS('Ratings'!$B$6:$B$1387,A276,'Ratings'!$F$6:$F$1387,2)</x:f>
        <x:v>8</x:v>
      </x:c>
      <x:c r="E276" s="2" t="n">
        <x:f>COUNTIFS('Ratings'!$B$6:$B$1387,A276,'Ratings'!$F$6:$F$1387,1)</x:f>
        <x:v>6</x:v>
      </x:c>
      <x:c r="F276" s="2" t="n">
        <x:f>IF(B276&lt;=C276,3,IF(B276&lt;=C276+D276,2,IF(B276&lt;=C276+D276+E276,1,0)))</x:f>
        <x:v>3</x:v>
      </x:c>
      <x:c r="G276" s="2" t="n">
        <x:f>2^F276-1</x:f>
        <x:v>7</x:v>
      </x:c>
      <x:c r="H276" s="14" t="n">
        <x:f>G276/LOG(B276+1,2)</x:f>
        <x:v>7</x:v>
      </x:c>
    </x:row>
    <x:row r="277" ht="22" customHeight="1">
      <x:c r="A277" s="2" t="str">
        <x:v>S30</x:v>
      </x:c>
      <x:c r="B277" s="2" t="n">
        <x:v>2</x:v>
      </x:c>
      <x:c r="C277" s="2" t="n">
        <x:f>COUNTIFS('Ratings'!$B$6:$B$1387,A277,'Ratings'!$F$6:$F$1387,3)</x:f>
        <x:v>15</x:v>
      </x:c>
      <x:c r="D277" s="2" t="n">
        <x:f>COUNTIFS('Ratings'!$B$6:$B$1387,A277,'Ratings'!$F$6:$F$1387,2)</x:f>
        <x:v>8</x:v>
      </x:c>
      <x:c r="E277" s="2" t="n">
        <x:f>COUNTIFS('Ratings'!$B$6:$B$1387,A277,'Ratings'!$F$6:$F$1387,1)</x:f>
        <x:v>6</x:v>
      </x:c>
      <x:c r="F277" s="2" t="n">
        <x:f>IF(B277&lt;=C277,3,IF(B277&lt;=C277+D277,2,IF(B277&lt;=C277+D277+E277,1,0)))</x:f>
        <x:v>3</x:v>
      </x:c>
      <x:c r="G277" s="2" t="n">
        <x:f>2^F277-1</x:f>
        <x:v>7</x:v>
      </x:c>
      <x:c r="H277" s="14" t="n">
        <x:f>G277/LOG(B277+1,2)</x:f>
        <x:v>4.4165082750002025</x:v>
      </x:c>
    </x:row>
    <x:row r="278" ht="22" customHeight="1">
      <x:c r="A278" s="2" t="str">
        <x:v>S30</x:v>
      </x:c>
      <x:c r="B278" s="2" t="n">
        <x:v>3</x:v>
      </x:c>
      <x:c r="C278" s="2" t="n">
        <x:f>COUNTIFS('Ratings'!$B$6:$B$1387,A278,'Ratings'!$F$6:$F$1387,3)</x:f>
        <x:v>15</x:v>
      </x:c>
      <x:c r="D278" s="2" t="n">
        <x:f>COUNTIFS('Ratings'!$B$6:$B$1387,A278,'Ratings'!$F$6:$F$1387,2)</x:f>
        <x:v>8</x:v>
      </x:c>
      <x:c r="E278" s="2" t="n">
        <x:f>COUNTIFS('Ratings'!$B$6:$B$1387,A278,'Ratings'!$F$6:$F$1387,1)</x:f>
        <x:v>6</x:v>
      </x:c>
      <x:c r="F278" s="2" t="n">
        <x:f>IF(B278&lt;=C278,3,IF(B278&lt;=C278+D278,2,IF(B278&lt;=C278+D278+E278,1,0)))</x:f>
        <x:v>3</x:v>
      </x:c>
      <x:c r="G278" s="2" t="n">
        <x:f>2^F278-1</x:f>
        <x:v>7</x:v>
      </x:c>
      <x:c r="H278" s="14" t="n">
        <x:f>G278/LOG(B278+1,2)</x:f>
        <x:v>3.5</x:v>
      </x:c>
    </x:row>
    <x:row r="279" ht="22" customHeight="1">
      <x:c r="A279" s="2" t="str">
        <x:v>S30</x:v>
      </x:c>
      <x:c r="B279" s="2" t="n">
        <x:v>4</x:v>
      </x:c>
      <x:c r="C279" s="2" t="n">
        <x:f>COUNTIFS('Ratings'!$B$6:$B$1387,A279,'Ratings'!$F$6:$F$1387,3)</x:f>
        <x:v>15</x:v>
      </x:c>
      <x:c r="D279" s="2" t="n">
        <x:f>COUNTIFS('Ratings'!$B$6:$B$1387,A279,'Ratings'!$F$6:$F$1387,2)</x:f>
        <x:v>8</x:v>
      </x:c>
      <x:c r="E279" s="2" t="n">
        <x:f>COUNTIFS('Ratings'!$B$6:$B$1387,A279,'Ratings'!$F$6:$F$1387,1)</x:f>
        <x:v>6</x:v>
      </x:c>
      <x:c r="F279" s="2" t="n">
        <x:f>IF(B279&lt;=C279,3,IF(B279&lt;=C279+D279,2,IF(B279&lt;=C279+D279+E279,1,0)))</x:f>
        <x:v>3</x:v>
      </x:c>
      <x:c r="G279" s="2" t="n">
        <x:f>2^F279-1</x:f>
        <x:v>7</x:v>
      </x:c>
      <x:c r="H279" s="14" t="n">
        <x:f>G279/LOG(B279+1,2)</x:f>
        <x:v>3.0147359065137516</x:v>
      </x:c>
    </x:row>
    <x:row r="280" ht="22" customHeight="1">
      <x:c r="A280" s="2" t="str">
        <x:v>S30</x:v>
      </x:c>
      <x:c r="B280" s="2" t="n">
        <x:v>5</x:v>
      </x:c>
      <x:c r="C280" s="2" t="n">
        <x:f>COUNTIFS('Ratings'!$B$6:$B$1387,A280,'Ratings'!$F$6:$F$1387,3)</x:f>
        <x:v>15</x:v>
      </x:c>
      <x:c r="D280" s="2" t="n">
        <x:f>COUNTIFS('Ratings'!$B$6:$B$1387,A280,'Ratings'!$F$6:$F$1387,2)</x:f>
        <x:v>8</x:v>
      </x:c>
      <x:c r="E280" s="2" t="n">
        <x:f>COUNTIFS('Ratings'!$B$6:$B$1387,A280,'Ratings'!$F$6:$F$1387,1)</x:f>
        <x:v>6</x:v>
      </x:c>
      <x:c r="F280" s="2" t="n">
        <x:f>IF(B280&lt;=C280,3,IF(B280&lt;=C280+D280,2,IF(B280&lt;=C280+D280+E280,1,0)))</x:f>
        <x:v>3</x:v>
      </x:c>
      <x:c r="G280" s="2" t="n">
        <x:f>2^F280-1</x:f>
        <x:v>7</x:v>
      </x:c>
      <x:c r="H280" s="14" t="n">
        <x:f>G280/LOG(B280+1,2)</x:f>
        <x:v>2.7079696506417914</x:v>
      </x:c>
    </x:row>
    <x:row r="281" ht="22" customHeight="1">
      <x:c r="A281" s="2" t="str">
        <x:v>S30</x:v>
      </x:c>
      <x:c r="B281" s="2" t="n">
        <x:v>6</x:v>
      </x:c>
      <x:c r="C281" s="2" t="n">
        <x:f>COUNTIFS('Ratings'!$B$6:$B$1387,A281,'Ratings'!$F$6:$F$1387,3)</x:f>
        <x:v>15</x:v>
      </x:c>
      <x:c r="D281" s="2" t="n">
        <x:f>COUNTIFS('Ratings'!$B$6:$B$1387,A281,'Ratings'!$F$6:$F$1387,2)</x:f>
        <x:v>8</x:v>
      </x:c>
      <x:c r="E281" s="2" t="n">
        <x:f>COUNTIFS('Ratings'!$B$6:$B$1387,A281,'Ratings'!$F$6:$F$1387,1)</x:f>
        <x:v>6</x:v>
      </x:c>
      <x:c r="F281" s="2" t="n">
        <x:f>IF(B281&lt;=C281,3,IF(B281&lt;=C281+D281,2,IF(B281&lt;=C281+D281+E281,1,0)))</x:f>
        <x:v>3</x:v>
      </x:c>
      <x:c r="G281" s="2" t="n">
        <x:f>2^F281-1</x:f>
        <x:v>7</x:v>
      </x:c>
      <x:c r="H281" s="14" t="n">
        <x:f>G281/LOG(B281+1,2)</x:f>
        <x:v>2.493450309756155</x:v>
      </x:c>
    </x:row>
    <x:row r="282" ht="22" customHeight="1">
      <x:c r="A282" s="2" t="str">
        <x:v>S30</x:v>
      </x:c>
      <x:c r="B282" s="2" t="n">
        <x:v>7</x:v>
      </x:c>
      <x:c r="C282" s="2" t="n">
        <x:f>COUNTIFS('Ratings'!$B$6:$B$1387,A282,'Ratings'!$F$6:$F$1387,3)</x:f>
        <x:v>15</x:v>
      </x:c>
      <x:c r="D282" s="2" t="n">
        <x:f>COUNTIFS('Ratings'!$B$6:$B$1387,A282,'Ratings'!$F$6:$F$1387,2)</x:f>
        <x:v>8</x:v>
      </x:c>
      <x:c r="E282" s="2" t="n">
        <x:f>COUNTIFS('Ratings'!$B$6:$B$1387,A282,'Ratings'!$F$6:$F$1387,1)</x:f>
        <x:v>6</x:v>
      </x:c>
      <x:c r="F282" s="2" t="n">
        <x:f>IF(B282&lt;=C282,3,IF(B282&lt;=C282+D282,2,IF(B282&lt;=C282+D282+E282,1,0)))</x:f>
        <x:v>3</x:v>
      </x:c>
      <x:c r="G282" s="2" t="n">
        <x:f>2^F282-1</x:f>
        <x:v>7</x:v>
      </x:c>
      <x:c r="H282" s="14" t="n">
        <x:f>G282/LOG(B282+1,2)</x:f>
        <x:v>2.3333333333333335</x:v>
      </x:c>
    </x:row>
    <x:row r="283" ht="22" customHeight="1">
      <x:c r="A283" s="2" t="str">
        <x:v>S30</x:v>
      </x:c>
      <x:c r="B283" s="2" t="n">
        <x:v>8</x:v>
      </x:c>
      <x:c r="C283" s="2" t="n">
        <x:f>COUNTIFS('Ratings'!$B$6:$B$1387,A283,'Ratings'!$F$6:$F$1387,3)</x:f>
        <x:v>15</x:v>
      </x:c>
      <x:c r="D283" s="2" t="n">
        <x:f>COUNTIFS('Ratings'!$B$6:$B$1387,A283,'Ratings'!$F$6:$F$1387,2)</x:f>
        <x:v>8</x:v>
      </x:c>
      <x:c r="E283" s="2" t="n">
        <x:f>COUNTIFS('Ratings'!$B$6:$B$1387,A283,'Ratings'!$F$6:$F$1387,1)</x:f>
        <x:v>6</x:v>
      </x:c>
      <x:c r="F283" s="2" t="n">
        <x:f>IF(B283&lt;=C283,3,IF(B283&lt;=C283+D283,2,IF(B283&lt;=C283+D283+E283,1,0)))</x:f>
        <x:v>3</x:v>
      </x:c>
      <x:c r="G283" s="2" t="n">
        <x:f>2^F283-1</x:f>
        <x:v>7</x:v>
      </x:c>
      <x:c r="H283" s="14" t="n">
        <x:f>G283/LOG(B283+1,2)</x:f>
        <x:v>2.208254137500101</x:v>
      </x:c>
    </x:row>
    <x:row r="284" ht="22" customHeight="1">
      <x:c r="A284" s="2" t="str">
        <x:v>S30</x:v>
      </x:c>
      <x:c r="B284" s="2" t="n">
        <x:v>9</x:v>
      </x:c>
      <x:c r="C284" s="2" t="n">
        <x:f>COUNTIFS('Ratings'!$B$6:$B$1387,A284,'Ratings'!$F$6:$F$1387,3)</x:f>
        <x:v>15</x:v>
      </x:c>
      <x:c r="D284" s="2" t="n">
        <x:f>COUNTIFS('Ratings'!$B$6:$B$1387,A284,'Ratings'!$F$6:$F$1387,2)</x:f>
        <x:v>8</x:v>
      </x:c>
      <x:c r="E284" s="2" t="n">
        <x:f>COUNTIFS('Ratings'!$B$6:$B$1387,A284,'Ratings'!$F$6:$F$1387,1)</x:f>
        <x:v>6</x:v>
      </x:c>
      <x:c r="F284" s="2" t="n">
        <x:f>IF(B284&lt;=C284,3,IF(B284&lt;=C284+D284,2,IF(B284&lt;=C284+D284+E284,1,0)))</x:f>
        <x:v>3</x:v>
      </x:c>
      <x:c r="G284" s="2" t="n">
        <x:f>2^F284-1</x:f>
        <x:v>7</x:v>
      </x:c>
      <x:c r="H284" s="14" t="n">
        <x:f>G284/LOG(B284+1,2)</x:f>
        <x:v>2.1072099696478683</x:v>
      </x:c>
    </x:row>
    <x:row r="285" ht="22" customHeight="1">
      <x:c r="A285" s="2" t="str">
        <x:v>S30</x:v>
      </x:c>
      <x:c r="B285" s="2" t="n">
        <x:v>10</x:v>
      </x:c>
      <x:c r="C285" s="2" t="n">
        <x:f>COUNTIFS('Ratings'!$B$6:$B$1387,A285,'Ratings'!$F$6:$F$1387,3)</x:f>
        <x:v>15</x:v>
      </x:c>
      <x:c r="D285" s="2" t="n">
        <x:f>COUNTIFS('Ratings'!$B$6:$B$1387,A285,'Ratings'!$F$6:$F$1387,2)</x:f>
        <x:v>8</x:v>
      </x:c>
      <x:c r="E285" s="2" t="n">
        <x:f>COUNTIFS('Ratings'!$B$6:$B$1387,A285,'Ratings'!$F$6:$F$1387,1)</x:f>
        <x:v>6</x:v>
      </x:c>
      <x:c r="F285" s="2" t="n">
        <x:f>IF(B285&lt;=C285,3,IF(B285&lt;=C285+D285,2,IF(B285&lt;=C285+D285+E285,1,0)))</x:f>
        <x:v>3</x:v>
      </x:c>
      <x:c r="G285" s="2" t="n">
        <x:f>2^F285-1</x:f>
        <x:v>7</x:v>
      </x:c>
      <x:c r="H285" s="14" t="n">
        <x:f>G285/LOG(B285+1,2)</x:f>
        <x:v>2.023453784225215</x:v>
      </x:c>
    </x:row>
    <x:row r="286" ht="22" customHeight="1">
      <x:c r="A286" s="2" t="str">
        <x:v>S31</x:v>
      </x:c>
      <x:c r="B286" s="2" t="n">
        <x:v>1</x:v>
      </x:c>
      <x:c r="C286" s="2" t="n">
        <x:f>COUNTIFS('Ratings'!$B$6:$B$1387,A286,'Ratings'!$F$6:$F$1387,3)</x:f>
        <x:v>16</x:v>
      </x:c>
      <x:c r="D286" s="2" t="n">
        <x:f>COUNTIFS('Ratings'!$B$6:$B$1387,A286,'Ratings'!$F$6:$F$1387,2)</x:f>
        <x:v>8</x:v>
      </x:c>
      <x:c r="E286" s="2" t="n">
        <x:f>COUNTIFS('Ratings'!$B$6:$B$1387,A286,'Ratings'!$F$6:$F$1387,1)</x:f>
        <x:v>6</x:v>
      </x:c>
      <x:c r="F286" s="2" t="n">
        <x:f>IF(B286&lt;=C286,3,IF(B286&lt;=C286+D286,2,IF(B286&lt;=C286+D286+E286,1,0)))</x:f>
        <x:v>3</x:v>
      </x:c>
      <x:c r="G286" s="2" t="n">
        <x:f>2^F286-1</x:f>
        <x:v>7</x:v>
      </x:c>
      <x:c r="H286" s="14" t="n">
        <x:f>G286/LOG(B286+1,2)</x:f>
        <x:v>7</x:v>
      </x:c>
    </x:row>
    <x:row r="287" ht="22" customHeight="1">
      <x:c r="A287" s="2" t="str">
        <x:v>S31</x:v>
      </x:c>
      <x:c r="B287" s="2" t="n">
        <x:v>2</x:v>
      </x:c>
      <x:c r="C287" s="2" t="n">
        <x:f>COUNTIFS('Ratings'!$B$6:$B$1387,A287,'Ratings'!$F$6:$F$1387,3)</x:f>
        <x:v>16</x:v>
      </x:c>
      <x:c r="D287" s="2" t="n">
        <x:f>COUNTIFS('Ratings'!$B$6:$B$1387,A287,'Ratings'!$F$6:$F$1387,2)</x:f>
        <x:v>8</x:v>
      </x:c>
      <x:c r="E287" s="2" t="n">
        <x:f>COUNTIFS('Ratings'!$B$6:$B$1387,A287,'Ratings'!$F$6:$F$1387,1)</x:f>
        <x:v>6</x:v>
      </x:c>
      <x:c r="F287" s="2" t="n">
        <x:f>IF(B287&lt;=C287,3,IF(B287&lt;=C287+D287,2,IF(B287&lt;=C287+D287+E287,1,0)))</x:f>
        <x:v>3</x:v>
      </x:c>
      <x:c r="G287" s="2" t="n">
        <x:f>2^F287-1</x:f>
        <x:v>7</x:v>
      </x:c>
      <x:c r="H287" s="14" t="n">
        <x:f>G287/LOG(B287+1,2)</x:f>
        <x:v>4.4165082750002025</x:v>
      </x:c>
    </x:row>
    <x:row r="288" ht="22" customHeight="1">
      <x:c r="A288" s="2" t="str">
        <x:v>S31</x:v>
      </x:c>
      <x:c r="B288" s="2" t="n">
        <x:v>3</x:v>
      </x:c>
      <x:c r="C288" s="2" t="n">
        <x:f>COUNTIFS('Ratings'!$B$6:$B$1387,A288,'Ratings'!$F$6:$F$1387,3)</x:f>
        <x:v>16</x:v>
      </x:c>
      <x:c r="D288" s="2" t="n">
        <x:f>COUNTIFS('Ratings'!$B$6:$B$1387,A288,'Ratings'!$F$6:$F$1387,2)</x:f>
        <x:v>8</x:v>
      </x:c>
      <x:c r="E288" s="2" t="n">
        <x:f>COUNTIFS('Ratings'!$B$6:$B$1387,A288,'Ratings'!$F$6:$F$1387,1)</x:f>
        <x:v>6</x:v>
      </x:c>
      <x:c r="F288" s="2" t="n">
        <x:f>IF(B288&lt;=C288,3,IF(B288&lt;=C288+D288,2,IF(B288&lt;=C288+D288+E288,1,0)))</x:f>
        <x:v>3</x:v>
      </x:c>
      <x:c r="G288" s="2" t="n">
        <x:f>2^F288-1</x:f>
        <x:v>7</x:v>
      </x:c>
      <x:c r="H288" s="14" t="n">
        <x:f>G288/LOG(B288+1,2)</x:f>
        <x:v>3.5</x:v>
      </x:c>
    </x:row>
    <x:row r="289" ht="22" customHeight="1">
      <x:c r="A289" s="2" t="str">
        <x:v>S31</x:v>
      </x:c>
      <x:c r="B289" s="2" t="n">
        <x:v>4</x:v>
      </x:c>
      <x:c r="C289" s="2" t="n">
        <x:f>COUNTIFS('Ratings'!$B$6:$B$1387,A289,'Ratings'!$F$6:$F$1387,3)</x:f>
        <x:v>16</x:v>
      </x:c>
      <x:c r="D289" s="2" t="n">
        <x:f>COUNTIFS('Ratings'!$B$6:$B$1387,A289,'Ratings'!$F$6:$F$1387,2)</x:f>
        <x:v>8</x:v>
      </x:c>
      <x:c r="E289" s="2" t="n">
        <x:f>COUNTIFS('Ratings'!$B$6:$B$1387,A289,'Ratings'!$F$6:$F$1387,1)</x:f>
        <x:v>6</x:v>
      </x:c>
      <x:c r="F289" s="2" t="n">
        <x:f>IF(B289&lt;=C289,3,IF(B289&lt;=C289+D289,2,IF(B289&lt;=C289+D289+E289,1,0)))</x:f>
        <x:v>3</x:v>
      </x:c>
      <x:c r="G289" s="2" t="n">
        <x:f>2^F289-1</x:f>
        <x:v>7</x:v>
      </x:c>
      <x:c r="H289" s="14" t="n">
        <x:f>G289/LOG(B289+1,2)</x:f>
        <x:v>3.0147359065137516</x:v>
      </x:c>
    </x:row>
    <x:row r="290" ht="22" customHeight="1">
      <x:c r="A290" s="2" t="str">
        <x:v>S31</x:v>
      </x:c>
      <x:c r="B290" s="2" t="n">
        <x:v>5</x:v>
      </x:c>
      <x:c r="C290" s="2" t="n">
        <x:f>COUNTIFS('Ratings'!$B$6:$B$1387,A290,'Ratings'!$F$6:$F$1387,3)</x:f>
        <x:v>16</x:v>
      </x:c>
      <x:c r="D290" s="2" t="n">
        <x:f>COUNTIFS('Ratings'!$B$6:$B$1387,A290,'Ratings'!$F$6:$F$1387,2)</x:f>
        <x:v>8</x:v>
      </x:c>
      <x:c r="E290" s="2" t="n">
        <x:f>COUNTIFS('Ratings'!$B$6:$B$1387,A290,'Ratings'!$F$6:$F$1387,1)</x:f>
        <x:v>6</x:v>
      </x:c>
      <x:c r="F290" s="2" t="n">
        <x:f>IF(B290&lt;=C290,3,IF(B290&lt;=C290+D290,2,IF(B290&lt;=C290+D290+E290,1,0)))</x:f>
        <x:v>3</x:v>
      </x:c>
      <x:c r="G290" s="2" t="n">
        <x:f>2^F290-1</x:f>
        <x:v>7</x:v>
      </x:c>
      <x:c r="H290" s="14" t="n">
        <x:f>G290/LOG(B290+1,2)</x:f>
        <x:v>2.7079696506417914</x:v>
      </x:c>
    </x:row>
    <x:row r="291" ht="22" customHeight="1">
      <x:c r="A291" s="2" t="str">
        <x:v>S31</x:v>
      </x:c>
      <x:c r="B291" s="2" t="n">
        <x:v>6</x:v>
      </x:c>
      <x:c r="C291" s="2" t="n">
        <x:f>COUNTIFS('Ratings'!$B$6:$B$1387,A291,'Ratings'!$F$6:$F$1387,3)</x:f>
        <x:v>16</x:v>
      </x:c>
      <x:c r="D291" s="2" t="n">
        <x:f>COUNTIFS('Ratings'!$B$6:$B$1387,A291,'Ratings'!$F$6:$F$1387,2)</x:f>
        <x:v>8</x:v>
      </x:c>
      <x:c r="E291" s="2" t="n">
        <x:f>COUNTIFS('Ratings'!$B$6:$B$1387,A291,'Ratings'!$F$6:$F$1387,1)</x:f>
        <x:v>6</x:v>
      </x:c>
      <x:c r="F291" s="2" t="n">
        <x:f>IF(B291&lt;=C291,3,IF(B291&lt;=C291+D291,2,IF(B291&lt;=C291+D291+E291,1,0)))</x:f>
        <x:v>3</x:v>
      </x:c>
      <x:c r="G291" s="2" t="n">
        <x:f>2^F291-1</x:f>
        <x:v>7</x:v>
      </x:c>
      <x:c r="H291" s="14" t="n">
        <x:f>G291/LOG(B291+1,2)</x:f>
        <x:v>2.493450309756155</x:v>
      </x:c>
    </x:row>
    <x:row r="292" ht="22" customHeight="1">
      <x:c r="A292" s="2" t="str">
        <x:v>S31</x:v>
      </x:c>
      <x:c r="B292" s="2" t="n">
        <x:v>7</x:v>
      </x:c>
      <x:c r="C292" s="2" t="n">
        <x:f>COUNTIFS('Ratings'!$B$6:$B$1387,A292,'Ratings'!$F$6:$F$1387,3)</x:f>
        <x:v>16</x:v>
      </x:c>
      <x:c r="D292" s="2" t="n">
        <x:f>COUNTIFS('Ratings'!$B$6:$B$1387,A292,'Ratings'!$F$6:$F$1387,2)</x:f>
        <x:v>8</x:v>
      </x:c>
      <x:c r="E292" s="2" t="n">
        <x:f>COUNTIFS('Ratings'!$B$6:$B$1387,A292,'Ratings'!$F$6:$F$1387,1)</x:f>
        <x:v>6</x:v>
      </x:c>
      <x:c r="F292" s="2" t="n">
        <x:f>IF(B292&lt;=C292,3,IF(B292&lt;=C292+D292,2,IF(B292&lt;=C292+D292+E292,1,0)))</x:f>
        <x:v>3</x:v>
      </x:c>
      <x:c r="G292" s="2" t="n">
        <x:f>2^F292-1</x:f>
        <x:v>7</x:v>
      </x:c>
      <x:c r="H292" s="14" t="n">
        <x:f>G292/LOG(B292+1,2)</x:f>
        <x:v>2.3333333333333335</x:v>
      </x:c>
    </x:row>
    <x:row r="293" ht="22" customHeight="1">
      <x:c r="A293" s="2" t="str">
        <x:v>S31</x:v>
      </x:c>
      <x:c r="B293" s="2" t="n">
        <x:v>8</x:v>
      </x:c>
      <x:c r="C293" s="2" t="n">
        <x:f>COUNTIFS('Ratings'!$B$6:$B$1387,A293,'Ratings'!$F$6:$F$1387,3)</x:f>
        <x:v>16</x:v>
      </x:c>
      <x:c r="D293" s="2" t="n">
        <x:f>COUNTIFS('Ratings'!$B$6:$B$1387,A293,'Ratings'!$F$6:$F$1387,2)</x:f>
        <x:v>8</x:v>
      </x:c>
      <x:c r="E293" s="2" t="n">
        <x:f>COUNTIFS('Ratings'!$B$6:$B$1387,A293,'Ratings'!$F$6:$F$1387,1)</x:f>
        <x:v>6</x:v>
      </x:c>
      <x:c r="F293" s="2" t="n">
        <x:f>IF(B293&lt;=C293,3,IF(B293&lt;=C293+D293,2,IF(B293&lt;=C293+D293+E293,1,0)))</x:f>
        <x:v>3</x:v>
      </x:c>
      <x:c r="G293" s="2" t="n">
        <x:f>2^F293-1</x:f>
        <x:v>7</x:v>
      </x:c>
      <x:c r="H293" s="14" t="n">
        <x:f>G293/LOG(B293+1,2)</x:f>
        <x:v>2.208254137500101</x:v>
      </x:c>
    </x:row>
    <x:row r="294" ht="22" customHeight="1">
      <x:c r="A294" s="2" t="str">
        <x:v>S31</x:v>
      </x:c>
      <x:c r="B294" s="2" t="n">
        <x:v>9</x:v>
      </x:c>
      <x:c r="C294" s="2" t="n">
        <x:f>COUNTIFS('Ratings'!$B$6:$B$1387,A294,'Ratings'!$F$6:$F$1387,3)</x:f>
        <x:v>16</x:v>
      </x:c>
      <x:c r="D294" s="2" t="n">
        <x:f>COUNTIFS('Ratings'!$B$6:$B$1387,A294,'Ratings'!$F$6:$F$1387,2)</x:f>
        <x:v>8</x:v>
      </x:c>
      <x:c r="E294" s="2" t="n">
        <x:f>COUNTIFS('Ratings'!$B$6:$B$1387,A294,'Ratings'!$F$6:$F$1387,1)</x:f>
        <x:v>6</x:v>
      </x:c>
      <x:c r="F294" s="2" t="n">
        <x:f>IF(B294&lt;=C294,3,IF(B294&lt;=C294+D294,2,IF(B294&lt;=C294+D294+E294,1,0)))</x:f>
        <x:v>3</x:v>
      </x:c>
      <x:c r="G294" s="2" t="n">
        <x:f>2^F294-1</x:f>
        <x:v>7</x:v>
      </x:c>
      <x:c r="H294" s="14" t="n">
        <x:f>G294/LOG(B294+1,2)</x:f>
        <x:v>2.1072099696478683</x:v>
      </x:c>
    </x:row>
    <x:row r="295" ht="22" customHeight="1">
      <x:c r="A295" s="2" t="str">
        <x:v>S31</x:v>
      </x:c>
      <x:c r="B295" s="2" t="n">
        <x:v>10</x:v>
      </x:c>
      <x:c r="C295" s="2" t="n">
        <x:f>COUNTIFS('Ratings'!$B$6:$B$1387,A295,'Ratings'!$F$6:$F$1387,3)</x:f>
        <x:v>16</x:v>
      </x:c>
      <x:c r="D295" s="2" t="n">
        <x:f>COUNTIFS('Ratings'!$B$6:$B$1387,A295,'Ratings'!$F$6:$F$1387,2)</x:f>
        <x:v>8</x:v>
      </x:c>
      <x:c r="E295" s="2" t="n">
        <x:f>COUNTIFS('Ratings'!$B$6:$B$1387,A295,'Ratings'!$F$6:$F$1387,1)</x:f>
        <x:v>6</x:v>
      </x:c>
      <x:c r="F295" s="2" t="n">
        <x:f>IF(B295&lt;=C295,3,IF(B295&lt;=C295+D295,2,IF(B295&lt;=C295+D295+E295,1,0)))</x:f>
        <x:v>3</x:v>
      </x:c>
      <x:c r="G295" s="2" t="n">
        <x:f>2^F295-1</x:f>
        <x:v>7</x:v>
      </x:c>
      <x:c r="H295" s="14" t="n">
        <x:f>G295/LOG(B295+1,2)</x:f>
        <x:v>2.023453784225215</x:v>
      </x:c>
    </x:row>
    <x:row r="296" ht="22" customHeight="1">
      <x:c r="A296" s="2" t="str">
        <x:v>S32</x:v>
      </x:c>
      <x:c r="B296" s="2" t="n">
        <x:v>1</x:v>
      </x:c>
      <x:c r="C296" s="2" t="n">
        <x:f>COUNTIFS('Ratings'!$B$6:$B$1387,A296,'Ratings'!$F$6:$F$1387,3)</x:f>
        <x:v>15</x:v>
      </x:c>
      <x:c r="D296" s="2" t="n">
        <x:f>COUNTIFS('Ratings'!$B$6:$B$1387,A296,'Ratings'!$F$6:$F$1387,2)</x:f>
        <x:v>8</x:v>
      </x:c>
      <x:c r="E296" s="2" t="n">
        <x:f>COUNTIFS('Ratings'!$B$6:$B$1387,A296,'Ratings'!$F$6:$F$1387,1)</x:f>
        <x:v>6</x:v>
      </x:c>
      <x:c r="F296" s="2" t="n">
        <x:f>IF(B296&lt;=C296,3,IF(B296&lt;=C296+D296,2,IF(B296&lt;=C296+D296+E296,1,0)))</x:f>
        <x:v>3</x:v>
      </x:c>
      <x:c r="G296" s="2" t="n">
        <x:f>2^F296-1</x:f>
        <x:v>7</x:v>
      </x:c>
      <x:c r="H296" s="14" t="n">
        <x:f>G296/LOG(B296+1,2)</x:f>
        <x:v>7</x:v>
      </x:c>
    </x:row>
    <x:row r="297" ht="22" customHeight="1">
      <x:c r="A297" s="2" t="str">
        <x:v>S32</x:v>
      </x:c>
      <x:c r="B297" s="2" t="n">
        <x:v>2</x:v>
      </x:c>
      <x:c r="C297" s="2" t="n">
        <x:f>COUNTIFS('Ratings'!$B$6:$B$1387,A297,'Ratings'!$F$6:$F$1387,3)</x:f>
        <x:v>15</x:v>
      </x:c>
      <x:c r="D297" s="2" t="n">
        <x:f>COUNTIFS('Ratings'!$B$6:$B$1387,A297,'Ratings'!$F$6:$F$1387,2)</x:f>
        <x:v>8</x:v>
      </x:c>
      <x:c r="E297" s="2" t="n">
        <x:f>COUNTIFS('Ratings'!$B$6:$B$1387,A297,'Ratings'!$F$6:$F$1387,1)</x:f>
        <x:v>6</x:v>
      </x:c>
      <x:c r="F297" s="2" t="n">
        <x:f>IF(B297&lt;=C297,3,IF(B297&lt;=C297+D297,2,IF(B297&lt;=C297+D297+E297,1,0)))</x:f>
        <x:v>3</x:v>
      </x:c>
      <x:c r="G297" s="2" t="n">
        <x:f>2^F297-1</x:f>
        <x:v>7</x:v>
      </x:c>
      <x:c r="H297" s="14" t="n">
        <x:f>G297/LOG(B297+1,2)</x:f>
        <x:v>4.4165082750002025</x:v>
      </x:c>
    </x:row>
    <x:row r="298" ht="22" customHeight="1">
      <x:c r="A298" s="2" t="str">
        <x:v>S32</x:v>
      </x:c>
      <x:c r="B298" s="2" t="n">
        <x:v>3</x:v>
      </x:c>
      <x:c r="C298" s="2" t="n">
        <x:f>COUNTIFS('Ratings'!$B$6:$B$1387,A298,'Ratings'!$F$6:$F$1387,3)</x:f>
        <x:v>15</x:v>
      </x:c>
      <x:c r="D298" s="2" t="n">
        <x:f>COUNTIFS('Ratings'!$B$6:$B$1387,A298,'Ratings'!$F$6:$F$1387,2)</x:f>
        <x:v>8</x:v>
      </x:c>
      <x:c r="E298" s="2" t="n">
        <x:f>COUNTIFS('Ratings'!$B$6:$B$1387,A298,'Ratings'!$F$6:$F$1387,1)</x:f>
        <x:v>6</x:v>
      </x:c>
      <x:c r="F298" s="2" t="n">
        <x:f>IF(B298&lt;=C298,3,IF(B298&lt;=C298+D298,2,IF(B298&lt;=C298+D298+E298,1,0)))</x:f>
        <x:v>3</x:v>
      </x:c>
      <x:c r="G298" s="2" t="n">
        <x:f>2^F298-1</x:f>
        <x:v>7</x:v>
      </x:c>
      <x:c r="H298" s="14" t="n">
        <x:f>G298/LOG(B298+1,2)</x:f>
        <x:v>3.5</x:v>
      </x:c>
    </x:row>
    <x:row r="299" ht="22" customHeight="1">
      <x:c r="A299" s="2" t="str">
        <x:v>S32</x:v>
      </x:c>
      <x:c r="B299" s="2" t="n">
        <x:v>4</x:v>
      </x:c>
      <x:c r="C299" s="2" t="n">
        <x:f>COUNTIFS('Ratings'!$B$6:$B$1387,A299,'Ratings'!$F$6:$F$1387,3)</x:f>
        <x:v>15</x:v>
      </x:c>
      <x:c r="D299" s="2" t="n">
        <x:f>COUNTIFS('Ratings'!$B$6:$B$1387,A299,'Ratings'!$F$6:$F$1387,2)</x:f>
        <x:v>8</x:v>
      </x:c>
      <x:c r="E299" s="2" t="n">
        <x:f>COUNTIFS('Ratings'!$B$6:$B$1387,A299,'Ratings'!$F$6:$F$1387,1)</x:f>
        <x:v>6</x:v>
      </x:c>
      <x:c r="F299" s="2" t="n">
        <x:f>IF(B299&lt;=C299,3,IF(B299&lt;=C299+D299,2,IF(B299&lt;=C299+D299+E299,1,0)))</x:f>
        <x:v>3</x:v>
      </x:c>
      <x:c r="G299" s="2" t="n">
        <x:f>2^F299-1</x:f>
        <x:v>7</x:v>
      </x:c>
      <x:c r="H299" s="14" t="n">
        <x:f>G299/LOG(B299+1,2)</x:f>
        <x:v>3.0147359065137516</x:v>
      </x:c>
    </x:row>
    <x:row r="300" ht="22" customHeight="1">
      <x:c r="A300" s="2" t="str">
        <x:v>S32</x:v>
      </x:c>
      <x:c r="B300" s="2" t="n">
        <x:v>5</x:v>
      </x:c>
      <x:c r="C300" s="2" t="n">
        <x:f>COUNTIFS('Ratings'!$B$6:$B$1387,A300,'Ratings'!$F$6:$F$1387,3)</x:f>
        <x:v>15</x:v>
      </x:c>
      <x:c r="D300" s="2" t="n">
        <x:f>COUNTIFS('Ratings'!$B$6:$B$1387,A300,'Ratings'!$F$6:$F$1387,2)</x:f>
        <x:v>8</x:v>
      </x:c>
      <x:c r="E300" s="2" t="n">
        <x:f>COUNTIFS('Ratings'!$B$6:$B$1387,A300,'Ratings'!$F$6:$F$1387,1)</x:f>
        <x:v>6</x:v>
      </x:c>
      <x:c r="F300" s="2" t="n">
        <x:f>IF(B300&lt;=C300,3,IF(B300&lt;=C300+D300,2,IF(B300&lt;=C300+D300+E300,1,0)))</x:f>
        <x:v>3</x:v>
      </x:c>
      <x:c r="G300" s="2" t="n">
        <x:f>2^F300-1</x:f>
        <x:v>7</x:v>
      </x:c>
      <x:c r="H300" s="14" t="n">
        <x:f>G300/LOG(B300+1,2)</x:f>
        <x:v>2.7079696506417914</x:v>
      </x:c>
    </x:row>
    <x:row r="301" ht="22" customHeight="1">
      <x:c r="A301" s="2" t="str">
        <x:v>S32</x:v>
      </x:c>
      <x:c r="B301" s="2" t="n">
        <x:v>6</x:v>
      </x:c>
      <x:c r="C301" s="2" t="n">
        <x:f>COUNTIFS('Ratings'!$B$6:$B$1387,A301,'Ratings'!$F$6:$F$1387,3)</x:f>
        <x:v>15</x:v>
      </x:c>
      <x:c r="D301" s="2" t="n">
        <x:f>COUNTIFS('Ratings'!$B$6:$B$1387,A301,'Ratings'!$F$6:$F$1387,2)</x:f>
        <x:v>8</x:v>
      </x:c>
      <x:c r="E301" s="2" t="n">
        <x:f>COUNTIFS('Ratings'!$B$6:$B$1387,A301,'Ratings'!$F$6:$F$1387,1)</x:f>
        <x:v>6</x:v>
      </x:c>
      <x:c r="F301" s="2" t="n">
        <x:f>IF(B301&lt;=C301,3,IF(B301&lt;=C301+D301,2,IF(B301&lt;=C301+D301+E301,1,0)))</x:f>
        <x:v>3</x:v>
      </x:c>
      <x:c r="G301" s="2" t="n">
        <x:f>2^F301-1</x:f>
        <x:v>7</x:v>
      </x:c>
      <x:c r="H301" s="14" t="n">
        <x:f>G301/LOG(B301+1,2)</x:f>
        <x:v>2.493450309756155</x:v>
      </x:c>
    </x:row>
    <x:row r="302" ht="22" customHeight="1">
      <x:c r="A302" s="2" t="str">
        <x:v>S32</x:v>
      </x:c>
      <x:c r="B302" s="2" t="n">
        <x:v>7</x:v>
      </x:c>
      <x:c r="C302" s="2" t="n">
        <x:f>COUNTIFS('Ratings'!$B$6:$B$1387,A302,'Ratings'!$F$6:$F$1387,3)</x:f>
        <x:v>15</x:v>
      </x:c>
      <x:c r="D302" s="2" t="n">
        <x:f>COUNTIFS('Ratings'!$B$6:$B$1387,A302,'Ratings'!$F$6:$F$1387,2)</x:f>
        <x:v>8</x:v>
      </x:c>
      <x:c r="E302" s="2" t="n">
        <x:f>COUNTIFS('Ratings'!$B$6:$B$1387,A302,'Ratings'!$F$6:$F$1387,1)</x:f>
        <x:v>6</x:v>
      </x:c>
      <x:c r="F302" s="2" t="n">
        <x:f>IF(B302&lt;=C302,3,IF(B302&lt;=C302+D302,2,IF(B302&lt;=C302+D302+E302,1,0)))</x:f>
        <x:v>3</x:v>
      </x:c>
      <x:c r="G302" s="2" t="n">
        <x:f>2^F302-1</x:f>
        <x:v>7</x:v>
      </x:c>
      <x:c r="H302" s="14" t="n">
        <x:f>G302/LOG(B302+1,2)</x:f>
        <x:v>2.3333333333333335</x:v>
      </x:c>
    </x:row>
    <x:row r="303" ht="22" customHeight="1">
      <x:c r="A303" s="2" t="str">
        <x:v>S32</x:v>
      </x:c>
      <x:c r="B303" s="2" t="n">
        <x:v>8</x:v>
      </x:c>
      <x:c r="C303" s="2" t="n">
        <x:f>COUNTIFS('Ratings'!$B$6:$B$1387,A303,'Ratings'!$F$6:$F$1387,3)</x:f>
        <x:v>15</x:v>
      </x:c>
      <x:c r="D303" s="2" t="n">
        <x:f>COUNTIFS('Ratings'!$B$6:$B$1387,A303,'Ratings'!$F$6:$F$1387,2)</x:f>
        <x:v>8</x:v>
      </x:c>
      <x:c r="E303" s="2" t="n">
        <x:f>COUNTIFS('Ratings'!$B$6:$B$1387,A303,'Ratings'!$F$6:$F$1387,1)</x:f>
        <x:v>6</x:v>
      </x:c>
      <x:c r="F303" s="2" t="n">
        <x:f>IF(B303&lt;=C303,3,IF(B303&lt;=C303+D303,2,IF(B303&lt;=C303+D303+E303,1,0)))</x:f>
        <x:v>3</x:v>
      </x:c>
      <x:c r="G303" s="2" t="n">
        <x:f>2^F303-1</x:f>
        <x:v>7</x:v>
      </x:c>
      <x:c r="H303" s="14" t="n">
        <x:f>G303/LOG(B303+1,2)</x:f>
        <x:v>2.208254137500101</x:v>
      </x:c>
    </x:row>
    <x:row r="304" ht="22" customHeight="1">
      <x:c r="A304" s="2" t="str">
        <x:v>S32</x:v>
      </x:c>
      <x:c r="B304" s="2" t="n">
        <x:v>9</x:v>
      </x:c>
      <x:c r="C304" s="2" t="n">
        <x:f>COUNTIFS('Ratings'!$B$6:$B$1387,A304,'Ratings'!$F$6:$F$1387,3)</x:f>
        <x:v>15</x:v>
      </x:c>
      <x:c r="D304" s="2" t="n">
        <x:f>COUNTIFS('Ratings'!$B$6:$B$1387,A304,'Ratings'!$F$6:$F$1387,2)</x:f>
        <x:v>8</x:v>
      </x:c>
      <x:c r="E304" s="2" t="n">
        <x:f>COUNTIFS('Ratings'!$B$6:$B$1387,A304,'Ratings'!$F$6:$F$1387,1)</x:f>
        <x:v>6</x:v>
      </x:c>
      <x:c r="F304" s="2" t="n">
        <x:f>IF(B304&lt;=C304,3,IF(B304&lt;=C304+D304,2,IF(B304&lt;=C304+D304+E304,1,0)))</x:f>
        <x:v>3</x:v>
      </x:c>
      <x:c r="G304" s="2" t="n">
        <x:f>2^F304-1</x:f>
        <x:v>7</x:v>
      </x:c>
      <x:c r="H304" s="14" t="n">
        <x:f>G304/LOG(B304+1,2)</x:f>
        <x:v>2.1072099696478683</x:v>
      </x:c>
    </x:row>
    <x:row r="305" ht="22" customHeight="1">
      <x:c r="A305" s="2" t="str">
        <x:v>S32</x:v>
      </x:c>
      <x:c r="B305" s="2" t="n">
        <x:v>10</x:v>
      </x:c>
      <x:c r="C305" s="2" t="n">
        <x:f>COUNTIFS('Ratings'!$B$6:$B$1387,A305,'Ratings'!$F$6:$F$1387,3)</x:f>
        <x:v>15</x:v>
      </x:c>
      <x:c r="D305" s="2" t="n">
        <x:f>COUNTIFS('Ratings'!$B$6:$B$1387,A305,'Ratings'!$F$6:$F$1387,2)</x:f>
        <x:v>8</x:v>
      </x:c>
      <x:c r="E305" s="2" t="n">
        <x:f>COUNTIFS('Ratings'!$B$6:$B$1387,A305,'Ratings'!$F$6:$F$1387,1)</x:f>
        <x:v>6</x:v>
      </x:c>
      <x:c r="F305" s="2" t="n">
        <x:f>IF(B305&lt;=C305,3,IF(B305&lt;=C305+D305,2,IF(B305&lt;=C305+D305+E305,1,0)))</x:f>
        <x:v>3</x:v>
      </x:c>
      <x:c r="G305" s="2" t="n">
        <x:f>2^F305-1</x:f>
        <x:v>7</x:v>
      </x:c>
      <x:c r="H305" s="14" t="n">
        <x:f>G305/LOG(B305+1,2)</x:f>
        <x:v>2.023453784225215</x:v>
      </x:c>
    </x:row>
    <x:row r="306" ht="22" customHeight="1">
      <x:c r="A306" s="2" t="str">
        <x:v>S33</x:v>
      </x:c>
      <x:c r="B306" s="2" t="n">
        <x:v>1</x:v>
      </x:c>
      <x:c r="C306" s="2" t="n">
        <x:f>COUNTIFS('Ratings'!$B$6:$B$1387,A306,'Ratings'!$F$6:$F$1387,3)</x:f>
        <x:v>0</x:v>
      </x:c>
      <x:c r="D306" s="2" t="n">
        <x:f>COUNTIFS('Ratings'!$B$6:$B$1387,A306,'Ratings'!$F$6:$F$1387,2)</x:f>
        <x:v>1</x:v>
      </x:c>
      <x:c r="E306" s="2" t="n">
        <x:f>COUNTIFS('Ratings'!$B$6:$B$1387,A306,'Ratings'!$F$6:$F$1387,1)</x:f>
        <x:v>2</x:v>
      </x:c>
      <x:c r="F306" s="2" t="n">
        <x:f>IF(B306&lt;=C306,3,IF(B306&lt;=C306+D306,2,IF(B306&lt;=C306+D306+E306,1,0)))</x:f>
        <x:v>2</x:v>
      </x:c>
      <x:c r="G306" s="2" t="n">
        <x:f>2^F306-1</x:f>
        <x:v>3</x:v>
      </x:c>
      <x:c r="H306" s="14" t="n">
        <x:f>G306/LOG(B306+1,2)</x:f>
        <x:v>3</x:v>
      </x:c>
    </x:row>
    <x:row r="307" ht="22" customHeight="1">
      <x:c r="A307" s="2" t="str">
        <x:v>S33</x:v>
      </x:c>
      <x:c r="B307" s="2" t="n">
        <x:v>2</x:v>
      </x:c>
      <x:c r="C307" s="2" t="n">
        <x:f>COUNTIFS('Ratings'!$B$6:$B$1387,A307,'Ratings'!$F$6:$F$1387,3)</x:f>
        <x:v>0</x:v>
      </x:c>
      <x:c r="D307" s="2" t="n">
        <x:f>COUNTIFS('Ratings'!$B$6:$B$1387,A307,'Ratings'!$F$6:$F$1387,2)</x:f>
        <x:v>1</x:v>
      </x:c>
      <x:c r="E307" s="2" t="n">
        <x:f>COUNTIFS('Ratings'!$B$6:$B$1387,A307,'Ratings'!$F$6:$F$1387,1)</x:f>
        <x:v>2</x:v>
      </x:c>
      <x:c r="F307" s="2" t="n">
        <x:f>IF(B307&lt;=C307,3,IF(B307&lt;=C307+D307,2,IF(B307&lt;=C307+D307+E307,1,0)))</x:f>
        <x:v>1</x:v>
      </x:c>
      <x:c r="G307" s="2" t="n">
        <x:f>2^F307-1</x:f>
        <x:v>1</x:v>
      </x:c>
      <x:c r="H307" s="14" t="n">
        <x:f>G307/LOG(B307+1,2)</x:f>
        <x:v>0.6309297535714575</x:v>
      </x:c>
    </x:row>
    <x:row r="308" ht="22" customHeight="1">
      <x:c r="A308" s="2" t="str">
        <x:v>S33</x:v>
      </x:c>
      <x:c r="B308" s="2" t="n">
        <x:v>3</x:v>
      </x:c>
      <x:c r="C308" s="2" t="n">
        <x:f>COUNTIFS('Ratings'!$B$6:$B$1387,A308,'Ratings'!$F$6:$F$1387,3)</x:f>
        <x:v>0</x:v>
      </x:c>
      <x:c r="D308" s="2" t="n">
        <x:f>COUNTIFS('Ratings'!$B$6:$B$1387,A308,'Ratings'!$F$6:$F$1387,2)</x:f>
        <x:v>1</x:v>
      </x:c>
      <x:c r="E308" s="2" t="n">
        <x:f>COUNTIFS('Ratings'!$B$6:$B$1387,A308,'Ratings'!$F$6:$F$1387,1)</x:f>
        <x:v>2</x:v>
      </x:c>
      <x:c r="F308" s="2" t="n">
        <x:f>IF(B308&lt;=C308,3,IF(B308&lt;=C308+D308,2,IF(B308&lt;=C308+D308+E308,1,0)))</x:f>
        <x:v>1</x:v>
      </x:c>
      <x:c r="G308" s="2" t="n">
        <x:f>2^F308-1</x:f>
        <x:v>1</x:v>
      </x:c>
      <x:c r="H308" s="14" t="n">
        <x:f>G308/LOG(B308+1,2)</x:f>
        <x:v>0.5</x:v>
      </x:c>
    </x:row>
    <x:row r="309" ht="22" customHeight="1">
      <x:c r="A309" s="2" t="str">
        <x:v>S33</x:v>
      </x:c>
      <x:c r="B309" s="2" t="n">
        <x:v>4</x:v>
      </x:c>
      <x:c r="C309" s="2" t="n">
        <x:f>COUNTIFS('Ratings'!$B$6:$B$1387,A309,'Ratings'!$F$6:$F$1387,3)</x:f>
        <x:v>0</x:v>
      </x:c>
      <x:c r="D309" s="2" t="n">
        <x:f>COUNTIFS('Ratings'!$B$6:$B$1387,A309,'Ratings'!$F$6:$F$1387,2)</x:f>
        <x:v>1</x:v>
      </x:c>
      <x:c r="E309" s="2" t="n">
        <x:f>COUNTIFS('Ratings'!$B$6:$B$1387,A309,'Ratings'!$F$6:$F$1387,1)</x:f>
        <x:v>2</x:v>
      </x:c>
      <x:c r="F309" s="2" t="n">
        <x:f>IF(B309&lt;=C309,3,IF(B309&lt;=C309+D309,2,IF(B309&lt;=C309+D309+E309,1,0)))</x:f>
        <x:v>0</x:v>
      </x:c>
      <x:c r="G309" s="2" t="n">
        <x:f>2^F309-1</x:f>
        <x:v>0</x:v>
      </x:c>
      <x:c r="H309" s="14" t="n">
        <x:f>G309/LOG(B309+1,2)</x:f>
        <x:v>0</x:v>
      </x:c>
    </x:row>
    <x:row r="310" ht="22" customHeight="1">
      <x:c r="A310" s="2" t="str">
        <x:v>S33</x:v>
      </x:c>
      <x:c r="B310" s="2" t="n">
        <x:v>5</x:v>
      </x:c>
      <x:c r="C310" s="2" t="n">
        <x:f>COUNTIFS('Ratings'!$B$6:$B$1387,A310,'Ratings'!$F$6:$F$1387,3)</x:f>
        <x:v>0</x:v>
      </x:c>
      <x:c r="D310" s="2" t="n">
        <x:f>COUNTIFS('Ratings'!$B$6:$B$1387,A310,'Ratings'!$F$6:$F$1387,2)</x:f>
        <x:v>1</x:v>
      </x:c>
      <x:c r="E310" s="2" t="n">
        <x:f>COUNTIFS('Ratings'!$B$6:$B$1387,A310,'Ratings'!$F$6:$F$1387,1)</x:f>
        <x:v>2</x:v>
      </x:c>
      <x:c r="F310" s="2" t="n">
        <x:f>IF(B310&lt;=C310,3,IF(B310&lt;=C310+D310,2,IF(B310&lt;=C310+D310+E310,1,0)))</x:f>
        <x:v>0</x:v>
      </x:c>
      <x:c r="G310" s="2" t="n">
        <x:f>2^F310-1</x:f>
        <x:v>0</x:v>
      </x:c>
      <x:c r="H310" s="14" t="n">
        <x:f>G310/LOG(B310+1,2)</x:f>
        <x:v>0</x:v>
      </x:c>
    </x:row>
    <x:row r="311" ht="22" customHeight="1">
      <x:c r="A311" s="2" t="str">
        <x:v>S33</x:v>
      </x:c>
      <x:c r="B311" s="2" t="n">
        <x:v>6</x:v>
      </x:c>
      <x:c r="C311" s="2" t="n">
        <x:f>COUNTIFS('Ratings'!$B$6:$B$1387,A311,'Ratings'!$F$6:$F$1387,3)</x:f>
        <x:v>0</x:v>
      </x:c>
      <x:c r="D311" s="2" t="n">
        <x:f>COUNTIFS('Ratings'!$B$6:$B$1387,A311,'Ratings'!$F$6:$F$1387,2)</x:f>
        <x:v>1</x:v>
      </x:c>
      <x:c r="E311" s="2" t="n">
        <x:f>COUNTIFS('Ratings'!$B$6:$B$1387,A311,'Ratings'!$F$6:$F$1387,1)</x:f>
        <x:v>2</x:v>
      </x:c>
      <x:c r="F311" s="2" t="n">
        <x:f>IF(B311&lt;=C311,3,IF(B311&lt;=C311+D311,2,IF(B311&lt;=C311+D311+E311,1,0)))</x:f>
        <x:v>0</x:v>
      </x:c>
      <x:c r="G311" s="2" t="n">
        <x:f>2^F311-1</x:f>
        <x:v>0</x:v>
      </x:c>
      <x:c r="H311" s="14" t="n">
        <x:f>G311/LOG(B311+1,2)</x:f>
        <x:v>0</x:v>
      </x:c>
    </x:row>
    <x:row r="312" ht="22" customHeight="1">
      <x:c r="A312" s="2" t="str">
        <x:v>S33</x:v>
      </x:c>
      <x:c r="B312" s="2" t="n">
        <x:v>7</x:v>
      </x:c>
      <x:c r="C312" s="2" t="n">
        <x:f>COUNTIFS('Ratings'!$B$6:$B$1387,A312,'Ratings'!$F$6:$F$1387,3)</x:f>
        <x:v>0</x:v>
      </x:c>
      <x:c r="D312" s="2" t="n">
        <x:f>COUNTIFS('Ratings'!$B$6:$B$1387,A312,'Ratings'!$F$6:$F$1387,2)</x:f>
        <x:v>1</x:v>
      </x:c>
      <x:c r="E312" s="2" t="n">
        <x:f>COUNTIFS('Ratings'!$B$6:$B$1387,A312,'Ratings'!$F$6:$F$1387,1)</x:f>
        <x:v>2</x:v>
      </x:c>
      <x:c r="F312" s="2" t="n">
        <x:f>IF(B312&lt;=C312,3,IF(B312&lt;=C312+D312,2,IF(B312&lt;=C312+D312+E312,1,0)))</x:f>
        <x:v>0</x:v>
      </x:c>
      <x:c r="G312" s="2" t="n">
        <x:f>2^F312-1</x:f>
        <x:v>0</x:v>
      </x:c>
      <x:c r="H312" s="14" t="n">
        <x:f>G312/LOG(B312+1,2)</x:f>
        <x:v>0</x:v>
      </x:c>
    </x:row>
    <x:row r="313" ht="22" customHeight="1">
      <x:c r="A313" s="2" t="str">
        <x:v>S33</x:v>
      </x:c>
      <x:c r="B313" s="2" t="n">
        <x:v>8</x:v>
      </x:c>
      <x:c r="C313" s="2" t="n">
        <x:f>COUNTIFS('Ratings'!$B$6:$B$1387,A313,'Ratings'!$F$6:$F$1387,3)</x:f>
        <x:v>0</x:v>
      </x:c>
      <x:c r="D313" s="2" t="n">
        <x:f>COUNTIFS('Ratings'!$B$6:$B$1387,A313,'Ratings'!$F$6:$F$1387,2)</x:f>
        <x:v>1</x:v>
      </x:c>
      <x:c r="E313" s="2" t="n">
        <x:f>COUNTIFS('Ratings'!$B$6:$B$1387,A313,'Ratings'!$F$6:$F$1387,1)</x:f>
        <x:v>2</x:v>
      </x:c>
      <x:c r="F313" s="2" t="n">
        <x:f>IF(B313&lt;=C313,3,IF(B313&lt;=C313+D313,2,IF(B313&lt;=C313+D313+E313,1,0)))</x:f>
        <x:v>0</x:v>
      </x:c>
      <x:c r="G313" s="2" t="n">
        <x:f>2^F313-1</x:f>
        <x:v>0</x:v>
      </x:c>
      <x:c r="H313" s="14" t="n">
        <x:f>G313/LOG(B313+1,2)</x:f>
        <x:v>0</x:v>
      </x:c>
    </x:row>
    <x:row r="314" ht="22" customHeight="1">
      <x:c r="A314" s="2" t="str">
        <x:v>S33</x:v>
      </x:c>
      <x:c r="B314" s="2" t="n">
        <x:v>9</x:v>
      </x:c>
      <x:c r="C314" s="2" t="n">
        <x:f>COUNTIFS('Ratings'!$B$6:$B$1387,A314,'Ratings'!$F$6:$F$1387,3)</x:f>
        <x:v>0</x:v>
      </x:c>
      <x:c r="D314" s="2" t="n">
        <x:f>COUNTIFS('Ratings'!$B$6:$B$1387,A314,'Ratings'!$F$6:$F$1387,2)</x:f>
        <x:v>1</x:v>
      </x:c>
      <x:c r="E314" s="2" t="n">
        <x:f>COUNTIFS('Ratings'!$B$6:$B$1387,A314,'Ratings'!$F$6:$F$1387,1)</x:f>
        <x:v>2</x:v>
      </x:c>
      <x:c r="F314" s="2" t="n">
        <x:f>IF(B314&lt;=C314,3,IF(B314&lt;=C314+D314,2,IF(B314&lt;=C314+D314+E314,1,0)))</x:f>
        <x:v>0</x:v>
      </x:c>
      <x:c r="G314" s="2" t="n">
        <x:f>2^F314-1</x:f>
        <x:v>0</x:v>
      </x:c>
      <x:c r="H314" s="14" t="n">
        <x:f>G314/LOG(B314+1,2)</x:f>
        <x:v>0</x:v>
      </x:c>
    </x:row>
    <x:row r="315" ht="22" customHeight="1">
      <x:c r="A315" s="2" t="str">
        <x:v>S33</x:v>
      </x:c>
      <x:c r="B315" s="2" t="n">
        <x:v>10</x:v>
      </x:c>
      <x:c r="C315" s="2" t="n">
        <x:f>COUNTIFS('Ratings'!$B$6:$B$1387,A315,'Ratings'!$F$6:$F$1387,3)</x:f>
        <x:v>0</x:v>
      </x:c>
      <x:c r="D315" s="2" t="n">
        <x:f>COUNTIFS('Ratings'!$B$6:$B$1387,A315,'Ratings'!$F$6:$F$1387,2)</x:f>
        <x:v>1</x:v>
      </x:c>
      <x:c r="E315" s="2" t="n">
        <x:f>COUNTIFS('Ratings'!$B$6:$B$1387,A315,'Ratings'!$F$6:$F$1387,1)</x:f>
        <x:v>2</x:v>
      </x:c>
      <x:c r="F315" s="2" t="n">
        <x:f>IF(B315&lt;=C315,3,IF(B315&lt;=C315+D315,2,IF(B315&lt;=C315+D315+E315,1,0)))</x:f>
        <x:v>0</x:v>
      </x:c>
      <x:c r="G315" s="2" t="n">
        <x:f>2^F315-1</x:f>
        <x:v>0</x:v>
      </x:c>
      <x:c r="H315" s="14" t="n">
        <x:f>G315/LOG(B315+1,2)</x:f>
        <x:v>0</x:v>
      </x:c>
    </x:row>
    <x:row r="316" ht="22" customHeight="1">
      <x:c r="A316" s="2" t="str">
        <x:v>S35</x:v>
      </x:c>
      <x:c r="B316" s="2" t="n">
        <x:v>1</x:v>
      </x:c>
      <x:c r="C316" s="2" t="n">
        <x:f>COUNTIFS('Ratings'!$B$6:$B$1387,A316,'Ratings'!$F$6:$F$1387,3)</x:f>
        <x:v>1</x:v>
      </x:c>
      <x:c r="D316" s="2" t="n">
        <x:f>COUNTIFS('Ratings'!$B$6:$B$1387,A316,'Ratings'!$F$6:$F$1387,2)</x:f>
        <x:v>0</x:v>
      </x:c>
      <x:c r="E316" s="2" t="n">
        <x:f>COUNTIFS('Ratings'!$B$6:$B$1387,A316,'Ratings'!$F$6:$F$1387,1)</x:f>
        <x:v>1</x:v>
      </x:c>
      <x:c r="F316" s="2" t="n">
        <x:f>IF(B316&lt;=C316,3,IF(B316&lt;=C316+D316,2,IF(B316&lt;=C316+D316+E316,1,0)))</x:f>
        <x:v>3</x:v>
      </x:c>
      <x:c r="G316" s="2" t="n">
        <x:f>2^F316-1</x:f>
        <x:v>7</x:v>
      </x:c>
      <x:c r="H316" s="14" t="n">
        <x:f>G316/LOG(B316+1,2)</x:f>
        <x:v>7</x:v>
      </x:c>
    </x:row>
    <x:row r="317" ht="22" customHeight="1">
      <x:c r="A317" s="2" t="str">
        <x:v>S35</x:v>
      </x:c>
      <x:c r="B317" s="2" t="n">
        <x:v>2</x:v>
      </x:c>
      <x:c r="C317" s="2" t="n">
        <x:f>COUNTIFS('Ratings'!$B$6:$B$1387,A317,'Ratings'!$F$6:$F$1387,3)</x:f>
        <x:v>1</x:v>
      </x:c>
      <x:c r="D317" s="2" t="n">
        <x:f>COUNTIFS('Ratings'!$B$6:$B$1387,A317,'Ratings'!$F$6:$F$1387,2)</x:f>
        <x:v>0</x:v>
      </x:c>
      <x:c r="E317" s="2" t="n">
        <x:f>COUNTIFS('Ratings'!$B$6:$B$1387,A317,'Ratings'!$F$6:$F$1387,1)</x:f>
        <x:v>1</x:v>
      </x:c>
      <x:c r="F317" s="2" t="n">
        <x:f>IF(B317&lt;=C317,3,IF(B317&lt;=C317+D317,2,IF(B317&lt;=C317+D317+E317,1,0)))</x:f>
        <x:v>1</x:v>
      </x:c>
      <x:c r="G317" s="2" t="n">
        <x:f>2^F317-1</x:f>
        <x:v>1</x:v>
      </x:c>
      <x:c r="H317" s="14" t="n">
        <x:f>G317/LOG(B317+1,2)</x:f>
        <x:v>0.6309297535714575</x:v>
      </x:c>
    </x:row>
    <x:row r="318" ht="22" customHeight="1">
      <x:c r="A318" s="2" t="str">
        <x:v>S35</x:v>
      </x:c>
      <x:c r="B318" s="2" t="n">
        <x:v>3</x:v>
      </x:c>
      <x:c r="C318" s="2" t="n">
        <x:f>COUNTIFS('Ratings'!$B$6:$B$1387,A318,'Ratings'!$F$6:$F$1387,3)</x:f>
        <x:v>1</x:v>
      </x:c>
      <x:c r="D318" s="2" t="n">
        <x:f>COUNTIFS('Ratings'!$B$6:$B$1387,A318,'Ratings'!$F$6:$F$1387,2)</x:f>
        <x:v>0</x:v>
      </x:c>
      <x:c r="E318" s="2" t="n">
        <x:f>COUNTIFS('Ratings'!$B$6:$B$1387,A318,'Ratings'!$F$6:$F$1387,1)</x:f>
        <x:v>1</x:v>
      </x:c>
      <x:c r="F318" s="2" t="n">
        <x:f>IF(B318&lt;=C318,3,IF(B318&lt;=C318+D318,2,IF(B318&lt;=C318+D318+E318,1,0)))</x:f>
        <x:v>0</x:v>
      </x:c>
      <x:c r="G318" s="2" t="n">
        <x:f>2^F318-1</x:f>
        <x:v>0</x:v>
      </x:c>
      <x:c r="H318" s="14" t="n">
        <x:f>G318/LOG(B318+1,2)</x:f>
        <x:v>0</x:v>
      </x:c>
    </x:row>
    <x:row r="319" ht="22" customHeight="1">
      <x:c r="A319" s="2" t="str">
        <x:v>S35</x:v>
      </x:c>
      <x:c r="B319" s="2" t="n">
        <x:v>4</x:v>
      </x:c>
      <x:c r="C319" s="2" t="n">
        <x:f>COUNTIFS('Ratings'!$B$6:$B$1387,A319,'Ratings'!$F$6:$F$1387,3)</x:f>
        <x:v>1</x:v>
      </x:c>
      <x:c r="D319" s="2" t="n">
        <x:f>COUNTIFS('Ratings'!$B$6:$B$1387,A319,'Ratings'!$F$6:$F$1387,2)</x:f>
        <x:v>0</x:v>
      </x:c>
      <x:c r="E319" s="2" t="n">
        <x:f>COUNTIFS('Ratings'!$B$6:$B$1387,A319,'Ratings'!$F$6:$F$1387,1)</x:f>
        <x:v>1</x:v>
      </x:c>
      <x:c r="F319" s="2" t="n">
        <x:f>IF(B319&lt;=C319,3,IF(B319&lt;=C319+D319,2,IF(B319&lt;=C319+D319+E319,1,0)))</x:f>
        <x:v>0</x:v>
      </x:c>
      <x:c r="G319" s="2" t="n">
        <x:f>2^F319-1</x:f>
        <x:v>0</x:v>
      </x:c>
      <x:c r="H319" s="14" t="n">
        <x:f>G319/LOG(B319+1,2)</x:f>
        <x:v>0</x:v>
      </x:c>
    </x:row>
    <x:row r="320" ht="22" customHeight="1">
      <x:c r="A320" s="2" t="str">
        <x:v>S35</x:v>
      </x:c>
      <x:c r="B320" s="2" t="n">
        <x:v>5</x:v>
      </x:c>
      <x:c r="C320" s="2" t="n">
        <x:f>COUNTIFS('Ratings'!$B$6:$B$1387,A320,'Ratings'!$F$6:$F$1387,3)</x:f>
        <x:v>1</x:v>
      </x:c>
      <x:c r="D320" s="2" t="n">
        <x:f>COUNTIFS('Ratings'!$B$6:$B$1387,A320,'Ratings'!$F$6:$F$1387,2)</x:f>
        <x:v>0</x:v>
      </x:c>
      <x:c r="E320" s="2" t="n">
        <x:f>COUNTIFS('Ratings'!$B$6:$B$1387,A320,'Ratings'!$F$6:$F$1387,1)</x:f>
        <x:v>1</x:v>
      </x:c>
      <x:c r="F320" s="2" t="n">
        <x:f>IF(B320&lt;=C320,3,IF(B320&lt;=C320+D320,2,IF(B320&lt;=C320+D320+E320,1,0)))</x:f>
        <x:v>0</x:v>
      </x:c>
      <x:c r="G320" s="2" t="n">
        <x:f>2^F320-1</x:f>
        <x:v>0</x:v>
      </x:c>
      <x:c r="H320" s="14" t="n">
        <x:f>G320/LOG(B320+1,2)</x:f>
        <x:v>0</x:v>
      </x:c>
    </x:row>
    <x:row r="321" ht="22" customHeight="1">
      <x:c r="A321" s="2" t="str">
        <x:v>S35</x:v>
      </x:c>
      <x:c r="B321" s="2" t="n">
        <x:v>6</x:v>
      </x:c>
      <x:c r="C321" s="2" t="n">
        <x:f>COUNTIFS('Ratings'!$B$6:$B$1387,A321,'Ratings'!$F$6:$F$1387,3)</x:f>
        <x:v>1</x:v>
      </x:c>
      <x:c r="D321" s="2" t="n">
        <x:f>COUNTIFS('Ratings'!$B$6:$B$1387,A321,'Ratings'!$F$6:$F$1387,2)</x:f>
        <x:v>0</x:v>
      </x:c>
      <x:c r="E321" s="2" t="n">
        <x:f>COUNTIFS('Ratings'!$B$6:$B$1387,A321,'Ratings'!$F$6:$F$1387,1)</x:f>
        <x:v>1</x:v>
      </x:c>
      <x:c r="F321" s="2" t="n">
        <x:f>IF(B321&lt;=C321,3,IF(B321&lt;=C321+D321,2,IF(B321&lt;=C321+D321+E321,1,0)))</x:f>
        <x:v>0</x:v>
      </x:c>
      <x:c r="G321" s="2" t="n">
        <x:f>2^F321-1</x:f>
        <x:v>0</x:v>
      </x:c>
      <x:c r="H321" s="14" t="n">
        <x:f>G321/LOG(B321+1,2)</x:f>
        <x:v>0</x:v>
      </x:c>
    </x:row>
    <x:row r="322" ht="22" customHeight="1">
      <x:c r="A322" s="2" t="str">
        <x:v>S35</x:v>
      </x:c>
      <x:c r="B322" s="2" t="n">
        <x:v>7</x:v>
      </x:c>
      <x:c r="C322" s="2" t="n">
        <x:f>COUNTIFS('Ratings'!$B$6:$B$1387,A322,'Ratings'!$F$6:$F$1387,3)</x:f>
        <x:v>1</x:v>
      </x:c>
      <x:c r="D322" s="2" t="n">
        <x:f>COUNTIFS('Ratings'!$B$6:$B$1387,A322,'Ratings'!$F$6:$F$1387,2)</x:f>
        <x:v>0</x:v>
      </x:c>
      <x:c r="E322" s="2" t="n">
        <x:f>COUNTIFS('Ratings'!$B$6:$B$1387,A322,'Ratings'!$F$6:$F$1387,1)</x:f>
        <x:v>1</x:v>
      </x:c>
      <x:c r="F322" s="2" t="n">
        <x:f>IF(B322&lt;=C322,3,IF(B322&lt;=C322+D322,2,IF(B322&lt;=C322+D322+E322,1,0)))</x:f>
        <x:v>0</x:v>
      </x:c>
      <x:c r="G322" s="2" t="n">
        <x:f>2^F322-1</x:f>
        <x:v>0</x:v>
      </x:c>
      <x:c r="H322" s="14" t="n">
        <x:f>G322/LOG(B322+1,2)</x:f>
        <x:v>0</x:v>
      </x:c>
    </x:row>
    <x:row r="323" ht="22" customHeight="1">
      <x:c r="A323" s="2" t="str">
        <x:v>S35</x:v>
      </x:c>
      <x:c r="B323" s="2" t="n">
        <x:v>8</x:v>
      </x:c>
      <x:c r="C323" s="2" t="n">
        <x:f>COUNTIFS('Ratings'!$B$6:$B$1387,A323,'Ratings'!$F$6:$F$1387,3)</x:f>
        <x:v>1</x:v>
      </x:c>
      <x:c r="D323" s="2" t="n">
        <x:f>COUNTIFS('Ratings'!$B$6:$B$1387,A323,'Ratings'!$F$6:$F$1387,2)</x:f>
        <x:v>0</x:v>
      </x:c>
      <x:c r="E323" s="2" t="n">
        <x:f>COUNTIFS('Ratings'!$B$6:$B$1387,A323,'Ratings'!$F$6:$F$1387,1)</x:f>
        <x:v>1</x:v>
      </x:c>
      <x:c r="F323" s="2" t="n">
        <x:f>IF(B323&lt;=C323,3,IF(B323&lt;=C323+D323,2,IF(B323&lt;=C323+D323+E323,1,0)))</x:f>
        <x:v>0</x:v>
      </x:c>
      <x:c r="G323" s="2" t="n">
        <x:f>2^F323-1</x:f>
        <x:v>0</x:v>
      </x:c>
      <x:c r="H323" s="14" t="n">
        <x:f>G323/LOG(B323+1,2)</x:f>
        <x:v>0</x:v>
      </x:c>
    </x:row>
    <x:row r="324" ht="22" customHeight="1">
      <x:c r="A324" s="2" t="str">
        <x:v>S35</x:v>
      </x:c>
      <x:c r="B324" s="2" t="n">
        <x:v>9</x:v>
      </x:c>
      <x:c r="C324" s="2" t="n">
        <x:f>COUNTIFS('Ratings'!$B$6:$B$1387,A324,'Ratings'!$F$6:$F$1387,3)</x:f>
        <x:v>1</x:v>
      </x:c>
      <x:c r="D324" s="2" t="n">
        <x:f>COUNTIFS('Ratings'!$B$6:$B$1387,A324,'Ratings'!$F$6:$F$1387,2)</x:f>
        <x:v>0</x:v>
      </x:c>
      <x:c r="E324" s="2" t="n">
        <x:f>COUNTIFS('Ratings'!$B$6:$B$1387,A324,'Ratings'!$F$6:$F$1387,1)</x:f>
        <x:v>1</x:v>
      </x:c>
      <x:c r="F324" s="2" t="n">
        <x:f>IF(B324&lt;=C324,3,IF(B324&lt;=C324+D324,2,IF(B324&lt;=C324+D324+E324,1,0)))</x:f>
        <x:v>0</x:v>
      </x:c>
      <x:c r="G324" s="2" t="n">
        <x:f>2^F324-1</x:f>
        <x:v>0</x:v>
      </x:c>
      <x:c r="H324" s="14" t="n">
        <x:f>G324/LOG(B324+1,2)</x:f>
        <x:v>0</x:v>
      </x:c>
    </x:row>
    <x:row r="325" ht="22" customHeight="1">
      <x:c r="A325" s="2" t="str">
        <x:v>S35</x:v>
      </x:c>
      <x:c r="B325" s="2" t="n">
        <x:v>10</x:v>
      </x:c>
      <x:c r="C325" s="2" t="n">
        <x:f>COUNTIFS('Ratings'!$B$6:$B$1387,A325,'Ratings'!$F$6:$F$1387,3)</x:f>
        <x:v>1</x:v>
      </x:c>
      <x:c r="D325" s="2" t="n">
        <x:f>COUNTIFS('Ratings'!$B$6:$B$1387,A325,'Ratings'!$F$6:$F$1387,2)</x:f>
        <x:v>0</x:v>
      </x:c>
      <x:c r="E325" s="2" t="n">
        <x:f>COUNTIFS('Ratings'!$B$6:$B$1387,A325,'Ratings'!$F$6:$F$1387,1)</x:f>
        <x:v>1</x:v>
      </x:c>
      <x:c r="F325" s="2" t="n">
        <x:f>IF(B325&lt;=C325,3,IF(B325&lt;=C325+D325,2,IF(B325&lt;=C325+D325+E325,1,0)))</x:f>
        <x:v>0</x:v>
      </x:c>
      <x:c r="G325" s="2" t="n">
        <x:f>2^F325-1</x:f>
        <x:v>0</x:v>
      </x:c>
      <x:c r="H325" s="14" t="n">
        <x:f>G325/LOG(B325+1,2)</x:f>
        <x:v>0</x:v>
      </x:c>
    </x:row>
    <x:row r="326" ht="22" customHeight="1">
      <x:c r="A326" s="2" t="str">
        <x:v>S37</x:v>
      </x:c>
      <x:c r="B326" s="2" t="n">
        <x:v>1</x:v>
      </x:c>
      <x:c r="C326" s="2" t="n">
        <x:f>COUNTIFS('Ratings'!$B$6:$B$1387,A326,'Ratings'!$F$6:$F$1387,3)</x:f>
        <x:v>2</x:v>
      </x:c>
      <x:c r="D326" s="2" t="n">
        <x:f>COUNTIFS('Ratings'!$B$6:$B$1387,A326,'Ratings'!$F$6:$F$1387,2)</x:f>
        <x:v>15</x:v>
      </x:c>
      <x:c r="E326" s="2" t="n">
        <x:f>COUNTIFS('Ratings'!$B$6:$B$1387,A326,'Ratings'!$F$6:$F$1387,1)</x:f>
        <x:v>6</x:v>
      </x:c>
      <x:c r="F326" s="2" t="n">
        <x:f>IF(B326&lt;=C326,3,IF(B326&lt;=C326+D326,2,IF(B326&lt;=C326+D326+E326,1,0)))</x:f>
        <x:v>3</x:v>
      </x:c>
      <x:c r="G326" s="2" t="n">
        <x:f>2^F326-1</x:f>
        <x:v>7</x:v>
      </x:c>
      <x:c r="H326" s="14" t="n">
        <x:f>G326/LOG(B326+1,2)</x:f>
        <x:v>7</x:v>
      </x:c>
    </x:row>
    <x:row r="327" ht="22" customHeight="1">
      <x:c r="A327" s="2" t="str">
        <x:v>S37</x:v>
      </x:c>
      <x:c r="B327" s="2" t="n">
        <x:v>2</x:v>
      </x:c>
      <x:c r="C327" s="2" t="n">
        <x:f>COUNTIFS('Ratings'!$B$6:$B$1387,A327,'Ratings'!$F$6:$F$1387,3)</x:f>
        <x:v>2</x:v>
      </x:c>
      <x:c r="D327" s="2" t="n">
        <x:f>COUNTIFS('Ratings'!$B$6:$B$1387,A327,'Ratings'!$F$6:$F$1387,2)</x:f>
        <x:v>15</x:v>
      </x:c>
      <x:c r="E327" s="2" t="n">
        <x:f>COUNTIFS('Ratings'!$B$6:$B$1387,A327,'Ratings'!$F$6:$F$1387,1)</x:f>
        <x:v>6</x:v>
      </x:c>
      <x:c r="F327" s="2" t="n">
        <x:f>IF(B327&lt;=C327,3,IF(B327&lt;=C327+D327,2,IF(B327&lt;=C327+D327+E327,1,0)))</x:f>
        <x:v>3</x:v>
      </x:c>
      <x:c r="G327" s="2" t="n">
        <x:f>2^F327-1</x:f>
        <x:v>7</x:v>
      </x:c>
      <x:c r="H327" s="14" t="n">
        <x:f>G327/LOG(B327+1,2)</x:f>
        <x:v>4.4165082750002025</x:v>
      </x:c>
    </x:row>
    <x:row r="328" ht="22" customHeight="1">
      <x:c r="A328" s="2" t="str">
        <x:v>S37</x:v>
      </x:c>
      <x:c r="B328" s="2" t="n">
        <x:v>3</x:v>
      </x:c>
      <x:c r="C328" s="2" t="n">
        <x:f>COUNTIFS('Ratings'!$B$6:$B$1387,A328,'Ratings'!$F$6:$F$1387,3)</x:f>
        <x:v>2</x:v>
      </x:c>
      <x:c r="D328" s="2" t="n">
        <x:f>COUNTIFS('Ratings'!$B$6:$B$1387,A328,'Ratings'!$F$6:$F$1387,2)</x:f>
        <x:v>15</x:v>
      </x:c>
      <x:c r="E328" s="2" t="n">
        <x:f>COUNTIFS('Ratings'!$B$6:$B$1387,A328,'Ratings'!$F$6:$F$1387,1)</x:f>
        <x:v>6</x:v>
      </x:c>
      <x:c r="F328" s="2" t="n">
        <x:f>IF(B328&lt;=C328,3,IF(B328&lt;=C328+D328,2,IF(B328&lt;=C328+D328+E328,1,0)))</x:f>
        <x:v>2</x:v>
      </x:c>
      <x:c r="G328" s="2" t="n">
        <x:f>2^F328-1</x:f>
        <x:v>3</x:v>
      </x:c>
      <x:c r="H328" s="14" t="n">
        <x:f>G328/LOG(B328+1,2)</x:f>
        <x:v>1.5</x:v>
      </x:c>
    </x:row>
    <x:row r="329" ht="22" customHeight="1">
      <x:c r="A329" s="2" t="str">
        <x:v>S37</x:v>
      </x:c>
      <x:c r="B329" s="2" t="n">
        <x:v>4</x:v>
      </x:c>
      <x:c r="C329" s="2" t="n">
        <x:f>COUNTIFS('Ratings'!$B$6:$B$1387,A329,'Ratings'!$F$6:$F$1387,3)</x:f>
        <x:v>2</x:v>
      </x:c>
      <x:c r="D329" s="2" t="n">
        <x:f>COUNTIFS('Ratings'!$B$6:$B$1387,A329,'Ratings'!$F$6:$F$1387,2)</x:f>
        <x:v>15</x:v>
      </x:c>
      <x:c r="E329" s="2" t="n">
        <x:f>COUNTIFS('Ratings'!$B$6:$B$1387,A329,'Ratings'!$F$6:$F$1387,1)</x:f>
        <x:v>6</x:v>
      </x:c>
      <x:c r="F329" s="2" t="n">
        <x:f>IF(B329&lt;=C329,3,IF(B329&lt;=C329+D329,2,IF(B329&lt;=C329+D329+E329,1,0)))</x:f>
        <x:v>2</x:v>
      </x:c>
      <x:c r="G329" s="2" t="n">
        <x:f>2^F329-1</x:f>
        <x:v>3</x:v>
      </x:c>
      <x:c r="H329" s="14" t="n">
        <x:f>G329/LOG(B329+1,2)</x:f>
        <x:v>1.2920296742201793</x:v>
      </x:c>
    </x:row>
    <x:row r="330" ht="22" customHeight="1">
      <x:c r="A330" s="2" t="str">
        <x:v>S37</x:v>
      </x:c>
      <x:c r="B330" s="2" t="n">
        <x:v>5</x:v>
      </x:c>
      <x:c r="C330" s="2" t="n">
        <x:f>COUNTIFS('Ratings'!$B$6:$B$1387,A330,'Ratings'!$F$6:$F$1387,3)</x:f>
        <x:v>2</x:v>
      </x:c>
      <x:c r="D330" s="2" t="n">
        <x:f>COUNTIFS('Ratings'!$B$6:$B$1387,A330,'Ratings'!$F$6:$F$1387,2)</x:f>
        <x:v>15</x:v>
      </x:c>
      <x:c r="E330" s="2" t="n">
        <x:f>COUNTIFS('Ratings'!$B$6:$B$1387,A330,'Ratings'!$F$6:$F$1387,1)</x:f>
        <x:v>6</x:v>
      </x:c>
      <x:c r="F330" s="2" t="n">
        <x:f>IF(B330&lt;=C330,3,IF(B330&lt;=C330+D330,2,IF(B330&lt;=C330+D330+E330,1,0)))</x:f>
        <x:v>2</x:v>
      </x:c>
      <x:c r="G330" s="2" t="n">
        <x:f>2^F330-1</x:f>
        <x:v>3</x:v>
      </x:c>
      <x:c r="H330" s="14" t="n">
        <x:f>G330/LOG(B330+1,2)</x:f>
        <x:v>1.1605584217036249</x:v>
      </x:c>
    </x:row>
    <x:row r="331" ht="22" customHeight="1">
      <x:c r="A331" s="2" t="str">
        <x:v>S37</x:v>
      </x:c>
      <x:c r="B331" s="2" t="n">
        <x:v>6</x:v>
      </x:c>
      <x:c r="C331" s="2" t="n">
        <x:f>COUNTIFS('Ratings'!$B$6:$B$1387,A331,'Ratings'!$F$6:$F$1387,3)</x:f>
        <x:v>2</x:v>
      </x:c>
      <x:c r="D331" s="2" t="n">
        <x:f>COUNTIFS('Ratings'!$B$6:$B$1387,A331,'Ratings'!$F$6:$F$1387,2)</x:f>
        <x:v>15</x:v>
      </x:c>
      <x:c r="E331" s="2" t="n">
        <x:f>COUNTIFS('Ratings'!$B$6:$B$1387,A331,'Ratings'!$F$6:$F$1387,1)</x:f>
        <x:v>6</x:v>
      </x:c>
      <x:c r="F331" s="2" t="n">
        <x:f>IF(B331&lt;=C331,3,IF(B331&lt;=C331+D331,2,IF(B331&lt;=C331+D331+E331,1,0)))</x:f>
        <x:v>2</x:v>
      </x:c>
      <x:c r="G331" s="2" t="n">
        <x:f>2^F331-1</x:f>
        <x:v>3</x:v>
      </x:c>
      <x:c r="H331" s="14" t="n">
        <x:f>G331/LOG(B331+1,2)</x:f>
        <x:v>1.0686215613240666</x:v>
      </x:c>
    </x:row>
    <x:row r="332" ht="22" customHeight="1">
      <x:c r="A332" s="2" t="str">
        <x:v>S37</x:v>
      </x:c>
      <x:c r="B332" s="2" t="n">
        <x:v>7</x:v>
      </x:c>
      <x:c r="C332" s="2" t="n">
        <x:f>COUNTIFS('Ratings'!$B$6:$B$1387,A332,'Ratings'!$F$6:$F$1387,3)</x:f>
        <x:v>2</x:v>
      </x:c>
      <x:c r="D332" s="2" t="n">
        <x:f>COUNTIFS('Ratings'!$B$6:$B$1387,A332,'Ratings'!$F$6:$F$1387,2)</x:f>
        <x:v>15</x:v>
      </x:c>
      <x:c r="E332" s="2" t="n">
        <x:f>COUNTIFS('Ratings'!$B$6:$B$1387,A332,'Ratings'!$F$6:$F$1387,1)</x:f>
        <x:v>6</x:v>
      </x:c>
      <x:c r="F332" s="2" t="n">
        <x:f>IF(B332&lt;=C332,3,IF(B332&lt;=C332+D332,2,IF(B332&lt;=C332+D332+E332,1,0)))</x:f>
        <x:v>2</x:v>
      </x:c>
      <x:c r="G332" s="2" t="n">
        <x:f>2^F332-1</x:f>
        <x:v>3</x:v>
      </x:c>
      <x:c r="H332" s="14" t="n">
        <x:f>G332/LOG(B332+1,2)</x:f>
        <x:v>1</x:v>
      </x:c>
    </x:row>
    <x:row r="333" ht="22" customHeight="1">
      <x:c r="A333" s="2" t="str">
        <x:v>S37</x:v>
      </x:c>
      <x:c r="B333" s="2" t="n">
        <x:v>8</x:v>
      </x:c>
      <x:c r="C333" s="2" t="n">
        <x:f>COUNTIFS('Ratings'!$B$6:$B$1387,A333,'Ratings'!$F$6:$F$1387,3)</x:f>
        <x:v>2</x:v>
      </x:c>
      <x:c r="D333" s="2" t="n">
        <x:f>COUNTIFS('Ratings'!$B$6:$B$1387,A333,'Ratings'!$F$6:$F$1387,2)</x:f>
        <x:v>15</x:v>
      </x:c>
      <x:c r="E333" s="2" t="n">
        <x:f>COUNTIFS('Ratings'!$B$6:$B$1387,A333,'Ratings'!$F$6:$F$1387,1)</x:f>
        <x:v>6</x:v>
      </x:c>
      <x:c r="F333" s="2" t="n">
        <x:f>IF(B333&lt;=C333,3,IF(B333&lt;=C333+D333,2,IF(B333&lt;=C333+D333+E333,1,0)))</x:f>
        <x:v>2</x:v>
      </x:c>
      <x:c r="G333" s="2" t="n">
        <x:f>2^F333-1</x:f>
        <x:v>3</x:v>
      </x:c>
      <x:c r="H333" s="14" t="n">
        <x:f>G333/LOG(B333+1,2)</x:f>
        <x:v>0.9463946303571861</x:v>
      </x:c>
    </x:row>
    <x:row r="334" ht="22" customHeight="1">
      <x:c r="A334" s="2" t="str">
        <x:v>S37</x:v>
      </x:c>
      <x:c r="B334" s="2" t="n">
        <x:v>9</x:v>
      </x:c>
      <x:c r="C334" s="2" t="n">
        <x:f>COUNTIFS('Ratings'!$B$6:$B$1387,A334,'Ratings'!$F$6:$F$1387,3)</x:f>
        <x:v>2</x:v>
      </x:c>
      <x:c r="D334" s="2" t="n">
        <x:f>COUNTIFS('Ratings'!$B$6:$B$1387,A334,'Ratings'!$F$6:$F$1387,2)</x:f>
        <x:v>15</x:v>
      </x:c>
      <x:c r="E334" s="2" t="n">
        <x:f>COUNTIFS('Ratings'!$B$6:$B$1387,A334,'Ratings'!$F$6:$F$1387,1)</x:f>
        <x:v>6</x:v>
      </x:c>
      <x:c r="F334" s="2" t="n">
        <x:f>IF(B334&lt;=C334,3,IF(B334&lt;=C334+D334,2,IF(B334&lt;=C334+D334+E334,1,0)))</x:f>
        <x:v>2</x:v>
      </x:c>
      <x:c r="G334" s="2" t="n">
        <x:f>2^F334-1</x:f>
        <x:v>3</x:v>
      </x:c>
      <x:c r="H334" s="14" t="n">
        <x:f>G334/LOG(B334+1,2)</x:f>
        <x:v>0.9030899869919435</x:v>
      </x:c>
    </x:row>
    <x:row r="335" ht="22" customHeight="1">
      <x:c r="A335" s="2" t="str">
        <x:v>S37</x:v>
      </x:c>
      <x:c r="B335" s="2" t="n">
        <x:v>10</x:v>
      </x:c>
      <x:c r="C335" s="2" t="n">
        <x:f>COUNTIFS('Ratings'!$B$6:$B$1387,A335,'Ratings'!$F$6:$F$1387,3)</x:f>
        <x:v>2</x:v>
      </x:c>
      <x:c r="D335" s="2" t="n">
        <x:f>COUNTIFS('Ratings'!$B$6:$B$1387,A335,'Ratings'!$F$6:$F$1387,2)</x:f>
        <x:v>15</x:v>
      </x:c>
      <x:c r="E335" s="2" t="n">
        <x:f>COUNTIFS('Ratings'!$B$6:$B$1387,A335,'Ratings'!$F$6:$F$1387,1)</x:f>
        <x:v>6</x:v>
      </x:c>
      <x:c r="F335" s="2" t="n">
        <x:f>IF(B335&lt;=C335,3,IF(B335&lt;=C335+D335,2,IF(B335&lt;=C335+D335+E335,1,0)))</x:f>
        <x:v>2</x:v>
      </x:c>
      <x:c r="G335" s="2" t="n">
        <x:f>2^F335-1</x:f>
        <x:v>3</x:v>
      </x:c>
      <x:c r="H335" s="14" t="n">
        <x:f>G335/LOG(B335+1,2)</x:f>
        <x:v>0.8671944789536634</x:v>
      </x:c>
    </x:row>
    <x:row r="336" ht="22" customHeight="1">
      <x:c r="A336" s="2" t="str">
        <x:v>S38</x:v>
      </x:c>
      <x:c r="B336" s="2" t="n">
        <x:v>1</x:v>
      </x:c>
      <x:c r="C336" s="2" t="n">
        <x:f>COUNTIFS('Ratings'!$B$6:$B$1387,A336,'Ratings'!$F$6:$F$1387,3)</x:f>
        <x:v>2</x:v>
      </x:c>
      <x:c r="D336" s="2" t="n">
        <x:f>COUNTIFS('Ratings'!$B$6:$B$1387,A336,'Ratings'!$F$6:$F$1387,2)</x:f>
        <x:v>16</x:v>
      </x:c>
      <x:c r="E336" s="2" t="n">
        <x:f>COUNTIFS('Ratings'!$B$6:$B$1387,A336,'Ratings'!$F$6:$F$1387,1)</x:f>
        <x:v>6</x:v>
      </x:c>
      <x:c r="F336" s="2" t="n">
        <x:f>IF(B336&lt;=C336,3,IF(B336&lt;=C336+D336,2,IF(B336&lt;=C336+D336+E336,1,0)))</x:f>
        <x:v>3</x:v>
      </x:c>
      <x:c r="G336" s="2" t="n">
        <x:f>2^F336-1</x:f>
        <x:v>7</x:v>
      </x:c>
      <x:c r="H336" s="14" t="n">
        <x:f>G336/LOG(B336+1,2)</x:f>
        <x:v>7</x:v>
      </x:c>
    </x:row>
    <x:row r="337" ht="22" customHeight="1">
      <x:c r="A337" s="2" t="str">
        <x:v>S38</x:v>
      </x:c>
      <x:c r="B337" s="2" t="n">
        <x:v>2</x:v>
      </x:c>
      <x:c r="C337" s="2" t="n">
        <x:f>COUNTIFS('Ratings'!$B$6:$B$1387,A337,'Ratings'!$F$6:$F$1387,3)</x:f>
        <x:v>2</x:v>
      </x:c>
      <x:c r="D337" s="2" t="n">
        <x:f>COUNTIFS('Ratings'!$B$6:$B$1387,A337,'Ratings'!$F$6:$F$1387,2)</x:f>
        <x:v>16</x:v>
      </x:c>
      <x:c r="E337" s="2" t="n">
        <x:f>COUNTIFS('Ratings'!$B$6:$B$1387,A337,'Ratings'!$F$6:$F$1387,1)</x:f>
        <x:v>6</x:v>
      </x:c>
      <x:c r="F337" s="2" t="n">
        <x:f>IF(B337&lt;=C337,3,IF(B337&lt;=C337+D337,2,IF(B337&lt;=C337+D337+E337,1,0)))</x:f>
        <x:v>3</x:v>
      </x:c>
      <x:c r="G337" s="2" t="n">
        <x:f>2^F337-1</x:f>
        <x:v>7</x:v>
      </x:c>
      <x:c r="H337" s="14" t="n">
        <x:f>G337/LOG(B337+1,2)</x:f>
        <x:v>4.4165082750002025</x:v>
      </x:c>
    </x:row>
    <x:row r="338" ht="22" customHeight="1">
      <x:c r="A338" s="2" t="str">
        <x:v>S38</x:v>
      </x:c>
      <x:c r="B338" s="2" t="n">
        <x:v>3</x:v>
      </x:c>
      <x:c r="C338" s="2" t="n">
        <x:f>COUNTIFS('Ratings'!$B$6:$B$1387,A338,'Ratings'!$F$6:$F$1387,3)</x:f>
        <x:v>2</x:v>
      </x:c>
      <x:c r="D338" s="2" t="n">
        <x:f>COUNTIFS('Ratings'!$B$6:$B$1387,A338,'Ratings'!$F$6:$F$1387,2)</x:f>
        <x:v>16</x:v>
      </x:c>
      <x:c r="E338" s="2" t="n">
        <x:f>COUNTIFS('Ratings'!$B$6:$B$1387,A338,'Ratings'!$F$6:$F$1387,1)</x:f>
        <x:v>6</x:v>
      </x:c>
      <x:c r="F338" s="2" t="n">
        <x:f>IF(B338&lt;=C338,3,IF(B338&lt;=C338+D338,2,IF(B338&lt;=C338+D338+E338,1,0)))</x:f>
        <x:v>2</x:v>
      </x:c>
      <x:c r="G338" s="2" t="n">
        <x:f>2^F338-1</x:f>
        <x:v>3</x:v>
      </x:c>
      <x:c r="H338" s="14" t="n">
        <x:f>G338/LOG(B338+1,2)</x:f>
        <x:v>1.5</x:v>
      </x:c>
    </x:row>
    <x:row r="339" ht="22" customHeight="1">
      <x:c r="A339" s="2" t="str">
        <x:v>S38</x:v>
      </x:c>
      <x:c r="B339" s="2" t="n">
        <x:v>4</x:v>
      </x:c>
      <x:c r="C339" s="2" t="n">
        <x:f>COUNTIFS('Ratings'!$B$6:$B$1387,A339,'Ratings'!$F$6:$F$1387,3)</x:f>
        <x:v>2</x:v>
      </x:c>
      <x:c r="D339" s="2" t="n">
        <x:f>COUNTIFS('Ratings'!$B$6:$B$1387,A339,'Ratings'!$F$6:$F$1387,2)</x:f>
        <x:v>16</x:v>
      </x:c>
      <x:c r="E339" s="2" t="n">
        <x:f>COUNTIFS('Ratings'!$B$6:$B$1387,A339,'Ratings'!$F$6:$F$1387,1)</x:f>
        <x:v>6</x:v>
      </x:c>
      <x:c r="F339" s="2" t="n">
        <x:f>IF(B339&lt;=C339,3,IF(B339&lt;=C339+D339,2,IF(B339&lt;=C339+D339+E339,1,0)))</x:f>
        <x:v>2</x:v>
      </x:c>
      <x:c r="G339" s="2" t="n">
        <x:f>2^F339-1</x:f>
        <x:v>3</x:v>
      </x:c>
      <x:c r="H339" s="14" t="n">
        <x:f>G339/LOG(B339+1,2)</x:f>
        <x:v>1.2920296742201793</x:v>
      </x:c>
    </x:row>
    <x:row r="340" ht="22" customHeight="1">
      <x:c r="A340" s="2" t="str">
        <x:v>S38</x:v>
      </x:c>
      <x:c r="B340" s="2" t="n">
        <x:v>5</x:v>
      </x:c>
      <x:c r="C340" s="2" t="n">
        <x:f>COUNTIFS('Ratings'!$B$6:$B$1387,A340,'Ratings'!$F$6:$F$1387,3)</x:f>
        <x:v>2</x:v>
      </x:c>
      <x:c r="D340" s="2" t="n">
        <x:f>COUNTIFS('Ratings'!$B$6:$B$1387,A340,'Ratings'!$F$6:$F$1387,2)</x:f>
        <x:v>16</x:v>
      </x:c>
      <x:c r="E340" s="2" t="n">
        <x:f>COUNTIFS('Ratings'!$B$6:$B$1387,A340,'Ratings'!$F$6:$F$1387,1)</x:f>
        <x:v>6</x:v>
      </x:c>
      <x:c r="F340" s="2" t="n">
        <x:f>IF(B340&lt;=C340,3,IF(B340&lt;=C340+D340,2,IF(B340&lt;=C340+D340+E340,1,0)))</x:f>
        <x:v>2</x:v>
      </x:c>
      <x:c r="G340" s="2" t="n">
        <x:f>2^F340-1</x:f>
        <x:v>3</x:v>
      </x:c>
      <x:c r="H340" s="14" t="n">
        <x:f>G340/LOG(B340+1,2)</x:f>
        <x:v>1.1605584217036249</x:v>
      </x:c>
    </x:row>
    <x:row r="341" ht="22" customHeight="1">
      <x:c r="A341" s="2" t="str">
        <x:v>S38</x:v>
      </x:c>
      <x:c r="B341" s="2" t="n">
        <x:v>6</x:v>
      </x:c>
      <x:c r="C341" s="2" t="n">
        <x:f>COUNTIFS('Ratings'!$B$6:$B$1387,A341,'Ratings'!$F$6:$F$1387,3)</x:f>
        <x:v>2</x:v>
      </x:c>
      <x:c r="D341" s="2" t="n">
        <x:f>COUNTIFS('Ratings'!$B$6:$B$1387,A341,'Ratings'!$F$6:$F$1387,2)</x:f>
        <x:v>16</x:v>
      </x:c>
      <x:c r="E341" s="2" t="n">
        <x:f>COUNTIFS('Ratings'!$B$6:$B$1387,A341,'Ratings'!$F$6:$F$1387,1)</x:f>
        <x:v>6</x:v>
      </x:c>
      <x:c r="F341" s="2" t="n">
        <x:f>IF(B341&lt;=C341,3,IF(B341&lt;=C341+D341,2,IF(B341&lt;=C341+D341+E341,1,0)))</x:f>
        <x:v>2</x:v>
      </x:c>
      <x:c r="G341" s="2" t="n">
        <x:f>2^F341-1</x:f>
        <x:v>3</x:v>
      </x:c>
      <x:c r="H341" s="14" t="n">
        <x:f>G341/LOG(B341+1,2)</x:f>
        <x:v>1.0686215613240666</x:v>
      </x:c>
    </x:row>
    <x:row r="342" ht="22" customHeight="1">
      <x:c r="A342" s="2" t="str">
        <x:v>S38</x:v>
      </x:c>
      <x:c r="B342" s="2" t="n">
        <x:v>7</x:v>
      </x:c>
      <x:c r="C342" s="2" t="n">
        <x:f>COUNTIFS('Ratings'!$B$6:$B$1387,A342,'Ratings'!$F$6:$F$1387,3)</x:f>
        <x:v>2</x:v>
      </x:c>
      <x:c r="D342" s="2" t="n">
        <x:f>COUNTIFS('Ratings'!$B$6:$B$1387,A342,'Ratings'!$F$6:$F$1387,2)</x:f>
        <x:v>16</x:v>
      </x:c>
      <x:c r="E342" s="2" t="n">
        <x:f>COUNTIFS('Ratings'!$B$6:$B$1387,A342,'Ratings'!$F$6:$F$1387,1)</x:f>
        <x:v>6</x:v>
      </x:c>
      <x:c r="F342" s="2" t="n">
        <x:f>IF(B342&lt;=C342,3,IF(B342&lt;=C342+D342,2,IF(B342&lt;=C342+D342+E342,1,0)))</x:f>
        <x:v>2</x:v>
      </x:c>
      <x:c r="G342" s="2" t="n">
        <x:f>2^F342-1</x:f>
        <x:v>3</x:v>
      </x:c>
      <x:c r="H342" s="14" t="n">
        <x:f>G342/LOG(B342+1,2)</x:f>
        <x:v>1</x:v>
      </x:c>
    </x:row>
    <x:row r="343" ht="22" customHeight="1">
      <x:c r="A343" s="2" t="str">
        <x:v>S38</x:v>
      </x:c>
      <x:c r="B343" s="2" t="n">
        <x:v>8</x:v>
      </x:c>
      <x:c r="C343" s="2" t="n">
        <x:f>COUNTIFS('Ratings'!$B$6:$B$1387,A343,'Ratings'!$F$6:$F$1387,3)</x:f>
        <x:v>2</x:v>
      </x:c>
      <x:c r="D343" s="2" t="n">
        <x:f>COUNTIFS('Ratings'!$B$6:$B$1387,A343,'Ratings'!$F$6:$F$1387,2)</x:f>
        <x:v>16</x:v>
      </x:c>
      <x:c r="E343" s="2" t="n">
        <x:f>COUNTIFS('Ratings'!$B$6:$B$1387,A343,'Ratings'!$F$6:$F$1387,1)</x:f>
        <x:v>6</x:v>
      </x:c>
      <x:c r="F343" s="2" t="n">
        <x:f>IF(B343&lt;=C343,3,IF(B343&lt;=C343+D343,2,IF(B343&lt;=C343+D343+E343,1,0)))</x:f>
        <x:v>2</x:v>
      </x:c>
      <x:c r="G343" s="2" t="n">
        <x:f>2^F343-1</x:f>
        <x:v>3</x:v>
      </x:c>
      <x:c r="H343" s="14" t="n">
        <x:f>G343/LOG(B343+1,2)</x:f>
        <x:v>0.9463946303571861</x:v>
      </x:c>
    </x:row>
    <x:row r="344" ht="22" customHeight="1">
      <x:c r="A344" s="2" t="str">
        <x:v>S38</x:v>
      </x:c>
      <x:c r="B344" s="2" t="n">
        <x:v>9</x:v>
      </x:c>
      <x:c r="C344" s="2" t="n">
        <x:f>COUNTIFS('Ratings'!$B$6:$B$1387,A344,'Ratings'!$F$6:$F$1387,3)</x:f>
        <x:v>2</x:v>
      </x:c>
      <x:c r="D344" s="2" t="n">
        <x:f>COUNTIFS('Ratings'!$B$6:$B$1387,A344,'Ratings'!$F$6:$F$1387,2)</x:f>
        <x:v>16</x:v>
      </x:c>
      <x:c r="E344" s="2" t="n">
        <x:f>COUNTIFS('Ratings'!$B$6:$B$1387,A344,'Ratings'!$F$6:$F$1387,1)</x:f>
        <x:v>6</x:v>
      </x:c>
      <x:c r="F344" s="2" t="n">
        <x:f>IF(B344&lt;=C344,3,IF(B344&lt;=C344+D344,2,IF(B344&lt;=C344+D344+E344,1,0)))</x:f>
        <x:v>2</x:v>
      </x:c>
      <x:c r="G344" s="2" t="n">
        <x:f>2^F344-1</x:f>
        <x:v>3</x:v>
      </x:c>
      <x:c r="H344" s="14" t="n">
        <x:f>G344/LOG(B344+1,2)</x:f>
        <x:v>0.9030899869919435</x:v>
      </x:c>
    </x:row>
    <x:row r="345" ht="22" customHeight="1">
      <x:c r="A345" s="2" t="str">
        <x:v>S38</x:v>
      </x:c>
      <x:c r="B345" s="2" t="n">
        <x:v>10</x:v>
      </x:c>
      <x:c r="C345" s="2" t="n">
        <x:f>COUNTIFS('Ratings'!$B$6:$B$1387,A345,'Ratings'!$F$6:$F$1387,3)</x:f>
        <x:v>2</x:v>
      </x:c>
      <x:c r="D345" s="2" t="n">
        <x:f>COUNTIFS('Ratings'!$B$6:$B$1387,A345,'Ratings'!$F$6:$F$1387,2)</x:f>
        <x:v>16</x:v>
      </x:c>
      <x:c r="E345" s="2" t="n">
        <x:f>COUNTIFS('Ratings'!$B$6:$B$1387,A345,'Ratings'!$F$6:$F$1387,1)</x:f>
        <x:v>6</x:v>
      </x:c>
      <x:c r="F345" s="2" t="n">
        <x:f>IF(B345&lt;=C345,3,IF(B345&lt;=C345+D345,2,IF(B345&lt;=C345+D345+E345,1,0)))</x:f>
        <x:v>2</x:v>
      </x:c>
      <x:c r="G345" s="2" t="n">
        <x:f>2^F345-1</x:f>
        <x:v>3</x:v>
      </x:c>
      <x:c r="H345" s="14" t="n">
        <x:f>G345/LOG(B345+1,2)</x:f>
        <x:v>0.8671944789536634</x:v>
      </x:c>
    </x:row>
    <x:row r="346" ht="22" customHeight="1">
      <x:c r="A346" s="2" t="str">
        <x:v>S39</x:v>
      </x:c>
      <x:c r="B346" s="2" t="n">
        <x:v>1</x:v>
      </x:c>
      <x:c r="C346" s="2" t="n">
        <x:f>COUNTIFS('Ratings'!$B$6:$B$1387,A346,'Ratings'!$F$6:$F$1387,3)</x:f>
        <x:v>15</x:v>
      </x:c>
      <x:c r="D346" s="2" t="n">
        <x:f>COUNTIFS('Ratings'!$B$6:$B$1387,A346,'Ratings'!$F$6:$F$1387,2)</x:f>
        <x:v>8</x:v>
      </x:c>
      <x:c r="E346" s="2" t="n">
        <x:f>COUNTIFS('Ratings'!$B$6:$B$1387,A346,'Ratings'!$F$6:$F$1387,1)</x:f>
        <x:v>6</x:v>
      </x:c>
      <x:c r="F346" s="2" t="n">
        <x:f>IF(B346&lt;=C346,3,IF(B346&lt;=C346+D346,2,IF(B346&lt;=C346+D346+E346,1,0)))</x:f>
        <x:v>3</x:v>
      </x:c>
      <x:c r="G346" s="2" t="n">
        <x:f>2^F346-1</x:f>
        <x:v>7</x:v>
      </x:c>
      <x:c r="H346" s="14" t="n">
        <x:f>G346/LOG(B346+1,2)</x:f>
        <x:v>7</x:v>
      </x:c>
    </x:row>
    <x:row r="347" ht="22" customHeight="1">
      <x:c r="A347" s="2" t="str">
        <x:v>S39</x:v>
      </x:c>
      <x:c r="B347" s="2" t="n">
        <x:v>2</x:v>
      </x:c>
      <x:c r="C347" s="2" t="n">
        <x:f>COUNTIFS('Ratings'!$B$6:$B$1387,A347,'Ratings'!$F$6:$F$1387,3)</x:f>
        <x:v>15</x:v>
      </x:c>
      <x:c r="D347" s="2" t="n">
        <x:f>COUNTIFS('Ratings'!$B$6:$B$1387,A347,'Ratings'!$F$6:$F$1387,2)</x:f>
        <x:v>8</x:v>
      </x:c>
      <x:c r="E347" s="2" t="n">
        <x:f>COUNTIFS('Ratings'!$B$6:$B$1387,A347,'Ratings'!$F$6:$F$1387,1)</x:f>
        <x:v>6</x:v>
      </x:c>
      <x:c r="F347" s="2" t="n">
        <x:f>IF(B347&lt;=C347,3,IF(B347&lt;=C347+D347,2,IF(B347&lt;=C347+D347+E347,1,0)))</x:f>
        <x:v>3</x:v>
      </x:c>
      <x:c r="G347" s="2" t="n">
        <x:f>2^F347-1</x:f>
        <x:v>7</x:v>
      </x:c>
      <x:c r="H347" s="14" t="n">
        <x:f>G347/LOG(B347+1,2)</x:f>
        <x:v>4.4165082750002025</x:v>
      </x:c>
    </x:row>
    <x:row r="348" ht="22" customHeight="1">
      <x:c r="A348" s="2" t="str">
        <x:v>S39</x:v>
      </x:c>
      <x:c r="B348" s="2" t="n">
        <x:v>3</x:v>
      </x:c>
      <x:c r="C348" s="2" t="n">
        <x:f>COUNTIFS('Ratings'!$B$6:$B$1387,A348,'Ratings'!$F$6:$F$1387,3)</x:f>
        <x:v>15</x:v>
      </x:c>
      <x:c r="D348" s="2" t="n">
        <x:f>COUNTIFS('Ratings'!$B$6:$B$1387,A348,'Ratings'!$F$6:$F$1387,2)</x:f>
        <x:v>8</x:v>
      </x:c>
      <x:c r="E348" s="2" t="n">
        <x:f>COUNTIFS('Ratings'!$B$6:$B$1387,A348,'Ratings'!$F$6:$F$1387,1)</x:f>
        <x:v>6</x:v>
      </x:c>
      <x:c r="F348" s="2" t="n">
        <x:f>IF(B348&lt;=C348,3,IF(B348&lt;=C348+D348,2,IF(B348&lt;=C348+D348+E348,1,0)))</x:f>
        <x:v>3</x:v>
      </x:c>
      <x:c r="G348" s="2" t="n">
        <x:f>2^F348-1</x:f>
        <x:v>7</x:v>
      </x:c>
      <x:c r="H348" s="14" t="n">
        <x:f>G348/LOG(B348+1,2)</x:f>
        <x:v>3.5</x:v>
      </x:c>
    </x:row>
    <x:row r="349" ht="22" customHeight="1">
      <x:c r="A349" s="2" t="str">
        <x:v>S39</x:v>
      </x:c>
      <x:c r="B349" s="2" t="n">
        <x:v>4</x:v>
      </x:c>
      <x:c r="C349" s="2" t="n">
        <x:f>COUNTIFS('Ratings'!$B$6:$B$1387,A349,'Ratings'!$F$6:$F$1387,3)</x:f>
        <x:v>15</x:v>
      </x:c>
      <x:c r="D349" s="2" t="n">
        <x:f>COUNTIFS('Ratings'!$B$6:$B$1387,A349,'Ratings'!$F$6:$F$1387,2)</x:f>
        <x:v>8</x:v>
      </x:c>
      <x:c r="E349" s="2" t="n">
        <x:f>COUNTIFS('Ratings'!$B$6:$B$1387,A349,'Ratings'!$F$6:$F$1387,1)</x:f>
        <x:v>6</x:v>
      </x:c>
      <x:c r="F349" s="2" t="n">
        <x:f>IF(B349&lt;=C349,3,IF(B349&lt;=C349+D349,2,IF(B349&lt;=C349+D349+E349,1,0)))</x:f>
        <x:v>3</x:v>
      </x:c>
      <x:c r="G349" s="2" t="n">
        <x:f>2^F349-1</x:f>
        <x:v>7</x:v>
      </x:c>
      <x:c r="H349" s="14" t="n">
        <x:f>G349/LOG(B349+1,2)</x:f>
        <x:v>3.0147359065137516</x:v>
      </x:c>
    </x:row>
    <x:row r="350" ht="22" customHeight="1">
      <x:c r="A350" s="2" t="str">
        <x:v>S39</x:v>
      </x:c>
      <x:c r="B350" s="2" t="n">
        <x:v>5</x:v>
      </x:c>
      <x:c r="C350" s="2" t="n">
        <x:f>COUNTIFS('Ratings'!$B$6:$B$1387,A350,'Ratings'!$F$6:$F$1387,3)</x:f>
        <x:v>15</x:v>
      </x:c>
      <x:c r="D350" s="2" t="n">
        <x:f>COUNTIFS('Ratings'!$B$6:$B$1387,A350,'Ratings'!$F$6:$F$1387,2)</x:f>
        <x:v>8</x:v>
      </x:c>
      <x:c r="E350" s="2" t="n">
        <x:f>COUNTIFS('Ratings'!$B$6:$B$1387,A350,'Ratings'!$F$6:$F$1387,1)</x:f>
        <x:v>6</x:v>
      </x:c>
      <x:c r="F350" s="2" t="n">
        <x:f>IF(B350&lt;=C350,3,IF(B350&lt;=C350+D350,2,IF(B350&lt;=C350+D350+E350,1,0)))</x:f>
        <x:v>3</x:v>
      </x:c>
      <x:c r="G350" s="2" t="n">
        <x:f>2^F350-1</x:f>
        <x:v>7</x:v>
      </x:c>
      <x:c r="H350" s="14" t="n">
        <x:f>G350/LOG(B350+1,2)</x:f>
        <x:v>2.7079696506417914</x:v>
      </x:c>
    </x:row>
    <x:row r="351" ht="22" customHeight="1">
      <x:c r="A351" s="2" t="str">
        <x:v>S39</x:v>
      </x:c>
      <x:c r="B351" s="2" t="n">
        <x:v>6</x:v>
      </x:c>
      <x:c r="C351" s="2" t="n">
        <x:f>COUNTIFS('Ratings'!$B$6:$B$1387,A351,'Ratings'!$F$6:$F$1387,3)</x:f>
        <x:v>15</x:v>
      </x:c>
      <x:c r="D351" s="2" t="n">
        <x:f>COUNTIFS('Ratings'!$B$6:$B$1387,A351,'Ratings'!$F$6:$F$1387,2)</x:f>
        <x:v>8</x:v>
      </x:c>
      <x:c r="E351" s="2" t="n">
        <x:f>COUNTIFS('Ratings'!$B$6:$B$1387,A351,'Ratings'!$F$6:$F$1387,1)</x:f>
        <x:v>6</x:v>
      </x:c>
      <x:c r="F351" s="2" t="n">
        <x:f>IF(B351&lt;=C351,3,IF(B351&lt;=C351+D351,2,IF(B351&lt;=C351+D351+E351,1,0)))</x:f>
        <x:v>3</x:v>
      </x:c>
      <x:c r="G351" s="2" t="n">
        <x:f>2^F351-1</x:f>
        <x:v>7</x:v>
      </x:c>
      <x:c r="H351" s="14" t="n">
        <x:f>G351/LOG(B351+1,2)</x:f>
        <x:v>2.493450309756155</x:v>
      </x:c>
    </x:row>
    <x:row r="352" ht="22" customHeight="1">
      <x:c r="A352" s="2" t="str">
        <x:v>S39</x:v>
      </x:c>
      <x:c r="B352" s="2" t="n">
        <x:v>7</x:v>
      </x:c>
      <x:c r="C352" s="2" t="n">
        <x:f>COUNTIFS('Ratings'!$B$6:$B$1387,A352,'Ratings'!$F$6:$F$1387,3)</x:f>
        <x:v>15</x:v>
      </x:c>
      <x:c r="D352" s="2" t="n">
        <x:f>COUNTIFS('Ratings'!$B$6:$B$1387,A352,'Ratings'!$F$6:$F$1387,2)</x:f>
        <x:v>8</x:v>
      </x:c>
      <x:c r="E352" s="2" t="n">
        <x:f>COUNTIFS('Ratings'!$B$6:$B$1387,A352,'Ratings'!$F$6:$F$1387,1)</x:f>
        <x:v>6</x:v>
      </x:c>
      <x:c r="F352" s="2" t="n">
        <x:f>IF(B352&lt;=C352,3,IF(B352&lt;=C352+D352,2,IF(B352&lt;=C352+D352+E352,1,0)))</x:f>
        <x:v>3</x:v>
      </x:c>
      <x:c r="G352" s="2" t="n">
        <x:f>2^F352-1</x:f>
        <x:v>7</x:v>
      </x:c>
      <x:c r="H352" s="14" t="n">
        <x:f>G352/LOG(B352+1,2)</x:f>
        <x:v>2.3333333333333335</x:v>
      </x:c>
    </x:row>
    <x:row r="353" ht="22" customHeight="1">
      <x:c r="A353" s="2" t="str">
        <x:v>S39</x:v>
      </x:c>
      <x:c r="B353" s="2" t="n">
        <x:v>8</x:v>
      </x:c>
      <x:c r="C353" s="2" t="n">
        <x:f>COUNTIFS('Ratings'!$B$6:$B$1387,A353,'Ratings'!$F$6:$F$1387,3)</x:f>
        <x:v>15</x:v>
      </x:c>
      <x:c r="D353" s="2" t="n">
        <x:f>COUNTIFS('Ratings'!$B$6:$B$1387,A353,'Ratings'!$F$6:$F$1387,2)</x:f>
        <x:v>8</x:v>
      </x:c>
      <x:c r="E353" s="2" t="n">
        <x:f>COUNTIFS('Ratings'!$B$6:$B$1387,A353,'Ratings'!$F$6:$F$1387,1)</x:f>
        <x:v>6</x:v>
      </x:c>
      <x:c r="F353" s="2" t="n">
        <x:f>IF(B353&lt;=C353,3,IF(B353&lt;=C353+D353,2,IF(B353&lt;=C353+D353+E353,1,0)))</x:f>
        <x:v>3</x:v>
      </x:c>
      <x:c r="G353" s="2" t="n">
        <x:f>2^F353-1</x:f>
        <x:v>7</x:v>
      </x:c>
      <x:c r="H353" s="14" t="n">
        <x:f>G353/LOG(B353+1,2)</x:f>
        <x:v>2.208254137500101</x:v>
      </x:c>
    </x:row>
    <x:row r="354" ht="22" customHeight="1">
      <x:c r="A354" s="2" t="str">
        <x:v>S39</x:v>
      </x:c>
      <x:c r="B354" s="2" t="n">
        <x:v>9</x:v>
      </x:c>
      <x:c r="C354" s="2" t="n">
        <x:f>COUNTIFS('Ratings'!$B$6:$B$1387,A354,'Ratings'!$F$6:$F$1387,3)</x:f>
        <x:v>15</x:v>
      </x:c>
      <x:c r="D354" s="2" t="n">
        <x:f>COUNTIFS('Ratings'!$B$6:$B$1387,A354,'Ratings'!$F$6:$F$1387,2)</x:f>
        <x:v>8</x:v>
      </x:c>
      <x:c r="E354" s="2" t="n">
        <x:f>COUNTIFS('Ratings'!$B$6:$B$1387,A354,'Ratings'!$F$6:$F$1387,1)</x:f>
        <x:v>6</x:v>
      </x:c>
      <x:c r="F354" s="2" t="n">
        <x:f>IF(B354&lt;=C354,3,IF(B354&lt;=C354+D354,2,IF(B354&lt;=C354+D354+E354,1,0)))</x:f>
        <x:v>3</x:v>
      </x:c>
      <x:c r="G354" s="2" t="n">
        <x:f>2^F354-1</x:f>
        <x:v>7</x:v>
      </x:c>
      <x:c r="H354" s="14" t="n">
        <x:f>G354/LOG(B354+1,2)</x:f>
        <x:v>2.1072099696478683</x:v>
      </x:c>
    </x:row>
    <x:row r="355" ht="22" customHeight="1">
      <x:c r="A355" s="2" t="str">
        <x:v>S39</x:v>
      </x:c>
      <x:c r="B355" s="2" t="n">
        <x:v>10</x:v>
      </x:c>
      <x:c r="C355" s="2" t="n">
        <x:f>COUNTIFS('Ratings'!$B$6:$B$1387,A355,'Ratings'!$F$6:$F$1387,3)</x:f>
        <x:v>15</x:v>
      </x:c>
      <x:c r="D355" s="2" t="n">
        <x:f>COUNTIFS('Ratings'!$B$6:$B$1387,A355,'Ratings'!$F$6:$F$1387,2)</x:f>
        <x:v>8</x:v>
      </x:c>
      <x:c r="E355" s="2" t="n">
        <x:f>COUNTIFS('Ratings'!$B$6:$B$1387,A355,'Ratings'!$F$6:$F$1387,1)</x:f>
        <x:v>6</x:v>
      </x:c>
      <x:c r="F355" s="2" t="n">
        <x:f>IF(B355&lt;=C355,3,IF(B355&lt;=C355+D355,2,IF(B355&lt;=C355+D355+E355,1,0)))</x:f>
        <x:v>3</x:v>
      </x:c>
      <x:c r="G355" s="2" t="n">
        <x:f>2^F355-1</x:f>
        <x:v>7</x:v>
      </x:c>
      <x:c r="H355" s="14" t="n">
        <x:f>G355/LOG(B355+1,2)</x:f>
        <x:v>2.023453784225215</x:v>
      </x:c>
    </x:row>
    <x:row r="356" ht="22" customHeight="1">
      <x:c r="A356" s="2" t="str">
        <x:v>S40</x:v>
      </x:c>
      <x:c r="B356" s="2" t="n">
        <x:v>1</x:v>
      </x:c>
      <x:c r="C356" s="2" t="n">
        <x:f>COUNTIFS('Ratings'!$B$6:$B$1387,A356,'Ratings'!$F$6:$F$1387,3)</x:f>
        <x:v>15</x:v>
      </x:c>
      <x:c r="D356" s="2" t="n">
        <x:f>COUNTIFS('Ratings'!$B$6:$B$1387,A356,'Ratings'!$F$6:$F$1387,2)</x:f>
        <x:v>8</x:v>
      </x:c>
      <x:c r="E356" s="2" t="n">
        <x:f>COUNTIFS('Ratings'!$B$6:$B$1387,A356,'Ratings'!$F$6:$F$1387,1)</x:f>
        <x:v>6</x:v>
      </x:c>
      <x:c r="F356" s="2" t="n">
        <x:f>IF(B356&lt;=C356,3,IF(B356&lt;=C356+D356,2,IF(B356&lt;=C356+D356+E356,1,0)))</x:f>
        <x:v>3</x:v>
      </x:c>
      <x:c r="G356" s="2" t="n">
        <x:f>2^F356-1</x:f>
        <x:v>7</x:v>
      </x:c>
      <x:c r="H356" s="14" t="n">
        <x:f>G356/LOG(B356+1,2)</x:f>
        <x:v>7</x:v>
      </x:c>
    </x:row>
    <x:row r="357" ht="22" customHeight="1">
      <x:c r="A357" s="2" t="str">
        <x:v>S40</x:v>
      </x:c>
      <x:c r="B357" s="2" t="n">
        <x:v>2</x:v>
      </x:c>
      <x:c r="C357" s="2" t="n">
        <x:f>COUNTIFS('Ratings'!$B$6:$B$1387,A357,'Ratings'!$F$6:$F$1387,3)</x:f>
        <x:v>15</x:v>
      </x:c>
      <x:c r="D357" s="2" t="n">
        <x:f>COUNTIFS('Ratings'!$B$6:$B$1387,A357,'Ratings'!$F$6:$F$1387,2)</x:f>
        <x:v>8</x:v>
      </x:c>
      <x:c r="E357" s="2" t="n">
        <x:f>COUNTIFS('Ratings'!$B$6:$B$1387,A357,'Ratings'!$F$6:$F$1387,1)</x:f>
        <x:v>6</x:v>
      </x:c>
      <x:c r="F357" s="2" t="n">
        <x:f>IF(B357&lt;=C357,3,IF(B357&lt;=C357+D357,2,IF(B357&lt;=C357+D357+E357,1,0)))</x:f>
        <x:v>3</x:v>
      </x:c>
      <x:c r="G357" s="2" t="n">
        <x:f>2^F357-1</x:f>
        <x:v>7</x:v>
      </x:c>
      <x:c r="H357" s="14" t="n">
        <x:f>G357/LOG(B357+1,2)</x:f>
        <x:v>4.4165082750002025</x:v>
      </x:c>
    </x:row>
    <x:row r="358" ht="22" customHeight="1">
      <x:c r="A358" s="2" t="str">
        <x:v>S40</x:v>
      </x:c>
      <x:c r="B358" s="2" t="n">
        <x:v>3</x:v>
      </x:c>
      <x:c r="C358" s="2" t="n">
        <x:f>COUNTIFS('Ratings'!$B$6:$B$1387,A358,'Ratings'!$F$6:$F$1387,3)</x:f>
        <x:v>15</x:v>
      </x:c>
      <x:c r="D358" s="2" t="n">
        <x:f>COUNTIFS('Ratings'!$B$6:$B$1387,A358,'Ratings'!$F$6:$F$1387,2)</x:f>
        <x:v>8</x:v>
      </x:c>
      <x:c r="E358" s="2" t="n">
        <x:f>COUNTIFS('Ratings'!$B$6:$B$1387,A358,'Ratings'!$F$6:$F$1387,1)</x:f>
        <x:v>6</x:v>
      </x:c>
      <x:c r="F358" s="2" t="n">
        <x:f>IF(B358&lt;=C358,3,IF(B358&lt;=C358+D358,2,IF(B358&lt;=C358+D358+E358,1,0)))</x:f>
        <x:v>3</x:v>
      </x:c>
      <x:c r="G358" s="2" t="n">
        <x:f>2^F358-1</x:f>
        <x:v>7</x:v>
      </x:c>
      <x:c r="H358" s="14" t="n">
        <x:f>G358/LOG(B358+1,2)</x:f>
        <x:v>3.5</x:v>
      </x:c>
    </x:row>
    <x:row r="359" ht="22" customHeight="1">
      <x:c r="A359" s="2" t="str">
        <x:v>S40</x:v>
      </x:c>
      <x:c r="B359" s="2" t="n">
        <x:v>4</x:v>
      </x:c>
      <x:c r="C359" s="2" t="n">
        <x:f>COUNTIFS('Ratings'!$B$6:$B$1387,A359,'Ratings'!$F$6:$F$1387,3)</x:f>
        <x:v>15</x:v>
      </x:c>
      <x:c r="D359" s="2" t="n">
        <x:f>COUNTIFS('Ratings'!$B$6:$B$1387,A359,'Ratings'!$F$6:$F$1387,2)</x:f>
        <x:v>8</x:v>
      </x:c>
      <x:c r="E359" s="2" t="n">
        <x:f>COUNTIFS('Ratings'!$B$6:$B$1387,A359,'Ratings'!$F$6:$F$1387,1)</x:f>
        <x:v>6</x:v>
      </x:c>
      <x:c r="F359" s="2" t="n">
        <x:f>IF(B359&lt;=C359,3,IF(B359&lt;=C359+D359,2,IF(B359&lt;=C359+D359+E359,1,0)))</x:f>
        <x:v>3</x:v>
      </x:c>
      <x:c r="G359" s="2" t="n">
        <x:f>2^F359-1</x:f>
        <x:v>7</x:v>
      </x:c>
      <x:c r="H359" s="14" t="n">
        <x:f>G359/LOG(B359+1,2)</x:f>
        <x:v>3.0147359065137516</x:v>
      </x:c>
    </x:row>
    <x:row r="360" ht="22" customHeight="1">
      <x:c r="A360" s="2" t="str">
        <x:v>S40</x:v>
      </x:c>
      <x:c r="B360" s="2" t="n">
        <x:v>5</x:v>
      </x:c>
      <x:c r="C360" s="2" t="n">
        <x:f>COUNTIFS('Ratings'!$B$6:$B$1387,A360,'Ratings'!$F$6:$F$1387,3)</x:f>
        <x:v>15</x:v>
      </x:c>
      <x:c r="D360" s="2" t="n">
        <x:f>COUNTIFS('Ratings'!$B$6:$B$1387,A360,'Ratings'!$F$6:$F$1387,2)</x:f>
        <x:v>8</x:v>
      </x:c>
      <x:c r="E360" s="2" t="n">
        <x:f>COUNTIFS('Ratings'!$B$6:$B$1387,A360,'Ratings'!$F$6:$F$1387,1)</x:f>
        <x:v>6</x:v>
      </x:c>
      <x:c r="F360" s="2" t="n">
        <x:f>IF(B360&lt;=C360,3,IF(B360&lt;=C360+D360,2,IF(B360&lt;=C360+D360+E360,1,0)))</x:f>
        <x:v>3</x:v>
      </x:c>
      <x:c r="G360" s="2" t="n">
        <x:f>2^F360-1</x:f>
        <x:v>7</x:v>
      </x:c>
      <x:c r="H360" s="14" t="n">
        <x:f>G360/LOG(B360+1,2)</x:f>
        <x:v>2.7079696506417914</x:v>
      </x:c>
    </x:row>
    <x:row r="361" ht="22" customHeight="1">
      <x:c r="A361" s="2" t="str">
        <x:v>S40</x:v>
      </x:c>
      <x:c r="B361" s="2" t="n">
        <x:v>6</x:v>
      </x:c>
      <x:c r="C361" s="2" t="n">
        <x:f>COUNTIFS('Ratings'!$B$6:$B$1387,A361,'Ratings'!$F$6:$F$1387,3)</x:f>
        <x:v>15</x:v>
      </x:c>
      <x:c r="D361" s="2" t="n">
        <x:f>COUNTIFS('Ratings'!$B$6:$B$1387,A361,'Ratings'!$F$6:$F$1387,2)</x:f>
        <x:v>8</x:v>
      </x:c>
      <x:c r="E361" s="2" t="n">
        <x:f>COUNTIFS('Ratings'!$B$6:$B$1387,A361,'Ratings'!$F$6:$F$1387,1)</x:f>
        <x:v>6</x:v>
      </x:c>
      <x:c r="F361" s="2" t="n">
        <x:f>IF(B361&lt;=C361,3,IF(B361&lt;=C361+D361,2,IF(B361&lt;=C361+D361+E361,1,0)))</x:f>
        <x:v>3</x:v>
      </x:c>
      <x:c r="G361" s="2" t="n">
        <x:f>2^F361-1</x:f>
        <x:v>7</x:v>
      </x:c>
      <x:c r="H361" s="14" t="n">
        <x:f>G361/LOG(B361+1,2)</x:f>
        <x:v>2.493450309756155</x:v>
      </x:c>
    </x:row>
    <x:row r="362" ht="22" customHeight="1">
      <x:c r="A362" s="2" t="str">
        <x:v>S40</x:v>
      </x:c>
      <x:c r="B362" s="2" t="n">
        <x:v>7</x:v>
      </x:c>
      <x:c r="C362" s="2" t="n">
        <x:f>COUNTIFS('Ratings'!$B$6:$B$1387,A362,'Ratings'!$F$6:$F$1387,3)</x:f>
        <x:v>15</x:v>
      </x:c>
      <x:c r="D362" s="2" t="n">
        <x:f>COUNTIFS('Ratings'!$B$6:$B$1387,A362,'Ratings'!$F$6:$F$1387,2)</x:f>
        <x:v>8</x:v>
      </x:c>
      <x:c r="E362" s="2" t="n">
        <x:f>COUNTIFS('Ratings'!$B$6:$B$1387,A362,'Ratings'!$F$6:$F$1387,1)</x:f>
        <x:v>6</x:v>
      </x:c>
      <x:c r="F362" s="2" t="n">
        <x:f>IF(B362&lt;=C362,3,IF(B362&lt;=C362+D362,2,IF(B362&lt;=C362+D362+E362,1,0)))</x:f>
        <x:v>3</x:v>
      </x:c>
      <x:c r="G362" s="2" t="n">
        <x:f>2^F362-1</x:f>
        <x:v>7</x:v>
      </x:c>
      <x:c r="H362" s="14" t="n">
        <x:f>G362/LOG(B362+1,2)</x:f>
        <x:v>2.3333333333333335</x:v>
      </x:c>
    </x:row>
    <x:row r="363" ht="22" customHeight="1">
      <x:c r="A363" s="2" t="str">
        <x:v>S40</x:v>
      </x:c>
      <x:c r="B363" s="2" t="n">
        <x:v>8</x:v>
      </x:c>
      <x:c r="C363" s="2" t="n">
        <x:f>COUNTIFS('Ratings'!$B$6:$B$1387,A363,'Ratings'!$F$6:$F$1387,3)</x:f>
        <x:v>15</x:v>
      </x:c>
      <x:c r="D363" s="2" t="n">
        <x:f>COUNTIFS('Ratings'!$B$6:$B$1387,A363,'Ratings'!$F$6:$F$1387,2)</x:f>
        <x:v>8</x:v>
      </x:c>
      <x:c r="E363" s="2" t="n">
        <x:f>COUNTIFS('Ratings'!$B$6:$B$1387,A363,'Ratings'!$F$6:$F$1387,1)</x:f>
        <x:v>6</x:v>
      </x:c>
      <x:c r="F363" s="2" t="n">
        <x:f>IF(B363&lt;=C363,3,IF(B363&lt;=C363+D363,2,IF(B363&lt;=C363+D363+E363,1,0)))</x:f>
        <x:v>3</x:v>
      </x:c>
      <x:c r="G363" s="2" t="n">
        <x:f>2^F363-1</x:f>
        <x:v>7</x:v>
      </x:c>
      <x:c r="H363" s="14" t="n">
        <x:f>G363/LOG(B363+1,2)</x:f>
        <x:v>2.208254137500101</x:v>
      </x:c>
    </x:row>
    <x:row r="364" ht="22" customHeight="1">
      <x:c r="A364" s="2" t="str">
        <x:v>S40</x:v>
      </x:c>
      <x:c r="B364" s="2" t="n">
        <x:v>9</x:v>
      </x:c>
      <x:c r="C364" s="2" t="n">
        <x:f>COUNTIFS('Ratings'!$B$6:$B$1387,A364,'Ratings'!$F$6:$F$1387,3)</x:f>
        <x:v>15</x:v>
      </x:c>
      <x:c r="D364" s="2" t="n">
        <x:f>COUNTIFS('Ratings'!$B$6:$B$1387,A364,'Ratings'!$F$6:$F$1387,2)</x:f>
        <x:v>8</x:v>
      </x:c>
      <x:c r="E364" s="2" t="n">
        <x:f>COUNTIFS('Ratings'!$B$6:$B$1387,A364,'Ratings'!$F$6:$F$1387,1)</x:f>
        <x:v>6</x:v>
      </x:c>
      <x:c r="F364" s="2" t="n">
        <x:f>IF(B364&lt;=C364,3,IF(B364&lt;=C364+D364,2,IF(B364&lt;=C364+D364+E364,1,0)))</x:f>
        <x:v>3</x:v>
      </x:c>
      <x:c r="G364" s="2" t="n">
        <x:f>2^F364-1</x:f>
        <x:v>7</x:v>
      </x:c>
      <x:c r="H364" s="14" t="n">
        <x:f>G364/LOG(B364+1,2)</x:f>
        <x:v>2.1072099696478683</x:v>
      </x:c>
    </x:row>
    <x:row r="365" ht="22" customHeight="1">
      <x:c r="A365" s="2" t="str">
        <x:v>S40</x:v>
      </x:c>
      <x:c r="B365" s="2" t="n">
        <x:v>10</x:v>
      </x:c>
      <x:c r="C365" s="2" t="n">
        <x:f>COUNTIFS('Ratings'!$B$6:$B$1387,A365,'Ratings'!$F$6:$F$1387,3)</x:f>
        <x:v>15</x:v>
      </x:c>
      <x:c r="D365" s="2" t="n">
        <x:f>COUNTIFS('Ratings'!$B$6:$B$1387,A365,'Ratings'!$F$6:$F$1387,2)</x:f>
        <x:v>8</x:v>
      </x:c>
      <x:c r="E365" s="2" t="n">
        <x:f>COUNTIFS('Ratings'!$B$6:$B$1387,A365,'Ratings'!$F$6:$F$1387,1)</x:f>
        <x:v>6</x:v>
      </x:c>
      <x:c r="F365" s="2" t="n">
        <x:f>IF(B365&lt;=C365,3,IF(B365&lt;=C365+D365,2,IF(B365&lt;=C365+D365+E365,1,0)))</x:f>
        <x:v>3</x:v>
      </x:c>
      <x:c r="G365" s="2" t="n">
        <x:f>2^F365-1</x:f>
        <x:v>7</x:v>
      </x:c>
      <x:c r="H365" s="14" t="n">
        <x:f>G365/LOG(B365+1,2)</x:f>
        <x:v>2.023453784225215</x:v>
      </x:c>
    </x:row>
  </x:sheetData>
  <x:pageMargins left="0.7" right="0.7" top="0.75" bottom="0.75" header="0.3" footer="0.3"/>
</x:worksheet>
</file>