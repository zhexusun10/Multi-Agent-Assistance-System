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4093a0d81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 comparison" sheetId="1" r:id="R1c4292ef5e074f02"/>
    <x:sheet xmlns:r="http://schemas.openxmlformats.org/officeDocument/2006/relationships" name="Scenario metrics" sheetId="2" r:id="R4cf9429d3144483a"/>
    <x:sheet xmlns:r="http://schemas.openxmlformats.org/officeDocument/2006/relationships" name="Ratings" sheetId="3" r:id="R0e821656b3db4b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00"/>
    <x:numFmt numFmtId="202" formatCode="0.00"/>
    <x:numFmt numFmtId="203" formatCode="0.000000"/>
    <x:numFmt numFmtId="204" formatCode="#,##0"/>
    <x:numFmt numFmtId="205" formatCode="#,##0.0"/>
    <x:numFmt numFmtId="206" formatCode="#,##0.00"/>
  </x:numFmts>
  <x:fonts count="5">
    <x:font>
      <x:sz val="11"/>
      <x:name val="Carlito"/>
    </x:font>
    <x:font>
      <x:sz val="11"/>
      <x:color rgb="FF20324C"/>
      <x:name val="Arial"/>
    </x:font>
    <x:font>
      <x:b/>
      <x:sz val="16"/>
      <x:color rgb="FF20324C"/>
      <x:name val="Arial"/>
    </x:font>
    <x:font>
      <x:sz val="10"/>
      <x:color rgb="FF56647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24C"/>
      </x:patternFill>
    </x:fill>
    <x:fill>
      <x:patternFill patternType="solid">
        <x:fgColor rgb="FFF3F6FA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0E9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8F4D13"/>
      </x:font>
      <x:fill>
        <x:patternFill>
          <x:bgColor rgb="FFFFF1DE"/>
        </x:patternFill>
      </x:fill>
    </x:dxf>
    <x:dxf>
      <x:font>
        <x:b/>
        <x:color rgb="FF8F4D13"/>
      </x:font>
      <x:fill>
        <x:patternFill patternType="solid">
          <x:bgColor rgb="FFFFF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737ae85574083" /><Relationship Type="http://schemas.openxmlformats.org/officeDocument/2006/relationships/theme" Target="/xl/theme/theme1.xml" Id="Rbe0221b470634289" /><Relationship Type="http://schemas.openxmlformats.org/officeDocument/2006/relationships/sharedStrings" Target="/xl/sharedStrings.xml" Id="R04a369302ee5422d" /><Relationship Type="http://schemas.openxmlformats.org/officeDocument/2006/relationships/worksheet" Target="/xl/worksheets/sheet1.xml" Id="R1c4292ef5e074f02" /><Relationship Type="http://schemas.openxmlformats.org/officeDocument/2006/relationships/worksheet" Target="/xl/worksheets/sheet2.xml" Id="R4cf9429d3144483a" /><Relationship Type="http://schemas.openxmlformats.org/officeDocument/2006/relationships/worksheet" Target="/xl/worksheets/sheet3.xml" Id="R0e821656b3db4bbc" /></Relationships>
</file>

<file path=xl/tables/table1.xml><?xml version="1.0" encoding="utf-8"?>
<x:table xmlns:x="http://schemas.openxmlformats.org/spreadsheetml/2006/main" id="3" name="ScenarioMetricTable" displayName="ScenarioMetricTable" ref="A6:L186" headerRowCount="1" totalsRowCount="0" totalsRowShown="0">
  <x:tableColumns count="12">
    <x:tableColumn id="1" name="Scenario"/>
    <x:tableColumn id="2" name="Group"/>
    <x:tableColumn id="3" name="K"/>
    <x:tableColumn id="4" name="Positions"/>
    <x:tableColumn id="5" name="Hits"/>
    <x:tableColumn id="6" name="Relevant pool"/>
    <x:tableColumn id="7" name="DCG"/>
    <x:tableColumn id="8" name="Ideal DCG"/>
    <x:tableColumn id="9" name="Precision"/>
    <x:tableColumn id="10" name="Pool recall"/>
    <x:tableColumn id="11" name="NDCG"/>
    <x:tableColumn id="12" name="Unavailable reason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FrozenRatingTable" displayName="FrozenRatingTable" ref="A6:O583" headerRowCount="1" totalsRowCount="0" totalsRowShown="0">
  <x:tableColumns count="15">
    <x:tableColumn id="1" name="Scenario"/>
    <x:tableColumn id="2" name="Task ID"/>
    <x:tableColumn id="3" name="Listing ID"/>
    <x:tableColumn id="4" name="Round"/>
    <x:tableColumn id="5" name="Grade"/>
    <x:tableColumn id="6" name="Rent SGD/mo"/>
    <x:tableColumn id="7" name="Bedrooms"/>
    <x:tableColumn id="8" name="Area sqft"/>
    <x:tableColumn id="9" name="District"/>
    <x:tableColumn id="10" name="Property type"/>
    <x:tableColumn id="11" name="NUS distance m"/>
    <x:tableColumn id="12" name="Rating rationale"/>
    <x:tableColumn id="13" name="Source review"/>
    <x:tableColumn id="14" name="Evidence gap / source review reason"/>
    <x:tableColumn id="15" name="Source URL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01731c52de4d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c205ea36504f30" /></Relationships>
</file>

<file path=xl/worksheets/sheet1.xml><?xml version="1.0" encoding="utf-8"?>
<x:worksheet xmlns:x="http://schemas.openxmlformats.org/spreadsheetml/2006/main">
  <x:sheetPr>
    <x:tabColor rgb="FF20324C"/>
  </x:sheetPr>
  <x:sheetViews>
    <x:sheetView showGridLines="0" workbookViewId="0"/>
  </x:sheetViews>
  <x:sheetFormatPr defaultRowHeight="15"/>
  <x:cols>
    <x:col min="1" max="1" width="6.670000076293945" hidden="0" customWidth="1"/>
    <x:col min="2" max="2" width="14.4399995803833" hidden="0" customWidth="1"/>
    <x:col min="3" max="3" width="16.110000610351562" hidden="0" customWidth="1"/>
    <x:col min="4" max="4" width="12.220000267028809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11.1099996566772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Recommendation metrics by K</x:v>
      </x:c>
      <x:c r="B2" s="2"/>
      <x:c r="C2" s="2"/>
      <x:c r="D2" s="2"/>
      <x:c r="E2" s="2"/>
      <x:c r="F2" s="2"/>
      <x:c r="G2" s="2"/>
      <x:c r="H2" s="2"/>
    </x:row>
    <x:row r="3">
      <x:c r="A3" s="5" t="str">
        <x:v>Frozen main d5af7e1 | 9 October 2026 snapshot | Expanded judged pools | Revision 3</x:v>
      </x:c>
      <x:c r="B3" s="2"/>
      <x:c r="C3" s="2"/>
      <x:c r="D3" s="2"/>
      <x:c r="E3" s="2"/>
      <x:c r="F3" s="2"/>
      <x:c r="G3" s="2"/>
      <x:c r="H3" s="2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9" t="str">
        <x:v>K</x:v>
      </x:c>
      <x:c r="B6" s="9" t="str">
        <x:v>Precision</x:v>
      </x:c>
      <x:c r="C6" s="9" t="str">
        <x:v>Pool recall</x:v>
      </x:c>
      <x:c r="D6" s="9" t="str">
        <x:v>NDCG</x:v>
      </x:c>
      <x:c r="E6" s="9" t="str">
        <x:v>P cases</x:v>
      </x:c>
      <x:c r="F6" s="9" t="str">
        <x:v>R cases</x:v>
      </x:c>
      <x:c r="G6" s="9" t="str">
        <x:v>N cases</x:v>
      </x:c>
      <x:c r="H6" s="9" t="str">
        <x:v>Positions</x:v>
      </x:c>
    </x:row>
    <x:row r="7" ht="28" customHeight="1">
      <x:c r="A7" s="32" t="n">
        <x:v>1</x:v>
      </x:c>
      <x:c r="B7" s="33" t="n">
        <x:f>SUMIFS('Scenario metrics'!$I$7:$I$186,'Scenario metrics'!$C$7:$C$186,A7,'Scenario metrics'!$B$7:$B$186,"Primary")/E7</x:f>
        <x:v>0.9444444444444444</x:v>
      </x:c>
      <x:c r="C7" s="33" t="n">
        <x:f>SUMIFS('Scenario metrics'!$J$7:$J$186,'Scenario metrics'!$C$7:$C$186,A7,'Scenario metrics'!$B$7:$B$186,"Primary")/F7</x:f>
        <x:v>0.09548315967001086</x:v>
      </x:c>
      <x:c r="D7" s="34" t="n">
        <x:f>SUMIFS('Scenario metrics'!$K$7:$K$186,'Scenario metrics'!$C$7:$C$186,A7,'Scenario metrics'!$B$7:$B$186,"Primary")/G7</x:f>
        <x:v>1</x:v>
      </x:c>
      <x:c r="E7" s="32" t="n">
        <x:f>COUNTIFS('Scenario metrics'!$C$7:$C$186,A7,'Scenario metrics'!$B$7:$B$186,"Primary",'Scenario metrics'!$I$7:$I$186,"&gt;=0")</x:f>
        <x:v>18</x:v>
      </x:c>
      <x:c r="F7" s="32" t="n">
        <x:f>COUNTIFS('Scenario metrics'!$C$7:$C$186,A7,'Scenario metrics'!$B$7:$B$186,"Primary",'Scenario metrics'!$J$7:$J$186,"&gt;=0")</x:f>
        <x:v>17</x:v>
      </x:c>
      <x:c r="G7" s="32" t="n">
        <x:f>COUNTIFS('Scenario metrics'!$C$7:$C$186,A7,'Scenario metrics'!$B$7:$B$186,"Primary",'Scenario metrics'!$K$7:$K$186,"&gt;=0")</x:f>
        <x:v>18</x:v>
      </x:c>
      <x:c r="H7" s="32" t="n">
        <x:f>SUMIFS('Scenario metrics'!$D$7:$D$186,'Scenario metrics'!$C$7:$C$186,A7,'Scenario metrics'!$B$7:$B$186,"Primary")</x:f>
        <x:v>18</x:v>
      </x:c>
    </x:row>
    <x:row r="8" ht="28" customHeight="1">
      <x:c r="A8" s="35" t="n">
        <x:v>3</x:v>
      </x:c>
      <x:c r="B8" s="36" t="n">
        <x:f>SUMIFS('Scenario metrics'!$I$7:$I$186,'Scenario metrics'!$C$7:$C$186,A8,'Scenario metrics'!$B$7:$B$186,"Primary")/E8</x:f>
        <x:v>0.9444444444444444</x:v>
      </x:c>
      <x:c r="C8" s="36" t="n">
        <x:f>SUMIFS('Scenario metrics'!$J$7:$J$186,'Scenario metrics'!$C$7:$C$186,A8,'Scenario metrics'!$B$7:$B$186,"Primary")/F8</x:f>
        <x:v>0.28644947901003265</x:v>
      </x:c>
      <x:c r="D8" s="37" t="n">
        <x:f>SUMIFS('Scenario metrics'!$K$7:$K$186,'Scenario metrics'!$C$7:$C$186,A8,'Scenario metrics'!$B$7:$B$186,"Primary")/G8</x:f>
        <x:v>1</x:v>
      </x:c>
      <x:c r="E8" s="35" t="n">
        <x:f>COUNTIFS('Scenario metrics'!$C$7:$C$186,A8,'Scenario metrics'!$B$7:$B$186,"Primary",'Scenario metrics'!$I$7:$I$186,"&gt;=0")</x:f>
        <x:v>18</x:v>
      </x:c>
      <x:c r="F8" s="35" t="n">
        <x:f>COUNTIFS('Scenario metrics'!$C$7:$C$186,A8,'Scenario metrics'!$B$7:$B$186,"Primary",'Scenario metrics'!$J$7:$J$186,"&gt;=0")</x:f>
        <x:v>17</x:v>
      </x:c>
      <x:c r="G8" s="35" t="n">
        <x:f>COUNTIFS('Scenario metrics'!$C$7:$C$186,A8,'Scenario metrics'!$B$7:$B$186,"Primary",'Scenario metrics'!$K$7:$K$186,"&gt;=0")</x:f>
        <x:v>18</x:v>
      </x:c>
      <x:c r="H8" s="35" t="n">
        <x:f>SUMIFS('Scenario metrics'!$D$7:$D$186,'Scenario metrics'!$C$7:$C$186,A8,'Scenario metrics'!$B$7:$B$186,"Primary")</x:f>
        <x:v>54</x:v>
      </x:c>
    </x:row>
    <x:row r="9" ht="28" customHeight="1">
      <x:c r="A9" s="32" t="n">
        <x:v>4</x:v>
      </x:c>
      <x:c r="B9" s="33" t="n">
        <x:f>SUMIFS('Scenario metrics'!$I$7:$I$186,'Scenario metrics'!$C$7:$C$186,A9,'Scenario metrics'!$B$7:$B$186,"Primary")/E9</x:f>
        <x:v>0.9305555555555556</x:v>
      </x:c>
      <x:c r="C9" s="33" t="n">
        <x:f>SUMIFS('Scenario metrics'!$J$7:$J$186,'Scenario metrics'!$C$7:$C$186,A9,'Scenario metrics'!$B$7:$B$186,"Primary")/F9</x:f>
        <x:v>0.3623247955427886</x:v>
      </x:c>
      <x:c r="D9" s="34" t="n">
        <x:f>SUMIFS('Scenario metrics'!$K$7:$K$186,'Scenario metrics'!$C$7:$C$186,A9,'Scenario metrics'!$B$7:$B$186,"Primary")/G9</x:f>
        <x:v>1</x:v>
      </x:c>
      <x:c r="E9" s="32" t="n">
        <x:f>COUNTIFS('Scenario metrics'!$C$7:$C$186,A9,'Scenario metrics'!$B$7:$B$186,"Primary",'Scenario metrics'!$I$7:$I$186,"&gt;=0")</x:f>
        <x:v>18</x:v>
      </x:c>
      <x:c r="F9" s="32" t="n">
        <x:f>COUNTIFS('Scenario metrics'!$C$7:$C$186,A9,'Scenario metrics'!$B$7:$B$186,"Primary",'Scenario metrics'!$J$7:$J$186,"&gt;=0")</x:f>
        <x:v>17</x:v>
      </x:c>
      <x:c r="G9" s="32" t="n">
        <x:f>COUNTIFS('Scenario metrics'!$C$7:$C$186,A9,'Scenario metrics'!$B$7:$B$186,"Primary",'Scenario metrics'!$K$7:$K$186,"&gt;=0")</x:f>
        <x:v>18</x:v>
      </x:c>
      <x:c r="H9" s="32" t="n">
        <x:f>SUMIFS('Scenario metrics'!$D$7:$D$186,'Scenario metrics'!$C$7:$C$186,A9,'Scenario metrics'!$B$7:$B$186,"Primary")</x:f>
        <x:v>71</x:v>
      </x:c>
    </x:row>
    <x:row r="10" ht="28" customHeight="1">
      <x:c r="A10" s="35" t="n">
        <x:v>5</x:v>
      </x:c>
      <x:c r="B10" s="36" t="n">
        <x:f>SUMIFS('Scenario metrics'!$I$7:$I$186,'Scenario metrics'!$C$7:$C$186,A10,'Scenario metrics'!$B$7:$B$186,"Primary")/E10</x:f>
        <x:v>0.9222222222222223</x:v>
      </x:c>
      <x:c r="C10" s="36" t="n">
        <x:f>SUMIFS('Scenario metrics'!$J$7:$J$186,'Scenario metrics'!$C$7:$C$186,A10,'Scenario metrics'!$B$7:$B$186,"Primary")/F10</x:f>
        <x:v>0.43820011207554455</x:v>
      </x:c>
      <x:c r="D10" s="37" t="n">
        <x:f>SUMIFS('Scenario metrics'!$K$7:$K$186,'Scenario metrics'!$C$7:$C$186,A10,'Scenario metrics'!$B$7:$B$186,"Primary")/G10</x:f>
        <x:v>1</x:v>
      </x:c>
      <x:c r="E10" s="35" t="n">
        <x:f>COUNTIFS('Scenario metrics'!$C$7:$C$186,A10,'Scenario metrics'!$B$7:$B$186,"Primary",'Scenario metrics'!$I$7:$I$186,"&gt;=0")</x:f>
        <x:v>18</x:v>
      </x:c>
      <x:c r="F10" s="35" t="n">
        <x:f>COUNTIFS('Scenario metrics'!$C$7:$C$186,A10,'Scenario metrics'!$B$7:$B$186,"Primary",'Scenario metrics'!$J$7:$J$186,"&gt;=0")</x:f>
        <x:v>17</x:v>
      </x:c>
      <x:c r="G10" s="35" t="n">
        <x:f>COUNTIFS('Scenario metrics'!$C$7:$C$186,A10,'Scenario metrics'!$B$7:$B$186,"Primary",'Scenario metrics'!$K$7:$K$186,"&gt;=0")</x:f>
        <x:v>18</x:v>
      </x:c>
      <x:c r="H10" s="35" t="n">
        <x:f>SUMIFS('Scenario metrics'!$D$7:$D$186,'Scenario metrics'!$C$7:$C$186,A10,'Scenario metrics'!$B$7:$B$186,"Primary")</x:f>
        <x:v>88</x:v>
      </x:c>
    </x:row>
    <x:row r="11" ht="28" customHeight="1">
      <x:c r="A11" s="32" t="n">
        <x:v>6</x:v>
      </x:c>
      <x:c r="B11" s="33" t="n">
        <x:f>SUMIFS('Scenario metrics'!$I$7:$I$186,'Scenario metrics'!$C$7:$C$186,A11,'Scenario metrics'!$B$7:$B$186,"Primary")/E11</x:f>
        <x:v>0.9166666666666666</x:v>
      </x:c>
      <x:c r="C11" s="33" t="n">
        <x:f>SUMIFS('Scenario metrics'!$J$7:$J$186,'Scenario metrics'!$C$7:$C$186,A11,'Scenario metrics'!$B$7:$B$186,"Primary")/F11</x:f>
        <x:v>0.5140754286083006</x:v>
      </x:c>
      <x:c r="D11" s="34" t="n">
        <x:f>SUMIFS('Scenario metrics'!$K$7:$K$186,'Scenario metrics'!$C$7:$C$186,A11,'Scenario metrics'!$B$7:$B$186,"Primary")/G11</x:f>
        <x:v>0.996578122078587</x:v>
      </x:c>
      <x:c r="E11" s="32" t="n">
        <x:f>COUNTIFS('Scenario metrics'!$C$7:$C$186,A11,'Scenario metrics'!$B$7:$B$186,"Primary",'Scenario metrics'!$I$7:$I$186,"&gt;=0")</x:f>
        <x:v>18</x:v>
      </x:c>
      <x:c r="F11" s="32" t="n">
        <x:f>COUNTIFS('Scenario metrics'!$C$7:$C$186,A11,'Scenario metrics'!$B$7:$B$186,"Primary",'Scenario metrics'!$J$7:$J$186,"&gt;=0")</x:f>
        <x:v>17</x:v>
      </x:c>
      <x:c r="G11" s="32" t="n">
        <x:f>COUNTIFS('Scenario metrics'!$C$7:$C$186,A11,'Scenario metrics'!$B$7:$B$186,"Primary",'Scenario metrics'!$K$7:$K$186,"&gt;=0")</x:f>
        <x:v>18</x:v>
      </x:c>
      <x:c r="H11" s="32" t="n">
        <x:f>SUMIFS('Scenario metrics'!$D$7:$D$186,'Scenario metrics'!$C$7:$C$186,A11,'Scenario metrics'!$B$7:$B$186,"Primary")</x:f>
        <x:v>105</x:v>
      </x:c>
    </x:row>
    <x:row r="12" ht="28" customHeight="1">
      <x:c r="A12" s="35" t="n">
        <x:v>7</x:v>
      </x:c>
      <x:c r="B12" s="36" t="n">
        <x:f>SUMIFS('Scenario metrics'!$I$7:$I$186,'Scenario metrics'!$C$7:$C$186,A12,'Scenario metrics'!$B$7:$B$186,"Primary")/E12</x:f>
        <x:v>0.896825396825397</x:v>
      </x:c>
      <x:c r="C12" s="36" t="n">
        <x:f>SUMIFS('Scenario metrics'!$J$7:$J$186,'Scenario metrics'!$C$7:$C$186,A12,'Scenario metrics'!$B$7:$B$186,"Primary")/F12</x:f>
        <x:v>0.5762252549449781</x:v>
      </x:c>
      <x:c r="D12" s="37" t="n">
        <x:f>SUMIFS('Scenario metrics'!$K$7:$K$186,'Scenario metrics'!$C$7:$C$186,A12,'Scenario metrics'!$B$7:$B$186,"Primary")/G12</x:f>
        <x:v>0.9923568001365355</x:v>
      </x:c>
      <x:c r="E12" s="35" t="n">
        <x:f>COUNTIFS('Scenario metrics'!$C$7:$C$186,A12,'Scenario metrics'!$B$7:$B$186,"Primary",'Scenario metrics'!$I$7:$I$186,"&gt;=0")</x:f>
        <x:v>18</x:v>
      </x:c>
      <x:c r="F12" s="35" t="n">
        <x:f>COUNTIFS('Scenario metrics'!$C$7:$C$186,A12,'Scenario metrics'!$B$7:$B$186,"Primary",'Scenario metrics'!$J$7:$J$186,"&gt;=0")</x:f>
        <x:v>17</x:v>
      </x:c>
      <x:c r="G12" s="35" t="n">
        <x:f>COUNTIFS('Scenario metrics'!$C$7:$C$186,A12,'Scenario metrics'!$B$7:$B$186,"Primary",'Scenario metrics'!$K$7:$K$186,"&gt;=0")</x:f>
        <x:v>18</x:v>
      </x:c>
      <x:c r="H12" s="35" t="n">
        <x:f>SUMIFS('Scenario metrics'!$D$7:$D$186,'Scenario metrics'!$C$7:$C$186,A12,'Scenario metrics'!$B$7:$B$186,"Primary")</x:f>
        <x:v>122</x:v>
      </x:c>
    </x:row>
    <x:row r="13" ht="28" customHeight="1">
      <x:c r="A13" s="32" t="n">
        <x:v>8</x:v>
      </x:c>
      <x:c r="B13" s="33" t="n">
        <x:f>SUMIFS('Scenario metrics'!$I$7:$I$186,'Scenario metrics'!$C$7:$C$186,A13,'Scenario metrics'!$B$7:$B$186,"Primary")/E13</x:f>
        <x:v>0.8888888888888888</x:v>
      </x:c>
      <x:c r="C13" s="33" t="n">
        <x:f>SUMIFS('Scenario metrics'!$J$7:$J$186,'Scenario metrics'!$C$7:$C$186,A13,'Scenario metrics'!$B$7:$B$186,"Primary")/F13</x:f>
        <x:v>0.6422966499091067</x:v>
      </x:c>
      <x:c r="D13" s="34" t="n">
        <x:f>SUMIFS('Scenario metrics'!$K$7:$K$186,'Scenario metrics'!$C$7:$C$186,A13,'Scenario metrics'!$B$7:$B$186,"Primary")/G13</x:f>
        <x:v>0.9956240242417963</x:v>
      </x:c>
      <x:c r="E13" s="32" t="n">
        <x:f>COUNTIFS('Scenario metrics'!$C$7:$C$186,A13,'Scenario metrics'!$B$7:$B$186,"Primary",'Scenario metrics'!$I$7:$I$186,"&gt;=0")</x:f>
        <x:v>18</x:v>
      </x:c>
      <x:c r="F13" s="32" t="n">
        <x:f>COUNTIFS('Scenario metrics'!$C$7:$C$186,A13,'Scenario metrics'!$B$7:$B$186,"Primary",'Scenario metrics'!$J$7:$J$186,"&gt;=0")</x:f>
        <x:v>17</x:v>
      </x:c>
      <x:c r="G13" s="32" t="n">
        <x:f>COUNTIFS('Scenario metrics'!$C$7:$C$186,A13,'Scenario metrics'!$B$7:$B$186,"Primary",'Scenario metrics'!$K$7:$K$186,"&gt;=0")</x:f>
        <x:v>18</x:v>
      </x:c>
      <x:c r="H13" s="32" t="n">
        <x:f>SUMIFS('Scenario metrics'!$D$7:$D$186,'Scenario metrics'!$C$7:$C$186,A13,'Scenario metrics'!$B$7:$B$186,"Primary")</x:f>
        <x:v>139</x:v>
      </x:c>
    </x:row>
    <x:row r="14" ht="28" customHeight="1">
      <x:c r="A14" s="35" t="n">
        <x:v>9</x:v>
      </x:c>
      <x:c r="B14" s="36" t="n">
        <x:f>SUMIFS('Scenario metrics'!$I$7:$I$186,'Scenario metrics'!$C$7:$C$186,A14,'Scenario metrics'!$B$7:$B$186,"Primary")/E14</x:f>
        <x:v>0.8765432098765432</x:v>
      </x:c>
      <x:c r="C14" s="36" t="n">
        <x:f>SUMIFS('Scenario metrics'!$J$7:$J$186,'Scenario metrics'!$C$7:$C$186,A14,'Scenario metrics'!$B$7:$B$186,"Primary")/F14</x:f>
        <x:v>0.7018320971608168</x:v>
      </x:c>
      <x:c r="D14" s="37" t="n">
        <x:f>SUMIFS('Scenario metrics'!$K$7:$K$186,'Scenario metrics'!$C$7:$C$186,A14,'Scenario metrics'!$B$7:$B$186,"Primary")/G14</x:f>
        <x:v>0.9941864587714692</x:v>
      </x:c>
      <x:c r="E14" s="35" t="n">
        <x:f>COUNTIFS('Scenario metrics'!$C$7:$C$186,A14,'Scenario metrics'!$B$7:$B$186,"Primary",'Scenario metrics'!$I$7:$I$186,"&gt;=0")</x:f>
        <x:v>18</x:v>
      </x:c>
      <x:c r="F14" s="35" t="n">
        <x:f>COUNTIFS('Scenario metrics'!$C$7:$C$186,A14,'Scenario metrics'!$B$7:$B$186,"Primary",'Scenario metrics'!$J$7:$J$186,"&gt;=0")</x:f>
        <x:v>17</x:v>
      </x:c>
      <x:c r="G14" s="35" t="n">
        <x:f>COUNTIFS('Scenario metrics'!$C$7:$C$186,A14,'Scenario metrics'!$B$7:$B$186,"Primary",'Scenario metrics'!$K$7:$K$186,"&gt;=0")</x:f>
        <x:v>18</x:v>
      </x:c>
      <x:c r="H14" s="35" t="n">
        <x:f>SUMIFS('Scenario metrics'!$D$7:$D$186,'Scenario metrics'!$C$7:$C$186,A14,'Scenario metrics'!$B$7:$B$186,"Primary")</x:f>
        <x:v>156</x:v>
      </x:c>
    </x:row>
    <x:row r="15" ht="28" customHeight="1">
      <x:c r="A15" s="32" t="n">
        <x:v>10</x:v>
      </x:c>
      <x:c r="B15" s="33" t="n">
        <x:f>SUMIFS('Scenario metrics'!$I$7:$I$186,'Scenario metrics'!$C$7:$C$186,A15,'Scenario metrics'!$B$7:$B$186,"Primary")/E15</x:f>
        <x:v>0.8666666666666667</x:v>
      </x:c>
      <x:c r="C15" s="33" t="n">
        <x:f>SUMIFS('Scenario metrics'!$J$7:$J$186,'Scenario metrics'!$C$7:$C$186,A15,'Scenario metrics'!$B$7:$B$186,"Primary")/F15</x:f>
        <x:v>0.761367544412527</x:v>
      </x:c>
      <x:c r="D15" s="34" t="n">
        <x:f>SUMIFS('Scenario metrics'!$K$7:$K$186,'Scenario metrics'!$C$7:$C$186,A15,'Scenario metrics'!$B$7:$B$186,"Primary")/G15</x:f>
        <x:v>0.9964247886855926</x:v>
      </x:c>
      <x:c r="E15" s="32" t="n">
        <x:f>COUNTIFS('Scenario metrics'!$C$7:$C$186,A15,'Scenario metrics'!$B$7:$B$186,"Primary",'Scenario metrics'!$I$7:$I$186,"&gt;=0")</x:f>
        <x:v>18</x:v>
      </x:c>
      <x:c r="F15" s="32" t="n">
        <x:f>COUNTIFS('Scenario metrics'!$C$7:$C$186,A15,'Scenario metrics'!$B$7:$B$186,"Primary",'Scenario metrics'!$J$7:$J$186,"&gt;=0")</x:f>
        <x:v>17</x:v>
      </x:c>
      <x:c r="G15" s="32" t="n">
        <x:f>COUNTIFS('Scenario metrics'!$C$7:$C$186,A15,'Scenario metrics'!$B$7:$B$186,"Primary",'Scenario metrics'!$K$7:$K$186,"&gt;=0")</x:f>
        <x:v>18</x:v>
      </x:c>
      <x:c r="H15" s="32" t="n">
        <x:f>SUMIFS('Scenario metrics'!$D$7:$D$186,'Scenario metrics'!$C$7:$C$186,A15,'Scenario metrics'!$B$7:$B$186,"Primary")</x:f>
        <x:v>173</x:v>
      </x:c>
    </x:row>
    <x:row r="16" ht="20" customHeight="1">
      <x:c r="A16" s="2"/>
      <x:c r="B16" s="2"/>
      <x:c r="C16" s="2"/>
      <x:c r="D16" s="2"/>
      <x:c r="E16" s="2"/>
      <x:c r="F16" s="2"/>
      <x:c r="G16" s="2"/>
      <x:c r="H16" s="2"/>
    </x:row>
    <x:row r="17" ht="20" customHeight="1">
      <x:c r="A17" s="5" t="str">
        <x:v>All K share one expanded pool per case. Recall covers judged candidates, not the full database.</x:v>
      </x:c>
      <x:c r="B17" s="2"/>
      <x:c r="C17" s="2"/>
      <x:c r="D17" s="2"/>
      <x:c r="E17" s="2"/>
      <x:c r="F17" s="2"/>
      <x:c r="G17" s="2"/>
      <x:c r="H17" s="2"/>
    </x:row>
    <x:row r="18" ht="20" customHeight="1">
      <x:c r="A18" s="5" t="str">
        <x:v>K=5-10 use saved rankings. The production response limit remains four.</x:v>
      </x:c>
      <x:c r="B18" s="2"/>
      <x:c r="C18" s="2"/>
      <x:c r="D18" s="2"/>
      <x:c r="E18" s="2"/>
      <x:c r="F18" s="2"/>
      <x:c r="G18" s="2"/>
      <x:c r="H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</x:row>
    <x:row r="21" ht="34" customHeight="1">
      <x:c r="A21" s="9" t="str">
        <x:v>K</x:v>
      </x:c>
      <x:c r="B21" s="9" t="str">
        <x:v>Original recall</x:v>
      </x:c>
      <x:c r="C21" s="9" t="str">
        <x:v>Restated recall</x:v>
      </x:c>
      <x:c r="D21" s="9" t="str">
        <x:v>Change (pp)</x:v>
      </x:c>
      <x:c r="E21" s="2"/>
      <x:c r="F21" s="2"/>
      <x:c r="G21" s="2"/>
      <x:c r="H21" s="2"/>
    </x:row>
    <x:row r="22" ht="26" customHeight="1">
      <x:c r="A22" s="10" t="n">
        <x:v>1</x:v>
      </x:c>
      <x:c r="B22" s="11" t="n">
        <x:v>0.13813474107591756</x:v>
      </x:c>
      <x:c r="C22" s="11" t="n">
        <x:f>C7</x:f>
        <x:v>0.09548315967001086</x:v>
      </x:c>
      <x:c r="D22" s="22" t="n">
        <x:f>(C22-B22)*100</x:f>
        <x:v>-4.265158140590669</x:v>
      </x:c>
      <x:c r="E22" s="2"/>
      <x:c r="F22" s="2"/>
      <x:c r="G22" s="2"/>
      <x:c r="H22" s="2"/>
    </x:row>
    <x:row r="23" ht="26" customHeight="1">
      <x:c r="A23" s="2" t="n">
        <x:v>3</x:v>
      </x:c>
      <x:c r="B23" s="12" t="n">
        <x:v>0.4144042232277526</x:v>
      </x:c>
      <x:c r="C23" s="12" t="n">
        <x:f>C8</x:f>
        <x:v>0.28644947901003265</x:v>
      </x:c>
      <x:c r="D23" s="21" t="n">
        <x:f>(C23-B23)*100</x:f>
        <x:v>-12.795474421771996</x:v>
      </x:c>
      <x:c r="E23" s="2"/>
      <x:c r="F23" s="2"/>
      <x:c r="G23" s="2"/>
      <x:c r="H23" s="2"/>
    </x:row>
    <x:row r="24" ht="26" customHeight="1">
      <x:c r="A24" s="10" t="n">
        <x:v>4</x:v>
      </x:c>
      <x:c r="B24" s="11" t="n">
        <x:v>0.5329311211664153</x:v>
      </x:c>
      <x:c r="C24" s="11" t="n">
        <x:f>C9</x:f>
        <x:v>0.3623247955427886</x:v>
      </x:c>
      <x:c r="D24" s="22" t="n">
        <x:f>(C24-B24)*100</x:f>
        <x:v>-17.060632562362667</x:v>
      </x:c>
      <x:c r="E24" s="2"/>
      <x:c r="F24" s="2"/>
      <x:c r="G24" s="2"/>
      <x:c r="H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</x:row>
    <x:row r="26" ht="20" customHeight="1">
      <x:c r="A26" s="5" t="str">
        <x:v>Revision 2 added 77 ratings. Revision 3 preserves all 577 labels and adds cutoffs 6, 7, 8 and 9.</x:v>
      </x:c>
      <x:c r="B26" s="2"/>
      <x:c r="C26" s="2"/>
      <x:c r="D26" s="2"/>
      <x:c r="E26" s="2"/>
      <x:c r="F26" s="2"/>
      <x:c r="G26" s="2"/>
      <x:c r="H26" s="2"/>
    </x:row>
    <x:row r="27" ht="20" customHeight="1">
      <x:c r="A27" s="5"/>
      <x:c r="B27" s="2"/>
      <x:c r="C27" s="2"/>
      <x:c r="D27" s="2"/>
      <x:c r="E27" s="2"/>
      <x:c r="F27" s="2"/>
      <x:c r="G27" s="2"/>
      <x:c r="H27" s="2"/>
    </x:row>
    <x:row r="28" ht="20" customHeight="1">
      <x:c r="A28" s="5" t="str">
        <x:v>Single model-assisted assessor; independent human validation is pending.</x:v>
      </x:c>
      <x:c r="B28" s="2"/>
      <x:c r="C28" s="2"/>
      <x:c r="D28" s="2"/>
      <x:c r="E28" s="2"/>
      <x:c r="F28" s="2"/>
      <x:c r="G28" s="2"/>
      <x:c r="H28" s="2"/>
    </x:row>
    <x:row r="29" ht="20" customHeight="1">
      <x:c r="A29" s="5" t="str">
        <x:v>Frozen inputs: metrics/Per_Scenario_Metrics.json and history/v1/metrics/Metrics_Summary.json.</x:v>
      </x:c>
      <x:c r="B29" s="2"/>
      <x:c r="C29" s="2"/>
      <x:c r="D29" s="2"/>
      <x:c r="E29" s="2"/>
      <x:c r="F29" s="2"/>
      <x:c r="G29" s="2"/>
      <x:c r="H29" s="2"/>
    </x:row>
    <x:row r="30" ht="20" customHeight="1"/>
    <x:row r="31" ht="20" customHeight="1">
      <x:c r="A31" s="38" t="str">
        <x:v>Rank 6 adds 16 relevant choices out of 17. Rank 7 adds 14 out of 17.</x:v>
      </x:c>
      <x:c r="B31" s="38"/>
      <x:c r="C31" s="38"/>
      <x:c r="D31" s="38"/>
      <x:c r="E31" s="38"/>
      <x:c r="F31" s="38"/>
      <x:c r="G31" s="38"/>
      <x:c r="H31" s="38"/>
    </x:row>
    <x:row r="32" ht="20" customHeight="1">
      <x:c r="A32" s="38" t="str">
        <x:v>Compare 5 and 6 as default display options; prioritize validation of 6, with optional expansion to 10.</x:v>
      </x:c>
      <x:c r="B32" s="38"/>
      <x:c r="C32" s="38"/>
      <x:c r="D32" s="38"/>
      <x:c r="E32" s="38"/>
      <x:c r="F32" s="38"/>
      <x:c r="G32" s="38"/>
      <x:c r="H32" s="38"/>
    </x:row>
    <x:row r="33" ht="20" customHeight="1">
      <x:c r="A33" s="38" t="str">
        <x:v>Independent human ratings and live interface acceptance remain pending.</x:v>
      </x:c>
      <x:c r="B33" s="38"/>
      <x:c r="C33" s="38"/>
      <x:c r="D33" s="38"/>
      <x:c r="E33" s="38"/>
      <x:c r="F33" s="38"/>
      <x:c r="G33" s="38"/>
      <x:c r="H33" s="3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8000020980835" hidden="0" customWidth="1"/>
    <x:col min="2" max="2" width="10" hidden="0" customWidth="1"/>
    <x:col min="3" max="3" width="5.559999942779541" hidden="0" customWidth="1"/>
    <x:col min="4" max="4" width="9.4399995803833" hidden="0" customWidth="1"/>
    <x:col min="5" max="5" width="9.4399995803833" hidden="0" customWidth="1"/>
    <x:col min="6" max="6" width="11.109999656677246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26.1100006103515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9" customHeight="1">
      <x:c r="A2" s="3" t="str">
        <x:v>Scenario metrics and denominators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 t="str">
        <x:v>Source: metrics/Per_Scenario_Metrics.json. Frozen counts and discounted gains feed the ratio formulas.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3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>
      <x:c r="A5" s="5" t="str">
        <x:v>Precision = hits / K. Recall = hits / relevant pool. NDCG = DCG / ideal DCG. N/A remains unavailable.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9" t="str">
        <x:v>Scenario</x:v>
      </x:c>
      <x:c r="B6" s="9" t="str">
        <x:v>Group</x:v>
      </x:c>
      <x:c r="C6" s="9" t="str">
        <x:v>K</x:v>
      </x:c>
      <x:c r="D6" s="9" t="str">
        <x:v>Positions</x:v>
      </x:c>
      <x:c r="E6" s="9" t="str">
        <x:v>Hits</x:v>
      </x:c>
      <x:c r="F6" s="9" t="str">
        <x:v>Relevant pool</x:v>
      </x:c>
      <x:c r="G6" s="9" t="str">
        <x:v>DCG</x:v>
      </x:c>
      <x:c r="H6" s="9" t="str">
        <x:v>Ideal DCG</x:v>
      </x:c>
      <x:c r="I6" s="9" t="str">
        <x:v>Precision</x:v>
      </x:c>
      <x:c r="J6" s="9" t="str">
        <x:v>Pool recall</x:v>
      </x:c>
      <x:c r="K6" s="9" t="str">
        <x:v>NDCG</x:v>
      </x:c>
      <x:c r="L6" s="9" t="str">
        <x:v>Unavailable reason</x:v>
      </x:c>
    </x:row>
    <x:row r="7" ht="24" customHeight="1">
      <x:c r="A7" s="10" t="str">
        <x:v>S01</x:v>
      </x:c>
      <x:c r="B7" s="10" t="str">
        <x:v>Primary</x:v>
      </x:c>
      <x:c r="C7" s="10" t="n">
        <x:v>1</x:v>
      </x:c>
      <x:c r="D7" s="10" t="n">
        <x:v>1</x:v>
      </x:c>
      <x:c r="E7" s="10" t="n">
        <x:v>1</x:v>
      </x:c>
      <x:c r="F7" s="10" t="n">
        <x:v>17</x:v>
      </x:c>
      <x:c r="G7" s="24" t="n">
        <x:v>7</x:v>
      </x:c>
      <x:c r="H7" s="24" t="n">
        <x:v>7</x:v>
      </x:c>
      <x:c r="I7" s="11" t="n">
        <x:f>IF(B7="Control","N/A",E7/C7)</x:f>
        <x:v>1</x:v>
      </x:c>
      <x:c r="J7" s="11" t="n">
        <x:f>IF(OR(B7="Control",F7=0),"N/A",E7/F7)</x:f>
        <x:v>0.058823529411764705</x:v>
      </x:c>
      <x:c r="K7" s="13" t="n">
        <x:f>IF(OR(B7="Control",H7=0),"N/A",G7/H7)</x:f>
        <x:v>1</x:v>
      </x:c>
      <x:c r="L7" s="10" t="str"/>
    </x:row>
    <x:row r="8" ht="24" customHeight="1">
      <x:c r="A8" s="2" t="str">
        <x:v>S01</x:v>
      </x:c>
      <x:c r="B8" s="2" t="str">
        <x:v>Primary</x:v>
      </x:c>
      <x:c r="C8" s="2" t="n">
        <x:v>3</x:v>
      </x:c>
      <x:c r="D8" s="2" t="n">
        <x:v>3</x:v>
      </x:c>
      <x:c r="E8" s="2" t="n">
        <x:v>3</x:v>
      </x:c>
      <x:c r="F8" s="2" t="n">
        <x:v>17</x:v>
      </x:c>
      <x:c r="G8" s="25" t="n">
        <x:v>14.916508275000202</x:v>
      </x:c>
      <x:c r="H8" s="25" t="n">
        <x:v>14.916508275000202</x:v>
      </x:c>
      <x:c r="I8" s="12" t="n">
        <x:f>IF(B8="Control","N/A",E8/C8)</x:f>
        <x:v>1</x:v>
      </x:c>
      <x:c r="J8" s="12" t="n">
        <x:f>IF(OR(B8="Control",F8=0),"N/A",E8/F8)</x:f>
        <x:v>0.17647058823529413</x:v>
      </x:c>
      <x:c r="K8" s="14" t="n">
        <x:f>IF(OR(B8="Control",H8=0),"N/A",G8/H8)</x:f>
        <x:v>1</x:v>
      </x:c>
      <x:c r="L8" s="2" t="str"/>
    </x:row>
    <x:row r="9" ht="24" customHeight="1">
      <x:c r="A9" s="10" t="str">
        <x:v>S01</x:v>
      </x:c>
      <x:c r="B9" s="10" t="str">
        <x:v>Primary</x:v>
      </x:c>
      <x:c r="C9" s="10" t="n">
        <x:v>4</x:v>
      </x:c>
      <x:c r="D9" s="10" t="n">
        <x:v>4</x:v>
      </x:c>
      <x:c r="E9" s="10" t="n">
        <x:v>4</x:v>
      </x:c>
      <x:c r="F9" s="10" t="n">
        <x:v>17</x:v>
      </x:c>
      <x:c r="G9" s="24" t="n">
        <x:v>17.931244181513954</x:v>
      </x:c>
      <x:c r="H9" s="24" t="n">
        <x:v>17.931244181513954</x:v>
      </x:c>
      <x:c r="I9" s="11" t="n">
        <x:f>IF(B9="Control","N/A",E9/C9)</x:f>
        <x:v>1</x:v>
      </x:c>
      <x:c r="J9" s="11" t="n">
        <x:f>IF(OR(B9="Control",F9=0),"N/A",E9/F9)</x:f>
        <x:v>0.23529411764705882</x:v>
      </x:c>
      <x:c r="K9" s="13" t="n">
        <x:f>IF(OR(B9="Control",H9=0),"N/A",G9/H9)</x:f>
        <x:v>1</x:v>
      </x:c>
      <x:c r="L9" s="10" t="str"/>
    </x:row>
    <x:row r="10" ht="24" customHeight="1">
      <x:c r="A10" s="2" t="str">
        <x:v>S01</x:v>
      </x:c>
      <x:c r="B10" s="2" t="str">
        <x:v>Primary</x:v>
      </x:c>
      <x:c r="C10" s="2" t="n">
        <x:v>5</x:v>
      </x:c>
      <x:c r="D10" s="2" t="n">
        <x:v>5</x:v>
      </x:c>
      <x:c r="E10" s="2" t="n">
        <x:v>5</x:v>
      </x:c>
      <x:c r="F10" s="2" t="n">
        <x:v>17</x:v>
      </x:c>
      <x:c r="G10" s="25" t="n">
        <x:v>20.639213832155747</x:v>
      </x:c>
      <x:c r="H10" s="25" t="n">
        <x:v>20.639213832155747</x:v>
      </x:c>
      <x:c r="I10" s="12" t="n">
        <x:f>IF(B10="Control","N/A",E10/C10)</x:f>
        <x:v>1</x:v>
      </x:c>
      <x:c r="J10" s="12" t="n">
        <x:f>IF(OR(B10="Control",F10=0),"N/A",E10/F10)</x:f>
        <x:v>0.29411764705882354</x:v>
      </x:c>
      <x:c r="K10" s="14" t="n">
        <x:f>IF(OR(B10="Control",H10=0),"N/A",G10/H10)</x:f>
        <x:v>1</x:v>
      </x:c>
      <x:c r="L10" s="2" t="str"/>
    </x:row>
    <x:row r="11" ht="24" customHeight="1">
      <x:c r="A11" s="10" t="str">
        <x:v>S01</x:v>
      </x:c>
      <x:c r="B11" s="10" t="str">
        <x:v>Primary</x:v>
      </x:c>
      <x:c r="C11" s="10" t="n">
        <x:v>6</x:v>
      </x:c>
      <x:c r="D11" s="10" t="n">
        <x:v>6</x:v>
      </x:c>
      <x:c r="E11" s="10" t="n">
        <x:v>6</x:v>
      </x:c>
      <x:c r="F11" s="10" t="n">
        <x:v>17</x:v>
      </x:c>
      <x:c r="G11" s="24" t="n">
        <x:v>23.1326641419119</x:v>
      </x:c>
      <x:c r="H11" s="24" t="n">
        <x:v>23.1326641419119</x:v>
      </x:c>
      <x:c r="I11" s="11" t="n">
        <x:f>IF(B11="Control","N/A",E11/C11)</x:f>
        <x:v>1</x:v>
      </x:c>
      <x:c r="J11" s="11" t="n">
        <x:f>IF(OR(B11="Control",F11=0),"N/A",E11/F11)</x:f>
        <x:v>0.35294117647058826</x:v>
      </x:c>
      <x:c r="K11" s="13" t="n">
        <x:f>IF(OR(B11="Control",H11=0),"N/A",G11/H11)</x:f>
        <x:v>1</x:v>
      </x:c>
      <x:c r="L11" s="10" t="str"/>
    </x:row>
    <x:row r="12" ht="24" customHeight="1">
      <x:c r="A12" s="2" t="str">
        <x:v>S01</x:v>
      </x:c>
      <x:c r="B12" s="2" t="str">
        <x:v>Primary</x:v>
      </x:c>
      <x:c r="C12" s="2" t="n">
        <x:v>7</x:v>
      </x:c>
      <x:c r="D12" s="2" t="n">
        <x:v>7</x:v>
      </x:c>
      <x:c r="E12" s="2" t="n">
        <x:v>7</x:v>
      </x:c>
      <x:c r="F12" s="2" t="n">
        <x:v>17</x:v>
      </x:c>
      <x:c r="G12" s="25" t="n">
        <x:v>25.465997475245235</x:v>
      </x:c>
      <x:c r="H12" s="25" t="n">
        <x:v>25.465997475245235</x:v>
      </x:c>
      <x:c r="I12" s="12" t="n">
        <x:f>IF(B12="Control","N/A",E12/C12)</x:f>
        <x:v>1</x:v>
      </x:c>
      <x:c r="J12" s="12" t="n">
        <x:f>IF(OR(B12="Control",F12=0),"N/A",E12/F12)</x:f>
        <x:v>0.4117647058823529</x:v>
      </x:c>
      <x:c r="K12" s="14" t="n">
        <x:f>IF(OR(B12="Control",H12=0),"N/A",G12/H12)</x:f>
        <x:v>1</x:v>
      </x:c>
      <x:c r="L12" s="2" t="str"/>
    </x:row>
    <x:row r="13" ht="24" customHeight="1">
      <x:c r="A13" s="10" t="str">
        <x:v>S01</x:v>
      </x:c>
      <x:c r="B13" s="10" t="str">
        <x:v>Primary</x:v>
      </x:c>
      <x:c r="C13" s="10" t="n">
        <x:v>8</x:v>
      </x:c>
      <x:c r="D13" s="10" t="n">
        <x:v>8</x:v>
      </x:c>
      <x:c r="E13" s="10" t="n">
        <x:v>8</x:v>
      </x:c>
      <x:c r="F13" s="10" t="n">
        <x:v>17</x:v>
      </x:c>
      <x:c r="G13" s="24" t="n">
        <x:v>27.674251612745337</x:v>
      </x:c>
      <x:c r="H13" s="24" t="n">
        <x:v>27.674251612745337</x:v>
      </x:c>
      <x:c r="I13" s="11" t="n">
        <x:f>IF(B13="Control","N/A",E13/C13)</x:f>
        <x:v>1</x:v>
      </x:c>
      <x:c r="J13" s="11" t="n">
        <x:f>IF(OR(B13="Control",F13=0),"N/A",E13/F13)</x:f>
        <x:v>0.47058823529411764</x:v>
      </x:c>
      <x:c r="K13" s="13" t="n">
        <x:f>IF(OR(B13="Control",H13=0),"N/A",G13/H13)</x:f>
        <x:v>1</x:v>
      </x:c>
      <x:c r="L13" s="10" t="str"/>
    </x:row>
    <x:row r="14" ht="24" customHeight="1">
      <x:c r="A14" s="2" t="str">
        <x:v>S01</x:v>
      </x:c>
      <x:c r="B14" s="2" t="str">
        <x:v>Primary</x:v>
      </x:c>
      <x:c r="C14" s="2" t="n">
        <x:v>9</x:v>
      </x:c>
      <x:c r="D14" s="2" t="n">
        <x:v>9</x:v>
      </x:c>
      <x:c r="E14" s="2" t="n">
        <x:v>9</x:v>
      </x:c>
      <x:c r="F14" s="2" t="n">
        <x:v>17</x:v>
      </x:c>
      <x:c r="G14" s="25" t="n">
        <x:v>29.781461582393202</x:v>
      </x:c>
      <x:c r="H14" s="25" t="n">
        <x:v>29.781461582393202</x:v>
      </x:c>
      <x:c r="I14" s="12" t="n">
        <x:f>IF(B14="Control","N/A",E14/C14)</x:f>
        <x:v>1</x:v>
      </x:c>
      <x:c r="J14" s="12" t="n">
        <x:f>IF(OR(B14="Control",F14=0),"N/A",E14/F14)</x:f>
        <x:v>0.5294117647058824</x:v>
      </x:c>
      <x:c r="K14" s="14" t="n">
        <x:f>IF(OR(B14="Control",H14=0),"N/A",G14/H14)</x:f>
        <x:v>1</x:v>
      </x:c>
      <x:c r="L14" s="2" t="str"/>
    </x:row>
    <x:row r="15" ht="24" customHeight="1">
      <x:c r="A15" s="10" t="str">
        <x:v>S01</x:v>
      </x:c>
      <x:c r="B15" s="10" t="str">
        <x:v>Primary</x:v>
      </x:c>
      <x:c r="C15" s="10" t="n">
        <x:v>10</x:v>
      </x:c>
      <x:c r="D15" s="10" t="n">
        <x:v>10</x:v>
      </x:c>
      <x:c r="E15" s="10" t="n">
        <x:v>10</x:v>
      </x:c>
      <x:c r="F15" s="10" t="n">
        <x:v>17</x:v>
      </x:c>
      <x:c r="G15" s="24" t="n">
        <x:v>31.804915366618417</x:v>
      </x:c>
      <x:c r="H15" s="24" t="n">
        <x:v>31.804915366618417</x:v>
      </x:c>
      <x:c r="I15" s="11" t="n">
        <x:f>IF(B15="Control","N/A",E15/C15)</x:f>
        <x:v>1</x:v>
      </x:c>
      <x:c r="J15" s="11" t="n">
        <x:f>IF(OR(B15="Control",F15=0),"N/A",E15/F15)</x:f>
        <x:v>0.5882352941176471</x:v>
      </x:c>
      <x:c r="K15" s="13" t="n">
        <x:f>IF(OR(B15="Control",H15=0),"N/A",G15/H15)</x:f>
        <x:v>1</x:v>
      </x:c>
      <x:c r="L15" s="10" t="str"/>
    </x:row>
    <x:row r="16" ht="24" customHeight="1">
      <x:c r="A16" s="2" t="str">
        <x:v>S02</x:v>
      </x:c>
      <x:c r="B16" s="2" t="str">
        <x:v>Primary</x:v>
      </x:c>
      <x:c r="C16" s="2" t="n">
        <x:v>1</x:v>
      </x:c>
      <x:c r="D16" s="2" t="n">
        <x:v>1</x:v>
      </x:c>
      <x:c r="E16" s="2" t="n">
        <x:v>1</x:v>
      </x:c>
      <x:c r="F16" s="2" t="n">
        <x:v>6</x:v>
      </x:c>
      <x:c r="G16" s="25" t="n">
        <x:v>7</x:v>
      </x:c>
      <x:c r="H16" s="25" t="n">
        <x:v>7</x:v>
      </x:c>
      <x:c r="I16" s="12" t="n">
        <x:f>IF(B16="Control","N/A",E16/C16)</x:f>
        <x:v>1</x:v>
      </x:c>
      <x:c r="J16" s="12" t="n">
        <x:f>IF(OR(B16="Control",F16=0),"N/A",E16/F16)</x:f>
        <x:v>0.16666666666666666</x:v>
      </x:c>
      <x:c r="K16" s="14" t="n">
        <x:f>IF(OR(B16="Control",H16=0),"N/A",G16/H16)</x:f>
        <x:v>1</x:v>
      </x:c>
      <x:c r="L16" s="2" t="str"/>
    </x:row>
    <x:row r="17" ht="24" customHeight="1">
      <x:c r="A17" s="10" t="str">
        <x:v>S02</x:v>
      </x:c>
      <x:c r="B17" s="10" t="str">
        <x:v>Primary</x:v>
      </x:c>
      <x:c r="C17" s="10" t="n">
        <x:v>3</x:v>
      </x:c>
      <x:c r="D17" s="10" t="n">
        <x:v>3</x:v>
      </x:c>
      <x:c r="E17" s="10" t="n">
        <x:v>3</x:v>
      </x:c>
      <x:c r="F17" s="10" t="n">
        <x:v>6</x:v>
      </x:c>
      <x:c r="G17" s="24" t="n">
        <x:v>14.916508275000202</x:v>
      </x:c>
      <x:c r="H17" s="24" t="n">
        <x:v>14.916508275000202</x:v>
      </x:c>
      <x:c r="I17" s="11" t="n">
        <x:f>IF(B17="Control","N/A",E17/C17)</x:f>
        <x:v>1</x:v>
      </x:c>
      <x:c r="J17" s="11" t="n">
        <x:f>IF(OR(B17="Control",F17=0),"N/A",E17/F17)</x:f>
        <x:v>0.5</x:v>
      </x:c>
      <x:c r="K17" s="13" t="n">
        <x:f>IF(OR(B17="Control",H17=0),"N/A",G17/H17)</x:f>
        <x:v>1</x:v>
      </x:c>
      <x:c r="L17" s="10" t="str"/>
    </x:row>
    <x:row r="18" ht="24" customHeight="1">
      <x:c r="A18" s="2" t="str">
        <x:v>S02</x:v>
      </x:c>
      <x:c r="B18" s="2" t="str">
        <x:v>Primary</x:v>
      </x:c>
      <x:c r="C18" s="2" t="n">
        <x:v>4</x:v>
      </x:c>
      <x:c r="D18" s="2" t="n">
        <x:v>4</x:v>
      </x:c>
      <x:c r="E18" s="2" t="n">
        <x:v>4</x:v>
      </x:c>
      <x:c r="F18" s="2" t="n">
        <x:v>6</x:v>
      </x:c>
      <x:c r="G18" s="25" t="n">
        <x:v>17.931244181513954</x:v>
      </x:c>
      <x:c r="H18" s="25" t="n">
        <x:v>17.931244181513954</x:v>
      </x:c>
      <x:c r="I18" s="12" t="n">
        <x:f>IF(B18="Control","N/A",E18/C18)</x:f>
        <x:v>1</x:v>
      </x:c>
      <x:c r="J18" s="12" t="n">
        <x:f>IF(OR(B18="Control",F18=0),"N/A",E18/F18)</x:f>
        <x:v>0.6666666666666666</x:v>
      </x:c>
      <x:c r="K18" s="14" t="n">
        <x:f>IF(OR(B18="Control",H18=0),"N/A",G18/H18)</x:f>
        <x:v>1</x:v>
      </x:c>
      <x:c r="L18" s="2" t="str"/>
    </x:row>
    <x:row r="19" ht="24" customHeight="1">
      <x:c r="A19" s="10" t="str">
        <x:v>S02</x:v>
      </x:c>
      <x:c r="B19" s="10" t="str">
        <x:v>Primary</x:v>
      </x:c>
      <x:c r="C19" s="10" t="n">
        <x:v>5</x:v>
      </x:c>
      <x:c r="D19" s="10" t="n">
        <x:v>5</x:v>
      </x:c>
      <x:c r="E19" s="10" t="n">
        <x:v>5</x:v>
      </x:c>
      <x:c r="F19" s="10" t="n">
        <x:v>6</x:v>
      </x:c>
      <x:c r="G19" s="24" t="n">
        <x:v>19.09180260321758</x:v>
      </x:c>
      <x:c r="H19" s="24" t="n">
        <x:v>19.09180260321758</x:v>
      </x:c>
      <x:c r="I19" s="11" t="n">
        <x:f>IF(B19="Control","N/A",E19/C19)</x:f>
        <x:v>1</x:v>
      </x:c>
      <x:c r="J19" s="11" t="n">
        <x:f>IF(OR(B19="Control",F19=0),"N/A",E19/F19)</x:f>
        <x:v>0.8333333333333334</x:v>
      </x:c>
      <x:c r="K19" s="13" t="n">
        <x:f>IF(OR(B19="Control",H19=0),"N/A",G19/H19)</x:f>
        <x:v>1</x:v>
      </x:c>
      <x:c r="L19" s="10" t="str"/>
    </x:row>
    <x:row r="20" ht="24" customHeight="1">
      <x:c r="A20" s="2" t="str">
        <x:v>S02</x:v>
      </x:c>
      <x:c r="B20" s="2" t="str">
        <x:v>Primary</x:v>
      </x:c>
      <x:c r="C20" s="2" t="n">
        <x:v>6</x:v>
      </x:c>
      <x:c r="D20" s="2" t="n">
        <x:v>6</x:v>
      </x:c>
      <x:c r="E20" s="2" t="n">
        <x:v>6</x:v>
      </x:c>
      <x:c r="F20" s="2" t="n">
        <x:v>6</x:v>
      </x:c>
      <x:c r="G20" s="25" t="n">
        <x:v>20.160424164541645</x:v>
      </x:c>
      <x:c r="H20" s="25" t="n">
        <x:v>20.160424164541645</x:v>
      </x:c>
      <x:c r="I20" s="12" t="n">
        <x:f>IF(B20="Control","N/A",E20/C20)</x:f>
        <x:v>1</x:v>
      </x:c>
      <x:c r="J20" s="12" t="n">
        <x:f>IF(OR(B20="Control",F20=0),"N/A",E20/F20)</x:f>
        <x:v>1</x:v>
      </x:c>
      <x:c r="K20" s="14" t="n">
        <x:f>IF(OR(B20="Control",H20=0),"N/A",G20/H20)</x:f>
        <x:v>1</x:v>
      </x:c>
      <x:c r="L20" s="2" t="str"/>
    </x:row>
    <x:row r="21" ht="24" customHeight="1">
      <x:c r="A21" s="10" t="str">
        <x:v>S02</x:v>
      </x:c>
      <x:c r="B21" s="10" t="str">
        <x:v>Primary</x:v>
      </x:c>
      <x:c r="C21" s="10" t="n">
        <x:v>7</x:v>
      </x:c>
      <x:c r="D21" s="10" t="n">
        <x:v>7</x:v>
      </x:c>
      <x:c r="E21" s="10" t="n">
        <x:v>6</x:v>
      </x:c>
      <x:c r="F21" s="10" t="n">
        <x:v>6</x:v>
      </x:c>
      <x:c r="G21" s="24" t="n">
        <x:v>20.493757497874977</x:v>
      </x:c>
      <x:c r="H21" s="24" t="n">
        <x:v>20.493757497874977</x:v>
      </x:c>
      <x:c r="I21" s="11" t="n">
        <x:f>IF(B21="Control","N/A",E21/C21)</x:f>
        <x:v>0.8571428571428571</x:v>
      </x:c>
      <x:c r="J21" s="11" t="n">
        <x:f>IF(OR(B21="Control",F21=0),"N/A",E21/F21)</x:f>
        <x:v>1</x:v>
      </x:c>
      <x:c r="K21" s="13" t="n">
        <x:f>IF(OR(B21="Control",H21=0),"N/A",G21/H21)</x:f>
        <x:v>1</x:v>
      </x:c>
      <x:c r="L21" s="10" t="str"/>
    </x:row>
    <x:row r="22" ht="24" customHeight="1">
      <x:c r="A22" s="2" t="str">
        <x:v>S02</x:v>
      </x:c>
      <x:c r="B22" s="2" t="str">
        <x:v>Primary</x:v>
      </x:c>
      <x:c r="C22" s="2" t="n">
        <x:v>8</x:v>
      </x:c>
      <x:c r="D22" s="2" t="n">
        <x:v>8</x:v>
      </x:c>
      <x:c r="E22" s="2" t="n">
        <x:v>6</x:v>
      </x:c>
      <x:c r="F22" s="2" t="n">
        <x:v>6</x:v>
      </x:c>
      <x:c r="G22" s="25" t="n">
        <x:v>20.809222374660706</x:v>
      </x:c>
      <x:c r="H22" s="25" t="n">
        <x:v>20.809222374660706</x:v>
      </x:c>
      <x:c r="I22" s="12" t="n">
        <x:f>IF(B22="Control","N/A",E22/C22)</x:f>
        <x:v>0.75</x:v>
      </x:c>
      <x:c r="J22" s="12" t="n">
        <x:f>IF(OR(B22="Control",F22=0),"N/A",E22/F22)</x:f>
        <x:v>1</x:v>
      </x:c>
      <x:c r="K22" s="14" t="n">
        <x:f>IF(OR(B22="Control",H22=0),"N/A",G22/H22)</x:f>
        <x:v>1</x:v>
      </x:c>
      <x:c r="L22" s="2" t="str"/>
    </x:row>
    <x:row r="23" ht="24" customHeight="1">
      <x:c r="A23" s="10" t="str">
        <x:v>S02</x:v>
      </x:c>
      <x:c r="B23" s="10" t="str">
        <x:v>Primary</x:v>
      </x:c>
      <x:c r="C23" s="10" t="n">
        <x:v>9</x:v>
      </x:c>
      <x:c r="D23" s="10" t="n">
        <x:v>9</x:v>
      </x:c>
      <x:c r="E23" s="10" t="n">
        <x:v>6</x:v>
      </x:c>
      <x:c r="F23" s="10" t="n">
        <x:v>6</x:v>
      </x:c>
      <x:c r="G23" s="24" t="n">
        <x:v>21.110252370324687</x:v>
      </x:c>
      <x:c r="H23" s="24" t="n">
        <x:v>21.110252370324687</x:v>
      </x:c>
      <x:c r="I23" s="11" t="n">
        <x:f>IF(B23="Control","N/A",E23/C23)</x:f>
        <x:v>0.6666666666666666</x:v>
      </x:c>
      <x:c r="J23" s="11" t="n">
        <x:f>IF(OR(B23="Control",F23=0),"N/A",E23/F23)</x:f>
        <x:v>1</x:v>
      </x:c>
      <x:c r="K23" s="13" t="n">
        <x:f>IF(OR(B23="Control",H23=0),"N/A",G23/H23)</x:f>
        <x:v>1</x:v>
      </x:c>
      <x:c r="L23" s="10" t="str"/>
    </x:row>
    <x:row r="24" ht="24" customHeight="1">
      <x:c r="A24" s="2" t="str">
        <x:v>S02</x:v>
      </x:c>
      <x:c r="B24" s="2" t="str">
        <x:v>Primary</x:v>
      </x:c>
      <x:c r="C24" s="2" t="n">
        <x:v>10</x:v>
      </x:c>
      <x:c r="D24" s="2" t="n">
        <x:v>10</x:v>
      </x:c>
      <x:c r="E24" s="2" t="n">
        <x:v>6</x:v>
      </x:c>
      <x:c r="F24" s="2" t="n">
        <x:v>6</x:v>
      </x:c>
      <x:c r="G24" s="25" t="n">
        <x:v>21.399317196642578</x:v>
      </x:c>
      <x:c r="H24" s="25" t="n">
        <x:v>21.399317196642578</x:v>
      </x:c>
      <x:c r="I24" s="12" t="n">
        <x:f>IF(B24="Control","N/A",E24/C24)</x:f>
        <x:v>0.6</x:v>
      </x:c>
      <x:c r="J24" s="12" t="n">
        <x:f>IF(OR(B24="Control",F24=0),"N/A",E24/F24)</x:f>
        <x:v>1</x:v>
      </x:c>
      <x:c r="K24" s="14" t="n">
        <x:f>IF(OR(B24="Control",H24=0),"N/A",G24/H24)</x:f>
        <x:v>1</x:v>
      </x:c>
      <x:c r="L24" s="2" t="str"/>
    </x:row>
    <x:row r="25" ht="24" customHeight="1">
      <x:c r="A25" s="10" t="str">
        <x:v>S03</x:v>
      </x:c>
      <x:c r="B25" s="10" t="str">
        <x:v>Primary</x:v>
      </x:c>
      <x:c r="C25" s="10" t="n">
        <x:v>1</x:v>
      </x:c>
      <x:c r="D25" s="10" t="n">
        <x:v>1</x:v>
      </x:c>
      <x:c r="E25" s="10" t="n">
        <x:v>0</x:v>
      </x:c>
      <x:c r="F25" s="10" t="n">
        <x:v>0</x:v>
      </x:c>
      <x:c r="G25" s="24" t="n">
        <x:v>1</x:v>
      </x:c>
      <x:c r="H25" s="24" t="n">
        <x:v>1</x:v>
      </x:c>
      <x:c r="I25" s="11" t="n">
        <x:f>IF(B25="Control","N/A",E25/C25)</x:f>
        <x:v>0</x:v>
      </x:c>
      <x:c r="J25" s="11" t="str">
        <x:f>IF(OR(B25="Control",F25=0),"N/A",E25/F25)</x:f>
        <x:v>N/A</x:v>
      </x:c>
      <x:c r="K25" s="13" t="n">
        <x:f>IF(OR(B25="Control",H25=0),"N/A",G25/H25)</x:f>
        <x:v>1</x:v>
      </x:c>
      <x:c r="L25" s="10" t="str">
        <x:v>Zero relevant labels</x:v>
      </x:c>
    </x:row>
    <x:row r="26" ht="24" customHeight="1">
      <x:c r="A26" s="2" t="str">
        <x:v>S03</x:v>
      </x:c>
      <x:c r="B26" s="2" t="str">
        <x:v>Primary</x:v>
      </x:c>
      <x:c r="C26" s="2" t="n">
        <x:v>3</x:v>
      </x:c>
      <x:c r="D26" s="2" t="n">
        <x:v>3</x:v>
      </x:c>
      <x:c r="E26" s="2" t="n">
        <x:v>0</x:v>
      </x:c>
      <x:c r="F26" s="2" t="n">
        <x:v>0</x:v>
      </x:c>
      <x:c r="G26" s="25" t="n">
        <x:v>2.1309297535714578</x:v>
      </x:c>
      <x:c r="H26" s="25" t="n">
        <x:v>2.1309297535714578</x:v>
      </x:c>
      <x:c r="I26" s="12" t="n">
        <x:f>IF(B26="Control","N/A",E26/C26)</x:f>
        <x:v>0</x:v>
      </x:c>
      <x:c r="J26" s="12" t="str">
        <x:f>IF(OR(B26="Control",F26=0),"N/A",E26/F26)</x:f>
        <x:v>N/A</x:v>
      </x:c>
      <x:c r="K26" s="14" t="n">
        <x:f>IF(OR(B26="Control",H26=0),"N/A",G26/H26)</x:f>
        <x:v>1</x:v>
      </x:c>
      <x:c r="L26" s="2" t="str">
        <x:v>Zero relevant labels</x:v>
      </x:c>
    </x:row>
    <x:row r="27" ht="24" customHeight="1">
      <x:c r="A27" s="10" t="str">
        <x:v>S03</x:v>
      </x:c>
      <x:c r="B27" s="10" t="str">
        <x:v>Primary</x:v>
      </x:c>
      <x:c r="C27" s="10" t="n">
        <x:v>4</x:v>
      </x:c>
      <x:c r="D27" s="10" t="n">
        <x:v>4</x:v>
      </x:c>
      <x:c r="E27" s="10" t="n">
        <x:v>0</x:v>
      </x:c>
      <x:c r="F27" s="10" t="n">
        <x:v>0</x:v>
      </x:c>
      <x:c r="G27" s="24" t="n">
        <x:v>2.5616063116448506</x:v>
      </x:c>
      <x:c r="H27" s="24" t="n">
        <x:v>2.5616063116448506</x:v>
      </x:c>
      <x:c r="I27" s="11" t="n">
        <x:f>IF(B27="Control","N/A",E27/C27)</x:f>
        <x:v>0</x:v>
      </x:c>
      <x:c r="J27" s="11" t="str">
        <x:f>IF(OR(B27="Control",F27=0),"N/A",E27/F27)</x:f>
        <x:v>N/A</x:v>
      </x:c>
      <x:c r="K27" s="13" t="n">
        <x:f>IF(OR(B27="Control",H27=0),"N/A",G27/H27)</x:f>
        <x:v>1</x:v>
      </x:c>
      <x:c r="L27" s="10" t="str">
        <x:v>Zero relevant labels</x:v>
      </x:c>
    </x:row>
    <x:row r="28" ht="24" customHeight="1">
      <x:c r="A28" s="2" t="str">
        <x:v>S03</x:v>
      </x:c>
      <x:c r="B28" s="2" t="str">
        <x:v>Primary</x:v>
      </x:c>
      <x:c r="C28" s="2" t="n">
        <x:v>5</x:v>
      </x:c>
      <x:c r="D28" s="2" t="n">
        <x:v>5</x:v>
      </x:c>
      <x:c r="E28" s="2" t="n">
        <x:v>0</x:v>
      </x:c>
      <x:c r="F28" s="2" t="n">
        <x:v>0</x:v>
      </x:c>
      <x:c r="G28" s="25" t="n">
        <x:v>2.9484591188793923</x:v>
      </x:c>
      <x:c r="H28" s="25" t="n">
        <x:v>2.9484591188793923</x:v>
      </x:c>
      <x:c r="I28" s="12" t="n">
        <x:f>IF(B28="Control","N/A",E28/C28)</x:f>
        <x:v>0</x:v>
      </x:c>
      <x:c r="J28" s="12" t="str">
        <x:f>IF(OR(B28="Control",F28=0),"N/A",E28/F28)</x:f>
        <x:v>N/A</x:v>
      </x:c>
      <x:c r="K28" s="14" t="n">
        <x:f>IF(OR(B28="Control",H28=0),"N/A",G28/H28)</x:f>
        <x:v>1</x:v>
      </x:c>
      <x:c r="L28" s="2" t="str">
        <x:v>Zero relevant labels</x:v>
      </x:c>
    </x:row>
    <x:row r="29" ht="24" customHeight="1">
      <x:c r="A29" s="10" t="str">
        <x:v>S03</x:v>
      </x:c>
      <x:c r="B29" s="10" t="str">
        <x:v>Primary</x:v>
      </x:c>
      <x:c r="C29" s="10" t="n">
        <x:v>6</x:v>
      </x:c>
      <x:c r="D29" s="10" t="n">
        <x:v>6</x:v>
      </x:c>
      <x:c r="E29" s="10" t="n">
        <x:v>0</x:v>
      </x:c>
      <x:c r="F29" s="10" t="n">
        <x:v>0</x:v>
      </x:c>
      <x:c r="G29" s="24" t="n">
        <x:v>3.304666305987414</x:v>
      </x:c>
      <x:c r="H29" s="24" t="n">
        <x:v>3.304666305987414</x:v>
      </x:c>
      <x:c r="I29" s="11" t="n">
        <x:f>IF(B29="Control","N/A",E29/C29)</x:f>
        <x:v>0</x:v>
      </x:c>
      <x:c r="J29" s="11" t="str">
        <x:f>IF(OR(B29="Control",F29=0),"N/A",E29/F29)</x:f>
        <x:v>N/A</x:v>
      </x:c>
      <x:c r="K29" s="13" t="n">
        <x:f>IF(OR(B29="Control",H29=0),"N/A",G29/H29)</x:f>
        <x:v>1</x:v>
      </x:c>
      <x:c r="L29" s="10" t="str">
        <x:v>Zero relevant labels</x:v>
      </x:c>
    </x:row>
    <x:row r="30" ht="24" customHeight="1">
      <x:c r="A30" s="2" t="str">
        <x:v>S03</x:v>
      </x:c>
      <x:c r="B30" s="2" t="str">
        <x:v>Primary</x:v>
      </x:c>
      <x:c r="C30" s="2" t="n">
        <x:v>7</x:v>
      </x:c>
      <x:c r="D30" s="2" t="n">
        <x:v>7</x:v>
      </x:c>
      <x:c r="E30" s="2" t="n">
        <x:v>0</x:v>
      </x:c>
      <x:c r="F30" s="2" t="n">
        <x:v>0</x:v>
      </x:c>
      <x:c r="G30" s="25" t="n">
        <x:v>3.6379996393207477</x:v>
      </x:c>
      <x:c r="H30" s="25" t="n">
        <x:v>3.6379996393207477</x:v>
      </x:c>
      <x:c r="I30" s="12" t="n">
        <x:f>IF(B30="Control","N/A",E30/C30)</x:f>
        <x:v>0</x:v>
      </x:c>
      <x:c r="J30" s="12" t="str">
        <x:f>IF(OR(B30="Control",F30=0),"N/A",E30/F30)</x:f>
        <x:v>N/A</x:v>
      </x:c>
      <x:c r="K30" s="14" t="n">
        <x:f>IF(OR(B30="Control",H30=0),"N/A",G30/H30)</x:f>
        <x:v>1</x:v>
      </x:c>
      <x:c r="L30" s="2" t="str">
        <x:v>Zero relevant labels</x:v>
      </x:c>
    </x:row>
    <x:row r="31" ht="24" customHeight="1">
      <x:c r="A31" s="10" t="str">
        <x:v>S03</x:v>
      </x:c>
      <x:c r="B31" s="10" t="str">
        <x:v>Primary</x:v>
      </x:c>
      <x:c r="C31" s="10" t="n">
        <x:v>8</x:v>
      </x:c>
      <x:c r="D31" s="10" t="n">
        <x:v>8</x:v>
      </x:c>
      <x:c r="E31" s="10" t="n">
        <x:v>0</x:v>
      </x:c>
      <x:c r="F31" s="10" t="n">
        <x:v>0</x:v>
      </x:c>
      <x:c r="G31" s="24" t="n">
        <x:v>3.9534645161064765</x:v>
      </x:c>
      <x:c r="H31" s="24" t="n">
        <x:v>3.9534645161064765</x:v>
      </x:c>
      <x:c r="I31" s="11" t="n">
        <x:f>IF(B31="Control","N/A",E31/C31)</x:f>
        <x:v>0</x:v>
      </x:c>
      <x:c r="J31" s="11" t="str">
        <x:f>IF(OR(B31="Control",F31=0),"N/A",E31/F31)</x:f>
        <x:v>N/A</x:v>
      </x:c>
      <x:c r="K31" s="13" t="n">
        <x:f>IF(OR(B31="Control",H31=0),"N/A",G31/H31)</x:f>
        <x:v>1</x:v>
      </x:c>
      <x:c r="L31" s="10" t="str">
        <x:v>Zero relevant labels</x:v>
      </x:c>
    </x:row>
    <x:row r="32" ht="24" customHeight="1">
      <x:c r="A32" s="2" t="str">
        <x:v>S03</x:v>
      </x:c>
      <x:c r="B32" s="2" t="str">
        <x:v>Primary</x:v>
      </x:c>
      <x:c r="C32" s="2" t="n">
        <x:v>9</x:v>
      </x:c>
      <x:c r="D32" s="2" t="n">
        <x:v>9</x:v>
      </x:c>
      <x:c r="E32" s="2" t="n">
        <x:v>0</x:v>
      </x:c>
      <x:c r="F32" s="2" t="n">
        <x:v>0</x:v>
      </x:c>
      <x:c r="G32" s="25" t="n">
        <x:v>4.254494511770457</x:v>
      </x:c>
      <x:c r="H32" s="25" t="n">
        <x:v>4.254494511770457</x:v>
      </x:c>
      <x:c r="I32" s="12" t="n">
        <x:f>IF(B32="Control","N/A",E32/C32)</x:f>
        <x:v>0</x:v>
      </x:c>
      <x:c r="J32" s="12" t="str">
        <x:f>IF(OR(B32="Control",F32=0),"N/A",E32/F32)</x:f>
        <x:v>N/A</x:v>
      </x:c>
      <x:c r="K32" s="14" t="n">
        <x:f>IF(OR(B32="Control",H32=0),"N/A",G32/H32)</x:f>
        <x:v>1</x:v>
      </x:c>
      <x:c r="L32" s="2" t="str">
        <x:v>Zero relevant labels</x:v>
      </x:c>
    </x:row>
    <x:row r="33" ht="24" customHeight="1">
      <x:c r="A33" s="10" t="str">
        <x:v>S03</x:v>
      </x:c>
      <x:c r="B33" s="10" t="str">
        <x:v>Primary</x:v>
      </x:c>
      <x:c r="C33" s="10" t="n">
        <x:v>10</x:v>
      </x:c>
      <x:c r="D33" s="10" t="n">
        <x:v>10</x:v>
      </x:c>
      <x:c r="E33" s="10" t="n">
        <x:v>0</x:v>
      </x:c>
      <x:c r="F33" s="10" t="n">
        <x:v>0</x:v>
      </x:c>
      <x:c r="G33" s="24" t="n">
        <x:v>4.543559338088346</x:v>
      </x:c>
      <x:c r="H33" s="24" t="n">
        <x:v>4.543559338088346</x:v>
      </x:c>
      <x:c r="I33" s="11" t="n">
        <x:f>IF(B33="Control","N/A",E33/C33)</x:f>
        <x:v>0</x:v>
      </x:c>
      <x:c r="J33" s="11" t="str">
        <x:f>IF(OR(B33="Control",F33=0),"N/A",E33/F33)</x:f>
        <x:v>N/A</x:v>
      </x:c>
      <x:c r="K33" s="13" t="n">
        <x:f>IF(OR(B33="Control",H33=0),"N/A",G33/H33)</x:f>
        <x:v>1</x:v>
      </x:c>
      <x:c r="L33" s="10" t="str">
        <x:v>Zero relevant labels</x:v>
      </x:c>
    </x:row>
    <x:row r="34" ht="24" customHeight="1">
      <x:c r="A34" s="2" t="str">
        <x:v>S04</x:v>
      </x:c>
      <x:c r="B34" s="2" t="str">
        <x:v>Primary</x:v>
      </x:c>
      <x:c r="C34" s="2" t="n">
        <x:v>1</x:v>
      </x:c>
      <x:c r="D34" s="2" t="n">
        <x:v>1</x:v>
      </x:c>
      <x:c r="E34" s="2" t="n">
        <x:v>1</x:v>
      </x:c>
      <x:c r="F34" s="2" t="n">
        <x:v>20</x:v>
      </x:c>
      <x:c r="G34" s="25" t="n">
        <x:v>7</x:v>
      </x:c>
      <x:c r="H34" s="25" t="n">
        <x:v>7</x:v>
      </x:c>
      <x:c r="I34" s="12" t="n">
        <x:f>IF(B34="Control","N/A",E34/C34)</x:f>
        <x:v>1</x:v>
      </x:c>
      <x:c r="J34" s="12" t="n">
        <x:f>IF(OR(B34="Control",F34=0),"N/A",E34/F34)</x:f>
        <x:v>0.05</x:v>
      </x:c>
      <x:c r="K34" s="14" t="n">
        <x:f>IF(OR(B34="Control",H34=0),"N/A",G34/H34)</x:f>
        <x:v>1</x:v>
      </x:c>
      <x:c r="L34" s="2" t="str"/>
    </x:row>
    <x:row r="35" ht="24" customHeight="1">
      <x:c r="A35" s="10" t="str">
        <x:v>S04</x:v>
      </x:c>
      <x:c r="B35" s="10" t="str">
        <x:v>Primary</x:v>
      </x:c>
      <x:c r="C35" s="10" t="n">
        <x:v>3</x:v>
      </x:c>
      <x:c r="D35" s="10" t="n">
        <x:v>3</x:v>
      </x:c>
      <x:c r="E35" s="10" t="n">
        <x:v>3</x:v>
      </x:c>
      <x:c r="F35" s="10" t="n">
        <x:v>20</x:v>
      </x:c>
      <x:c r="G35" s="24" t="n">
        <x:v>14.916508275000202</x:v>
      </x:c>
      <x:c r="H35" s="24" t="n">
        <x:v>14.916508275000202</x:v>
      </x:c>
      <x:c r="I35" s="11" t="n">
        <x:f>IF(B35="Control","N/A",E35/C35)</x:f>
        <x:v>1</x:v>
      </x:c>
      <x:c r="J35" s="11" t="n">
        <x:f>IF(OR(B35="Control",F35=0),"N/A",E35/F35)</x:f>
        <x:v>0.15</x:v>
      </x:c>
      <x:c r="K35" s="13" t="n">
        <x:f>IF(OR(B35="Control",H35=0),"N/A",G35/H35)</x:f>
        <x:v>1</x:v>
      </x:c>
      <x:c r="L35" s="10" t="str"/>
    </x:row>
    <x:row r="36" ht="24" customHeight="1">
      <x:c r="A36" s="2" t="str">
        <x:v>S04</x:v>
      </x:c>
      <x:c r="B36" s="2" t="str">
        <x:v>Primary</x:v>
      </x:c>
      <x:c r="C36" s="2" t="n">
        <x:v>4</x:v>
      </x:c>
      <x:c r="D36" s="2" t="n">
        <x:v>4</x:v>
      </x:c>
      <x:c r="E36" s="2" t="n">
        <x:v>4</x:v>
      </x:c>
      <x:c r="F36" s="2" t="n">
        <x:v>20</x:v>
      </x:c>
      <x:c r="G36" s="25" t="n">
        <x:v>17.931244181513954</x:v>
      </x:c>
      <x:c r="H36" s="25" t="n">
        <x:v>17.931244181513954</x:v>
      </x:c>
      <x:c r="I36" s="12" t="n">
        <x:f>IF(B36="Control","N/A",E36/C36)</x:f>
        <x:v>1</x:v>
      </x:c>
      <x:c r="J36" s="12" t="n">
        <x:f>IF(OR(B36="Control",F36=0),"N/A",E36/F36)</x:f>
        <x:v>0.2</x:v>
      </x:c>
      <x:c r="K36" s="14" t="n">
        <x:f>IF(OR(B36="Control",H36=0),"N/A",G36/H36)</x:f>
        <x:v>1</x:v>
      </x:c>
      <x:c r="L36" s="2" t="str"/>
    </x:row>
    <x:row r="37" ht="24" customHeight="1">
      <x:c r="A37" s="10" t="str">
        <x:v>S04</x:v>
      </x:c>
      <x:c r="B37" s="10" t="str">
        <x:v>Primary</x:v>
      </x:c>
      <x:c r="C37" s="10" t="n">
        <x:v>5</x:v>
      </x:c>
      <x:c r="D37" s="10" t="n">
        <x:v>5</x:v>
      </x:c>
      <x:c r="E37" s="10" t="n">
        <x:v>5</x:v>
      </x:c>
      <x:c r="F37" s="10" t="n">
        <x:v>20</x:v>
      </x:c>
      <x:c r="G37" s="24" t="n">
        <x:v>19.09180260321758</x:v>
      </x:c>
      <x:c r="H37" s="24" t="n">
        <x:v>19.09180260321758</x:v>
      </x:c>
      <x:c r="I37" s="11" t="n">
        <x:f>IF(B37="Control","N/A",E37/C37)</x:f>
        <x:v>1</x:v>
      </x:c>
      <x:c r="J37" s="11" t="n">
        <x:f>IF(OR(B37="Control",F37=0),"N/A",E37/F37)</x:f>
        <x:v>0.25</x:v>
      </x:c>
      <x:c r="K37" s="13" t="n">
        <x:f>IF(OR(B37="Control",H37=0),"N/A",G37/H37)</x:f>
        <x:v>1</x:v>
      </x:c>
      <x:c r="L37" s="10" t="str"/>
    </x:row>
    <x:row r="38" ht="24" customHeight="1">
      <x:c r="A38" s="2" t="str">
        <x:v>S04</x:v>
      </x:c>
      <x:c r="B38" s="2" t="str">
        <x:v>Primary</x:v>
      </x:c>
      <x:c r="C38" s="2" t="n">
        <x:v>6</x:v>
      </x:c>
      <x:c r="D38" s="2" t="n">
        <x:v>6</x:v>
      </x:c>
      <x:c r="E38" s="2" t="n">
        <x:v>6</x:v>
      </x:c>
      <x:c r="F38" s="2" t="n">
        <x:v>20</x:v>
      </x:c>
      <x:c r="G38" s="25" t="n">
        <x:v>20.160424164541645</x:v>
      </x:c>
      <x:c r="H38" s="25" t="n">
        <x:v>20.160424164541645</x:v>
      </x:c>
      <x:c r="I38" s="12" t="n">
        <x:f>IF(B38="Control","N/A",E38/C38)</x:f>
        <x:v>1</x:v>
      </x:c>
      <x:c r="J38" s="12" t="n">
        <x:f>IF(OR(B38="Control",F38=0),"N/A",E38/F38)</x:f>
        <x:v>0.3</x:v>
      </x:c>
      <x:c r="K38" s="14" t="n">
        <x:f>IF(OR(B38="Control",H38=0),"N/A",G38/H38)</x:f>
        <x:v>1</x:v>
      </x:c>
      <x:c r="L38" s="2" t="str"/>
    </x:row>
    <x:row r="39" ht="24" customHeight="1">
      <x:c r="A39" s="10" t="str">
        <x:v>S04</x:v>
      </x:c>
      <x:c r="B39" s="10" t="str">
        <x:v>Primary</x:v>
      </x:c>
      <x:c r="C39" s="10" t="n">
        <x:v>7</x:v>
      </x:c>
      <x:c r="D39" s="10" t="n">
        <x:v>7</x:v>
      </x:c>
      <x:c r="E39" s="10" t="n">
        <x:v>7</x:v>
      </x:c>
      <x:c r="F39" s="10" t="n">
        <x:v>20</x:v>
      </x:c>
      <x:c r="G39" s="24" t="n">
        <x:v>21.160424164541645</x:v>
      </x:c>
      <x:c r="H39" s="24" t="n">
        <x:v>21.160424164541645</x:v>
      </x:c>
      <x:c r="I39" s="11" t="n">
        <x:f>IF(B39="Control","N/A",E39/C39)</x:f>
        <x:v>1</x:v>
      </x:c>
      <x:c r="J39" s="11" t="n">
        <x:f>IF(OR(B39="Control",F39=0),"N/A",E39/F39)</x:f>
        <x:v>0.35</x:v>
      </x:c>
      <x:c r="K39" s="13" t="n">
        <x:f>IF(OR(B39="Control",H39=0),"N/A",G39/H39)</x:f>
        <x:v>1</x:v>
      </x:c>
      <x:c r="L39" s="10" t="str"/>
    </x:row>
    <x:row r="40" ht="24" customHeight="1">
      <x:c r="A40" s="2" t="str">
        <x:v>S04</x:v>
      </x:c>
      <x:c r="B40" s="2" t="str">
        <x:v>Primary</x:v>
      </x:c>
      <x:c r="C40" s="2" t="n">
        <x:v>8</x:v>
      </x:c>
      <x:c r="D40" s="2" t="n">
        <x:v>8</x:v>
      </x:c>
      <x:c r="E40" s="2" t="n">
        <x:v>8</x:v>
      </x:c>
      <x:c r="F40" s="2" t="n">
        <x:v>20</x:v>
      </x:c>
      <x:c r="G40" s="25" t="n">
        <x:v>22.10681879489883</x:v>
      </x:c>
      <x:c r="H40" s="25" t="n">
        <x:v>22.10681879489883</x:v>
      </x:c>
      <x:c r="I40" s="12" t="n">
        <x:f>IF(B40="Control","N/A",E40/C40)</x:f>
        <x:v>1</x:v>
      </x:c>
      <x:c r="J40" s="12" t="n">
        <x:f>IF(OR(B40="Control",F40=0),"N/A",E40/F40)</x:f>
        <x:v>0.4</x:v>
      </x:c>
      <x:c r="K40" s="14" t="n">
        <x:f>IF(OR(B40="Control",H40=0),"N/A",G40/H40)</x:f>
        <x:v>1</x:v>
      </x:c>
      <x:c r="L40" s="2" t="str"/>
    </x:row>
    <x:row r="41" ht="24" customHeight="1">
      <x:c r="A41" s="10" t="str">
        <x:v>S04</x:v>
      </x:c>
      <x:c r="B41" s="10" t="str">
        <x:v>Primary</x:v>
      </x:c>
      <x:c r="C41" s="10" t="n">
        <x:v>9</x:v>
      </x:c>
      <x:c r="D41" s="10" t="n">
        <x:v>9</x:v>
      </x:c>
      <x:c r="E41" s="10" t="n">
        <x:v>9</x:v>
      </x:c>
      <x:c r="F41" s="10" t="n">
        <x:v>20</x:v>
      </x:c>
      <x:c r="G41" s="24" t="n">
        <x:v>23.009908781890775</x:v>
      </x:c>
      <x:c r="H41" s="24" t="n">
        <x:v>23.009908781890775</x:v>
      </x:c>
      <x:c r="I41" s="11" t="n">
        <x:f>IF(B41="Control","N/A",E41/C41)</x:f>
        <x:v>1</x:v>
      </x:c>
      <x:c r="J41" s="11" t="n">
        <x:f>IF(OR(B41="Control",F41=0),"N/A",E41/F41)</x:f>
        <x:v>0.45</x:v>
      </x:c>
      <x:c r="K41" s="13" t="n">
        <x:f>IF(OR(B41="Control",H41=0),"N/A",G41/H41)</x:f>
        <x:v>1</x:v>
      </x:c>
      <x:c r="L41" s="10" t="str"/>
    </x:row>
    <x:row r="42" ht="24" customHeight="1">
      <x:c r="A42" s="2" t="str">
        <x:v>S04</x:v>
      </x:c>
      <x:c r="B42" s="2" t="str">
        <x:v>Primary</x:v>
      </x:c>
      <x:c r="C42" s="2" t="n">
        <x:v>10</x:v>
      </x:c>
      <x:c r="D42" s="2" t="n">
        <x:v>10</x:v>
      </x:c>
      <x:c r="E42" s="2" t="n">
        <x:v>10</x:v>
      </x:c>
      <x:c r="F42" s="2" t="n">
        <x:v>20</x:v>
      </x:c>
      <x:c r="G42" s="25" t="n">
        <x:v>23.87710326084444</x:v>
      </x:c>
      <x:c r="H42" s="25" t="n">
        <x:v>23.87710326084444</x:v>
      </x:c>
      <x:c r="I42" s="12" t="n">
        <x:f>IF(B42="Control","N/A",E42/C42)</x:f>
        <x:v>1</x:v>
      </x:c>
      <x:c r="J42" s="12" t="n">
        <x:f>IF(OR(B42="Control",F42=0),"N/A",E42/F42)</x:f>
        <x:v>0.5</x:v>
      </x:c>
      <x:c r="K42" s="14" t="n">
        <x:f>IF(OR(B42="Control",H42=0),"N/A",G42/H42)</x:f>
        <x:v>1</x:v>
      </x:c>
      <x:c r="L42" s="2" t="str"/>
    </x:row>
    <x:row r="43" ht="24" customHeight="1">
      <x:c r="A43" s="10" t="str">
        <x:v>S05</x:v>
      </x:c>
      <x:c r="B43" s="10" t="str">
        <x:v>Primary</x:v>
      </x:c>
      <x:c r="C43" s="10" t="n">
        <x:v>1</x:v>
      </x:c>
      <x:c r="D43" s="10" t="n">
        <x:v>1</x:v>
      </x:c>
      <x:c r="E43" s="10" t="n">
        <x:v>1</x:v>
      </x:c>
      <x:c r="F43" s="10" t="n">
        <x:v>9</x:v>
      </x:c>
      <x:c r="G43" s="24" t="n">
        <x:v>7</x:v>
      </x:c>
      <x:c r="H43" s="24" t="n">
        <x:v>7</x:v>
      </x:c>
      <x:c r="I43" s="11" t="n">
        <x:f>IF(B43="Control","N/A",E43/C43)</x:f>
        <x:v>1</x:v>
      </x:c>
      <x:c r="J43" s="11" t="n">
        <x:f>IF(OR(B43="Control",F43=0),"N/A",E43/F43)</x:f>
        <x:v>0.1111111111111111</x:v>
      </x:c>
      <x:c r="K43" s="13" t="n">
        <x:f>IF(OR(B43="Control",H43=0),"N/A",G43/H43)</x:f>
        <x:v>1</x:v>
      </x:c>
      <x:c r="L43" s="10" t="str"/>
    </x:row>
    <x:row r="44" ht="24" customHeight="1">
      <x:c r="A44" s="2" t="str">
        <x:v>S05</x:v>
      </x:c>
      <x:c r="B44" s="2" t="str">
        <x:v>Primary</x:v>
      </x:c>
      <x:c r="C44" s="2" t="n">
        <x:v>3</x:v>
      </x:c>
      <x:c r="D44" s="2" t="n">
        <x:v>3</x:v>
      </x:c>
      <x:c r="E44" s="2" t="n">
        <x:v>3</x:v>
      </x:c>
      <x:c r="F44" s="2" t="n">
        <x:v>9</x:v>
      </x:c>
      <x:c r="G44" s="25" t="n">
        <x:v>12.916508275000202</x:v>
      </x:c>
      <x:c r="H44" s="25" t="n">
        <x:v>12.916508275000202</x:v>
      </x:c>
      <x:c r="I44" s="12" t="n">
        <x:f>IF(B44="Control","N/A",E44/C44)</x:f>
        <x:v>1</x:v>
      </x:c>
      <x:c r="J44" s="12" t="n">
        <x:f>IF(OR(B44="Control",F44=0),"N/A",E44/F44)</x:f>
        <x:v>0.3333333333333333</x:v>
      </x:c>
      <x:c r="K44" s="14" t="n">
        <x:f>IF(OR(B44="Control",H44=0),"N/A",G44/H44)</x:f>
        <x:v>1</x:v>
      </x:c>
      <x:c r="L44" s="2" t="str"/>
    </x:row>
    <x:row r="45" ht="24" customHeight="1">
      <x:c r="A45" s="10" t="str">
        <x:v>S05</x:v>
      </x:c>
      <x:c r="B45" s="10" t="str">
        <x:v>Primary</x:v>
      </x:c>
      <x:c r="C45" s="10" t="n">
        <x:v>4</x:v>
      </x:c>
      <x:c r="D45" s="10" t="n">
        <x:v>4</x:v>
      </x:c>
      <x:c r="E45" s="10" t="n">
        <x:v>4</x:v>
      </x:c>
      <x:c r="F45" s="10" t="n">
        <x:v>9</x:v>
      </x:c>
      <x:c r="G45" s="24" t="n">
        <x:v>14.208537949220382</x:v>
      </x:c>
      <x:c r="H45" s="24" t="n">
        <x:v>14.208537949220382</x:v>
      </x:c>
      <x:c r="I45" s="11" t="n">
        <x:f>IF(B45="Control","N/A",E45/C45)</x:f>
        <x:v>1</x:v>
      </x:c>
      <x:c r="J45" s="11" t="n">
        <x:f>IF(OR(B45="Control",F45=0),"N/A",E45/F45)</x:f>
        <x:v>0.4444444444444444</x:v>
      </x:c>
      <x:c r="K45" s="13" t="n">
        <x:f>IF(OR(B45="Control",H45=0),"N/A",G45/H45)</x:f>
        <x:v>1</x:v>
      </x:c>
      <x:c r="L45" s="10" t="str"/>
    </x:row>
    <x:row r="46" ht="24" customHeight="1">
      <x:c r="A46" s="2" t="str">
        <x:v>S05</x:v>
      </x:c>
      <x:c r="B46" s="2" t="str">
        <x:v>Primary</x:v>
      </x:c>
      <x:c r="C46" s="2" t="n">
        <x:v>5</x:v>
      </x:c>
      <x:c r="D46" s="2" t="n">
        <x:v>5</x:v>
      </x:c>
      <x:c r="E46" s="2" t="n">
        <x:v>5</x:v>
      </x:c>
      <x:c r="F46" s="2" t="n">
        <x:v>9</x:v>
      </x:c>
      <x:c r="G46" s="25" t="n">
        <x:v>15.369096370924007</x:v>
      </x:c>
      <x:c r="H46" s="25" t="n">
        <x:v>15.369096370924007</x:v>
      </x:c>
      <x:c r="I46" s="12" t="n">
        <x:f>IF(B46="Control","N/A",E46/C46)</x:f>
        <x:v>1</x:v>
      </x:c>
      <x:c r="J46" s="12" t="n">
        <x:f>IF(OR(B46="Control",F46=0),"N/A",E46/F46)</x:f>
        <x:v>0.5555555555555556</x:v>
      </x:c>
      <x:c r="K46" s="14" t="n">
        <x:f>IF(OR(B46="Control",H46=0),"N/A",G46/H46)</x:f>
        <x:v>1</x:v>
      </x:c>
      <x:c r="L46" s="2" t="str"/>
    </x:row>
    <x:row r="47" ht="24" customHeight="1">
      <x:c r="A47" s="10" t="str">
        <x:v>S05</x:v>
      </x:c>
      <x:c r="B47" s="10" t="str">
        <x:v>Primary</x:v>
      </x:c>
      <x:c r="C47" s="10" t="n">
        <x:v>6</x:v>
      </x:c>
      <x:c r="D47" s="10" t="n">
        <x:v>6</x:v>
      </x:c>
      <x:c r="E47" s="10" t="n">
        <x:v>6</x:v>
      </x:c>
      <x:c r="F47" s="10" t="n">
        <x:v>9</x:v>
      </x:c>
      <x:c r="G47" s="24" t="n">
        <x:v>16.437717932248074</x:v>
      </x:c>
      <x:c r="H47" s="24" t="n">
        <x:v>16.437717932248074</x:v>
      </x:c>
      <x:c r="I47" s="11" t="n">
        <x:f>IF(B47="Control","N/A",E47/C47)</x:f>
        <x:v>1</x:v>
      </x:c>
      <x:c r="J47" s="11" t="n">
        <x:f>IF(OR(B47="Control",F47=0),"N/A",E47/F47)</x:f>
        <x:v>0.6666666666666666</x:v>
      </x:c>
      <x:c r="K47" s="13" t="n">
        <x:f>IF(OR(B47="Control",H47=0),"N/A",G47/H47)</x:f>
        <x:v>1</x:v>
      </x:c>
      <x:c r="L47" s="10" t="str"/>
    </x:row>
    <x:row r="48" ht="24" customHeight="1">
      <x:c r="A48" s="2" t="str">
        <x:v>S05</x:v>
      </x:c>
      <x:c r="B48" s="2" t="str">
        <x:v>Primary</x:v>
      </x:c>
      <x:c r="C48" s="2" t="n">
        <x:v>7</x:v>
      </x:c>
      <x:c r="D48" s="2" t="n">
        <x:v>7</x:v>
      </x:c>
      <x:c r="E48" s="2" t="n">
        <x:v>7</x:v>
      </x:c>
      <x:c r="F48" s="2" t="n">
        <x:v>9</x:v>
      </x:c>
      <x:c r="G48" s="25" t="n">
        <x:v>17.437717932248074</x:v>
      </x:c>
      <x:c r="H48" s="25" t="n">
        <x:v>17.437717932248074</x:v>
      </x:c>
      <x:c r="I48" s="12" t="n">
        <x:f>IF(B48="Control","N/A",E48/C48)</x:f>
        <x:v>1</x:v>
      </x:c>
      <x:c r="J48" s="12" t="n">
        <x:f>IF(OR(B48="Control",F48=0),"N/A",E48/F48)</x:f>
        <x:v>0.7777777777777778</x:v>
      </x:c>
      <x:c r="K48" s="14" t="n">
        <x:f>IF(OR(B48="Control",H48=0),"N/A",G48/H48)</x:f>
        <x:v>1</x:v>
      </x:c>
      <x:c r="L48" s="2" t="str"/>
    </x:row>
    <x:row r="49" ht="24" customHeight="1">
      <x:c r="A49" s="10" t="str">
        <x:v>S05</x:v>
      </x:c>
      <x:c r="B49" s="10" t="str">
        <x:v>Primary</x:v>
      </x:c>
      <x:c r="C49" s="10" t="n">
        <x:v>8</x:v>
      </x:c>
      <x:c r="D49" s="10" t="n">
        <x:v>8</x:v>
      </x:c>
      <x:c r="E49" s="10" t="n">
        <x:v>8</x:v>
      </x:c>
      <x:c r="F49" s="10" t="n">
        <x:v>9</x:v>
      </x:c>
      <x:c r="G49" s="24" t="n">
        <x:v>18.38411256260526</x:v>
      </x:c>
      <x:c r="H49" s="24" t="n">
        <x:v>18.38411256260526</x:v>
      </x:c>
      <x:c r="I49" s="11" t="n">
        <x:f>IF(B49="Control","N/A",E49/C49)</x:f>
        <x:v>1</x:v>
      </x:c>
      <x:c r="J49" s="11" t="n">
        <x:f>IF(OR(B49="Control",F49=0),"N/A",E49/F49)</x:f>
        <x:v>0.8888888888888888</x:v>
      </x:c>
      <x:c r="K49" s="13" t="n">
        <x:f>IF(OR(B49="Control",H49=0),"N/A",G49/H49)</x:f>
        <x:v>1</x:v>
      </x:c>
      <x:c r="L49" s="10" t="str"/>
    </x:row>
    <x:row r="50" ht="24" customHeight="1">
      <x:c r="A50" s="2" t="str">
        <x:v>S05</x:v>
      </x:c>
      <x:c r="B50" s="2" t="str">
        <x:v>Primary</x:v>
      </x:c>
      <x:c r="C50" s="2" t="n">
        <x:v>9</x:v>
      </x:c>
      <x:c r="D50" s="2" t="n">
        <x:v>9</x:v>
      </x:c>
      <x:c r="E50" s="2" t="n">
        <x:v>8</x:v>
      </x:c>
      <x:c r="F50" s="2" t="n">
        <x:v>9</x:v>
      </x:c>
      <x:c r="G50" s="25" t="n">
        <x:v>18.68514255826924</x:v>
      </x:c>
      <x:c r="H50" s="25" t="n">
        <x:v>19.287202549597204</x:v>
      </x:c>
      <x:c r="I50" s="12" t="n">
        <x:f>IF(B50="Control","N/A",E50/C50)</x:f>
        <x:v>0.8888888888888888</x:v>
      </x:c>
      <x:c r="J50" s="12" t="n">
        <x:f>IF(OR(B50="Control",F50=0),"N/A",E50/F50)</x:f>
        <x:v>0.8888888888888888</x:v>
      </x:c>
      <x:c r="K50" s="14" t="n">
        <x:f>IF(OR(B50="Control",H50=0),"N/A",G50/H50)</x:f>
        <x:v>0.9687844834013767</x:v>
      </x:c>
      <x:c r="L50" s="2" t="str"/>
    </x:row>
    <x:row r="51" ht="24" customHeight="1">
      <x:c r="A51" s="10" t="str">
        <x:v>S05</x:v>
      </x:c>
      <x:c r="B51" s="10" t="str">
        <x:v>Primary</x:v>
      </x:c>
      <x:c r="C51" s="10" t="n">
        <x:v>10</x:v>
      </x:c>
      <x:c r="D51" s="10" t="n">
        <x:v>10</x:v>
      </x:c>
      <x:c r="E51" s="10" t="n">
        <x:v>8</x:v>
      </x:c>
      <x:c r="F51" s="10" t="n">
        <x:v>9</x:v>
      </x:c>
      <x:c r="G51" s="24" t="n">
        <x:v>18.974207384587128</x:v>
      </x:c>
      <x:c r="H51" s="24" t="n">
        <x:v>19.57626737591509</x:v>
      </x:c>
      <x:c r="I51" s="11" t="n">
        <x:f>IF(B51="Control","N/A",E51/C51)</x:f>
        <x:v>0.8</x:v>
      </x:c>
      <x:c r="J51" s="11" t="n">
        <x:f>IF(OR(B51="Control",F51=0),"N/A",E51/F51)</x:f>
        <x:v>0.8888888888888888</x:v>
      </x:c>
      <x:c r="K51" s="13" t="n">
        <x:f>IF(OR(B51="Control",H51=0),"N/A",G51/H51)</x:f>
        <x:v>0.9692454143700201</x:v>
      </x:c>
      <x:c r="L51" s="10" t="str"/>
    </x:row>
    <x:row r="52" ht="24" customHeight="1">
      <x:c r="A52" s="2" t="str">
        <x:v>S06</x:v>
      </x:c>
      <x:c r="B52" s="2" t="str">
        <x:v>Primary</x:v>
      </x:c>
      <x:c r="C52" s="2" t="n">
        <x:v>1</x:v>
      </x:c>
      <x:c r="D52" s="2" t="n">
        <x:v>1</x:v>
      </x:c>
      <x:c r="E52" s="2" t="n">
        <x:v>1</x:v>
      </x:c>
      <x:c r="F52" s="2" t="n">
        <x:v>15</x:v>
      </x:c>
      <x:c r="G52" s="25" t="n">
        <x:v>7</x:v>
      </x:c>
      <x:c r="H52" s="25" t="n">
        <x:v>7</x:v>
      </x:c>
      <x:c r="I52" s="12" t="n">
        <x:f>IF(B52="Control","N/A",E52/C52)</x:f>
        <x:v>1</x:v>
      </x:c>
      <x:c r="J52" s="12" t="n">
        <x:f>IF(OR(B52="Control",F52=0),"N/A",E52/F52)</x:f>
        <x:v>0.06666666666666667</x:v>
      </x:c>
      <x:c r="K52" s="14" t="n">
        <x:f>IF(OR(B52="Control",H52=0),"N/A",G52/H52)</x:f>
        <x:v>1</x:v>
      </x:c>
      <x:c r="L52" s="2" t="str"/>
    </x:row>
    <x:row r="53" ht="24" customHeight="1">
      <x:c r="A53" s="10" t="str">
        <x:v>S06</x:v>
      </x:c>
      <x:c r="B53" s="10" t="str">
        <x:v>Primary</x:v>
      </x:c>
      <x:c r="C53" s="10" t="n">
        <x:v>3</x:v>
      </x:c>
      <x:c r="D53" s="10" t="n">
        <x:v>3</x:v>
      </x:c>
      <x:c r="E53" s="10" t="n">
        <x:v>3</x:v>
      </x:c>
      <x:c r="F53" s="10" t="n">
        <x:v>15</x:v>
      </x:c>
      <x:c r="G53" s="24" t="n">
        <x:v>14.916508275000202</x:v>
      </x:c>
      <x:c r="H53" s="24" t="n">
        <x:v>14.916508275000202</x:v>
      </x:c>
      <x:c r="I53" s="11" t="n">
        <x:f>IF(B53="Control","N/A",E53/C53)</x:f>
        <x:v>1</x:v>
      </x:c>
      <x:c r="J53" s="11" t="n">
        <x:f>IF(OR(B53="Control",F53=0),"N/A",E53/F53)</x:f>
        <x:v>0.2</x:v>
      </x:c>
      <x:c r="K53" s="13" t="n">
        <x:f>IF(OR(B53="Control",H53=0),"N/A",G53/H53)</x:f>
        <x:v>1</x:v>
      </x:c>
      <x:c r="L53" s="10" t="str"/>
    </x:row>
    <x:row r="54" ht="24" customHeight="1">
      <x:c r="A54" s="2" t="str">
        <x:v>S06</x:v>
      </x:c>
      <x:c r="B54" s="2" t="str">
        <x:v>Primary</x:v>
      </x:c>
      <x:c r="C54" s="2" t="n">
        <x:v>4</x:v>
      </x:c>
      <x:c r="D54" s="2" t="n">
        <x:v>4</x:v>
      </x:c>
      <x:c r="E54" s="2" t="n">
        <x:v>4</x:v>
      </x:c>
      <x:c r="F54" s="2" t="n">
        <x:v>15</x:v>
      </x:c>
      <x:c r="G54" s="25" t="n">
        <x:v>17.931244181513954</x:v>
      </x:c>
      <x:c r="H54" s="25" t="n">
        <x:v>17.931244181513954</x:v>
      </x:c>
      <x:c r="I54" s="12" t="n">
        <x:f>IF(B54="Control","N/A",E54/C54)</x:f>
        <x:v>1</x:v>
      </x:c>
      <x:c r="J54" s="12" t="n">
        <x:f>IF(OR(B54="Control",F54=0),"N/A",E54/F54)</x:f>
        <x:v>0.26666666666666666</x:v>
      </x:c>
      <x:c r="K54" s="14" t="n">
        <x:f>IF(OR(B54="Control",H54=0),"N/A",G54/H54)</x:f>
        <x:v>1</x:v>
      </x:c>
      <x:c r="L54" s="2" t="str"/>
    </x:row>
    <x:row r="55" ht="24" customHeight="1">
      <x:c r="A55" s="10" t="str">
        <x:v>S06</x:v>
      </x:c>
      <x:c r="B55" s="10" t="str">
        <x:v>Primary</x:v>
      </x:c>
      <x:c r="C55" s="10" t="n">
        <x:v>5</x:v>
      </x:c>
      <x:c r="D55" s="10" t="n">
        <x:v>5</x:v>
      </x:c>
      <x:c r="E55" s="10" t="n">
        <x:v>5</x:v>
      </x:c>
      <x:c r="F55" s="10" t="n">
        <x:v>15</x:v>
      </x:c>
      <x:c r="G55" s="24" t="n">
        <x:v>20.639213832155747</x:v>
      </x:c>
      <x:c r="H55" s="24" t="n">
        <x:v>20.639213832155747</x:v>
      </x:c>
      <x:c r="I55" s="11" t="n">
        <x:f>IF(B55="Control","N/A",E55/C55)</x:f>
        <x:v>1</x:v>
      </x:c>
      <x:c r="J55" s="11" t="n">
        <x:f>IF(OR(B55="Control",F55=0),"N/A",E55/F55)</x:f>
        <x:v>0.3333333333333333</x:v>
      </x:c>
      <x:c r="K55" s="13" t="n">
        <x:f>IF(OR(B55="Control",H55=0),"N/A",G55/H55)</x:f>
        <x:v>1</x:v>
      </x:c>
      <x:c r="L55" s="10" t="str"/>
    </x:row>
    <x:row r="56" ht="24" customHeight="1">
      <x:c r="A56" s="2" t="str">
        <x:v>S06</x:v>
      </x:c>
      <x:c r="B56" s="2" t="str">
        <x:v>Primary</x:v>
      </x:c>
      <x:c r="C56" s="2" t="n">
        <x:v>6</x:v>
      </x:c>
      <x:c r="D56" s="2" t="n">
        <x:v>6</x:v>
      </x:c>
      <x:c r="E56" s="2" t="n">
        <x:v>6</x:v>
      </x:c>
      <x:c r="F56" s="2" t="n">
        <x:v>15</x:v>
      </x:c>
      <x:c r="G56" s="25" t="n">
        <x:v>23.1326641419119</x:v>
      </x:c>
      <x:c r="H56" s="25" t="n">
        <x:v>23.1326641419119</x:v>
      </x:c>
      <x:c r="I56" s="12" t="n">
        <x:f>IF(B56="Control","N/A",E56/C56)</x:f>
        <x:v>1</x:v>
      </x:c>
      <x:c r="J56" s="12" t="n">
        <x:f>IF(OR(B56="Control",F56=0),"N/A",E56/F56)</x:f>
        <x:v>0.4</x:v>
      </x:c>
      <x:c r="K56" s="14" t="n">
        <x:f>IF(OR(B56="Control",H56=0),"N/A",G56/H56)</x:f>
        <x:v>1</x:v>
      </x:c>
      <x:c r="L56" s="2" t="str"/>
    </x:row>
    <x:row r="57" ht="24" customHeight="1">
      <x:c r="A57" s="10" t="str">
        <x:v>S06</x:v>
      </x:c>
      <x:c r="B57" s="10" t="str">
        <x:v>Primary</x:v>
      </x:c>
      <x:c r="C57" s="10" t="n">
        <x:v>7</x:v>
      </x:c>
      <x:c r="D57" s="10" t="n">
        <x:v>7</x:v>
      </x:c>
      <x:c r="E57" s="10" t="n">
        <x:v>7</x:v>
      </x:c>
      <x:c r="F57" s="10" t="n">
        <x:v>15</x:v>
      </x:c>
      <x:c r="G57" s="24" t="n">
        <x:v>25.465997475245235</x:v>
      </x:c>
      <x:c r="H57" s="24" t="n">
        <x:v>25.465997475245235</x:v>
      </x:c>
      <x:c r="I57" s="11" t="n">
        <x:f>IF(B57="Control","N/A",E57/C57)</x:f>
        <x:v>1</x:v>
      </x:c>
      <x:c r="J57" s="11" t="n">
        <x:f>IF(OR(B57="Control",F57=0),"N/A",E57/F57)</x:f>
        <x:v>0.4666666666666667</x:v>
      </x:c>
      <x:c r="K57" s="13" t="n">
        <x:f>IF(OR(B57="Control",H57=0),"N/A",G57/H57)</x:f>
        <x:v>1</x:v>
      </x:c>
      <x:c r="L57" s="10" t="str"/>
    </x:row>
    <x:row r="58" ht="24" customHeight="1">
      <x:c r="A58" s="2" t="str">
        <x:v>S06</x:v>
      </x:c>
      <x:c r="B58" s="2" t="str">
        <x:v>Primary</x:v>
      </x:c>
      <x:c r="C58" s="2" t="n">
        <x:v>8</x:v>
      </x:c>
      <x:c r="D58" s="2" t="n">
        <x:v>8</x:v>
      </x:c>
      <x:c r="E58" s="2" t="n">
        <x:v>8</x:v>
      </x:c>
      <x:c r="F58" s="2" t="n">
        <x:v>15</x:v>
      </x:c>
      <x:c r="G58" s="25" t="n">
        <x:v>27.674251612745337</x:v>
      </x:c>
      <x:c r="H58" s="25" t="n">
        <x:v>27.674251612745337</x:v>
      </x:c>
      <x:c r="I58" s="12" t="n">
        <x:f>IF(B58="Control","N/A",E58/C58)</x:f>
        <x:v>1</x:v>
      </x:c>
      <x:c r="J58" s="12" t="n">
        <x:f>IF(OR(B58="Control",F58=0),"N/A",E58/F58)</x:f>
        <x:v>0.5333333333333333</x:v>
      </x:c>
      <x:c r="K58" s="14" t="n">
        <x:f>IF(OR(B58="Control",H58=0),"N/A",G58/H58)</x:f>
        <x:v>1</x:v>
      </x:c>
      <x:c r="L58" s="2" t="str"/>
    </x:row>
    <x:row r="59" ht="24" customHeight="1">
      <x:c r="A59" s="10" t="str">
        <x:v>S06</x:v>
      </x:c>
      <x:c r="B59" s="10" t="str">
        <x:v>Primary</x:v>
      </x:c>
      <x:c r="C59" s="10" t="n">
        <x:v>9</x:v>
      </x:c>
      <x:c r="D59" s="10" t="n">
        <x:v>9</x:v>
      </x:c>
      <x:c r="E59" s="10" t="n">
        <x:v>9</x:v>
      </x:c>
      <x:c r="F59" s="10" t="n">
        <x:v>15</x:v>
      </x:c>
      <x:c r="G59" s="24" t="n">
        <x:v>28.577341599737277</x:v>
      </x:c>
      <x:c r="H59" s="24" t="n">
        <x:v>28.577341599737277</x:v>
      </x:c>
      <x:c r="I59" s="11" t="n">
        <x:f>IF(B59="Control","N/A",E59/C59)</x:f>
        <x:v>1</x:v>
      </x:c>
      <x:c r="J59" s="11" t="n">
        <x:f>IF(OR(B59="Control",F59=0),"N/A",E59/F59)</x:f>
        <x:v>0.6</x:v>
      </x:c>
      <x:c r="K59" s="13" t="n">
        <x:f>IF(OR(B59="Control",H59=0),"N/A",G59/H59)</x:f>
        <x:v>1</x:v>
      </x:c>
      <x:c r="L59" s="10" t="str"/>
    </x:row>
    <x:row r="60" ht="24" customHeight="1">
      <x:c r="A60" s="2" t="str">
        <x:v>S06</x:v>
      </x:c>
      <x:c r="B60" s="2" t="str">
        <x:v>Primary</x:v>
      </x:c>
      <x:c r="C60" s="2" t="n">
        <x:v>10</x:v>
      </x:c>
      <x:c r="D60" s="2" t="n">
        <x:v>10</x:v>
      </x:c>
      <x:c r="E60" s="2" t="n">
        <x:v>10</x:v>
      </x:c>
      <x:c r="F60" s="2" t="n">
        <x:v>15</x:v>
      </x:c>
      <x:c r="G60" s="25" t="n">
        <x:v>29.44453607869094</x:v>
      </x:c>
      <x:c r="H60" s="25" t="n">
        <x:v>29.44453607869094</x:v>
      </x:c>
      <x:c r="I60" s="12" t="n">
        <x:f>IF(B60="Control","N/A",E60/C60)</x:f>
        <x:v>1</x:v>
      </x:c>
      <x:c r="J60" s="12" t="n">
        <x:f>IF(OR(B60="Control",F60=0),"N/A",E60/F60)</x:f>
        <x:v>0.6666666666666666</x:v>
      </x:c>
      <x:c r="K60" s="14" t="n">
        <x:f>IF(OR(B60="Control",H60=0),"N/A",G60/H60)</x:f>
        <x:v>1</x:v>
      </x:c>
      <x:c r="L60" s="2" t="str"/>
    </x:row>
    <x:row r="61" ht="24" customHeight="1">
      <x:c r="A61" s="10" t="str">
        <x:v>S07</x:v>
      </x:c>
      <x:c r="B61" s="10" t="str">
        <x:v>Primary</x:v>
      </x:c>
      <x:c r="C61" s="10" t="n">
        <x:v>1</x:v>
      </x:c>
      <x:c r="D61" s="10" t="n">
        <x:v>1</x:v>
      </x:c>
      <x:c r="E61" s="10" t="n">
        <x:v>1</x:v>
      </x:c>
      <x:c r="F61" s="10" t="n">
        <x:v>15</x:v>
      </x:c>
      <x:c r="G61" s="24" t="n">
        <x:v>7</x:v>
      </x:c>
      <x:c r="H61" s="24" t="n">
        <x:v>7</x:v>
      </x:c>
      <x:c r="I61" s="11" t="n">
        <x:f>IF(B61="Control","N/A",E61/C61)</x:f>
        <x:v>1</x:v>
      </x:c>
      <x:c r="J61" s="11" t="n">
        <x:f>IF(OR(B61="Control",F61=0),"N/A",E61/F61)</x:f>
        <x:v>0.06666666666666667</x:v>
      </x:c>
      <x:c r="K61" s="13" t="n">
        <x:f>IF(OR(B61="Control",H61=0),"N/A",G61/H61)</x:f>
        <x:v>1</x:v>
      </x:c>
      <x:c r="L61" s="10" t="str"/>
    </x:row>
    <x:row r="62" ht="24" customHeight="1">
      <x:c r="A62" s="2" t="str">
        <x:v>S07</x:v>
      </x:c>
      <x:c r="B62" s="2" t="str">
        <x:v>Primary</x:v>
      </x:c>
      <x:c r="C62" s="2" t="n">
        <x:v>3</x:v>
      </x:c>
      <x:c r="D62" s="2" t="n">
        <x:v>3</x:v>
      </x:c>
      <x:c r="E62" s="2" t="n">
        <x:v>3</x:v>
      </x:c>
      <x:c r="F62" s="2" t="n">
        <x:v>15</x:v>
      </x:c>
      <x:c r="G62" s="25" t="n">
        <x:v>14.916508275000202</x:v>
      </x:c>
      <x:c r="H62" s="25" t="n">
        <x:v>14.916508275000202</x:v>
      </x:c>
      <x:c r="I62" s="12" t="n">
        <x:f>IF(B62="Control","N/A",E62/C62)</x:f>
        <x:v>1</x:v>
      </x:c>
      <x:c r="J62" s="12" t="n">
        <x:f>IF(OR(B62="Control",F62=0),"N/A",E62/F62)</x:f>
        <x:v>0.2</x:v>
      </x:c>
      <x:c r="K62" s="14" t="n">
        <x:f>IF(OR(B62="Control",H62=0),"N/A",G62/H62)</x:f>
        <x:v>1</x:v>
      </x:c>
      <x:c r="L62" s="2" t="str"/>
    </x:row>
    <x:row r="63" ht="24" customHeight="1">
      <x:c r="A63" s="10" t="str">
        <x:v>S07</x:v>
      </x:c>
      <x:c r="B63" s="10" t="str">
        <x:v>Primary</x:v>
      </x:c>
      <x:c r="C63" s="10" t="n">
        <x:v>4</x:v>
      </x:c>
      <x:c r="D63" s="10" t="n">
        <x:v>4</x:v>
      </x:c>
      <x:c r="E63" s="10" t="n">
        <x:v>4</x:v>
      </x:c>
      <x:c r="F63" s="10" t="n">
        <x:v>15</x:v>
      </x:c>
      <x:c r="G63" s="24" t="n">
        <x:v>17.931244181513954</x:v>
      </x:c>
      <x:c r="H63" s="24" t="n">
        <x:v>17.931244181513954</x:v>
      </x:c>
      <x:c r="I63" s="11" t="n">
        <x:f>IF(B63="Control","N/A",E63/C63)</x:f>
        <x:v>1</x:v>
      </x:c>
      <x:c r="J63" s="11" t="n">
        <x:f>IF(OR(B63="Control",F63=0),"N/A",E63/F63)</x:f>
        <x:v>0.26666666666666666</x:v>
      </x:c>
      <x:c r="K63" s="13" t="n">
        <x:f>IF(OR(B63="Control",H63=0),"N/A",G63/H63)</x:f>
        <x:v>1</x:v>
      </x:c>
      <x:c r="L63" s="10" t="str"/>
    </x:row>
    <x:row r="64" ht="24" customHeight="1">
      <x:c r="A64" s="2" t="str">
        <x:v>S07</x:v>
      </x:c>
      <x:c r="B64" s="2" t="str">
        <x:v>Primary</x:v>
      </x:c>
      <x:c r="C64" s="2" t="n">
        <x:v>5</x:v>
      </x:c>
      <x:c r="D64" s="2" t="n">
        <x:v>5</x:v>
      </x:c>
      <x:c r="E64" s="2" t="n">
        <x:v>5</x:v>
      </x:c>
      <x:c r="F64" s="2" t="n">
        <x:v>15</x:v>
      </x:c>
      <x:c r="G64" s="25" t="n">
        <x:v>19.09180260321758</x:v>
      </x:c>
      <x:c r="H64" s="25" t="n">
        <x:v>19.09180260321758</x:v>
      </x:c>
      <x:c r="I64" s="12" t="n">
        <x:f>IF(B64="Control","N/A",E64/C64)</x:f>
        <x:v>1</x:v>
      </x:c>
      <x:c r="J64" s="12" t="n">
        <x:f>IF(OR(B64="Control",F64=0),"N/A",E64/F64)</x:f>
        <x:v>0.3333333333333333</x:v>
      </x:c>
      <x:c r="K64" s="14" t="n">
        <x:f>IF(OR(B64="Control",H64=0),"N/A",G64/H64)</x:f>
        <x:v>1</x:v>
      </x:c>
      <x:c r="L64" s="2" t="str"/>
    </x:row>
    <x:row r="65" ht="24" customHeight="1">
      <x:c r="A65" s="10" t="str">
        <x:v>S07</x:v>
      </x:c>
      <x:c r="B65" s="10" t="str">
        <x:v>Primary</x:v>
      </x:c>
      <x:c r="C65" s="10" t="n">
        <x:v>6</x:v>
      </x:c>
      <x:c r="D65" s="10" t="n">
        <x:v>6</x:v>
      </x:c>
      <x:c r="E65" s="10" t="n">
        <x:v>6</x:v>
      </x:c>
      <x:c r="F65" s="10" t="n">
        <x:v>15</x:v>
      </x:c>
      <x:c r="G65" s="24" t="n">
        <x:v>20.160424164541645</x:v>
      </x:c>
      <x:c r="H65" s="24" t="n">
        <x:v>20.160424164541645</x:v>
      </x:c>
      <x:c r="I65" s="11" t="n">
        <x:f>IF(B65="Control","N/A",E65/C65)</x:f>
        <x:v>1</x:v>
      </x:c>
      <x:c r="J65" s="11" t="n">
        <x:f>IF(OR(B65="Control",F65=0),"N/A",E65/F65)</x:f>
        <x:v>0.4</x:v>
      </x:c>
      <x:c r="K65" s="13" t="n">
        <x:f>IF(OR(B65="Control",H65=0),"N/A",G65/H65)</x:f>
        <x:v>1</x:v>
      </x:c>
      <x:c r="L65" s="10" t="str"/>
    </x:row>
    <x:row r="66" ht="24" customHeight="1">
      <x:c r="A66" s="2" t="str">
        <x:v>S07</x:v>
      </x:c>
      <x:c r="B66" s="2" t="str">
        <x:v>Primary</x:v>
      </x:c>
      <x:c r="C66" s="2" t="n">
        <x:v>7</x:v>
      </x:c>
      <x:c r="D66" s="2" t="n">
        <x:v>7</x:v>
      </x:c>
      <x:c r="E66" s="2" t="n">
        <x:v>7</x:v>
      </x:c>
      <x:c r="F66" s="2" t="n">
        <x:v>15</x:v>
      </x:c>
      <x:c r="G66" s="25" t="n">
        <x:v>21.160424164541645</x:v>
      </x:c>
      <x:c r="H66" s="25" t="n">
        <x:v>21.160424164541645</x:v>
      </x:c>
      <x:c r="I66" s="12" t="n">
        <x:f>IF(B66="Control","N/A",E66/C66)</x:f>
        <x:v>1</x:v>
      </x:c>
      <x:c r="J66" s="12" t="n">
        <x:f>IF(OR(B66="Control",F66=0),"N/A",E66/F66)</x:f>
        <x:v>0.4666666666666667</x:v>
      </x:c>
      <x:c r="K66" s="14" t="n">
        <x:f>IF(OR(B66="Control",H66=0),"N/A",G66/H66)</x:f>
        <x:v>1</x:v>
      </x:c>
      <x:c r="L66" s="2" t="str"/>
    </x:row>
    <x:row r="67" ht="24" customHeight="1">
      <x:c r="A67" s="10" t="str">
        <x:v>S07</x:v>
      </x:c>
      <x:c r="B67" s="10" t="str">
        <x:v>Primary</x:v>
      </x:c>
      <x:c r="C67" s="10" t="n">
        <x:v>8</x:v>
      </x:c>
      <x:c r="D67" s="10" t="n">
        <x:v>8</x:v>
      </x:c>
      <x:c r="E67" s="10" t="n">
        <x:v>8</x:v>
      </x:c>
      <x:c r="F67" s="10" t="n">
        <x:v>15</x:v>
      </x:c>
      <x:c r="G67" s="24" t="n">
        <x:v>22.10681879489883</x:v>
      </x:c>
      <x:c r="H67" s="24" t="n">
        <x:v>22.10681879489883</x:v>
      </x:c>
      <x:c r="I67" s="11" t="n">
        <x:f>IF(B67="Control","N/A",E67/C67)</x:f>
        <x:v>1</x:v>
      </x:c>
      <x:c r="J67" s="11" t="n">
        <x:f>IF(OR(B67="Control",F67=0),"N/A",E67/F67)</x:f>
        <x:v>0.5333333333333333</x:v>
      </x:c>
      <x:c r="K67" s="13" t="n">
        <x:f>IF(OR(B67="Control",H67=0),"N/A",G67/H67)</x:f>
        <x:v>1</x:v>
      </x:c>
      <x:c r="L67" s="10" t="str"/>
    </x:row>
    <x:row r="68" ht="24" customHeight="1">
      <x:c r="A68" s="2" t="str">
        <x:v>S07</x:v>
      </x:c>
      <x:c r="B68" s="2" t="str">
        <x:v>Primary</x:v>
      </x:c>
      <x:c r="C68" s="2" t="n">
        <x:v>9</x:v>
      </x:c>
      <x:c r="D68" s="2" t="n">
        <x:v>9</x:v>
      </x:c>
      <x:c r="E68" s="2" t="n">
        <x:v>9</x:v>
      </x:c>
      <x:c r="F68" s="2" t="n">
        <x:v>15</x:v>
      </x:c>
      <x:c r="G68" s="25" t="n">
        <x:v>23.009908781890775</x:v>
      </x:c>
      <x:c r="H68" s="25" t="n">
        <x:v>23.009908781890775</x:v>
      </x:c>
      <x:c r="I68" s="12" t="n">
        <x:f>IF(B68="Control","N/A",E68/C68)</x:f>
        <x:v>1</x:v>
      </x:c>
      <x:c r="J68" s="12" t="n">
        <x:f>IF(OR(B68="Control",F68=0),"N/A",E68/F68)</x:f>
        <x:v>0.6</x:v>
      </x:c>
      <x:c r="K68" s="14" t="n">
        <x:f>IF(OR(B68="Control",H68=0),"N/A",G68/H68)</x:f>
        <x:v>1</x:v>
      </x:c>
      <x:c r="L68" s="2" t="str"/>
    </x:row>
    <x:row r="69" ht="24" customHeight="1">
      <x:c r="A69" s="10" t="str">
        <x:v>S07</x:v>
      </x:c>
      <x:c r="B69" s="10" t="str">
        <x:v>Primary</x:v>
      </x:c>
      <x:c r="C69" s="10" t="n">
        <x:v>10</x:v>
      </x:c>
      <x:c r="D69" s="10" t="n">
        <x:v>10</x:v>
      </x:c>
      <x:c r="E69" s="10" t="n">
        <x:v>10</x:v>
      </x:c>
      <x:c r="F69" s="10" t="n">
        <x:v>15</x:v>
      </x:c>
      <x:c r="G69" s="24" t="n">
        <x:v>23.87710326084444</x:v>
      </x:c>
      <x:c r="H69" s="24" t="n">
        <x:v>23.87710326084444</x:v>
      </x:c>
      <x:c r="I69" s="11" t="n">
        <x:f>IF(B69="Control","N/A",E69/C69)</x:f>
        <x:v>1</x:v>
      </x:c>
      <x:c r="J69" s="11" t="n">
        <x:f>IF(OR(B69="Control",F69=0),"N/A",E69/F69)</x:f>
        <x:v>0.6666666666666666</x:v>
      </x:c>
      <x:c r="K69" s="13" t="n">
        <x:f>IF(OR(B69="Control",H69=0),"N/A",G69/H69)</x:f>
        <x:v>1</x:v>
      </x:c>
      <x:c r="L69" s="10" t="str"/>
    </x:row>
    <x:row r="70" ht="24" customHeight="1">
      <x:c r="A70" s="2" t="str">
        <x:v>S08</x:v>
      </x:c>
      <x:c r="B70" s="2" t="str">
        <x:v>Primary</x:v>
      </x:c>
      <x:c r="C70" s="2" t="n">
        <x:v>1</x:v>
      </x:c>
      <x:c r="D70" s="2" t="n">
        <x:v>1</x:v>
      </x:c>
      <x:c r="E70" s="2" t="n">
        <x:v>1</x:v>
      </x:c>
      <x:c r="F70" s="2" t="n">
        <x:v>11</x:v>
      </x:c>
      <x:c r="G70" s="25" t="n">
        <x:v>7</x:v>
      </x:c>
      <x:c r="H70" s="25" t="n">
        <x:v>7</x:v>
      </x:c>
      <x:c r="I70" s="12" t="n">
        <x:f>IF(B70="Control","N/A",E70/C70)</x:f>
        <x:v>1</x:v>
      </x:c>
      <x:c r="J70" s="12" t="n">
        <x:f>IF(OR(B70="Control",F70=0),"N/A",E70/F70)</x:f>
        <x:v>0.09090909090909091</x:v>
      </x:c>
      <x:c r="K70" s="14" t="n">
        <x:f>IF(OR(B70="Control",H70=0),"N/A",G70/H70)</x:f>
        <x:v>1</x:v>
      </x:c>
      <x:c r="L70" s="2" t="str"/>
    </x:row>
    <x:row r="71" ht="24" customHeight="1">
      <x:c r="A71" s="10" t="str">
        <x:v>S08</x:v>
      </x:c>
      <x:c r="B71" s="10" t="str">
        <x:v>Primary</x:v>
      </x:c>
      <x:c r="C71" s="10" t="n">
        <x:v>3</x:v>
      </x:c>
      <x:c r="D71" s="10" t="n">
        <x:v>3</x:v>
      </x:c>
      <x:c r="E71" s="10" t="n">
        <x:v>3</x:v>
      </x:c>
      <x:c r="F71" s="10" t="n">
        <x:v>11</x:v>
      </x:c>
      <x:c r="G71" s="24" t="n">
        <x:v>10.392789260714373</x:v>
      </x:c>
      <x:c r="H71" s="24" t="n">
        <x:v>10.392789260714373</x:v>
      </x:c>
      <x:c r="I71" s="11" t="n">
        <x:f>IF(B71="Control","N/A",E71/C71)</x:f>
        <x:v>1</x:v>
      </x:c>
      <x:c r="J71" s="11" t="n">
        <x:f>IF(OR(B71="Control",F71=0),"N/A",E71/F71)</x:f>
        <x:v>0.2727272727272727</x:v>
      </x:c>
      <x:c r="K71" s="13" t="n">
        <x:f>IF(OR(B71="Control",H71=0),"N/A",G71/H71)</x:f>
        <x:v>1</x:v>
      </x:c>
      <x:c r="L71" s="10" t="str"/>
    </x:row>
    <x:row r="72" ht="24" customHeight="1">
      <x:c r="A72" s="2" t="str">
        <x:v>S08</x:v>
      </x:c>
      <x:c r="B72" s="2" t="str">
        <x:v>Primary</x:v>
      </x:c>
      <x:c r="C72" s="2" t="n">
        <x:v>4</x:v>
      </x:c>
      <x:c r="D72" s="2" t="n">
        <x:v>4</x:v>
      </x:c>
      <x:c r="E72" s="2" t="n">
        <x:v>4</x:v>
      </x:c>
      <x:c r="F72" s="2" t="n">
        <x:v>11</x:v>
      </x:c>
      <x:c r="G72" s="25" t="n">
        <x:v>11.684818934934551</x:v>
      </x:c>
      <x:c r="H72" s="25" t="n">
        <x:v>11.684818934934551</x:v>
      </x:c>
      <x:c r="I72" s="12" t="n">
        <x:f>IF(B72="Control","N/A",E72/C72)</x:f>
        <x:v>1</x:v>
      </x:c>
      <x:c r="J72" s="12" t="n">
        <x:f>IF(OR(B72="Control",F72=0),"N/A",E72/F72)</x:f>
        <x:v>0.36363636363636365</x:v>
      </x:c>
      <x:c r="K72" s="14" t="n">
        <x:f>IF(OR(B72="Control",H72=0),"N/A",G72/H72)</x:f>
        <x:v>1</x:v>
      </x:c>
      <x:c r="L72" s="2" t="str"/>
    </x:row>
    <x:row r="73" ht="24" customHeight="1">
      <x:c r="A73" s="10" t="str">
        <x:v>S08</x:v>
      </x:c>
      <x:c r="B73" s="10" t="str">
        <x:v>Primary</x:v>
      </x:c>
      <x:c r="C73" s="10" t="n">
        <x:v>5</x:v>
      </x:c>
      <x:c r="D73" s="10" t="n">
        <x:v>5</x:v>
      </x:c>
      <x:c r="E73" s="10" t="n">
        <x:v>5</x:v>
      </x:c>
      <x:c r="F73" s="10" t="n">
        <x:v>11</x:v>
      </x:c>
      <x:c r="G73" s="24" t="n">
        <x:v>12.845377356638176</x:v>
      </x:c>
      <x:c r="H73" s="24" t="n">
        <x:v>12.845377356638176</x:v>
      </x:c>
      <x:c r="I73" s="11" t="n">
        <x:f>IF(B73="Control","N/A",E73/C73)</x:f>
        <x:v>1</x:v>
      </x:c>
      <x:c r="J73" s="11" t="n">
        <x:f>IF(OR(B73="Control",F73=0),"N/A",E73/F73)</x:f>
        <x:v>0.45454545454545453</x:v>
      </x:c>
      <x:c r="K73" s="13" t="n">
        <x:f>IF(OR(B73="Control",H73=0),"N/A",G73/H73)</x:f>
        <x:v>1</x:v>
      </x:c>
      <x:c r="L73" s="10" t="str"/>
    </x:row>
    <x:row r="74" ht="24" customHeight="1">
      <x:c r="A74" s="2" t="str">
        <x:v>S08</x:v>
      </x:c>
      <x:c r="B74" s="2" t="str">
        <x:v>Primary</x:v>
      </x:c>
      <x:c r="C74" s="2" t="n">
        <x:v>6</x:v>
      </x:c>
      <x:c r="D74" s="2" t="n">
        <x:v>6</x:v>
      </x:c>
      <x:c r="E74" s="2" t="n">
        <x:v>6</x:v>
      </x:c>
      <x:c r="F74" s="2" t="n">
        <x:v>11</x:v>
      </x:c>
      <x:c r="G74" s="25" t="n">
        <x:v>13.913998917962243</x:v>
      </x:c>
      <x:c r="H74" s="25" t="n">
        <x:v>13.913998917962243</x:v>
      </x:c>
      <x:c r="I74" s="12" t="n">
        <x:f>IF(B74="Control","N/A",E74/C74)</x:f>
        <x:v>1</x:v>
      </x:c>
      <x:c r="J74" s="12" t="n">
        <x:f>IF(OR(B74="Control",F74=0),"N/A",E74/F74)</x:f>
        <x:v>0.5454545454545454</x:v>
      </x:c>
      <x:c r="K74" s="14" t="n">
        <x:f>IF(OR(B74="Control",H74=0),"N/A",G74/H74)</x:f>
        <x:v>1</x:v>
      </x:c>
      <x:c r="L74" s="2" t="str"/>
    </x:row>
    <x:row r="75" ht="24" customHeight="1">
      <x:c r="A75" s="10" t="str">
        <x:v>S08</x:v>
      </x:c>
      <x:c r="B75" s="10" t="str">
        <x:v>Primary</x:v>
      </x:c>
      <x:c r="C75" s="10" t="n">
        <x:v>7</x:v>
      </x:c>
      <x:c r="D75" s="10" t="n">
        <x:v>7</x:v>
      </x:c>
      <x:c r="E75" s="10" t="n">
        <x:v>7</x:v>
      </x:c>
      <x:c r="F75" s="10" t="n">
        <x:v>11</x:v>
      </x:c>
      <x:c r="G75" s="24" t="n">
        <x:v>14.913998917962243</x:v>
      </x:c>
      <x:c r="H75" s="24" t="n">
        <x:v>14.913998917962243</x:v>
      </x:c>
      <x:c r="I75" s="11" t="n">
        <x:f>IF(B75="Control","N/A",E75/C75)</x:f>
        <x:v>1</x:v>
      </x:c>
      <x:c r="J75" s="11" t="n">
        <x:f>IF(OR(B75="Control",F75=0),"N/A",E75/F75)</x:f>
        <x:v>0.6363636363636364</x:v>
      </x:c>
      <x:c r="K75" s="13" t="n">
        <x:f>IF(OR(B75="Control",H75=0),"N/A",G75/H75)</x:f>
        <x:v>1</x:v>
      </x:c>
      <x:c r="L75" s="10" t="str"/>
    </x:row>
    <x:row r="76" ht="24" customHeight="1">
      <x:c r="A76" s="2" t="str">
        <x:v>S08</x:v>
      </x:c>
      <x:c r="B76" s="2" t="str">
        <x:v>Primary</x:v>
      </x:c>
      <x:c r="C76" s="2" t="n">
        <x:v>8</x:v>
      </x:c>
      <x:c r="D76" s="2" t="n">
        <x:v>8</x:v>
      </x:c>
      <x:c r="E76" s="2" t="n">
        <x:v>8</x:v>
      </x:c>
      <x:c r="F76" s="2" t="n">
        <x:v>11</x:v>
      </x:c>
      <x:c r="G76" s="25" t="n">
        <x:v>15.86039354831943</x:v>
      </x:c>
      <x:c r="H76" s="25" t="n">
        <x:v>15.86039354831943</x:v>
      </x:c>
      <x:c r="I76" s="12" t="n">
        <x:f>IF(B76="Control","N/A",E76/C76)</x:f>
        <x:v>1</x:v>
      </x:c>
      <x:c r="J76" s="12" t="n">
        <x:f>IF(OR(B76="Control",F76=0),"N/A",E76/F76)</x:f>
        <x:v>0.7272727272727273</x:v>
      </x:c>
      <x:c r="K76" s="14" t="n">
        <x:f>IF(OR(B76="Control",H76=0),"N/A",G76/H76)</x:f>
        <x:v>1</x:v>
      </x:c>
      <x:c r="L76" s="2" t="str"/>
    </x:row>
    <x:row r="77" ht="24" customHeight="1">
      <x:c r="A77" s="10" t="str">
        <x:v>S08</x:v>
      </x:c>
      <x:c r="B77" s="10" t="str">
        <x:v>Primary</x:v>
      </x:c>
      <x:c r="C77" s="10" t="n">
        <x:v>9</x:v>
      </x:c>
      <x:c r="D77" s="10" t="n">
        <x:v>9</x:v>
      </x:c>
      <x:c r="E77" s="10" t="n">
        <x:v>9</x:v>
      </x:c>
      <x:c r="F77" s="10" t="n">
        <x:v>11</x:v>
      </x:c>
      <x:c r="G77" s="24" t="n">
        <x:v>16.763483535311373</x:v>
      </x:c>
      <x:c r="H77" s="24" t="n">
        <x:v>16.763483535311373</x:v>
      </x:c>
      <x:c r="I77" s="11" t="n">
        <x:f>IF(B77="Control","N/A",E77/C77)</x:f>
        <x:v>1</x:v>
      </x:c>
      <x:c r="J77" s="11" t="n">
        <x:f>IF(OR(B77="Control",F77=0),"N/A",E77/F77)</x:f>
        <x:v>0.8181818181818182</x:v>
      </x:c>
      <x:c r="K77" s="13" t="n">
        <x:f>IF(OR(B77="Control",H77=0),"N/A",G77/H77)</x:f>
        <x:v>1</x:v>
      </x:c>
      <x:c r="L77" s="10" t="str"/>
    </x:row>
    <x:row r="78" ht="24" customHeight="1">
      <x:c r="A78" s="2" t="str">
        <x:v>S08</x:v>
      </x:c>
      <x:c r="B78" s="2" t="str">
        <x:v>Primary</x:v>
      </x:c>
      <x:c r="C78" s="2" t="n">
        <x:v>10</x:v>
      </x:c>
      <x:c r="D78" s="2" t="n">
        <x:v>10</x:v>
      </x:c>
      <x:c r="E78" s="2" t="n">
        <x:v>10</x:v>
      </x:c>
      <x:c r="F78" s="2" t="n">
        <x:v>11</x:v>
      </x:c>
      <x:c r="G78" s="25" t="n">
        <x:v>17.630678014265037</x:v>
      </x:c>
      <x:c r="H78" s="25" t="n">
        <x:v>17.630678014265037</x:v>
      </x:c>
      <x:c r="I78" s="12" t="n">
        <x:f>IF(B78="Control","N/A",E78/C78)</x:f>
        <x:v>1</x:v>
      </x:c>
      <x:c r="J78" s="12" t="n">
        <x:f>IF(OR(B78="Control",F78=0),"N/A",E78/F78)</x:f>
        <x:v>0.9090909090909091</x:v>
      </x:c>
      <x:c r="K78" s="14" t="n">
        <x:f>IF(OR(B78="Control",H78=0),"N/A",G78/H78)</x:f>
        <x:v>1</x:v>
      </x:c>
      <x:c r="L78" s="2" t="str"/>
    </x:row>
    <x:row r="79" ht="24" customHeight="1">
      <x:c r="A79" s="10" t="str">
        <x:v>S09</x:v>
      </x:c>
      <x:c r="B79" s="10" t="str">
        <x:v>Primary</x:v>
      </x:c>
      <x:c r="C79" s="10" t="n">
        <x:v>1</x:v>
      </x:c>
      <x:c r="D79" s="10" t="n">
        <x:v>1</x:v>
      </x:c>
      <x:c r="E79" s="10" t="n">
        <x:v>1</x:v>
      </x:c>
      <x:c r="F79" s="10" t="n">
        <x:v>14</x:v>
      </x:c>
      <x:c r="G79" s="24" t="n">
        <x:v>7</x:v>
      </x:c>
      <x:c r="H79" s="24" t="n">
        <x:v>7</x:v>
      </x:c>
      <x:c r="I79" s="11" t="n">
        <x:f>IF(B79="Control","N/A",E79/C79)</x:f>
        <x:v>1</x:v>
      </x:c>
      <x:c r="J79" s="11" t="n">
        <x:f>IF(OR(B79="Control",F79=0),"N/A",E79/F79)</x:f>
        <x:v>0.07142857142857142</x:v>
      </x:c>
      <x:c r="K79" s="13" t="n">
        <x:f>IF(OR(B79="Control",H79=0),"N/A",G79/H79)</x:f>
        <x:v>1</x:v>
      </x:c>
      <x:c r="L79" s="10" t="str"/>
    </x:row>
    <x:row r="80" ht="24" customHeight="1">
      <x:c r="A80" s="2" t="str">
        <x:v>S09</x:v>
      </x:c>
      <x:c r="B80" s="2" t="str">
        <x:v>Primary</x:v>
      </x:c>
      <x:c r="C80" s="2" t="n">
        <x:v>3</x:v>
      </x:c>
      <x:c r="D80" s="2" t="n">
        <x:v>3</x:v>
      </x:c>
      <x:c r="E80" s="2" t="n">
        <x:v>3</x:v>
      </x:c>
      <x:c r="F80" s="2" t="n">
        <x:v>14</x:v>
      </x:c>
      <x:c r="G80" s="25" t="n">
        <x:v>14.916508275000202</x:v>
      </x:c>
      <x:c r="H80" s="25" t="n">
        <x:v>14.916508275000202</x:v>
      </x:c>
      <x:c r="I80" s="12" t="n">
        <x:f>IF(B80="Control","N/A",E80/C80)</x:f>
        <x:v>1</x:v>
      </x:c>
      <x:c r="J80" s="12" t="n">
        <x:f>IF(OR(B80="Control",F80=0),"N/A",E80/F80)</x:f>
        <x:v>0.21428571428571427</x:v>
      </x:c>
      <x:c r="K80" s="14" t="n">
        <x:f>IF(OR(B80="Control",H80=0),"N/A",G80/H80)</x:f>
        <x:v>1</x:v>
      </x:c>
      <x:c r="L80" s="2" t="str"/>
    </x:row>
    <x:row r="81" ht="24" customHeight="1">
      <x:c r="A81" s="10" t="str">
        <x:v>S09</x:v>
      </x:c>
      <x:c r="B81" s="10" t="str">
        <x:v>Primary</x:v>
      </x:c>
      <x:c r="C81" s="10" t="n">
        <x:v>4</x:v>
      </x:c>
      <x:c r="D81" s="10" t="n">
        <x:v>4</x:v>
      </x:c>
      <x:c r="E81" s="10" t="n">
        <x:v>4</x:v>
      </x:c>
      <x:c r="F81" s="10" t="n">
        <x:v>14</x:v>
      </x:c>
      <x:c r="G81" s="24" t="n">
        <x:v>17.931244181513954</x:v>
      </x:c>
      <x:c r="H81" s="24" t="n">
        <x:v>17.931244181513954</x:v>
      </x:c>
      <x:c r="I81" s="11" t="n">
        <x:f>IF(B81="Control","N/A",E81/C81)</x:f>
        <x:v>1</x:v>
      </x:c>
      <x:c r="J81" s="11" t="n">
        <x:f>IF(OR(B81="Control",F81=0),"N/A",E81/F81)</x:f>
        <x:v>0.2857142857142857</x:v>
      </x:c>
      <x:c r="K81" s="13" t="n">
        <x:f>IF(OR(B81="Control",H81=0),"N/A",G81/H81)</x:f>
        <x:v>1</x:v>
      </x:c>
      <x:c r="L81" s="10" t="str"/>
    </x:row>
    <x:row r="82" ht="24" customHeight="1">
      <x:c r="A82" s="2" t="str">
        <x:v>S09</x:v>
      </x:c>
      <x:c r="B82" s="2" t="str">
        <x:v>Primary</x:v>
      </x:c>
      <x:c r="C82" s="2" t="n">
        <x:v>5</x:v>
      </x:c>
      <x:c r="D82" s="2" t="n">
        <x:v>5</x:v>
      </x:c>
      <x:c r="E82" s="2" t="n">
        <x:v>5</x:v>
      </x:c>
      <x:c r="F82" s="2" t="n">
        <x:v>14</x:v>
      </x:c>
      <x:c r="G82" s="25" t="n">
        <x:v>20.639213832155747</x:v>
      </x:c>
      <x:c r="H82" s="25" t="n">
        <x:v>20.639213832155747</x:v>
      </x:c>
      <x:c r="I82" s="12" t="n">
        <x:f>IF(B82="Control","N/A",E82/C82)</x:f>
        <x:v>1</x:v>
      </x:c>
      <x:c r="J82" s="12" t="n">
        <x:f>IF(OR(B82="Control",F82=0),"N/A",E82/F82)</x:f>
        <x:v>0.35714285714285715</x:v>
      </x:c>
      <x:c r="K82" s="14" t="n">
        <x:f>IF(OR(B82="Control",H82=0),"N/A",G82/H82)</x:f>
        <x:v>1</x:v>
      </x:c>
      <x:c r="L82" s="2" t="str"/>
    </x:row>
    <x:row r="83" ht="24" customHeight="1">
      <x:c r="A83" s="10" t="str">
        <x:v>S09</x:v>
      </x:c>
      <x:c r="B83" s="10" t="str">
        <x:v>Primary</x:v>
      </x:c>
      <x:c r="C83" s="10" t="n">
        <x:v>6</x:v>
      </x:c>
      <x:c r="D83" s="10" t="n">
        <x:v>6</x:v>
      </x:c>
      <x:c r="E83" s="10" t="n">
        <x:v>6</x:v>
      </x:c>
      <x:c r="F83" s="10" t="n">
        <x:v>14</x:v>
      </x:c>
      <x:c r="G83" s="24" t="n">
        <x:v>23.1326641419119</x:v>
      </x:c>
      <x:c r="H83" s="24" t="n">
        <x:v>23.1326641419119</x:v>
      </x:c>
      <x:c r="I83" s="11" t="n">
        <x:f>IF(B83="Control","N/A",E83/C83)</x:f>
        <x:v>1</x:v>
      </x:c>
      <x:c r="J83" s="11" t="n">
        <x:f>IF(OR(B83="Control",F83=0),"N/A",E83/F83)</x:f>
        <x:v>0.42857142857142855</x:v>
      </x:c>
      <x:c r="K83" s="13" t="n">
        <x:f>IF(OR(B83="Control",H83=0),"N/A",G83/H83)</x:f>
        <x:v>1</x:v>
      </x:c>
      <x:c r="L83" s="10" t="str"/>
    </x:row>
    <x:row r="84" ht="24" customHeight="1">
      <x:c r="A84" s="2" t="str">
        <x:v>S09</x:v>
      </x:c>
      <x:c r="B84" s="2" t="str">
        <x:v>Primary</x:v>
      </x:c>
      <x:c r="C84" s="2" t="n">
        <x:v>7</x:v>
      </x:c>
      <x:c r="D84" s="2" t="n">
        <x:v>7</x:v>
      </x:c>
      <x:c r="E84" s="2" t="n">
        <x:v>7</x:v>
      </x:c>
      <x:c r="F84" s="2" t="n">
        <x:v>14</x:v>
      </x:c>
      <x:c r="G84" s="25" t="n">
        <x:v>25.465997475245235</x:v>
      </x:c>
      <x:c r="H84" s="25" t="n">
        <x:v>25.465997475245235</x:v>
      </x:c>
      <x:c r="I84" s="12" t="n">
        <x:f>IF(B84="Control","N/A",E84/C84)</x:f>
        <x:v>1</x:v>
      </x:c>
      <x:c r="J84" s="12" t="n">
        <x:f>IF(OR(B84="Control",F84=0),"N/A",E84/F84)</x:f>
        <x:v>0.5</x:v>
      </x:c>
      <x:c r="K84" s="14" t="n">
        <x:f>IF(OR(B84="Control",H84=0),"N/A",G84/H84)</x:f>
        <x:v>1</x:v>
      </x:c>
      <x:c r="L84" s="2" t="str"/>
    </x:row>
    <x:row r="85" ht="24" customHeight="1">
      <x:c r="A85" s="10" t="str">
        <x:v>S09</x:v>
      </x:c>
      <x:c r="B85" s="10" t="str">
        <x:v>Primary</x:v>
      </x:c>
      <x:c r="C85" s="10" t="n">
        <x:v>8</x:v>
      </x:c>
      <x:c r="D85" s="10" t="n">
        <x:v>8</x:v>
      </x:c>
      <x:c r="E85" s="10" t="n">
        <x:v>8</x:v>
      </x:c>
      <x:c r="F85" s="10" t="n">
        <x:v>14</x:v>
      </x:c>
      <x:c r="G85" s="24" t="n">
        <x:v>27.674251612745337</x:v>
      </x:c>
      <x:c r="H85" s="24" t="n">
        <x:v>27.674251612745337</x:v>
      </x:c>
      <x:c r="I85" s="11" t="n">
        <x:f>IF(B85="Control","N/A",E85/C85)</x:f>
        <x:v>1</x:v>
      </x:c>
      <x:c r="J85" s="11" t="n">
        <x:f>IF(OR(B85="Control",F85=0),"N/A",E85/F85)</x:f>
        <x:v>0.5714285714285714</x:v>
      </x:c>
      <x:c r="K85" s="13" t="n">
        <x:f>IF(OR(B85="Control",H85=0),"N/A",G85/H85)</x:f>
        <x:v>1</x:v>
      </x:c>
      <x:c r="L85" s="10" t="str"/>
    </x:row>
    <x:row r="86" ht="24" customHeight="1">
      <x:c r="A86" s="2" t="str">
        <x:v>S09</x:v>
      </x:c>
      <x:c r="B86" s="2" t="str">
        <x:v>Primary</x:v>
      </x:c>
      <x:c r="C86" s="2" t="n">
        <x:v>9</x:v>
      </x:c>
      <x:c r="D86" s="2" t="n">
        <x:v>9</x:v>
      </x:c>
      <x:c r="E86" s="2" t="n">
        <x:v>9</x:v>
      </x:c>
      <x:c r="F86" s="2" t="n">
        <x:v>14</x:v>
      </x:c>
      <x:c r="G86" s="25" t="n">
        <x:v>29.781461582393202</x:v>
      </x:c>
      <x:c r="H86" s="25" t="n">
        <x:v>29.781461582393202</x:v>
      </x:c>
      <x:c r="I86" s="12" t="n">
        <x:f>IF(B86="Control","N/A",E86/C86)</x:f>
        <x:v>1</x:v>
      </x:c>
      <x:c r="J86" s="12" t="n">
        <x:f>IF(OR(B86="Control",F86=0),"N/A",E86/F86)</x:f>
        <x:v>0.6428571428571429</x:v>
      </x:c>
      <x:c r="K86" s="14" t="n">
        <x:f>IF(OR(B86="Control",H86=0),"N/A",G86/H86)</x:f>
        <x:v>1</x:v>
      </x:c>
      <x:c r="L86" s="2" t="str"/>
    </x:row>
    <x:row r="87" ht="24" customHeight="1">
      <x:c r="A87" s="10" t="str">
        <x:v>S09</x:v>
      </x:c>
      <x:c r="B87" s="10" t="str">
        <x:v>Primary</x:v>
      </x:c>
      <x:c r="C87" s="10" t="n">
        <x:v>10</x:v>
      </x:c>
      <x:c r="D87" s="10" t="n">
        <x:v>10</x:v>
      </x:c>
      <x:c r="E87" s="10" t="n">
        <x:v>10</x:v>
      </x:c>
      <x:c r="F87" s="10" t="n">
        <x:v>14</x:v>
      </x:c>
      <x:c r="G87" s="24" t="n">
        <x:v>31.804915366618417</x:v>
      </x:c>
      <x:c r="H87" s="24" t="n">
        <x:v>31.804915366618417</x:v>
      </x:c>
      <x:c r="I87" s="11" t="n">
        <x:f>IF(B87="Control","N/A",E87/C87)</x:f>
        <x:v>1</x:v>
      </x:c>
      <x:c r="J87" s="11" t="n">
        <x:f>IF(OR(B87="Control",F87=0),"N/A",E87/F87)</x:f>
        <x:v>0.7142857142857143</x:v>
      </x:c>
      <x:c r="K87" s="13" t="n">
        <x:f>IF(OR(B87="Control",H87=0),"N/A",G87/H87)</x:f>
        <x:v>1</x:v>
      </x:c>
      <x:c r="L87" s="10" t="str"/>
    </x:row>
    <x:row r="88" ht="24" customHeight="1">
      <x:c r="A88" s="2" t="str">
        <x:v>S10</x:v>
      </x:c>
      <x:c r="B88" s="2" t="str">
        <x:v>Primary</x:v>
      </x:c>
      <x:c r="C88" s="2" t="n">
        <x:v>1</x:v>
      </x:c>
      <x:c r="D88" s="2" t="n">
        <x:v>1</x:v>
      </x:c>
      <x:c r="E88" s="2" t="n">
        <x:v>1</x:v>
      </x:c>
      <x:c r="F88" s="2" t="n">
        <x:v>17</x:v>
      </x:c>
      <x:c r="G88" s="25" t="n">
        <x:v>7</x:v>
      </x:c>
      <x:c r="H88" s="25" t="n">
        <x:v>7</x:v>
      </x:c>
      <x:c r="I88" s="12" t="n">
        <x:f>IF(B88="Control","N/A",E88/C88)</x:f>
        <x:v>1</x:v>
      </x:c>
      <x:c r="J88" s="12" t="n">
        <x:f>IF(OR(B88="Control",F88=0),"N/A",E88/F88)</x:f>
        <x:v>0.058823529411764705</x:v>
      </x:c>
      <x:c r="K88" s="14" t="n">
        <x:f>IF(OR(B88="Control",H88=0),"N/A",G88/H88)</x:f>
        <x:v>1</x:v>
      </x:c>
      <x:c r="L88" s="2" t="str"/>
    </x:row>
    <x:row r="89" ht="24" customHeight="1">
      <x:c r="A89" s="10" t="str">
        <x:v>S10</x:v>
      </x:c>
      <x:c r="B89" s="10" t="str">
        <x:v>Primary</x:v>
      </x:c>
      <x:c r="C89" s="10" t="n">
        <x:v>3</x:v>
      </x:c>
      <x:c r="D89" s="10" t="n">
        <x:v>3</x:v>
      </x:c>
      <x:c r="E89" s="10" t="n">
        <x:v>3</x:v>
      </x:c>
      <x:c r="F89" s="10" t="n">
        <x:v>17</x:v>
      </x:c>
      <x:c r="G89" s="24" t="n">
        <x:v>14.916508275000202</x:v>
      </x:c>
      <x:c r="H89" s="24" t="n">
        <x:v>14.916508275000202</x:v>
      </x:c>
      <x:c r="I89" s="11" t="n">
        <x:f>IF(B89="Control","N/A",E89/C89)</x:f>
        <x:v>1</x:v>
      </x:c>
      <x:c r="J89" s="11" t="n">
        <x:f>IF(OR(B89="Control",F89=0),"N/A",E89/F89)</x:f>
        <x:v>0.17647058823529413</x:v>
      </x:c>
      <x:c r="K89" s="13" t="n">
        <x:f>IF(OR(B89="Control",H89=0),"N/A",G89/H89)</x:f>
        <x:v>1</x:v>
      </x:c>
      <x:c r="L89" s="10" t="str"/>
    </x:row>
    <x:row r="90" ht="24" customHeight="1">
      <x:c r="A90" s="2" t="str">
        <x:v>S10</x:v>
      </x:c>
      <x:c r="B90" s="2" t="str">
        <x:v>Primary</x:v>
      </x:c>
      <x:c r="C90" s="2" t="n">
        <x:v>4</x:v>
      </x:c>
      <x:c r="D90" s="2" t="n">
        <x:v>4</x:v>
      </x:c>
      <x:c r="E90" s="2" t="n">
        <x:v>4</x:v>
      </x:c>
      <x:c r="F90" s="2" t="n">
        <x:v>17</x:v>
      </x:c>
      <x:c r="G90" s="25" t="n">
        <x:v>17.931244181513954</x:v>
      </x:c>
      <x:c r="H90" s="25" t="n">
        <x:v>17.931244181513954</x:v>
      </x:c>
      <x:c r="I90" s="12" t="n">
        <x:f>IF(B90="Control","N/A",E90/C90)</x:f>
        <x:v>1</x:v>
      </x:c>
      <x:c r="J90" s="12" t="n">
        <x:f>IF(OR(B90="Control",F90=0),"N/A",E90/F90)</x:f>
        <x:v>0.23529411764705882</x:v>
      </x:c>
      <x:c r="K90" s="14" t="n">
        <x:f>IF(OR(B90="Control",H90=0),"N/A",G90/H90)</x:f>
        <x:v>1</x:v>
      </x:c>
      <x:c r="L90" s="2" t="str"/>
    </x:row>
    <x:row r="91" ht="24" customHeight="1">
      <x:c r="A91" s="10" t="str">
        <x:v>S10</x:v>
      </x:c>
      <x:c r="B91" s="10" t="str">
        <x:v>Primary</x:v>
      </x:c>
      <x:c r="C91" s="10" t="n">
        <x:v>5</x:v>
      </x:c>
      <x:c r="D91" s="10" t="n">
        <x:v>5</x:v>
      </x:c>
      <x:c r="E91" s="10" t="n">
        <x:v>5</x:v>
      </x:c>
      <x:c r="F91" s="10" t="n">
        <x:v>17</x:v>
      </x:c>
      <x:c r="G91" s="24" t="n">
        <x:v>20.639213832155747</x:v>
      </x:c>
      <x:c r="H91" s="24" t="n">
        <x:v>20.639213832155747</x:v>
      </x:c>
      <x:c r="I91" s="11" t="n">
        <x:f>IF(B91="Control","N/A",E91/C91)</x:f>
        <x:v>1</x:v>
      </x:c>
      <x:c r="J91" s="11" t="n">
        <x:f>IF(OR(B91="Control",F91=0),"N/A",E91/F91)</x:f>
        <x:v>0.29411764705882354</x:v>
      </x:c>
      <x:c r="K91" s="13" t="n">
        <x:f>IF(OR(B91="Control",H91=0),"N/A",G91/H91)</x:f>
        <x:v>1</x:v>
      </x:c>
      <x:c r="L91" s="10" t="str"/>
    </x:row>
    <x:row r="92" ht="24" customHeight="1">
      <x:c r="A92" s="2" t="str">
        <x:v>S10</x:v>
      </x:c>
      <x:c r="B92" s="2" t="str">
        <x:v>Primary</x:v>
      </x:c>
      <x:c r="C92" s="2" t="n">
        <x:v>6</x:v>
      </x:c>
      <x:c r="D92" s="2" t="n">
        <x:v>6</x:v>
      </x:c>
      <x:c r="E92" s="2" t="n">
        <x:v>6</x:v>
      </x:c>
      <x:c r="F92" s="2" t="n">
        <x:v>17</x:v>
      </x:c>
      <x:c r="G92" s="25" t="n">
        <x:v>23.1326641419119</x:v>
      </x:c>
      <x:c r="H92" s="25" t="n">
        <x:v>23.1326641419119</x:v>
      </x:c>
      <x:c r="I92" s="12" t="n">
        <x:f>IF(B92="Control","N/A",E92/C92)</x:f>
        <x:v>1</x:v>
      </x:c>
      <x:c r="J92" s="12" t="n">
        <x:f>IF(OR(B92="Control",F92=0),"N/A",E92/F92)</x:f>
        <x:v>0.35294117647058826</x:v>
      </x:c>
      <x:c r="K92" s="14" t="n">
        <x:f>IF(OR(B92="Control",H92=0),"N/A",G92/H92)</x:f>
        <x:v>1</x:v>
      </x:c>
      <x:c r="L92" s="2" t="str"/>
    </x:row>
    <x:row r="93" ht="24" customHeight="1">
      <x:c r="A93" s="10" t="str">
        <x:v>S10</x:v>
      </x:c>
      <x:c r="B93" s="10" t="str">
        <x:v>Primary</x:v>
      </x:c>
      <x:c r="C93" s="10" t="n">
        <x:v>7</x:v>
      </x:c>
      <x:c r="D93" s="10" t="n">
        <x:v>7</x:v>
      </x:c>
      <x:c r="E93" s="10" t="n">
        <x:v>7</x:v>
      </x:c>
      <x:c r="F93" s="10" t="n">
        <x:v>17</x:v>
      </x:c>
      <x:c r="G93" s="24" t="n">
        <x:v>25.465997475245235</x:v>
      </x:c>
      <x:c r="H93" s="24" t="n">
        <x:v>25.465997475245235</x:v>
      </x:c>
      <x:c r="I93" s="11" t="n">
        <x:f>IF(B93="Control","N/A",E93/C93)</x:f>
        <x:v>1</x:v>
      </x:c>
      <x:c r="J93" s="11" t="n">
        <x:f>IF(OR(B93="Control",F93=0),"N/A",E93/F93)</x:f>
        <x:v>0.4117647058823529</x:v>
      </x:c>
      <x:c r="K93" s="13" t="n">
        <x:f>IF(OR(B93="Control",H93=0),"N/A",G93/H93)</x:f>
        <x:v>1</x:v>
      </x:c>
      <x:c r="L93" s="10" t="str"/>
    </x:row>
    <x:row r="94" ht="24" customHeight="1">
      <x:c r="A94" s="2" t="str">
        <x:v>S10</x:v>
      </x:c>
      <x:c r="B94" s="2" t="str">
        <x:v>Primary</x:v>
      </x:c>
      <x:c r="C94" s="2" t="n">
        <x:v>8</x:v>
      </x:c>
      <x:c r="D94" s="2" t="n">
        <x:v>8</x:v>
      </x:c>
      <x:c r="E94" s="2" t="n">
        <x:v>8</x:v>
      </x:c>
      <x:c r="F94" s="2" t="n">
        <x:v>17</x:v>
      </x:c>
      <x:c r="G94" s="25" t="n">
        <x:v>27.674251612745337</x:v>
      </x:c>
      <x:c r="H94" s="25" t="n">
        <x:v>27.674251612745337</x:v>
      </x:c>
      <x:c r="I94" s="12" t="n">
        <x:f>IF(B94="Control","N/A",E94/C94)</x:f>
        <x:v>1</x:v>
      </x:c>
      <x:c r="J94" s="12" t="n">
        <x:f>IF(OR(B94="Control",F94=0),"N/A",E94/F94)</x:f>
        <x:v>0.47058823529411764</x:v>
      </x:c>
      <x:c r="K94" s="14" t="n">
        <x:f>IF(OR(B94="Control",H94=0),"N/A",G94/H94)</x:f>
        <x:v>1</x:v>
      </x:c>
      <x:c r="L94" s="2" t="str"/>
    </x:row>
    <x:row r="95" ht="24" customHeight="1">
      <x:c r="A95" s="10" t="str">
        <x:v>S10</x:v>
      </x:c>
      <x:c r="B95" s="10" t="str">
        <x:v>Primary</x:v>
      </x:c>
      <x:c r="C95" s="10" t="n">
        <x:v>9</x:v>
      </x:c>
      <x:c r="D95" s="10" t="n">
        <x:v>9</x:v>
      </x:c>
      <x:c r="E95" s="10" t="n">
        <x:v>9</x:v>
      </x:c>
      <x:c r="F95" s="10" t="n">
        <x:v>17</x:v>
      </x:c>
      <x:c r="G95" s="24" t="n">
        <x:v>28.577341599737277</x:v>
      </x:c>
      <x:c r="H95" s="24" t="n">
        <x:v>28.577341599737277</x:v>
      </x:c>
      <x:c r="I95" s="11" t="n">
        <x:f>IF(B95="Control","N/A",E95/C95)</x:f>
        <x:v>1</x:v>
      </x:c>
      <x:c r="J95" s="11" t="n">
        <x:f>IF(OR(B95="Control",F95=0),"N/A",E95/F95)</x:f>
        <x:v>0.5294117647058824</x:v>
      </x:c>
      <x:c r="K95" s="13" t="n">
        <x:f>IF(OR(B95="Control",H95=0),"N/A",G95/H95)</x:f>
        <x:v>1</x:v>
      </x:c>
      <x:c r="L95" s="10" t="str"/>
    </x:row>
    <x:row r="96" ht="24" customHeight="1">
      <x:c r="A96" s="2" t="str">
        <x:v>S10</x:v>
      </x:c>
      <x:c r="B96" s="2" t="str">
        <x:v>Primary</x:v>
      </x:c>
      <x:c r="C96" s="2" t="n">
        <x:v>10</x:v>
      </x:c>
      <x:c r="D96" s="2" t="n">
        <x:v>10</x:v>
      </x:c>
      <x:c r="E96" s="2" t="n">
        <x:v>10</x:v>
      </x:c>
      <x:c r="F96" s="2" t="n">
        <x:v>17</x:v>
      </x:c>
      <x:c r="G96" s="25" t="n">
        <x:v>29.44453607869094</x:v>
      </x:c>
      <x:c r="H96" s="25" t="n">
        <x:v>29.44453607869094</x:v>
      </x:c>
      <x:c r="I96" s="12" t="n">
        <x:f>IF(B96="Control","N/A",E96/C96)</x:f>
        <x:v>1</x:v>
      </x:c>
      <x:c r="J96" s="12" t="n">
        <x:f>IF(OR(B96="Control",F96=0),"N/A",E96/F96)</x:f>
        <x:v>0.5882352941176471</x:v>
      </x:c>
      <x:c r="K96" s="14" t="n">
        <x:f>IF(OR(B96="Control",H96=0),"N/A",G96/H96)</x:f>
        <x:v>1</x:v>
      </x:c>
      <x:c r="L96" s="2" t="str"/>
    </x:row>
    <x:row r="97" ht="24" customHeight="1">
      <x:c r="A97" s="10" t="str">
        <x:v>S11</x:v>
      </x:c>
      <x:c r="B97" s="10" t="str">
        <x:v>Primary</x:v>
      </x:c>
      <x:c r="C97" s="10" t="n">
        <x:v>1</x:v>
      </x:c>
      <x:c r="D97" s="10" t="n">
        <x:v>1</x:v>
      </x:c>
      <x:c r="E97" s="10" t="n">
        <x:v>1</x:v>
      </x:c>
      <x:c r="F97" s="10" t="n">
        <x:v>11</x:v>
      </x:c>
      <x:c r="G97" s="24" t="n">
        <x:v>7</x:v>
      </x:c>
      <x:c r="H97" s="24" t="n">
        <x:v>7</x:v>
      </x:c>
      <x:c r="I97" s="11" t="n">
        <x:f>IF(B97="Control","N/A",E97/C97)</x:f>
        <x:v>1</x:v>
      </x:c>
      <x:c r="J97" s="11" t="n">
        <x:f>IF(OR(B97="Control",F97=0),"N/A",E97/F97)</x:f>
        <x:v>0.09090909090909091</x:v>
      </x:c>
      <x:c r="K97" s="13" t="n">
        <x:f>IF(OR(B97="Control",H97=0),"N/A",G97/H97)</x:f>
        <x:v>1</x:v>
      </x:c>
      <x:c r="L97" s="10" t="str"/>
    </x:row>
    <x:row r="98" ht="24" customHeight="1">
      <x:c r="A98" s="2" t="str">
        <x:v>S11</x:v>
      </x:c>
      <x:c r="B98" s="2" t="str">
        <x:v>Primary</x:v>
      </x:c>
      <x:c r="C98" s="2" t="n">
        <x:v>3</x:v>
      </x:c>
      <x:c r="D98" s="2" t="n">
        <x:v>3</x:v>
      </x:c>
      <x:c r="E98" s="2" t="n">
        <x:v>3</x:v>
      </x:c>
      <x:c r="F98" s="2" t="n">
        <x:v>11</x:v>
      </x:c>
      <x:c r="G98" s="25" t="n">
        <x:v>14.916508275000202</x:v>
      </x:c>
      <x:c r="H98" s="25" t="n">
        <x:v>14.916508275000202</x:v>
      </x:c>
      <x:c r="I98" s="12" t="n">
        <x:f>IF(B98="Control","N/A",E98/C98)</x:f>
        <x:v>1</x:v>
      </x:c>
      <x:c r="J98" s="12" t="n">
        <x:f>IF(OR(B98="Control",F98=0),"N/A",E98/F98)</x:f>
        <x:v>0.2727272727272727</x:v>
      </x:c>
      <x:c r="K98" s="14" t="n">
        <x:f>IF(OR(B98="Control",H98=0),"N/A",G98/H98)</x:f>
        <x:v>1</x:v>
      </x:c>
      <x:c r="L98" s="2" t="str"/>
    </x:row>
    <x:row r="99" ht="24" customHeight="1">
      <x:c r="A99" s="10" t="str">
        <x:v>S11</x:v>
      </x:c>
      <x:c r="B99" s="10" t="str">
        <x:v>Primary</x:v>
      </x:c>
      <x:c r="C99" s="10" t="n">
        <x:v>4</x:v>
      </x:c>
      <x:c r="D99" s="10" t="n">
        <x:v>4</x:v>
      </x:c>
      <x:c r="E99" s="10" t="n">
        <x:v>4</x:v>
      </x:c>
      <x:c r="F99" s="10" t="n">
        <x:v>11</x:v>
      </x:c>
      <x:c r="G99" s="24" t="n">
        <x:v>17.931244181513954</x:v>
      </x:c>
      <x:c r="H99" s="24" t="n">
        <x:v>17.931244181513954</x:v>
      </x:c>
      <x:c r="I99" s="11" t="n">
        <x:f>IF(B99="Control","N/A",E99/C99)</x:f>
        <x:v>1</x:v>
      </x:c>
      <x:c r="J99" s="11" t="n">
        <x:f>IF(OR(B99="Control",F99=0),"N/A",E99/F99)</x:f>
        <x:v>0.36363636363636365</x:v>
      </x:c>
      <x:c r="K99" s="13" t="n">
        <x:f>IF(OR(B99="Control",H99=0),"N/A",G99/H99)</x:f>
        <x:v>1</x:v>
      </x:c>
      <x:c r="L99" s="10" t="str"/>
    </x:row>
    <x:row r="100" ht="24" customHeight="1">
      <x:c r="A100" s="2" t="str">
        <x:v>S11</x:v>
      </x:c>
      <x:c r="B100" s="2" t="str">
        <x:v>Primary</x:v>
      </x:c>
      <x:c r="C100" s="2" t="n">
        <x:v>5</x:v>
      </x:c>
      <x:c r="D100" s="2" t="n">
        <x:v>5</x:v>
      </x:c>
      <x:c r="E100" s="2" t="n">
        <x:v>5</x:v>
      </x:c>
      <x:c r="F100" s="2" t="n">
        <x:v>11</x:v>
      </x:c>
      <x:c r="G100" s="25" t="n">
        <x:v>20.639213832155747</x:v>
      </x:c>
      <x:c r="H100" s="25" t="n">
        <x:v>20.639213832155747</x:v>
      </x:c>
      <x:c r="I100" s="12" t="n">
        <x:f>IF(B100="Control","N/A",E100/C100)</x:f>
        <x:v>1</x:v>
      </x:c>
      <x:c r="J100" s="12" t="n">
        <x:f>IF(OR(B100="Control",F100=0),"N/A",E100/F100)</x:f>
        <x:v>0.45454545454545453</x:v>
      </x:c>
      <x:c r="K100" s="14" t="n">
        <x:f>IF(OR(B100="Control",H100=0),"N/A",G100/H100)</x:f>
        <x:v>1</x:v>
      </x:c>
      <x:c r="L100" s="2" t="str"/>
    </x:row>
    <x:row r="101" ht="24" customHeight="1">
      <x:c r="A101" s="10" t="str">
        <x:v>S11</x:v>
      </x:c>
      <x:c r="B101" s="10" t="str">
        <x:v>Primary</x:v>
      </x:c>
      <x:c r="C101" s="10" t="n">
        <x:v>6</x:v>
      </x:c>
      <x:c r="D101" s="10" t="n">
        <x:v>6</x:v>
      </x:c>
      <x:c r="E101" s="10" t="n">
        <x:v>6</x:v>
      </x:c>
      <x:c r="F101" s="10" t="n">
        <x:v>11</x:v>
      </x:c>
      <x:c r="G101" s="24" t="n">
        <x:v>21.70783539347981</x:v>
      </x:c>
      <x:c r="H101" s="24" t="n">
        <x:v>21.70783539347981</x:v>
      </x:c>
      <x:c r="I101" s="11" t="n">
        <x:f>IF(B101="Control","N/A",E101/C101)</x:f>
        <x:v>1</x:v>
      </x:c>
      <x:c r="J101" s="11" t="n">
        <x:f>IF(OR(B101="Control",F101=0),"N/A",E101/F101)</x:f>
        <x:v>0.5454545454545454</x:v>
      </x:c>
      <x:c r="K101" s="13" t="n">
        <x:f>IF(OR(B101="Control",H101=0),"N/A",G101/H101)</x:f>
        <x:v>1</x:v>
      </x:c>
      <x:c r="L101" s="10" t="str"/>
    </x:row>
    <x:row r="102" ht="24" customHeight="1">
      <x:c r="A102" s="2" t="str">
        <x:v>S11</x:v>
      </x:c>
      <x:c r="B102" s="2" t="str">
        <x:v>Primary</x:v>
      </x:c>
      <x:c r="C102" s="2" t="n">
        <x:v>7</x:v>
      </x:c>
      <x:c r="D102" s="2" t="n">
        <x:v>7</x:v>
      </x:c>
      <x:c r="E102" s="2" t="n">
        <x:v>7</x:v>
      </x:c>
      <x:c r="F102" s="2" t="n">
        <x:v>11</x:v>
      </x:c>
      <x:c r="G102" s="25" t="n">
        <x:v>22.70783539347981</x:v>
      </x:c>
      <x:c r="H102" s="25" t="n">
        <x:v>22.70783539347981</x:v>
      </x:c>
      <x:c r="I102" s="12" t="n">
        <x:f>IF(B102="Control","N/A",E102/C102)</x:f>
        <x:v>1</x:v>
      </x:c>
      <x:c r="J102" s="12" t="n">
        <x:f>IF(OR(B102="Control",F102=0),"N/A",E102/F102)</x:f>
        <x:v>0.6363636363636364</x:v>
      </x:c>
      <x:c r="K102" s="14" t="n">
        <x:f>IF(OR(B102="Control",H102=0),"N/A",G102/H102)</x:f>
        <x:v>1</x:v>
      </x:c>
      <x:c r="L102" s="2" t="str"/>
    </x:row>
    <x:row r="103" ht="24" customHeight="1">
      <x:c r="A103" s="10" t="str">
        <x:v>S11</x:v>
      </x:c>
      <x:c r="B103" s="10" t="str">
        <x:v>Primary</x:v>
      </x:c>
      <x:c r="C103" s="10" t="n">
        <x:v>8</x:v>
      </x:c>
      <x:c r="D103" s="10" t="n">
        <x:v>8</x:v>
      </x:c>
      <x:c r="E103" s="10" t="n">
        <x:v>8</x:v>
      </x:c>
      <x:c r="F103" s="10" t="n">
        <x:v>11</x:v>
      </x:c>
      <x:c r="G103" s="24" t="n">
        <x:v>23.654230023837</x:v>
      </x:c>
      <x:c r="H103" s="24" t="n">
        <x:v>23.654230023837</x:v>
      </x:c>
      <x:c r="I103" s="11" t="n">
        <x:f>IF(B103="Control","N/A",E103/C103)</x:f>
        <x:v>1</x:v>
      </x:c>
      <x:c r="J103" s="11" t="n">
        <x:f>IF(OR(B103="Control",F103=0),"N/A",E103/F103)</x:f>
        <x:v>0.7272727272727273</x:v>
      </x:c>
      <x:c r="K103" s="13" t="n">
        <x:f>IF(OR(B103="Control",H103=0),"N/A",G103/H103)</x:f>
        <x:v>1</x:v>
      </x:c>
      <x:c r="L103" s="10" t="str"/>
    </x:row>
    <x:row r="104" ht="24" customHeight="1">
      <x:c r="A104" s="2" t="str">
        <x:v>S11</x:v>
      </x:c>
      <x:c r="B104" s="2" t="str">
        <x:v>Primary</x:v>
      </x:c>
      <x:c r="C104" s="2" t="n">
        <x:v>9</x:v>
      </x:c>
      <x:c r="D104" s="2" t="n">
        <x:v>9</x:v>
      </x:c>
      <x:c r="E104" s="2" t="n">
        <x:v>9</x:v>
      </x:c>
      <x:c r="F104" s="2" t="n">
        <x:v>11</x:v>
      </x:c>
      <x:c r="G104" s="25" t="n">
        <x:v>24.557320010828942</x:v>
      </x:c>
      <x:c r="H104" s="25" t="n">
        <x:v>24.557320010828942</x:v>
      </x:c>
      <x:c r="I104" s="12" t="n">
        <x:f>IF(B104="Control","N/A",E104/C104)</x:f>
        <x:v>1</x:v>
      </x:c>
      <x:c r="J104" s="12" t="n">
        <x:f>IF(OR(B104="Control",F104=0),"N/A",E104/F104)</x:f>
        <x:v>0.8181818181818182</x:v>
      </x:c>
      <x:c r="K104" s="14" t="n">
        <x:f>IF(OR(B104="Control",H104=0),"N/A",G104/H104)</x:f>
        <x:v>1</x:v>
      </x:c>
      <x:c r="L104" s="2" t="str"/>
    </x:row>
    <x:row r="105" ht="24" customHeight="1">
      <x:c r="A105" s="10" t="str">
        <x:v>S11</x:v>
      </x:c>
      <x:c r="B105" s="10" t="str">
        <x:v>Primary</x:v>
      </x:c>
      <x:c r="C105" s="10" t="n">
        <x:v>10</x:v>
      </x:c>
      <x:c r="D105" s="10" t="n">
        <x:v>10</x:v>
      </x:c>
      <x:c r="E105" s="10" t="n">
        <x:v>10</x:v>
      </x:c>
      <x:c r="F105" s="10" t="n">
        <x:v>11</x:v>
      </x:c>
      <x:c r="G105" s="24" t="n">
        <x:v>25.424514489782606</x:v>
      </x:c>
      <x:c r="H105" s="24" t="n">
        <x:v>25.424514489782606</x:v>
      </x:c>
      <x:c r="I105" s="11" t="n">
        <x:f>IF(B105="Control","N/A",E105/C105)</x:f>
        <x:v>1</x:v>
      </x:c>
      <x:c r="J105" s="11" t="n">
        <x:f>IF(OR(B105="Control",F105=0),"N/A",E105/F105)</x:f>
        <x:v>0.9090909090909091</x:v>
      </x:c>
      <x:c r="K105" s="13" t="n">
        <x:f>IF(OR(B105="Control",H105=0),"N/A",G105/H105)</x:f>
        <x:v>1</x:v>
      </x:c>
      <x:c r="L105" s="10" t="str"/>
    </x:row>
    <x:row r="106" ht="24" customHeight="1">
      <x:c r="A106" s="2" t="str">
        <x:v>S12</x:v>
      </x:c>
      <x:c r="B106" s="2" t="str">
        <x:v>Primary</x:v>
      </x:c>
      <x:c r="C106" s="2" t="n">
        <x:v>1</x:v>
      </x:c>
      <x:c r="D106" s="2" t="n">
        <x:v>1</x:v>
      </x:c>
      <x:c r="E106" s="2" t="n">
        <x:v>1</x:v>
      </x:c>
      <x:c r="F106" s="2" t="n">
        <x:v>14</x:v>
      </x:c>
      <x:c r="G106" s="25" t="n">
        <x:v>7</x:v>
      </x:c>
      <x:c r="H106" s="25" t="n">
        <x:v>7</x:v>
      </x:c>
      <x:c r="I106" s="12" t="n">
        <x:f>IF(B106="Control","N/A",E106/C106)</x:f>
        <x:v>1</x:v>
      </x:c>
      <x:c r="J106" s="12" t="n">
        <x:f>IF(OR(B106="Control",F106=0),"N/A",E106/F106)</x:f>
        <x:v>0.07142857142857142</x:v>
      </x:c>
      <x:c r="K106" s="14" t="n">
        <x:f>IF(OR(B106="Control",H106=0),"N/A",G106/H106)</x:f>
        <x:v>1</x:v>
      </x:c>
      <x:c r="L106" s="2" t="str"/>
    </x:row>
    <x:row r="107" ht="24" customHeight="1">
      <x:c r="A107" s="10" t="str">
        <x:v>S12</x:v>
      </x:c>
      <x:c r="B107" s="10" t="str">
        <x:v>Primary</x:v>
      </x:c>
      <x:c r="C107" s="10" t="n">
        <x:v>3</x:v>
      </x:c>
      <x:c r="D107" s="10" t="n">
        <x:v>3</x:v>
      </x:c>
      <x:c r="E107" s="10" t="n">
        <x:v>3</x:v>
      </x:c>
      <x:c r="F107" s="10" t="n">
        <x:v>14</x:v>
      </x:c>
      <x:c r="G107" s="24" t="n">
        <x:v>14.916508275000202</x:v>
      </x:c>
      <x:c r="H107" s="24" t="n">
        <x:v>14.916508275000202</x:v>
      </x:c>
      <x:c r="I107" s="11" t="n">
        <x:f>IF(B107="Control","N/A",E107/C107)</x:f>
        <x:v>1</x:v>
      </x:c>
      <x:c r="J107" s="11" t="n">
        <x:f>IF(OR(B107="Control",F107=0),"N/A",E107/F107)</x:f>
        <x:v>0.21428571428571427</x:v>
      </x:c>
      <x:c r="K107" s="13" t="n">
        <x:f>IF(OR(B107="Control",H107=0),"N/A",G107/H107)</x:f>
        <x:v>1</x:v>
      </x:c>
      <x:c r="L107" s="10" t="str"/>
    </x:row>
    <x:row r="108" ht="24" customHeight="1">
      <x:c r="A108" s="2" t="str">
        <x:v>S12</x:v>
      </x:c>
      <x:c r="B108" s="2" t="str">
        <x:v>Primary</x:v>
      </x:c>
      <x:c r="C108" s="2" t="n">
        <x:v>4</x:v>
      </x:c>
      <x:c r="D108" s="2" t="n">
        <x:v>4</x:v>
      </x:c>
      <x:c r="E108" s="2" t="n">
        <x:v>4</x:v>
      </x:c>
      <x:c r="F108" s="2" t="n">
        <x:v>14</x:v>
      </x:c>
      <x:c r="G108" s="25" t="n">
        <x:v>17.931244181513954</x:v>
      </x:c>
      <x:c r="H108" s="25" t="n">
        <x:v>17.931244181513954</x:v>
      </x:c>
      <x:c r="I108" s="12" t="n">
        <x:f>IF(B108="Control","N/A",E108/C108)</x:f>
        <x:v>1</x:v>
      </x:c>
      <x:c r="J108" s="12" t="n">
        <x:f>IF(OR(B108="Control",F108=0),"N/A",E108/F108)</x:f>
        <x:v>0.2857142857142857</x:v>
      </x:c>
      <x:c r="K108" s="14" t="n">
        <x:f>IF(OR(B108="Control",H108=0),"N/A",G108/H108)</x:f>
        <x:v>1</x:v>
      </x:c>
      <x:c r="L108" s="2" t="str"/>
    </x:row>
    <x:row r="109" ht="24" customHeight="1">
      <x:c r="A109" s="10" t="str">
        <x:v>S12</x:v>
      </x:c>
      <x:c r="B109" s="10" t="str">
        <x:v>Primary</x:v>
      </x:c>
      <x:c r="C109" s="10" t="n">
        <x:v>5</x:v>
      </x:c>
      <x:c r="D109" s="10" t="n">
        <x:v>5</x:v>
      </x:c>
      <x:c r="E109" s="10" t="n">
        <x:v>5</x:v>
      </x:c>
      <x:c r="F109" s="10" t="n">
        <x:v>14</x:v>
      </x:c>
      <x:c r="G109" s="24" t="n">
        <x:v>20.639213832155747</x:v>
      </x:c>
      <x:c r="H109" s="24" t="n">
        <x:v>20.639213832155747</x:v>
      </x:c>
      <x:c r="I109" s="11" t="n">
        <x:f>IF(B109="Control","N/A",E109/C109)</x:f>
        <x:v>1</x:v>
      </x:c>
      <x:c r="J109" s="11" t="n">
        <x:f>IF(OR(B109="Control",F109=0),"N/A",E109/F109)</x:f>
        <x:v>0.35714285714285715</x:v>
      </x:c>
      <x:c r="K109" s="13" t="n">
        <x:f>IF(OR(B109="Control",H109=0),"N/A",G109/H109)</x:f>
        <x:v>1</x:v>
      </x:c>
      <x:c r="L109" s="10" t="str"/>
    </x:row>
    <x:row r="110" ht="24" customHeight="1">
      <x:c r="A110" s="2" t="str">
        <x:v>S12</x:v>
      </x:c>
      <x:c r="B110" s="2" t="str">
        <x:v>Primary</x:v>
      </x:c>
      <x:c r="C110" s="2" t="n">
        <x:v>6</x:v>
      </x:c>
      <x:c r="D110" s="2" t="n">
        <x:v>6</x:v>
      </x:c>
      <x:c r="E110" s="2" t="n">
        <x:v>6</x:v>
      </x:c>
      <x:c r="F110" s="2" t="n">
        <x:v>14</x:v>
      </x:c>
      <x:c r="G110" s="25" t="n">
        <x:v>23.1326641419119</x:v>
      </x:c>
      <x:c r="H110" s="25" t="n">
        <x:v>23.1326641419119</x:v>
      </x:c>
      <x:c r="I110" s="12" t="n">
        <x:f>IF(B110="Control","N/A",E110/C110)</x:f>
        <x:v>1</x:v>
      </x:c>
      <x:c r="J110" s="12" t="n">
        <x:f>IF(OR(B110="Control",F110=0),"N/A",E110/F110)</x:f>
        <x:v>0.42857142857142855</x:v>
      </x:c>
      <x:c r="K110" s="14" t="n">
        <x:f>IF(OR(B110="Control",H110=0),"N/A",G110/H110)</x:f>
        <x:v>1</x:v>
      </x:c>
      <x:c r="L110" s="2" t="str"/>
    </x:row>
    <x:row r="111" ht="24" customHeight="1">
      <x:c r="A111" s="10" t="str">
        <x:v>S12</x:v>
      </x:c>
      <x:c r="B111" s="10" t="str">
        <x:v>Primary</x:v>
      </x:c>
      <x:c r="C111" s="10" t="n">
        <x:v>7</x:v>
      </x:c>
      <x:c r="D111" s="10" t="n">
        <x:v>7</x:v>
      </x:c>
      <x:c r="E111" s="10" t="n">
        <x:v>7</x:v>
      </x:c>
      <x:c r="F111" s="10" t="n">
        <x:v>14</x:v>
      </x:c>
      <x:c r="G111" s="24" t="n">
        <x:v>25.465997475245235</x:v>
      </x:c>
      <x:c r="H111" s="24" t="n">
        <x:v>25.465997475245235</x:v>
      </x:c>
      <x:c r="I111" s="11" t="n">
        <x:f>IF(B111="Control","N/A",E111/C111)</x:f>
        <x:v>1</x:v>
      </x:c>
      <x:c r="J111" s="11" t="n">
        <x:f>IF(OR(B111="Control",F111=0),"N/A",E111/F111)</x:f>
        <x:v>0.5</x:v>
      </x:c>
      <x:c r="K111" s="13" t="n">
        <x:f>IF(OR(B111="Control",H111=0),"N/A",G111/H111)</x:f>
        <x:v>1</x:v>
      </x:c>
      <x:c r="L111" s="10" t="str"/>
    </x:row>
    <x:row r="112" ht="24" customHeight="1">
      <x:c r="A112" s="2" t="str">
        <x:v>S12</x:v>
      </x:c>
      <x:c r="B112" s="2" t="str">
        <x:v>Primary</x:v>
      </x:c>
      <x:c r="C112" s="2" t="n">
        <x:v>8</x:v>
      </x:c>
      <x:c r="D112" s="2" t="n">
        <x:v>8</x:v>
      </x:c>
      <x:c r="E112" s="2" t="n">
        <x:v>8</x:v>
      </x:c>
      <x:c r="F112" s="2" t="n">
        <x:v>14</x:v>
      </x:c>
      <x:c r="G112" s="25" t="n">
        <x:v>27.674251612745337</x:v>
      </x:c>
      <x:c r="H112" s="25" t="n">
        <x:v>27.674251612745337</x:v>
      </x:c>
      <x:c r="I112" s="12" t="n">
        <x:f>IF(B112="Control","N/A",E112/C112)</x:f>
        <x:v>1</x:v>
      </x:c>
      <x:c r="J112" s="12" t="n">
        <x:f>IF(OR(B112="Control",F112=0),"N/A",E112/F112)</x:f>
        <x:v>0.5714285714285714</x:v>
      </x:c>
      <x:c r="K112" s="14" t="n">
        <x:f>IF(OR(B112="Control",H112=0),"N/A",G112/H112)</x:f>
        <x:v>1</x:v>
      </x:c>
      <x:c r="L112" s="2" t="str"/>
    </x:row>
    <x:row r="113" ht="24" customHeight="1">
      <x:c r="A113" s="10" t="str">
        <x:v>S12</x:v>
      </x:c>
      <x:c r="B113" s="10" t="str">
        <x:v>Primary</x:v>
      </x:c>
      <x:c r="C113" s="10" t="n">
        <x:v>9</x:v>
      </x:c>
      <x:c r="D113" s="10" t="n">
        <x:v>9</x:v>
      </x:c>
      <x:c r="E113" s="10" t="n">
        <x:v>9</x:v>
      </x:c>
      <x:c r="F113" s="10" t="n">
        <x:v>14</x:v>
      </x:c>
      <x:c r="G113" s="24" t="n">
        <x:v>29.781461582393202</x:v>
      </x:c>
      <x:c r="H113" s="24" t="n">
        <x:v>29.781461582393202</x:v>
      </x:c>
      <x:c r="I113" s="11" t="n">
        <x:f>IF(B113="Control","N/A",E113/C113)</x:f>
        <x:v>1</x:v>
      </x:c>
      <x:c r="J113" s="11" t="n">
        <x:f>IF(OR(B113="Control",F113=0),"N/A",E113/F113)</x:f>
        <x:v>0.6428571428571429</x:v>
      </x:c>
      <x:c r="K113" s="13" t="n">
        <x:f>IF(OR(B113="Control",H113=0),"N/A",G113/H113)</x:f>
        <x:v>1</x:v>
      </x:c>
      <x:c r="L113" s="10" t="str"/>
    </x:row>
    <x:row r="114" ht="24" customHeight="1">
      <x:c r="A114" s="2" t="str">
        <x:v>S12</x:v>
      </x:c>
      <x:c r="B114" s="2" t="str">
        <x:v>Primary</x:v>
      </x:c>
      <x:c r="C114" s="2" t="n">
        <x:v>10</x:v>
      </x:c>
      <x:c r="D114" s="2" t="n">
        <x:v>10</x:v>
      </x:c>
      <x:c r="E114" s="2" t="n">
        <x:v>10</x:v>
      </x:c>
      <x:c r="F114" s="2" t="n">
        <x:v>14</x:v>
      </x:c>
      <x:c r="G114" s="25" t="n">
        <x:v>31.804915366618417</x:v>
      </x:c>
      <x:c r="H114" s="25" t="n">
        <x:v>31.804915366618417</x:v>
      </x:c>
      <x:c r="I114" s="12" t="n">
        <x:f>IF(B114="Control","N/A",E114/C114)</x:f>
        <x:v>1</x:v>
      </x:c>
      <x:c r="J114" s="12" t="n">
        <x:f>IF(OR(B114="Control",F114=0),"N/A",E114/F114)</x:f>
        <x:v>0.7142857142857143</x:v>
      </x:c>
      <x:c r="K114" s="14" t="n">
        <x:f>IF(OR(B114="Control",H114=0),"N/A",G114/H114)</x:f>
        <x:v>1</x:v>
      </x:c>
      <x:c r="L114" s="2" t="str"/>
    </x:row>
    <x:row r="115" ht="24" customHeight="1">
      <x:c r="A115" s="10" t="str">
        <x:v>S13</x:v>
      </x:c>
      <x:c r="B115" s="10" t="str">
        <x:v>Primary</x:v>
      </x:c>
      <x:c r="C115" s="10" t="n">
        <x:v>1</x:v>
      </x:c>
      <x:c r="D115" s="10" t="n">
        <x:v>1</x:v>
      </x:c>
      <x:c r="E115" s="10" t="n">
        <x:v>1</x:v>
      </x:c>
      <x:c r="F115" s="10" t="n">
        <x:v>14</x:v>
      </x:c>
      <x:c r="G115" s="24" t="n">
        <x:v>7</x:v>
      </x:c>
      <x:c r="H115" s="24" t="n">
        <x:v>7</x:v>
      </x:c>
      <x:c r="I115" s="11" t="n">
        <x:f>IF(B115="Control","N/A",E115/C115)</x:f>
        <x:v>1</x:v>
      </x:c>
      <x:c r="J115" s="11" t="n">
        <x:f>IF(OR(B115="Control",F115=0),"N/A",E115/F115)</x:f>
        <x:v>0.07142857142857142</x:v>
      </x:c>
      <x:c r="K115" s="13" t="n">
        <x:f>IF(OR(B115="Control",H115=0),"N/A",G115/H115)</x:f>
        <x:v>1</x:v>
      </x:c>
      <x:c r="L115" s="10" t="str"/>
    </x:row>
    <x:row r="116" ht="24" customHeight="1">
      <x:c r="A116" s="2" t="str">
        <x:v>S13</x:v>
      </x:c>
      <x:c r="B116" s="2" t="str">
        <x:v>Primary</x:v>
      </x:c>
      <x:c r="C116" s="2" t="n">
        <x:v>3</x:v>
      </x:c>
      <x:c r="D116" s="2" t="n">
        <x:v>3</x:v>
      </x:c>
      <x:c r="E116" s="2" t="n">
        <x:v>3</x:v>
      </x:c>
      <x:c r="F116" s="2" t="n">
        <x:v>14</x:v>
      </x:c>
      <x:c r="G116" s="25" t="n">
        <x:v>14.916508275000202</x:v>
      </x:c>
      <x:c r="H116" s="25" t="n">
        <x:v>14.916508275000202</x:v>
      </x:c>
      <x:c r="I116" s="12" t="n">
        <x:f>IF(B116="Control","N/A",E116/C116)</x:f>
        <x:v>1</x:v>
      </x:c>
      <x:c r="J116" s="12" t="n">
        <x:f>IF(OR(B116="Control",F116=0),"N/A",E116/F116)</x:f>
        <x:v>0.21428571428571427</x:v>
      </x:c>
      <x:c r="K116" s="14" t="n">
        <x:f>IF(OR(B116="Control",H116=0),"N/A",G116/H116)</x:f>
        <x:v>1</x:v>
      </x:c>
      <x:c r="L116" s="2" t="str"/>
    </x:row>
    <x:row r="117" ht="24" customHeight="1">
      <x:c r="A117" s="10" t="str">
        <x:v>S13</x:v>
      </x:c>
      <x:c r="B117" s="10" t="str">
        <x:v>Primary</x:v>
      </x:c>
      <x:c r="C117" s="10" t="n">
        <x:v>4</x:v>
      </x:c>
      <x:c r="D117" s="10" t="n">
        <x:v>4</x:v>
      </x:c>
      <x:c r="E117" s="10" t="n">
        <x:v>4</x:v>
      </x:c>
      <x:c r="F117" s="10" t="n">
        <x:v>14</x:v>
      </x:c>
      <x:c r="G117" s="24" t="n">
        <x:v>17.931244181513954</x:v>
      </x:c>
      <x:c r="H117" s="24" t="n">
        <x:v>17.931244181513954</x:v>
      </x:c>
      <x:c r="I117" s="11" t="n">
        <x:f>IF(B117="Control","N/A",E117/C117)</x:f>
        <x:v>1</x:v>
      </x:c>
      <x:c r="J117" s="11" t="n">
        <x:f>IF(OR(B117="Control",F117=0),"N/A",E117/F117)</x:f>
        <x:v>0.2857142857142857</x:v>
      </x:c>
      <x:c r="K117" s="13" t="n">
        <x:f>IF(OR(B117="Control",H117=0),"N/A",G117/H117)</x:f>
        <x:v>1</x:v>
      </x:c>
      <x:c r="L117" s="10" t="str"/>
    </x:row>
    <x:row r="118" ht="24" customHeight="1">
      <x:c r="A118" s="2" t="str">
        <x:v>S13</x:v>
      </x:c>
      <x:c r="B118" s="2" t="str">
        <x:v>Primary</x:v>
      </x:c>
      <x:c r="C118" s="2" t="n">
        <x:v>5</x:v>
      </x:c>
      <x:c r="D118" s="2" t="n">
        <x:v>5</x:v>
      </x:c>
      <x:c r="E118" s="2" t="n">
        <x:v>5</x:v>
      </x:c>
      <x:c r="F118" s="2" t="n">
        <x:v>14</x:v>
      </x:c>
      <x:c r="G118" s="25" t="n">
        <x:v>20.639213832155747</x:v>
      </x:c>
      <x:c r="H118" s="25" t="n">
        <x:v>20.639213832155747</x:v>
      </x:c>
      <x:c r="I118" s="12" t="n">
        <x:f>IF(B118="Control","N/A",E118/C118)</x:f>
        <x:v>1</x:v>
      </x:c>
      <x:c r="J118" s="12" t="n">
        <x:f>IF(OR(B118="Control",F118=0),"N/A",E118/F118)</x:f>
        <x:v>0.35714285714285715</x:v>
      </x:c>
      <x:c r="K118" s="14" t="n">
        <x:f>IF(OR(B118="Control",H118=0),"N/A",G118/H118)</x:f>
        <x:v>1</x:v>
      </x:c>
      <x:c r="L118" s="2" t="str"/>
    </x:row>
    <x:row r="119" ht="24" customHeight="1">
      <x:c r="A119" s="10" t="str">
        <x:v>S13</x:v>
      </x:c>
      <x:c r="B119" s="10" t="str">
        <x:v>Primary</x:v>
      </x:c>
      <x:c r="C119" s="10" t="n">
        <x:v>6</x:v>
      </x:c>
      <x:c r="D119" s="10" t="n">
        <x:v>6</x:v>
      </x:c>
      <x:c r="E119" s="10" t="n">
        <x:v>6</x:v>
      </x:c>
      <x:c r="F119" s="10" t="n">
        <x:v>14</x:v>
      </x:c>
      <x:c r="G119" s="24" t="n">
        <x:v>21.70783539347981</x:v>
      </x:c>
      <x:c r="H119" s="24" t="n">
        <x:v>23.1326641419119</x:v>
      </x:c>
      <x:c r="I119" s="11" t="n">
        <x:f>IF(B119="Control","N/A",E119/C119)</x:f>
        <x:v>1</x:v>
      </x:c>
      <x:c r="J119" s="11" t="n">
        <x:f>IF(OR(B119="Control",F119=0),"N/A",E119/F119)</x:f>
        <x:v>0.42857142857142855</x:v>
      </x:c>
      <x:c r="K119" s="13" t="n">
        <x:f>IF(OR(B119="Control",H119=0),"N/A",G119/H119)</x:f>
        <x:v>0.9384061974145652</x:v>
      </x:c>
      <x:c r="L119" s="10" t="str"/>
    </x:row>
    <x:row r="120" ht="24" customHeight="1">
      <x:c r="A120" s="2" t="str">
        <x:v>S13</x:v>
      </x:c>
      <x:c r="B120" s="2" t="str">
        <x:v>Primary</x:v>
      </x:c>
      <x:c r="C120" s="2" t="n">
        <x:v>7</x:v>
      </x:c>
      <x:c r="D120" s="2" t="n">
        <x:v>7</x:v>
      </x:c>
      <x:c r="E120" s="2" t="n">
        <x:v>7</x:v>
      </x:c>
      <x:c r="F120" s="2" t="n">
        <x:v>14</x:v>
      </x:c>
      <x:c r="G120" s="25" t="n">
        <x:v>22.70783539347981</x:v>
      </x:c>
      <x:c r="H120" s="25" t="n">
        <x:v>24.1326641419119</x:v>
      </x:c>
      <x:c r="I120" s="12" t="n">
        <x:f>IF(B120="Control","N/A",E120/C120)</x:f>
        <x:v>1</x:v>
      </x:c>
      <x:c r="J120" s="12" t="n">
        <x:f>IF(OR(B120="Control",F120=0),"N/A",E120/F120)</x:f>
        <x:v>0.5</x:v>
      </x:c>
      <x:c r="K120" s="14" t="n">
        <x:f>IF(OR(B120="Control",H120=0),"N/A",G120/H120)</x:f>
        <x:v>0.9409584975760076</x:v>
      </x:c>
      <x:c r="L120" s="2" t="str"/>
    </x:row>
    <x:row r="121" ht="24" customHeight="1">
      <x:c r="A121" s="10" t="str">
        <x:v>S13</x:v>
      </x:c>
      <x:c r="B121" s="10" t="str">
        <x:v>Primary</x:v>
      </x:c>
      <x:c r="C121" s="10" t="n">
        <x:v>8</x:v>
      </x:c>
      <x:c r="D121" s="10" t="n">
        <x:v>8</x:v>
      </x:c>
      <x:c r="E121" s="10" t="n">
        <x:v>8</x:v>
      </x:c>
      <x:c r="F121" s="10" t="n">
        <x:v>14</x:v>
      </x:c>
      <x:c r="G121" s="24" t="n">
        <x:v>24.916089530979914</x:v>
      </x:c>
      <x:c r="H121" s="24" t="n">
        <x:v>25.079058772269086</x:v>
      </x:c>
      <x:c r="I121" s="11" t="n">
        <x:f>IF(B121="Control","N/A",E121/C121)</x:f>
        <x:v>1</x:v>
      </x:c>
      <x:c r="J121" s="11" t="n">
        <x:f>IF(OR(B121="Control",F121=0),"N/A",E121/F121)</x:f>
        <x:v>0.5714285714285714</x:v>
      </x:c>
      <x:c r="K121" s="13" t="n">
        <x:f>IF(OR(B121="Control",H121=0),"N/A",G121/H121)</x:f>
        <x:v>0.9935017800002377</x:v>
      </x:c>
      <x:c r="L121" s="10" t="str"/>
    </x:row>
    <x:row r="122" ht="24" customHeight="1">
      <x:c r="A122" s="2" t="str">
        <x:v>S13</x:v>
      </x:c>
      <x:c r="B122" s="2" t="str">
        <x:v>Primary</x:v>
      </x:c>
      <x:c r="C122" s="2" t="n">
        <x:v>9</x:v>
      </x:c>
      <x:c r="D122" s="2" t="n">
        <x:v>9</x:v>
      </x:c>
      <x:c r="E122" s="2" t="n">
        <x:v>9</x:v>
      </x:c>
      <x:c r="F122" s="2" t="n">
        <x:v>14</x:v>
      </x:c>
      <x:c r="G122" s="25" t="n">
        <x:v>25.819179517971858</x:v>
      </x:c>
      <x:c r="H122" s="25" t="n">
        <x:v>25.98214875926103</x:v>
      </x:c>
      <x:c r="I122" s="12" t="n">
        <x:f>IF(B122="Control","N/A",E122/C122)</x:f>
        <x:v>1</x:v>
      </x:c>
      <x:c r="J122" s="12" t="n">
        <x:f>IF(OR(B122="Control",F122=0),"N/A",E122/F122)</x:f>
        <x:v>0.6428571428571429</x:v>
      </x:c>
      <x:c r="K122" s="14" t="n">
        <x:f>IF(OR(B122="Control",H122=0),"N/A",G122/H122)</x:f>
        <x:v>0.9937276457463479</x:v>
      </x:c>
      <x:c r="L122" s="2" t="str"/>
    </x:row>
    <x:row r="123" ht="24" customHeight="1">
      <x:c r="A123" s="10" t="str">
        <x:v>S13</x:v>
      </x:c>
      <x:c r="B123" s="10" t="str">
        <x:v>Primary</x:v>
      </x:c>
      <x:c r="C123" s="10" t="n">
        <x:v>10</x:v>
      </x:c>
      <x:c r="D123" s="10" t="n">
        <x:v>10</x:v>
      </x:c>
      <x:c r="E123" s="10" t="n">
        <x:v>10</x:v>
      </x:c>
      <x:c r="F123" s="10" t="n">
        <x:v>14</x:v>
      </x:c>
      <x:c r="G123" s="24" t="n">
        <x:v>26.68637399692552</x:v>
      </x:c>
      <x:c r="H123" s="24" t="n">
        <x:v>26.849343238214693</x:v>
      </x:c>
      <x:c r="I123" s="11" t="n">
        <x:f>IF(B123="Control","N/A",E123/C123)</x:f>
        <x:v>1</x:v>
      </x:c>
      <x:c r="J123" s="11" t="n">
        <x:f>IF(OR(B123="Control",F123=0),"N/A",E123/F123)</x:f>
        <x:v>0.7142857142857143</x:v>
      </x:c>
      <x:c r="K123" s="13" t="n">
        <x:f>IF(OR(B123="Control",H123=0),"N/A",G123/H123)</x:f>
        <x:v>0.993930233605967</x:v>
      </x:c>
      <x:c r="L123" s="10" t="str"/>
    </x:row>
    <x:row r="124" ht="24" customHeight="1">
      <x:c r="A124" s="2" t="str">
        <x:v>S14</x:v>
      </x:c>
      <x:c r="B124" s="2" t="str">
        <x:v>Primary</x:v>
      </x:c>
      <x:c r="C124" s="2" t="n">
        <x:v>1</x:v>
      </x:c>
      <x:c r="D124" s="2" t="n">
        <x:v>1</x:v>
      </x:c>
      <x:c r="E124" s="2" t="n">
        <x:v>1</x:v>
      </x:c>
      <x:c r="F124" s="2" t="n">
        <x:v>15</x:v>
      </x:c>
      <x:c r="G124" s="25" t="n">
        <x:v>7</x:v>
      </x:c>
      <x:c r="H124" s="25" t="n">
        <x:v>7</x:v>
      </x:c>
      <x:c r="I124" s="12" t="n">
        <x:f>IF(B124="Control","N/A",E124/C124)</x:f>
        <x:v>1</x:v>
      </x:c>
      <x:c r="J124" s="12" t="n">
        <x:f>IF(OR(B124="Control",F124=0),"N/A",E124/F124)</x:f>
        <x:v>0.06666666666666667</x:v>
      </x:c>
      <x:c r="K124" s="14" t="n">
        <x:f>IF(OR(B124="Control",H124=0),"N/A",G124/H124)</x:f>
        <x:v>1</x:v>
      </x:c>
      <x:c r="L124" s="2" t="str"/>
    </x:row>
    <x:row r="125" ht="24" customHeight="1">
      <x:c r="A125" s="10" t="str">
        <x:v>S14</x:v>
      </x:c>
      <x:c r="B125" s="10" t="str">
        <x:v>Primary</x:v>
      </x:c>
      <x:c r="C125" s="10" t="n">
        <x:v>3</x:v>
      </x:c>
      <x:c r="D125" s="10" t="n">
        <x:v>3</x:v>
      </x:c>
      <x:c r="E125" s="10" t="n">
        <x:v>3</x:v>
      </x:c>
      <x:c r="F125" s="10" t="n">
        <x:v>15</x:v>
      </x:c>
      <x:c r="G125" s="24" t="n">
        <x:v>14.916508275000202</x:v>
      </x:c>
      <x:c r="H125" s="24" t="n">
        <x:v>14.916508275000202</x:v>
      </x:c>
      <x:c r="I125" s="11" t="n">
        <x:f>IF(B125="Control","N/A",E125/C125)</x:f>
        <x:v>1</x:v>
      </x:c>
      <x:c r="J125" s="11" t="n">
        <x:f>IF(OR(B125="Control",F125=0),"N/A",E125/F125)</x:f>
        <x:v>0.2</x:v>
      </x:c>
      <x:c r="K125" s="13" t="n">
        <x:f>IF(OR(B125="Control",H125=0),"N/A",G125/H125)</x:f>
        <x:v>1</x:v>
      </x:c>
      <x:c r="L125" s="10" t="str"/>
    </x:row>
    <x:row r="126" ht="24" customHeight="1">
      <x:c r="A126" s="2" t="str">
        <x:v>S14</x:v>
      </x:c>
      <x:c r="B126" s="2" t="str">
        <x:v>Primary</x:v>
      </x:c>
      <x:c r="C126" s="2" t="n">
        <x:v>4</x:v>
      </x:c>
      <x:c r="D126" s="2" t="n">
        <x:v>4</x:v>
      </x:c>
      <x:c r="E126" s="2" t="n">
        <x:v>4</x:v>
      </x:c>
      <x:c r="F126" s="2" t="n">
        <x:v>15</x:v>
      </x:c>
      <x:c r="G126" s="25" t="n">
        <x:v>17.931244181513954</x:v>
      </x:c>
      <x:c r="H126" s="25" t="n">
        <x:v>17.931244181513954</x:v>
      </x:c>
      <x:c r="I126" s="12" t="n">
        <x:f>IF(B126="Control","N/A",E126/C126)</x:f>
        <x:v>1</x:v>
      </x:c>
      <x:c r="J126" s="12" t="n">
        <x:f>IF(OR(B126="Control",F126=0),"N/A",E126/F126)</x:f>
        <x:v>0.26666666666666666</x:v>
      </x:c>
      <x:c r="K126" s="14" t="n">
        <x:f>IF(OR(B126="Control",H126=0),"N/A",G126/H126)</x:f>
        <x:v>1</x:v>
      </x:c>
      <x:c r="L126" s="2" t="str"/>
    </x:row>
    <x:row r="127" ht="24" customHeight="1">
      <x:c r="A127" s="10" t="str">
        <x:v>S14</x:v>
      </x:c>
      <x:c r="B127" s="10" t="str">
        <x:v>Primary</x:v>
      </x:c>
      <x:c r="C127" s="10" t="n">
        <x:v>5</x:v>
      </x:c>
      <x:c r="D127" s="10" t="n">
        <x:v>5</x:v>
      </x:c>
      <x:c r="E127" s="10" t="n">
        <x:v>5</x:v>
      </x:c>
      <x:c r="F127" s="10" t="n">
        <x:v>15</x:v>
      </x:c>
      <x:c r="G127" s="24" t="n">
        <x:v>20.639213832155747</x:v>
      </x:c>
      <x:c r="H127" s="24" t="n">
        <x:v>20.639213832155747</x:v>
      </x:c>
      <x:c r="I127" s="11" t="n">
        <x:f>IF(B127="Control","N/A",E127/C127)</x:f>
        <x:v>1</x:v>
      </x:c>
      <x:c r="J127" s="11" t="n">
        <x:f>IF(OR(B127="Control",F127=0),"N/A",E127/F127)</x:f>
        <x:v>0.3333333333333333</x:v>
      </x:c>
      <x:c r="K127" s="13" t="n">
        <x:f>IF(OR(B127="Control",H127=0),"N/A",G127/H127)</x:f>
        <x:v>1</x:v>
      </x:c>
      <x:c r="L127" s="10" t="str"/>
    </x:row>
    <x:row r="128" ht="24" customHeight="1">
      <x:c r="A128" s="2" t="str">
        <x:v>S14</x:v>
      </x:c>
      <x:c r="B128" s="2" t="str">
        <x:v>Primary</x:v>
      </x:c>
      <x:c r="C128" s="2" t="n">
        <x:v>6</x:v>
      </x:c>
      <x:c r="D128" s="2" t="n">
        <x:v>6</x:v>
      </x:c>
      <x:c r="E128" s="2" t="n">
        <x:v>6</x:v>
      </x:c>
      <x:c r="F128" s="2" t="n">
        <x:v>15</x:v>
      </x:c>
      <x:c r="G128" s="25" t="n">
        <x:v>23.1326641419119</x:v>
      </x:c>
      <x:c r="H128" s="25" t="n">
        <x:v>23.1326641419119</x:v>
      </x:c>
      <x:c r="I128" s="12" t="n">
        <x:f>IF(B128="Control","N/A",E128/C128)</x:f>
        <x:v>1</x:v>
      </x:c>
      <x:c r="J128" s="12" t="n">
        <x:f>IF(OR(B128="Control",F128=0),"N/A",E128/F128)</x:f>
        <x:v>0.4</x:v>
      </x:c>
      <x:c r="K128" s="14" t="n">
        <x:f>IF(OR(B128="Control",H128=0),"N/A",G128/H128)</x:f>
        <x:v>1</x:v>
      </x:c>
      <x:c r="L128" s="2" t="str"/>
    </x:row>
    <x:row r="129" ht="24" customHeight="1">
      <x:c r="A129" s="10" t="str">
        <x:v>S14</x:v>
      </x:c>
      <x:c r="B129" s="10" t="str">
        <x:v>Primary</x:v>
      </x:c>
      <x:c r="C129" s="10" t="n">
        <x:v>7</x:v>
      </x:c>
      <x:c r="D129" s="10" t="n">
        <x:v>7</x:v>
      </x:c>
      <x:c r="E129" s="10" t="n">
        <x:v>6</x:v>
      </x:c>
      <x:c r="F129" s="10" t="n">
        <x:v>15</x:v>
      </x:c>
      <x:c r="G129" s="24" t="n">
        <x:v>23.465997475245235</x:v>
      </x:c>
      <x:c r="H129" s="24" t="n">
        <x:v>25.465997475245235</x:v>
      </x:c>
      <x:c r="I129" s="11" t="n">
        <x:f>IF(B129="Control","N/A",E129/C129)</x:f>
        <x:v>0.8571428571428571</x:v>
      </x:c>
      <x:c r="J129" s="11" t="n">
        <x:f>IF(OR(B129="Control",F129=0),"N/A",E129/F129)</x:f>
        <x:v>0.4</x:v>
      </x:c>
      <x:c r="K129" s="13" t="n">
        <x:f>IF(OR(B129="Control",H129=0),"N/A",G129/H129)</x:f>
        <x:v>0.9214639048816312</x:v>
      </x:c>
      <x:c r="L129" s="10" t="str"/>
    </x:row>
    <x:row r="130" ht="24" customHeight="1">
      <x:c r="A130" s="2" t="str">
        <x:v>S14</x:v>
      </x:c>
      <x:c r="B130" s="2" t="str">
        <x:v>Primary</x:v>
      </x:c>
      <x:c r="C130" s="2" t="n">
        <x:v>8</x:v>
      </x:c>
      <x:c r="D130" s="2" t="n">
        <x:v>8</x:v>
      </x:c>
      <x:c r="E130" s="2" t="n">
        <x:v>7</x:v>
      </x:c>
      <x:c r="F130" s="2" t="n">
        <x:v>15</x:v>
      </x:c>
      <x:c r="G130" s="25" t="n">
        <x:v>25.674251612745334</x:v>
      </x:c>
      <x:c r="H130" s="25" t="n">
        <x:v>27.674251612745337</x:v>
      </x:c>
      <x:c r="I130" s="12" t="n">
        <x:f>IF(B130="Control","N/A",E130/C130)</x:f>
        <x:v>0.875</x:v>
      </x:c>
      <x:c r="J130" s="12" t="n">
        <x:f>IF(OR(B130="Control",F130=0),"N/A",E130/F130)</x:f>
        <x:v>0.4666666666666667</x:v>
      </x:c>
      <x:c r="K130" s="14" t="n">
        <x:f>IF(OR(B130="Control",H130=0),"N/A",G130/H130)</x:f>
        <x:v>0.9277306563520978</x:v>
      </x:c>
      <x:c r="L130" s="2" t="str"/>
    </x:row>
    <x:row r="131" ht="24" customHeight="1">
      <x:c r="A131" s="10" t="str">
        <x:v>S14</x:v>
      </x:c>
      <x:c r="B131" s="10" t="str">
        <x:v>Primary</x:v>
      </x:c>
      <x:c r="C131" s="10" t="n">
        <x:v>9</x:v>
      </x:c>
      <x:c r="D131" s="10" t="n">
        <x:v>9</x:v>
      </x:c>
      <x:c r="E131" s="10" t="n">
        <x:v>8</x:v>
      </x:c>
      <x:c r="F131" s="10" t="n">
        <x:v>15</x:v>
      </x:c>
      <x:c r="G131" s="24" t="n">
        <x:v>27.781461582393202</x:v>
      </x:c>
      <x:c r="H131" s="24" t="n">
        <x:v>29.781461582393202</x:v>
      </x:c>
      <x:c r="I131" s="11" t="n">
        <x:f>IF(B131="Control","N/A",E131/C131)</x:f>
        <x:v>0.8888888888888888</x:v>
      </x:c>
      <x:c r="J131" s="11" t="n">
        <x:f>IF(OR(B131="Control",F131=0),"N/A",E131/F131)</x:f>
        <x:v>0.5333333333333333</x:v>
      </x:c>
      <x:c r="K131" s="13" t="n">
        <x:f>IF(OR(B131="Control",H131=0),"N/A",G131/H131)</x:f>
        <x:v>0.9328441287387185</x:v>
      </x:c>
      <x:c r="L131" s="10" t="str"/>
    </x:row>
    <x:row r="132" ht="24" customHeight="1">
      <x:c r="A132" s="2" t="str">
        <x:v>S14</x:v>
      </x:c>
      <x:c r="B132" s="2" t="str">
        <x:v>Primary</x:v>
      </x:c>
      <x:c r="C132" s="2" t="n">
        <x:v>10</x:v>
      </x:c>
      <x:c r="D132" s="2" t="n">
        <x:v>10</x:v>
      </x:c>
      <x:c r="E132" s="2" t="n">
        <x:v>9</x:v>
      </x:c>
      <x:c r="F132" s="2" t="n">
        <x:v>15</x:v>
      </x:c>
      <x:c r="G132" s="25" t="n">
        <x:v>29.804915366618417</x:v>
      </x:c>
      <x:c r="H132" s="25" t="n">
        <x:v>30.648656061346866</x:v>
      </x:c>
      <x:c r="I132" s="12" t="n">
        <x:f>IF(B132="Control","N/A",E132/C132)</x:f>
        <x:v>0.9</x:v>
      </x:c>
      <x:c r="J132" s="12" t="n">
        <x:f>IF(OR(B132="Control",F132=0),"N/A",E132/F132)</x:f>
        <x:v>0.6</x:v>
      </x:c>
      <x:c r="K132" s="14" t="n">
        <x:f>IF(OR(B132="Control",H132=0),"N/A",G132/H132)</x:f>
        <x:v>0.9724705483646786</x:v>
      </x:c>
      <x:c r="L132" s="2" t="str"/>
    </x:row>
    <x:row r="133" ht="24" customHeight="1">
      <x:c r="A133" s="10" t="str">
        <x:v>S15</x:v>
      </x:c>
      <x:c r="B133" s="10" t="str">
        <x:v>Primary</x:v>
      </x:c>
      <x:c r="C133" s="10" t="n">
        <x:v>1</x:v>
      </x:c>
      <x:c r="D133" s="10" t="n">
        <x:v>1</x:v>
      </x:c>
      <x:c r="E133" s="10" t="n">
        <x:v>1</x:v>
      </x:c>
      <x:c r="F133" s="10" t="n">
        <x:v>13</x:v>
      </x:c>
      <x:c r="G133" s="24" t="n">
        <x:v>7</x:v>
      </x:c>
      <x:c r="H133" s="24" t="n">
        <x:v>7</x:v>
      </x:c>
      <x:c r="I133" s="11" t="n">
        <x:f>IF(B133="Control","N/A",E133/C133)</x:f>
        <x:v>1</x:v>
      </x:c>
      <x:c r="J133" s="11" t="n">
        <x:f>IF(OR(B133="Control",F133=0),"N/A",E133/F133)</x:f>
        <x:v>0.07692307692307693</x:v>
      </x:c>
      <x:c r="K133" s="13" t="n">
        <x:f>IF(OR(B133="Control",H133=0),"N/A",G133/H133)</x:f>
        <x:v>1</x:v>
      </x:c>
      <x:c r="L133" s="10" t="str"/>
    </x:row>
    <x:row r="134" ht="24" customHeight="1">
      <x:c r="A134" s="2" t="str">
        <x:v>S15</x:v>
      </x:c>
      <x:c r="B134" s="2" t="str">
        <x:v>Primary</x:v>
      </x:c>
      <x:c r="C134" s="2" t="n">
        <x:v>3</x:v>
      </x:c>
      <x:c r="D134" s="2" t="n">
        <x:v>3</x:v>
      </x:c>
      <x:c r="E134" s="2" t="n">
        <x:v>3</x:v>
      </x:c>
      <x:c r="F134" s="2" t="n">
        <x:v>13</x:v>
      </x:c>
      <x:c r="G134" s="25" t="n">
        <x:v>14.916508275000202</x:v>
      </x:c>
      <x:c r="H134" s="25" t="n">
        <x:v>14.916508275000202</x:v>
      </x:c>
      <x:c r="I134" s="12" t="n">
        <x:f>IF(B134="Control","N/A",E134/C134)</x:f>
        <x:v>1</x:v>
      </x:c>
      <x:c r="J134" s="12" t="n">
        <x:f>IF(OR(B134="Control",F134=0),"N/A",E134/F134)</x:f>
        <x:v>0.23076923076923078</x:v>
      </x:c>
      <x:c r="K134" s="14" t="n">
        <x:f>IF(OR(B134="Control",H134=0),"N/A",G134/H134)</x:f>
        <x:v>1</x:v>
      </x:c>
      <x:c r="L134" s="2" t="str"/>
    </x:row>
    <x:row r="135" ht="24" customHeight="1">
      <x:c r="A135" s="10" t="str">
        <x:v>S15</x:v>
      </x:c>
      <x:c r="B135" s="10" t="str">
        <x:v>Primary</x:v>
      </x:c>
      <x:c r="C135" s="10" t="n">
        <x:v>4</x:v>
      </x:c>
      <x:c r="D135" s="10" t="n">
        <x:v>4</x:v>
      </x:c>
      <x:c r="E135" s="10" t="n">
        <x:v>4</x:v>
      </x:c>
      <x:c r="F135" s="10" t="n">
        <x:v>13</x:v>
      </x:c>
      <x:c r="G135" s="24" t="n">
        <x:v>17.931244181513954</x:v>
      </x:c>
      <x:c r="H135" s="24" t="n">
        <x:v>17.931244181513954</x:v>
      </x:c>
      <x:c r="I135" s="11" t="n">
        <x:f>IF(B135="Control","N/A",E135/C135)</x:f>
        <x:v>1</x:v>
      </x:c>
      <x:c r="J135" s="11" t="n">
        <x:f>IF(OR(B135="Control",F135=0),"N/A",E135/F135)</x:f>
        <x:v>0.3076923076923077</x:v>
      </x:c>
      <x:c r="K135" s="13" t="n">
        <x:f>IF(OR(B135="Control",H135=0),"N/A",G135/H135)</x:f>
        <x:v>1</x:v>
      </x:c>
      <x:c r="L135" s="10" t="str"/>
    </x:row>
    <x:row r="136" ht="24" customHeight="1">
      <x:c r="A136" s="2" t="str">
        <x:v>S15</x:v>
      </x:c>
      <x:c r="B136" s="2" t="str">
        <x:v>Primary</x:v>
      </x:c>
      <x:c r="C136" s="2" t="n">
        <x:v>5</x:v>
      </x:c>
      <x:c r="D136" s="2" t="n">
        <x:v>5</x:v>
      </x:c>
      <x:c r="E136" s="2" t="n">
        <x:v>5</x:v>
      </x:c>
      <x:c r="F136" s="2" t="n">
        <x:v>13</x:v>
      </x:c>
      <x:c r="G136" s="25" t="n">
        <x:v>20.639213832155747</x:v>
      </x:c>
      <x:c r="H136" s="25" t="n">
        <x:v>20.639213832155747</x:v>
      </x:c>
      <x:c r="I136" s="12" t="n">
        <x:f>IF(B136="Control","N/A",E136/C136)</x:f>
        <x:v>1</x:v>
      </x:c>
      <x:c r="J136" s="12" t="n">
        <x:f>IF(OR(B136="Control",F136=0),"N/A",E136/F136)</x:f>
        <x:v>0.38461538461538464</x:v>
      </x:c>
      <x:c r="K136" s="14" t="n">
        <x:f>IF(OR(B136="Control",H136=0),"N/A",G136/H136)</x:f>
        <x:v>1</x:v>
      </x:c>
      <x:c r="L136" s="2" t="str"/>
    </x:row>
    <x:row r="137" ht="24" customHeight="1">
      <x:c r="A137" s="10" t="str">
        <x:v>S15</x:v>
      </x:c>
      <x:c r="B137" s="10" t="str">
        <x:v>Primary</x:v>
      </x:c>
      <x:c r="C137" s="10" t="n">
        <x:v>6</x:v>
      </x:c>
      <x:c r="D137" s="10" t="n">
        <x:v>6</x:v>
      </x:c>
      <x:c r="E137" s="10" t="n">
        <x:v>6</x:v>
      </x:c>
      <x:c r="F137" s="10" t="n">
        <x:v>13</x:v>
      </x:c>
      <x:c r="G137" s="24" t="n">
        <x:v>23.1326641419119</x:v>
      </x:c>
      <x:c r="H137" s="24" t="n">
        <x:v>23.1326641419119</x:v>
      </x:c>
      <x:c r="I137" s="11" t="n">
        <x:f>IF(B137="Control","N/A",E137/C137)</x:f>
        <x:v>1</x:v>
      </x:c>
      <x:c r="J137" s="11" t="n">
        <x:f>IF(OR(B137="Control",F137=0),"N/A",E137/F137)</x:f>
        <x:v>0.46153846153846156</x:v>
      </x:c>
      <x:c r="K137" s="13" t="n">
        <x:f>IF(OR(B137="Control",H137=0),"N/A",G137/H137)</x:f>
        <x:v>1</x:v>
      </x:c>
      <x:c r="L137" s="10" t="str"/>
    </x:row>
    <x:row r="138" ht="24" customHeight="1">
      <x:c r="A138" s="2" t="str">
        <x:v>S15</x:v>
      </x:c>
      <x:c r="B138" s="2" t="str">
        <x:v>Primary</x:v>
      </x:c>
      <x:c r="C138" s="2" t="n">
        <x:v>7</x:v>
      </x:c>
      <x:c r="D138" s="2" t="n">
        <x:v>7</x:v>
      </x:c>
      <x:c r="E138" s="2" t="n">
        <x:v>7</x:v>
      </x:c>
      <x:c r="F138" s="2" t="n">
        <x:v>13</x:v>
      </x:c>
      <x:c r="G138" s="25" t="n">
        <x:v>25.465997475245235</x:v>
      </x:c>
      <x:c r="H138" s="25" t="n">
        <x:v>25.465997475245235</x:v>
      </x:c>
      <x:c r="I138" s="12" t="n">
        <x:f>IF(B138="Control","N/A",E138/C138)</x:f>
        <x:v>1</x:v>
      </x:c>
      <x:c r="J138" s="12" t="n">
        <x:f>IF(OR(B138="Control",F138=0),"N/A",E138/F138)</x:f>
        <x:v>0.5384615384615384</x:v>
      </x:c>
      <x:c r="K138" s="14" t="n">
        <x:f>IF(OR(B138="Control",H138=0),"N/A",G138/H138)</x:f>
        <x:v>1</x:v>
      </x:c>
      <x:c r="L138" s="2" t="str"/>
    </x:row>
    <x:row r="139" ht="24" customHeight="1">
      <x:c r="A139" s="10" t="str">
        <x:v>S15</x:v>
      </x:c>
      <x:c r="B139" s="10" t="str">
        <x:v>Primary</x:v>
      </x:c>
      <x:c r="C139" s="10" t="n">
        <x:v>8</x:v>
      </x:c>
      <x:c r="D139" s="10" t="n">
        <x:v>8</x:v>
      </x:c>
      <x:c r="E139" s="10" t="n">
        <x:v>8</x:v>
      </x:c>
      <x:c r="F139" s="10" t="n">
        <x:v>13</x:v>
      </x:c>
      <x:c r="G139" s="24" t="n">
        <x:v>27.674251612745337</x:v>
      </x:c>
      <x:c r="H139" s="24" t="n">
        <x:v>27.674251612745337</x:v>
      </x:c>
      <x:c r="I139" s="11" t="n">
        <x:f>IF(B139="Control","N/A",E139/C139)</x:f>
        <x:v>1</x:v>
      </x:c>
      <x:c r="J139" s="11" t="n">
        <x:f>IF(OR(B139="Control",F139=0),"N/A",E139/F139)</x:f>
        <x:v>0.6153846153846154</x:v>
      </x:c>
      <x:c r="K139" s="13" t="n">
        <x:f>IF(OR(B139="Control",H139=0),"N/A",G139/H139)</x:f>
        <x:v>1</x:v>
      </x:c>
      <x:c r="L139" s="10" t="str"/>
    </x:row>
    <x:row r="140" ht="24" customHeight="1">
      <x:c r="A140" s="2" t="str">
        <x:v>S15</x:v>
      </x:c>
      <x:c r="B140" s="2" t="str">
        <x:v>Primary</x:v>
      </x:c>
      <x:c r="C140" s="2" t="n">
        <x:v>9</x:v>
      </x:c>
      <x:c r="D140" s="2" t="n">
        <x:v>9</x:v>
      </x:c>
      <x:c r="E140" s="2" t="n">
        <x:v>9</x:v>
      </x:c>
      <x:c r="F140" s="2" t="n">
        <x:v>13</x:v>
      </x:c>
      <x:c r="G140" s="25" t="n">
        <x:v>29.781461582393202</x:v>
      </x:c>
      <x:c r="H140" s="25" t="n">
        <x:v>29.781461582393202</x:v>
      </x:c>
      <x:c r="I140" s="12" t="n">
        <x:f>IF(B140="Control","N/A",E140/C140)</x:f>
        <x:v>1</x:v>
      </x:c>
      <x:c r="J140" s="12" t="n">
        <x:f>IF(OR(B140="Control",F140=0),"N/A",E140/F140)</x:f>
        <x:v>0.6923076923076923</x:v>
      </x:c>
      <x:c r="K140" s="14" t="n">
        <x:f>IF(OR(B140="Control",H140=0),"N/A",G140/H140)</x:f>
        <x:v>1</x:v>
      </x:c>
      <x:c r="L140" s="2" t="str"/>
    </x:row>
    <x:row r="141" ht="24" customHeight="1">
      <x:c r="A141" s="10" t="str">
        <x:v>S15</x:v>
      </x:c>
      <x:c r="B141" s="10" t="str">
        <x:v>Primary</x:v>
      </x:c>
      <x:c r="C141" s="10" t="n">
        <x:v>10</x:v>
      </x:c>
      <x:c r="D141" s="10" t="n">
        <x:v>10</x:v>
      </x:c>
      <x:c r="E141" s="10" t="n">
        <x:v>10</x:v>
      </x:c>
      <x:c r="F141" s="10" t="n">
        <x:v>13</x:v>
      </x:c>
      <x:c r="G141" s="24" t="n">
        <x:v>31.804915366618417</x:v>
      </x:c>
      <x:c r="H141" s="24" t="n">
        <x:v>31.804915366618417</x:v>
      </x:c>
      <x:c r="I141" s="11" t="n">
        <x:f>IF(B141="Control","N/A",E141/C141)</x:f>
        <x:v>1</x:v>
      </x:c>
      <x:c r="J141" s="11" t="n">
        <x:f>IF(OR(B141="Control",F141=0),"N/A",E141/F141)</x:f>
        <x:v>0.7692307692307693</x:v>
      </x:c>
      <x:c r="K141" s="13" t="n">
        <x:f>IF(OR(B141="Control",H141=0),"N/A",G141/H141)</x:f>
        <x:v>1</x:v>
      </x:c>
      <x:c r="L141" s="10" t="str"/>
    </x:row>
    <x:row r="142" ht="24" customHeight="1">
      <x:c r="A142" s="2" t="str">
        <x:v>S16</x:v>
      </x:c>
      <x:c r="B142" s="2" t="str">
        <x:v>Primary</x:v>
      </x:c>
      <x:c r="C142" s="2" t="n">
        <x:v>1</x:v>
      </x:c>
      <x:c r="D142" s="2" t="n">
        <x:v>1</x:v>
      </x:c>
      <x:c r="E142" s="2" t="n">
        <x:v>1</x:v>
      </x:c>
      <x:c r="F142" s="2" t="n">
        <x:v>14</x:v>
      </x:c>
      <x:c r="G142" s="25" t="n">
        <x:v>7</x:v>
      </x:c>
      <x:c r="H142" s="25" t="n">
        <x:v>7</x:v>
      </x:c>
      <x:c r="I142" s="12" t="n">
        <x:f>IF(B142="Control","N/A",E142/C142)</x:f>
        <x:v>1</x:v>
      </x:c>
      <x:c r="J142" s="12" t="n">
        <x:f>IF(OR(B142="Control",F142=0),"N/A",E142/F142)</x:f>
        <x:v>0.07142857142857142</x:v>
      </x:c>
      <x:c r="K142" s="14" t="n">
        <x:f>IF(OR(B142="Control",H142=0),"N/A",G142/H142)</x:f>
        <x:v>1</x:v>
      </x:c>
      <x:c r="L142" s="2" t="str"/>
    </x:row>
    <x:row r="143" ht="24" customHeight="1">
      <x:c r="A143" s="10" t="str">
        <x:v>S16</x:v>
      </x:c>
      <x:c r="B143" s="10" t="str">
        <x:v>Primary</x:v>
      </x:c>
      <x:c r="C143" s="10" t="n">
        <x:v>3</x:v>
      </x:c>
      <x:c r="D143" s="10" t="n">
        <x:v>3</x:v>
      </x:c>
      <x:c r="E143" s="10" t="n">
        <x:v>3</x:v>
      </x:c>
      <x:c r="F143" s="10" t="n">
        <x:v>14</x:v>
      </x:c>
      <x:c r="G143" s="24" t="n">
        <x:v>14.916508275000202</x:v>
      </x:c>
      <x:c r="H143" s="24" t="n">
        <x:v>14.916508275000202</x:v>
      </x:c>
      <x:c r="I143" s="11" t="n">
        <x:f>IF(B143="Control","N/A",E143/C143)</x:f>
        <x:v>1</x:v>
      </x:c>
      <x:c r="J143" s="11" t="n">
        <x:f>IF(OR(B143="Control",F143=0),"N/A",E143/F143)</x:f>
        <x:v>0.21428571428571427</x:v>
      </x:c>
      <x:c r="K143" s="13" t="n">
        <x:f>IF(OR(B143="Control",H143=0),"N/A",G143/H143)</x:f>
        <x:v>1</x:v>
      </x:c>
      <x:c r="L143" s="10" t="str"/>
    </x:row>
    <x:row r="144" ht="24" customHeight="1">
      <x:c r="A144" s="2" t="str">
        <x:v>S16</x:v>
      </x:c>
      <x:c r="B144" s="2" t="str">
        <x:v>Primary</x:v>
      </x:c>
      <x:c r="C144" s="2" t="n">
        <x:v>4</x:v>
      </x:c>
      <x:c r="D144" s="2" t="n">
        <x:v>4</x:v>
      </x:c>
      <x:c r="E144" s="2" t="n">
        <x:v>4</x:v>
      </x:c>
      <x:c r="F144" s="2" t="n">
        <x:v>14</x:v>
      </x:c>
      <x:c r="G144" s="25" t="n">
        <x:v>17.931244181513954</x:v>
      </x:c>
      <x:c r="H144" s="25" t="n">
        <x:v>17.931244181513954</x:v>
      </x:c>
      <x:c r="I144" s="12" t="n">
        <x:f>IF(B144="Control","N/A",E144/C144)</x:f>
        <x:v>1</x:v>
      </x:c>
      <x:c r="J144" s="12" t="n">
        <x:f>IF(OR(B144="Control",F144=0),"N/A",E144/F144)</x:f>
        <x:v>0.2857142857142857</x:v>
      </x:c>
      <x:c r="K144" s="14" t="n">
        <x:f>IF(OR(B144="Control",H144=0),"N/A",G144/H144)</x:f>
        <x:v>1</x:v>
      </x:c>
      <x:c r="L144" s="2" t="str"/>
    </x:row>
    <x:row r="145" ht="24" customHeight="1">
      <x:c r="A145" s="10" t="str">
        <x:v>S16</x:v>
      </x:c>
      <x:c r="B145" s="10" t="str">
        <x:v>Primary</x:v>
      </x:c>
      <x:c r="C145" s="10" t="n">
        <x:v>5</x:v>
      </x:c>
      <x:c r="D145" s="10" t="n">
        <x:v>5</x:v>
      </x:c>
      <x:c r="E145" s="10" t="n">
        <x:v>5</x:v>
      </x:c>
      <x:c r="F145" s="10" t="n">
        <x:v>14</x:v>
      </x:c>
      <x:c r="G145" s="24" t="n">
        <x:v>20.639213832155747</x:v>
      </x:c>
      <x:c r="H145" s="24" t="n">
        <x:v>20.639213832155747</x:v>
      </x:c>
      <x:c r="I145" s="11" t="n">
        <x:f>IF(B145="Control","N/A",E145/C145)</x:f>
        <x:v>1</x:v>
      </x:c>
      <x:c r="J145" s="11" t="n">
        <x:f>IF(OR(B145="Control",F145=0),"N/A",E145/F145)</x:f>
        <x:v>0.35714285714285715</x:v>
      </x:c>
      <x:c r="K145" s="13" t="n">
        <x:f>IF(OR(B145="Control",H145=0),"N/A",G145/H145)</x:f>
        <x:v>1</x:v>
      </x:c>
      <x:c r="L145" s="10" t="str"/>
    </x:row>
    <x:row r="146" ht="24" customHeight="1">
      <x:c r="A146" s="2" t="str">
        <x:v>S16</x:v>
      </x:c>
      <x:c r="B146" s="2" t="str">
        <x:v>Primary</x:v>
      </x:c>
      <x:c r="C146" s="2" t="n">
        <x:v>6</x:v>
      </x:c>
      <x:c r="D146" s="2" t="n">
        <x:v>6</x:v>
      </x:c>
      <x:c r="E146" s="2" t="n">
        <x:v>6</x:v>
      </x:c>
      <x:c r="F146" s="2" t="n">
        <x:v>14</x:v>
      </x:c>
      <x:c r="G146" s="25" t="n">
        <x:v>23.1326641419119</x:v>
      </x:c>
      <x:c r="H146" s="25" t="n">
        <x:v>23.1326641419119</x:v>
      </x:c>
      <x:c r="I146" s="12" t="n">
        <x:f>IF(B146="Control","N/A",E146/C146)</x:f>
        <x:v>1</x:v>
      </x:c>
      <x:c r="J146" s="12" t="n">
        <x:f>IF(OR(B146="Control",F146=0),"N/A",E146/F146)</x:f>
        <x:v>0.42857142857142855</x:v>
      </x:c>
      <x:c r="K146" s="14" t="n">
        <x:f>IF(OR(B146="Control",H146=0),"N/A",G146/H146)</x:f>
        <x:v>1</x:v>
      </x:c>
      <x:c r="L146" s="2" t="str"/>
    </x:row>
    <x:row r="147" ht="24" customHeight="1">
      <x:c r="A147" s="10" t="str">
        <x:v>S16</x:v>
      </x:c>
      <x:c r="B147" s="10" t="str">
        <x:v>Primary</x:v>
      </x:c>
      <x:c r="C147" s="10" t="n">
        <x:v>7</x:v>
      </x:c>
      <x:c r="D147" s="10" t="n">
        <x:v>7</x:v>
      </x:c>
      <x:c r="E147" s="10" t="n">
        <x:v>7</x:v>
      </x:c>
      <x:c r="F147" s="10" t="n">
        <x:v>14</x:v>
      </x:c>
      <x:c r="G147" s="24" t="n">
        <x:v>25.465997475245235</x:v>
      </x:c>
      <x:c r="H147" s="24" t="n">
        <x:v>25.465997475245235</x:v>
      </x:c>
      <x:c r="I147" s="11" t="n">
        <x:f>IF(B147="Control","N/A",E147/C147)</x:f>
        <x:v>1</x:v>
      </x:c>
      <x:c r="J147" s="11" t="n">
        <x:f>IF(OR(B147="Control",F147=0),"N/A",E147/F147)</x:f>
        <x:v>0.5</x:v>
      </x:c>
      <x:c r="K147" s="13" t="n">
        <x:f>IF(OR(B147="Control",H147=0),"N/A",G147/H147)</x:f>
        <x:v>1</x:v>
      </x:c>
      <x:c r="L147" s="10" t="str"/>
    </x:row>
    <x:row r="148" ht="24" customHeight="1">
      <x:c r="A148" s="2" t="str">
        <x:v>S16</x:v>
      </x:c>
      <x:c r="B148" s="2" t="str">
        <x:v>Primary</x:v>
      </x:c>
      <x:c r="C148" s="2" t="n">
        <x:v>8</x:v>
      </x:c>
      <x:c r="D148" s="2" t="n">
        <x:v>8</x:v>
      </x:c>
      <x:c r="E148" s="2" t="n">
        <x:v>8</x:v>
      </x:c>
      <x:c r="F148" s="2" t="n">
        <x:v>14</x:v>
      </x:c>
      <x:c r="G148" s="25" t="n">
        <x:v>27.674251612745337</x:v>
      </x:c>
      <x:c r="H148" s="25" t="n">
        <x:v>27.674251612745337</x:v>
      </x:c>
      <x:c r="I148" s="12" t="n">
        <x:f>IF(B148="Control","N/A",E148/C148)</x:f>
        <x:v>1</x:v>
      </x:c>
      <x:c r="J148" s="12" t="n">
        <x:f>IF(OR(B148="Control",F148=0),"N/A",E148/F148)</x:f>
        <x:v>0.5714285714285714</x:v>
      </x:c>
      <x:c r="K148" s="14" t="n">
        <x:f>IF(OR(B148="Control",H148=0),"N/A",G148/H148)</x:f>
        <x:v>1</x:v>
      </x:c>
      <x:c r="L148" s="2" t="str"/>
    </x:row>
    <x:row r="149" ht="24" customHeight="1">
      <x:c r="A149" s="10" t="str">
        <x:v>S16</x:v>
      </x:c>
      <x:c r="B149" s="10" t="str">
        <x:v>Primary</x:v>
      </x:c>
      <x:c r="C149" s="10" t="n">
        <x:v>9</x:v>
      </x:c>
      <x:c r="D149" s="10" t="n">
        <x:v>9</x:v>
      </x:c>
      <x:c r="E149" s="10" t="n">
        <x:v>9</x:v>
      </x:c>
      <x:c r="F149" s="10" t="n">
        <x:v>14</x:v>
      </x:c>
      <x:c r="G149" s="24" t="n">
        <x:v>29.781461582393202</x:v>
      </x:c>
      <x:c r="H149" s="24" t="n">
        <x:v>29.781461582393202</x:v>
      </x:c>
      <x:c r="I149" s="11" t="n">
        <x:f>IF(B149="Control","N/A",E149/C149)</x:f>
        <x:v>1</x:v>
      </x:c>
      <x:c r="J149" s="11" t="n">
        <x:f>IF(OR(B149="Control",F149=0),"N/A",E149/F149)</x:f>
        <x:v>0.6428571428571429</x:v>
      </x:c>
      <x:c r="K149" s="13" t="n">
        <x:f>IF(OR(B149="Control",H149=0),"N/A",G149/H149)</x:f>
        <x:v>1</x:v>
      </x:c>
      <x:c r="L149" s="10" t="str"/>
    </x:row>
    <x:row r="150" ht="24" customHeight="1">
      <x:c r="A150" s="2" t="str">
        <x:v>S16</x:v>
      </x:c>
      <x:c r="B150" s="2" t="str">
        <x:v>Primary</x:v>
      </x:c>
      <x:c r="C150" s="2" t="n">
        <x:v>10</x:v>
      </x:c>
      <x:c r="D150" s="2" t="n">
        <x:v>10</x:v>
      </x:c>
      <x:c r="E150" s="2" t="n">
        <x:v>10</x:v>
      </x:c>
      <x:c r="F150" s="2" t="n">
        <x:v>14</x:v>
      </x:c>
      <x:c r="G150" s="25" t="n">
        <x:v>31.804915366618417</x:v>
      </x:c>
      <x:c r="H150" s="25" t="n">
        <x:v>31.804915366618417</x:v>
      </x:c>
      <x:c r="I150" s="12" t="n">
        <x:f>IF(B150="Control","N/A",E150/C150)</x:f>
        <x:v>1</x:v>
      </x:c>
      <x:c r="J150" s="12" t="n">
        <x:f>IF(OR(B150="Control",F150=0),"N/A",E150/F150)</x:f>
        <x:v>0.7142857142857143</x:v>
      </x:c>
      <x:c r="K150" s="14" t="n">
        <x:f>IF(OR(B150="Control",H150=0),"N/A",G150/H150)</x:f>
        <x:v>1</x:v>
      </x:c>
      <x:c r="L150" s="2" t="str"/>
    </x:row>
    <x:row r="151" ht="24" customHeight="1">
      <x:c r="A151" s="10" t="str">
        <x:v>S17</x:v>
      </x:c>
      <x:c r="B151" s="10" t="str">
        <x:v>Primary</x:v>
      </x:c>
      <x:c r="C151" s="10" t="n">
        <x:v>1</x:v>
      </x:c>
      <x:c r="D151" s="10" t="n">
        <x:v>1</x:v>
      </x:c>
      <x:c r="E151" s="10" t="n">
        <x:v>1</x:v>
      </x:c>
      <x:c r="F151" s="10" t="n">
        <x:v>3</x:v>
      </x:c>
      <x:c r="G151" s="24" t="n">
        <x:v>7</x:v>
      </x:c>
      <x:c r="H151" s="24" t="n">
        <x:v>7</x:v>
      </x:c>
      <x:c r="I151" s="11" t="n">
        <x:f>IF(B151="Control","N/A",E151/C151)</x:f>
        <x:v>1</x:v>
      </x:c>
      <x:c r="J151" s="11" t="n">
        <x:f>IF(OR(B151="Control",F151=0),"N/A",E151/F151)</x:f>
        <x:v>0.3333333333333333</x:v>
      </x:c>
      <x:c r="K151" s="13" t="n">
        <x:f>IF(OR(B151="Control",H151=0),"N/A",G151/H151)</x:f>
        <x:v>1</x:v>
      </x:c>
      <x:c r="L151" s="10" t="str"/>
    </x:row>
    <x:row r="152" ht="24" customHeight="1">
      <x:c r="A152" s="2" t="str">
        <x:v>S17</x:v>
      </x:c>
      <x:c r="B152" s="2" t="str">
        <x:v>Primary</x:v>
      </x:c>
      <x:c r="C152" s="2" t="n">
        <x:v>3</x:v>
      </x:c>
      <x:c r="D152" s="2" t="n">
        <x:v>3</x:v>
      </x:c>
      <x:c r="E152" s="2" t="n">
        <x:v>3</x:v>
      </x:c>
      <x:c r="F152" s="2" t="n">
        <x:v>3</x:v>
      </x:c>
      <x:c r="G152" s="25" t="n">
        <x:v>14.916508275000202</x:v>
      </x:c>
      <x:c r="H152" s="25" t="n">
        <x:v>14.916508275000202</x:v>
      </x:c>
      <x:c r="I152" s="12" t="n">
        <x:f>IF(B152="Control","N/A",E152/C152)</x:f>
        <x:v>1</x:v>
      </x:c>
      <x:c r="J152" s="12" t="n">
        <x:f>IF(OR(B152="Control",F152=0),"N/A",E152/F152)</x:f>
        <x:v>1</x:v>
      </x:c>
      <x:c r="K152" s="14" t="n">
        <x:f>IF(OR(B152="Control",H152=0),"N/A",G152/H152)</x:f>
        <x:v>1</x:v>
      </x:c>
      <x:c r="L152" s="2" t="str"/>
    </x:row>
    <x:row r="153" ht="24" customHeight="1">
      <x:c r="A153" s="10" t="str">
        <x:v>S17</x:v>
      </x:c>
      <x:c r="B153" s="10" t="str">
        <x:v>Primary</x:v>
      </x:c>
      <x:c r="C153" s="10" t="n">
        <x:v>4</x:v>
      </x:c>
      <x:c r="D153" s="10" t="n">
        <x:v>3</x:v>
      </x:c>
      <x:c r="E153" s="10" t="n">
        <x:v>3</x:v>
      </x:c>
      <x:c r="F153" s="10" t="n">
        <x:v>3</x:v>
      </x:c>
      <x:c r="G153" s="24" t="n">
        <x:v>14.916508275000202</x:v>
      </x:c>
      <x:c r="H153" s="24" t="n">
        <x:v>14.916508275000202</x:v>
      </x:c>
      <x:c r="I153" s="11" t="n">
        <x:f>IF(B153="Control","N/A",E153/C153)</x:f>
        <x:v>0.75</x:v>
      </x:c>
      <x:c r="J153" s="11" t="n">
        <x:f>IF(OR(B153="Control",F153=0),"N/A",E153/F153)</x:f>
        <x:v>1</x:v>
      </x:c>
      <x:c r="K153" s="13" t="n">
        <x:f>IF(OR(B153="Control",H153=0),"N/A",G153/H153)</x:f>
        <x:v>1</x:v>
      </x:c>
      <x:c r="L153" s="10" t="str"/>
    </x:row>
    <x:row r="154" ht="24" customHeight="1">
      <x:c r="A154" s="2" t="str">
        <x:v>S17</x:v>
      </x:c>
      <x:c r="B154" s="2" t="str">
        <x:v>Primary</x:v>
      </x:c>
      <x:c r="C154" s="2" t="n">
        <x:v>5</x:v>
      </x:c>
      <x:c r="D154" s="2" t="n">
        <x:v>3</x:v>
      </x:c>
      <x:c r="E154" s="2" t="n">
        <x:v>3</x:v>
      </x:c>
      <x:c r="F154" s="2" t="n">
        <x:v>3</x:v>
      </x:c>
      <x:c r="G154" s="25" t="n">
        <x:v>14.916508275000202</x:v>
      </x:c>
      <x:c r="H154" s="25" t="n">
        <x:v>14.916508275000202</x:v>
      </x:c>
      <x:c r="I154" s="12" t="n">
        <x:f>IF(B154="Control","N/A",E154/C154)</x:f>
        <x:v>0.6</x:v>
      </x:c>
      <x:c r="J154" s="12" t="n">
        <x:f>IF(OR(B154="Control",F154=0),"N/A",E154/F154)</x:f>
        <x:v>1</x:v>
      </x:c>
      <x:c r="K154" s="14" t="n">
        <x:f>IF(OR(B154="Control",H154=0),"N/A",G154/H154)</x:f>
        <x:v>1</x:v>
      </x:c>
      <x:c r="L154" s="2" t="str"/>
    </x:row>
    <x:row r="155" ht="24" customHeight="1">
      <x:c r="A155" s="10" t="str">
        <x:v>S17</x:v>
      </x:c>
      <x:c r="B155" s="10" t="str">
        <x:v>Primary</x:v>
      </x:c>
      <x:c r="C155" s="10" t="n">
        <x:v>6</x:v>
      </x:c>
      <x:c r="D155" s="10" t="n">
        <x:v>3</x:v>
      </x:c>
      <x:c r="E155" s="10" t="n">
        <x:v>3</x:v>
      </x:c>
      <x:c r="F155" s="10" t="n">
        <x:v>3</x:v>
      </x:c>
      <x:c r="G155" s="24" t="n">
        <x:v>14.916508275000202</x:v>
      </x:c>
      <x:c r="H155" s="24" t="n">
        <x:v>14.916508275000202</x:v>
      </x:c>
      <x:c r="I155" s="11" t="n">
        <x:f>IF(B155="Control","N/A",E155/C155)</x:f>
        <x:v>0.5</x:v>
      </x:c>
      <x:c r="J155" s="11" t="n">
        <x:f>IF(OR(B155="Control",F155=0),"N/A",E155/F155)</x:f>
        <x:v>1</x:v>
      </x:c>
      <x:c r="K155" s="13" t="n">
        <x:f>IF(OR(B155="Control",H155=0),"N/A",G155/H155)</x:f>
        <x:v>1</x:v>
      </x:c>
      <x:c r="L155" s="10" t="str"/>
    </x:row>
    <x:row r="156" ht="24" customHeight="1">
      <x:c r="A156" s="2" t="str">
        <x:v>S17</x:v>
      </x:c>
      <x:c r="B156" s="2" t="str">
        <x:v>Primary</x:v>
      </x:c>
      <x:c r="C156" s="2" t="n">
        <x:v>7</x:v>
      </x:c>
      <x:c r="D156" s="2" t="n">
        <x:v>3</x:v>
      </x:c>
      <x:c r="E156" s="2" t="n">
        <x:v>3</x:v>
      </x:c>
      <x:c r="F156" s="2" t="n">
        <x:v>3</x:v>
      </x:c>
      <x:c r="G156" s="25" t="n">
        <x:v>14.916508275000202</x:v>
      </x:c>
      <x:c r="H156" s="25" t="n">
        <x:v>14.916508275000202</x:v>
      </x:c>
      <x:c r="I156" s="12" t="n">
        <x:f>IF(B156="Control","N/A",E156/C156)</x:f>
        <x:v>0.42857142857142855</x:v>
      </x:c>
      <x:c r="J156" s="12" t="n">
        <x:f>IF(OR(B156="Control",F156=0),"N/A",E156/F156)</x:f>
        <x:v>1</x:v>
      </x:c>
      <x:c r="K156" s="14" t="n">
        <x:f>IF(OR(B156="Control",H156=0),"N/A",G156/H156)</x:f>
        <x:v>1</x:v>
      </x:c>
      <x:c r="L156" s="2" t="str"/>
    </x:row>
    <x:row r="157" ht="24" customHeight="1">
      <x:c r="A157" s="10" t="str">
        <x:v>S17</x:v>
      </x:c>
      <x:c r="B157" s="10" t="str">
        <x:v>Primary</x:v>
      </x:c>
      <x:c r="C157" s="10" t="n">
        <x:v>8</x:v>
      </x:c>
      <x:c r="D157" s="10" t="n">
        <x:v>3</x:v>
      </x:c>
      <x:c r="E157" s="10" t="n">
        <x:v>3</x:v>
      </x:c>
      <x:c r="F157" s="10" t="n">
        <x:v>3</x:v>
      </x:c>
      <x:c r="G157" s="24" t="n">
        <x:v>14.916508275000202</x:v>
      </x:c>
      <x:c r="H157" s="24" t="n">
        <x:v>14.916508275000202</x:v>
      </x:c>
      <x:c r="I157" s="11" t="n">
        <x:f>IF(B157="Control","N/A",E157/C157)</x:f>
        <x:v>0.375</x:v>
      </x:c>
      <x:c r="J157" s="11" t="n">
        <x:f>IF(OR(B157="Control",F157=0),"N/A",E157/F157)</x:f>
        <x:v>1</x:v>
      </x:c>
      <x:c r="K157" s="13" t="n">
        <x:f>IF(OR(B157="Control",H157=0),"N/A",G157/H157)</x:f>
        <x:v>1</x:v>
      </x:c>
      <x:c r="L157" s="10" t="str"/>
    </x:row>
    <x:row r="158" ht="24" customHeight="1">
      <x:c r="A158" s="2" t="str">
        <x:v>S17</x:v>
      </x:c>
      <x:c r="B158" s="2" t="str">
        <x:v>Primary</x:v>
      </x:c>
      <x:c r="C158" s="2" t="n">
        <x:v>9</x:v>
      </x:c>
      <x:c r="D158" s="2" t="n">
        <x:v>3</x:v>
      </x:c>
      <x:c r="E158" s="2" t="n">
        <x:v>3</x:v>
      </x:c>
      <x:c r="F158" s="2" t="n">
        <x:v>3</x:v>
      </x:c>
      <x:c r="G158" s="25" t="n">
        <x:v>14.916508275000202</x:v>
      </x:c>
      <x:c r="H158" s="25" t="n">
        <x:v>14.916508275000202</x:v>
      </x:c>
      <x:c r="I158" s="12" t="n">
        <x:f>IF(B158="Control","N/A",E158/C158)</x:f>
        <x:v>0.3333333333333333</x:v>
      </x:c>
      <x:c r="J158" s="12" t="n">
        <x:f>IF(OR(B158="Control",F158=0),"N/A",E158/F158)</x:f>
        <x:v>1</x:v>
      </x:c>
      <x:c r="K158" s="14" t="n">
        <x:f>IF(OR(B158="Control",H158=0),"N/A",G158/H158)</x:f>
        <x:v>1</x:v>
      </x:c>
      <x:c r="L158" s="2" t="str"/>
    </x:row>
    <x:row r="159" ht="24" customHeight="1">
      <x:c r="A159" s="10" t="str">
        <x:v>S17</x:v>
      </x:c>
      <x:c r="B159" s="10" t="str">
        <x:v>Primary</x:v>
      </x:c>
      <x:c r="C159" s="10" t="n">
        <x:v>10</x:v>
      </x:c>
      <x:c r="D159" s="10" t="n">
        <x:v>3</x:v>
      </x:c>
      <x:c r="E159" s="10" t="n">
        <x:v>3</x:v>
      </x:c>
      <x:c r="F159" s="10" t="n">
        <x:v>3</x:v>
      </x:c>
      <x:c r="G159" s="24" t="n">
        <x:v>14.916508275000202</x:v>
      </x:c>
      <x:c r="H159" s="24" t="n">
        <x:v>14.916508275000202</x:v>
      </x:c>
      <x:c r="I159" s="11" t="n">
        <x:f>IF(B159="Control","N/A",E159/C159)</x:f>
        <x:v>0.3</x:v>
      </x:c>
      <x:c r="J159" s="11" t="n">
        <x:f>IF(OR(B159="Control",F159=0),"N/A",E159/F159)</x:f>
        <x:v>1</x:v>
      </x:c>
      <x:c r="K159" s="13" t="n">
        <x:f>IF(OR(B159="Control",H159=0),"N/A",G159/H159)</x:f>
        <x:v>1</x:v>
      </x:c>
      <x:c r="L159" s="10" t="str"/>
    </x:row>
    <x:row r="160" ht="24" customHeight="1">
      <x:c r="A160" s="2" t="str">
        <x:v>S18</x:v>
      </x:c>
      <x:c r="B160" s="2" t="str">
        <x:v>Primary</x:v>
      </x:c>
      <x:c r="C160" s="2" t="n">
        <x:v>1</x:v>
      </x:c>
      <x:c r="D160" s="2" t="n">
        <x:v>1</x:v>
      </x:c>
      <x:c r="E160" s="2" t="n">
        <x:v>1</x:v>
      </x:c>
      <x:c r="F160" s="2" t="n">
        <x:v>10</x:v>
      </x:c>
      <x:c r="G160" s="25" t="n">
        <x:v>7</x:v>
      </x:c>
      <x:c r="H160" s="25" t="n">
        <x:v>7</x:v>
      </x:c>
      <x:c r="I160" s="12" t="n">
        <x:f>IF(B160="Control","N/A",E160/C160)</x:f>
        <x:v>1</x:v>
      </x:c>
      <x:c r="J160" s="12" t="n">
        <x:f>IF(OR(B160="Control",F160=0),"N/A",E160/F160)</x:f>
        <x:v>0.1</x:v>
      </x:c>
      <x:c r="K160" s="14" t="n">
        <x:f>IF(OR(B160="Control",H160=0),"N/A",G160/H160)</x:f>
        <x:v>1</x:v>
      </x:c>
      <x:c r="L160" s="2" t="str"/>
    </x:row>
    <x:row r="161" ht="24" customHeight="1">
      <x:c r="A161" s="10" t="str">
        <x:v>S18</x:v>
      </x:c>
      <x:c r="B161" s="10" t="str">
        <x:v>Primary</x:v>
      </x:c>
      <x:c r="C161" s="10" t="n">
        <x:v>3</x:v>
      </x:c>
      <x:c r="D161" s="10" t="n">
        <x:v>3</x:v>
      </x:c>
      <x:c r="E161" s="10" t="n">
        <x:v>3</x:v>
      </x:c>
      <x:c r="F161" s="10" t="n">
        <x:v>10</x:v>
      </x:c>
      <x:c r="G161" s="24" t="n">
        <x:v>14.916508275000202</x:v>
      </x:c>
      <x:c r="H161" s="24" t="n">
        <x:v>14.916508275000202</x:v>
      </x:c>
      <x:c r="I161" s="11" t="n">
        <x:f>IF(B161="Control","N/A",E161/C161)</x:f>
        <x:v>1</x:v>
      </x:c>
      <x:c r="J161" s="11" t="n">
        <x:f>IF(OR(B161="Control",F161=0),"N/A",E161/F161)</x:f>
        <x:v>0.3</x:v>
      </x:c>
      <x:c r="K161" s="13" t="n">
        <x:f>IF(OR(B161="Control",H161=0),"N/A",G161/H161)</x:f>
        <x:v>1</x:v>
      </x:c>
      <x:c r="L161" s="10" t="str"/>
    </x:row>
    <x:row r="162" ht="24" customHeight="1">
      <x:c r="A162" s="2" t="str">
        <x:v>S18</x:v>
      </x:c>
      <x:c r="B162" s="2" t="str">
        <x:v>Primary</x:v>
      </x:c>
      <x:c r="C162" s="2" t="n">
        <x:v>4</x:v>
      </x:c>
      <x:c r="D162" s="2" t="n">
        <x:v>4</x:v>
      </x:c>
      <x:c r="E162" s="2" t="n">
        <x:v>4</x:v>
      </x:c>
      <x:c r="F162" s="2" t="n">
        <x:v>10</x:v>
      </x:c>
      <x:c r="G162" s="25" t="n">
        <x:v>17.931244181513954</x:v>
      </x:c>
      <x:c r="H162" s="25" t="n">
        <x:v>17.931244181513954</x:v>
      </x:c>
      <x:c r="I162" s="12" t="n">
        <x:f>IF(B162="Control","N/A",E162/C162)</x:f>
        <x:v>1</x:v>
      </x:c>
      <x:c r="J162" s="12" t="n">
        <x:f>IF(OR(B162="Control",F162=0),"N/A",E162/F162)</x:f>
        <x:v>0.4</x:v>
      </x:c>
      <x:c r="K162" s="14" t="n">
        <x:f>IF(OR(B162="Control",H162=0),"N/A",G162/H162)</x:f>
        <x:v>1</x:v>
      </x:c>
      <x:c r="L162" s="2" t="str"/>
    </x:row>
    <x:row r="163" ht="24" customHeight="1">
      <x:c r="A163" s="10" t="str">
        <x:v>S18</x:v>
      </x:c>
      <x:c r="B163" s="10" t="str">
        <x:v>Primary</x:v>
      </x:c>
      <x:c r="C163" s="10" t="n">
        <x:v>5</x:v>
      </x:c>
      <x:c r="D163" s="10" t="n">
        <x:v>5</x:v>
      </x:c>
      <x:c r="E163" s="10" t="n">
        <x:v>5</x:v>
      </x:c>
      <x:c r="F163" s="10" t="n">
        <x:v>10</x:v>
      </x:c>
      <x:c r="G163" s="24" t="n">
        <x:v>19.09180260321758</x:v>
      </x:c>
      <x:c r="H163" s="24" t="n">
        <x:v>19.09180260321758</x:v>
      </x:c>
      <x:c r="I163" s="11" t="n">
        <x:f>IF(B163="Control","N/A",E163/C163)</x:f>
        <x:v>1</x:v>
      </x:c>
      <x:c r="J163" s="11" t="n">
        <x:f>IF(OR(B163="Control",F163=0),"N/A",E163/F163)</x:f>
        <x:v>0.5</x:v>
      </x:c>
      <x:c r="K163" s="13" t="n">
        <x:f>IF(OR(B163="Control",H163=0),"N/A",G163/H163)</x:f>
        <x:v>1</x:v>
      </x:c>
      <x:c r="L163" s="10" t="str"/>
    </x:row>
    <x:row r="164" ht="24" customHeight="1">
      <x:c r="A164" s="2" t="str">
        <x:v>S18</x:v>
      </x:c>
      <x:c r="B164" s="2" t="str">
        <x:v>Primary</x:v>
      </x:c>
      <x:c r="C164" s="2" t="n">
        <x:v>6</x:v>
      </x:c>
      <x:c r="D164" s="2" t="n">
        <x:v>6</x:v>
      </x:c>
      <x:c r="E164" s="2" t="n">
        <x:v>6</x:v>
      </x:c>
      <x:c r="F164" s="2" t="n">
        <x:v>10</x:v>
      </x:c>
      <x:c r="G164" s="25" t="n">
        <x:v>20.160424164541645</x:v>
      </x:c>
      <x:c r="H164" s="25" t="n">
        <x:v>20.160424164541645</x:v>
      </x:c>
      <x:c r="I164" s="12" t="n">
        <x:f>IF(B164="Control","N/A",E164/C164)</x:f>
        <x:v>1</x:v>
      </x:c>
      <x:c r="J164" s="12" t="n">
        <x:f>IF(OR(B164="Control",F164=0),"N/A",E164/F164)</x:f>
        <x:v>0.6</x:v>
      </x:c>
      <x:c r="K164" s="14" t="n">
        <x:f>IF(OR(B164="Control",H164=0),"N/A",G164/H164)</x:f>
        <x:v>1</x:v>
      </x:c>
      <x:c r="L164" s="2" t="str"/>
    </x:row>
    <x:row r="165" ht="24" customHeight="1">
      <x:c r="A165" s="10" t="str">
        <x:v>S18</x:v>
      </x:c>
      <x:c r="B165" s="10" t="str">
        <x:v>Primary</x:v>
      </x:c>
      <x:c r="C165" s="10" t="n">
        <x:v>7</x:v>
      </x:c>
      <x:c r="D165" s="10" t="n">
        <x:v>7</x:v>
      </x:c>
      <x:c r="E165" s="10" t="n">
        <x:v>7</x:v>
      </x:c>
      <x:c r="F165" s="10" t="n">
        <x:v>10</x:v>
      </x:c>
      <x:c r="G165" s="24" t="n">
        <x:v>21.160424164541645</x:v>
      </x:c>
      <x:c r="H165" s="24" t="n">
        <x:v>21.160424164541645</x:v>
      </x:c>
      <x:c r="I165" s="11" t="n">
        <x:f>IF(B165="Control","N/A",E165/C165)</x:f>
        <x:v>1</x:v>
      </x:c>
      <x:c r="J165" s="11" t="n">
        <x:f>IF(OR(B165="Control",F165=0),"N/A",E165/F165)</x:f>
        <x:v>0.7</x:v>
      </x:c>
      <x:c r="K165" s="13" t="n">
        <x:f>IF(OR(B165="Control",H165=0),"N/A",G165/H165)</x:f>
        <x:v>1</x:v>
      </x:c>
      <x:c r="L165" s="10" t="str"/>
    </x:row>
    <x:row r="166" ht="24" customHeight="1">
      <x:c r="A166" s="2" t="str">
        <x:v>S18</x:v>
      </x:c>
      <x:c r="B166" s="2" t="str">
        <x:v>Primary</x:v>
      </x:c>
      <x:c r="C166" s="2" t="n">
        <x:v>8</x:v>
      </x:c>
      <x:c r="D166" s="2" t="n">
        <x:v>8</x:v>
      </x:c>
      <x:c r="E166" s="2" t="n">
        <x:v>8</x:v>
      </x:c>
      <x:c r="F166" s="2" t="n">
        <x:v>10</x:v>
      </x:c>
      <x:c r="G166" s="25" t="n">
        <x:v>22.10681879489883</x:v>
      </x:c>
      <x:c r="H166" s="25" t="n">
        <x:v>22.10681879489883</x:v>
      </x:c>
      <x:c r="I166" s="12" t="n">
        <x:f>IF(B166="Control","N/A",E166/C166)</x:f>
        <x:v>1</x:v>
      </x:c>
      <x:c r="J166" s="12" t="n">
        <x:f>IF(OR(B166="Control",F166=0),"N/A",E166/F166)</x:f>
        <x:v>0.8</x:v>
      </x:c>
      <x:c r="K166" s="14" t="n">
        <x:f>IF(OR(B166="Control",H166=0),"N/A",G166/H166)</x:f>
        <x:v>1</x:v>
      </x:c>
      <x:c r="L166" s="2" t="str"/>
    </x:row>
    <x:row r="167" ht="24" customHeight="1">
      <x:c r="A167" s="10" t="str">
        <x:v>S18</x:v>
      </x:c>
      <x:c r="B167" s="10" t="str">
        <x:v>Primary</x:v>
      </x:c>
      <x:c r="C167" s="10" t="n">
        <x:v>9</x:v>
      </x:c>
      <x:c r="D167" s="10" t="n">
        <x:v>9</x:v>
      </x:c>
      <x:c r="E167" s="10" t="n">
        <x:v>9</x:v>
      </x:c>
      <x:c r="F167" s="10" t="n">
        <x:v>10</x:v>
      </x:c>
      <x:c r="G167" s="24" t="n">
        <x:v>23.009908781890775</x:v>
      </x:c>
      <x:c r="H167" s="24" t="n">
        <x:v>23.009908781890775</x:v>
      </x:c>
      <x:c r="I167" s="11" t="n">
        <x:f>IF(B167="Control","N/A",E167/C167)</x:f>
        <x:v>1</x:v>
      </x:c>
      <x:c r="J167" s="11" t="n">
        <x:f>IF(OR(B167="Control",F167=0),"N/A",E167/F167)</x:f>
        <x:v>0.9</x:v>
      </x:c>
      <x:c r="K167" s="13" t="n">
        <x:f>IF(OR(B167="Control",H167=0),"N/A",G167/H167)</x:f>
        <x:v>1</x:v>
      </x:c>
      <x:c r="L167" s="10" t="str"/>
    </x:row>
    <x:row r="168" ht="24" customHeight="1">
      <x:c r="A168" s="2" t="str">
        <x:v>S18</x:v>
      </x:c>
      <x:c r="B168" s="2" t="str">
        <x:v>Primary</x:v>
      </x:c>
      <x:c r="C168" s="2" t="n">
        <x:v>10</x:v>
      </x:c>
      <x:c r="D168" s="2" t="n">
        <x:v>10</x:v>
      </x:c>
      <x:c r="E168" s="2" t="n">
        <x:v>10</x:v>
      </x:c>
      <x:c r="F168" s="2" t="n">
        <x:v>10</x:v>
      </x:c>
      <x:c r="G168" s="25" t="n">
        <x:v>23.87710326084444</x:v>
      </x:c>
      <x:c r="H168" s="25" t="n">
        <x:v>23.87710326084444</x:v>
      </x:c>
      <x:c r="I168" s="12" t="n">
        <x:f>IF(B168="Control","N/A",E168/C168)</x:f>
        <x:v>1</x:v>
      </x:c>
      <x:c r="J168" s="12" t="n">
        <x:f>IF(OR(B168="Control",F168=0),"N/A",E168/F168)</x:f>
        <x:v>1</x:v>
      </x:c>
      <x:c r="K168" s="14" t="n">
        <x:f>IF(OR(B168="Control",H168=0),"N/A",G168/H168)</x:f>
        <x:v>1</x:v>
      </x:c>
      <x:c r="L168" s="2" t="str"/>
    </x:row>
    <x:row r="169" ht="24" customHeight="1">
      <x:c r="A169" s="10" t="str">
        <x:v>S19</x:v>
      </x:c>
      <x:c r="B169" s="10" t="str">
        <x:v>Control</x:v>
      </x:c>
      <x:c r="C169" s="10" t="n">
        <x:v>1</x:v>
      </x:c>
      <x:c r="D169" s="10" t="n">
        <x:v>0</x:v>
      </x:c>
      <x:c r="E169" s="10" t="n">
        <x:v>0</x:v>
      </x:c>
      <x:c r="F169" s="10" t="n">
        <x:v>0</x:v>
      </x:c>
      <x:c r="G169" s="24" t="n">
        <x:v>0</x:v>
      </x:c>
      <x:c r="H169" s="24" t="n">
        <x:v>0</x:v>
      </x:c>
      <x:c r="I169" s="11" t="str">
        <x:f>IF(B169="Control","N/A",E169/C169)</x:f>
        <x:v>N/A</x:v>
      </x:c>
      <x:c r="J169" s="11" t="str">
        <x:f>IF(OR(B169="Control",F169=0),"N/A",E169/F169)</x:f>
        <x:v>N/A</x:v>
      </x:c>
      <x:c r="K169" s="13" t="str">
        <x:f>IF(OR(B169="Control",H169=0),"N/A",G169/H169)</x:f>
        <x:v>N/A</x:v>
      </x:c>
      <x:c r="L169" s="10" t="str">
        <x:v>Control scenario</x:v>
      </x:c>
    </x:row>
    <x:row r="170" ht="24" customHeight="1">
      <x:c r="A170" s="2" t="str">
        <x:v>S19</x:v>
      </x:c>
      <x:c r="B170" s="2" t="str">
        <x:v>Control</x:v>
      </x:c>
      <x:c r="C170" s="2" t="n">
        <x:v>3</x:v>
      </x:c>
      <x:c r="D170" s="2" t="n">
        <x:v>0</x:v>
      </x:c>
      <x:c r="E170" s="2" t="n">
        <x:v>0</x:v>
      </x:c>
      <x:c r="F170" s="2" t="n">
        <x:v>0</x:v>
      </x:c>
      <x:c r="G170" s="25" t="n">
        <x:v>0</x:v>
      </x:c>
      <x:c r="H170" s="25" t="n">
        <x:v>0</x:v>
      </x:c>
      <x:c r="I170" s="12" t="str">
        <x:f>IF(B170="Control","N/A",E170/C170)</x:f>
        <x:v>N/A</x:v>
      </x:c>
      <x:c r="J170" s="12" t="str">
        <x:f>IF(OR(B170="Control",F170=0),"N/A",E170/F170)</x:f>
        <x:v>N/A</x:v>
      </x:c>
      <x:c r="K170" s="14" t="str">
        <x:f>IF(OR(B170="Control",H170=0),"N/A",G170/H170)</x:f>
        <x:v>N/A</x:v>
      </x:c>
      <x:c r="L170" s="2" t="str">
        <x:v>Control scenario</x:v>
      </x:c>
    </x:row>
    <x:row r="171" ht="24" customHeight="1">
      <x:c r="A171" s="10" t="str">
        <x:v>S19</x:v>
      </x:c>
      <x:c r="B171" s="10" t="str">
        <x:v>Control</x:v>
      </x:c>
      <x:c r="C171" s="10" t="n">
        <x:v>4</x:v>
      </x:c>
      <x:c r="D171" s="10" t="n">
        <x:v>0</x:v>
      </x:c>
      <x:c r="E171" s="10" t="n">
        <x:v>0</x:v>
      </x:c>
      <x:c r="F171" s="10" t="n">
        <x:v>0</x:v>
      </x:c>
      <x:c r="G171" s="24" t="n">
        <x:v>0</x:v>
      </x:c>
      <x:c r="H171" s="24" t="n">
        <x:v>0</x:v>
      </x:c>
      <x:c r="I171" s="11" t="str">
        <x:f>IF(B171="Control","N/A",E171/C171)</x:f>
        <x:v>N/A</x:v>
      </x:c>
      <x:c r="J171" s="11" t="str">
        <x:f>IF(OR(B171="Control",F171=0),"N/A",E171/F171)</x:f>
        <x:v>N/A</x:v>
      </x:c>
      <x:c r="K171" s="13" t="str">
        <x:f>IF(OR(B171="Control",H171=0),"N/A",G171/H171)</x:f>
        <x:v>N/A</x:v>
      </x:c>
      <x:c r="L171" s="10" t="str">
        <x:v>Control scenario</x:v>
      </x:c>
    </x:row>
    <x:row r="172" ht="24" customHeight="1">
      <x:c r="A172" s="2" t="str">
        <x:v>S19</x:v>
      </x:c>
      <x:c r="B172" s="2" t="str">
        <x:v>Control</x:v>
      </x:c>
      <x:c r="C172" s="2" t="n">
        <x:v>5</x:v>
      </x:c>
      <x:c r="D172" s="2" t="n">
        <x:v>0</x:v>
      </x:c>
      <x:c r="E172" s="2" t="n">
        <x:v>0</x:v>
      </x:c>
      <x:c r="F172" s="2" t="n">
        <x:v>0</x:v>
      </x:c>
      <x:c r="G172" s="25" t="n">
        <x:v>0</x:v>
      </x:c>
      <x:c r="H172" s="25" t="n">
        <x:v>0</x:v>
      </x:c>
      <x:c r="I172" s="12" t="str">
        <x:f>IF(B172="Control","N/A",E172/C172)</x:f>
        <x:v>N/A</x:v>
      </x:c>
      <x:c r="J172" s="12" t="str">
        <x:f>IF(OR(B172="Control",F172=0),"N/A",E172/F172)</x:f>
        <x:v>N/A</x:v>
      </x:c>
      <x:c r="K172" s="14" t="str">
        <x:f>IF(OR(B172="Control",H172=0),"N/A",G172/H172)</x:f>
        <x:v>N/A</x:v>
      </x:c>
      <x:c r="L172" s="2" t="str">
        <x:v>Control scenario</x:v>
      </x:c>
    </x:row>
    <x:row r="173" ht="24" customHeight="1">
      <x:c r="A173" s="10" t="str">
        <x:v>S19</x:v>
      </x:c>
      <x:c r="B173" s="10" t="str">
        <x:v>Control</x:v>
      </x:c>
      <x:c r="C173" s="10" t="n">
        <x:v>6</x:v>
      </x:c>
      <x:c r="D173" s="10" t="n">
        <x:v>0</x:v>
      </x:c>
      <x:c r="E173" s="10" t="n">
        <x:v>0</x:v>
      </x:c>
      <x:c r="F173" s="10" t="n">
        <x:v>0</x:v>
      </x:c>
      <x:c r="G173" s="24" t="n">
        <x:v>0</x:v>
      </x:c>
      <x:c r="H173" s="24" t="n">
        <x:v>0</x:v>
      </x:c>
      <x:c r="I173" s="11" t="str">
        <x:f>IF(B173="Control","N/A",E173/C173)</x:f>
        <x:v>N/A</x:v>
      </x:c>
      <x:c r="J173" s="11" t="str">
        <x:f>IF(OR(B173="Control",F173=0),"N/A",E173/F173)</x:f>
        <x:v>N/A</x:v>
      </x:c>
      <x:c r="K173" s="13" t="str">
        <x:f>IF(OR(B173="Control",H173=0),"N/A",G173/H173)</x:f>
        <x:v>N/A</x:v>
      </x:c>
      <x:c r="L173" s="10" t="str">
        <x:v>Control scenario</x:v>
      </x:c>
    </x:row>
    <x:row r="174" ht="24" customHeight="1">
      <x:c r="A174" s="2" t="str">
        <x:v>S19</x:v>
      </x:c>
      <x:c r="B174" s="2" t="str">
        <x:v>Control</x:v>
      </x:c>
      <x:c r="C174" s="2" t="n">
        <x:v>7</x:v>
      </x:c>
      <x:c r="D174" s="2" t="n">
        <x:v>0</x:v>
      </x:c>
      <x:c r="E174" s="2" t="n">
        <x:v>0</x:v>
      </x:c>
      <x:c r="F174" s="2" t="n">
        <x:v>0</x:v>
      </x:c>
      <x:c r="G174" s="25" t="n">
        <x:v>0</x:v>
      </x:c>
      <x:c r="H174" s="25" t="n">
        <x:v>0</x:v>
      </x:c>
      <x:c r="I174" s="12" t="str">
        <x:f>IF(B174="Control","N/A",E174/C174)</x:f>
        <x:v>N/A</x:v>
      </x:c>
      <x:c r="J174" s="12" t="str">
        <x:f>IF(OR(B174="Control",F174=0),"N/A",E174/F174)</x:f>
        <x:v>N/A</x:v>
      </x:c>
      <x:c r="K174" s="14" t="str">
        <x:f>IF(OR(B174="Control",H174=0),"N/A",G174/H174)</x:f>
        <x:v>N/A</x:v>
      </x:c>
      <x:c r="L174" s="2" t="str">
        <x:v>Control scenario</x:v>
      </x:c>
    </x:row>
    <x:row r="175" ht="24" customHeight="1">
      <x:c r="A175" s="10" t="str">
        <x:v>S19</x:v>
      </x:c>
      <x:c r="B175" s="10" t="str">
        <x:v>Control</x:v>
      </x:c>
      <x:c r="C175" s="10" t="n">
        <x:v>8</x:v>
      </x:c>
      <x:c r="D175" s="10" t="n">
        <x:v>0</x:v>
      </x:c>
      <x:c r="E175" s="10" t="n">
        <x:v>0</x:v>
      </x:c>
      <x:c r="F175" s="10" t="n">
        <x:v>0</x:v>
      </x:c>
      <x:c r="G175" s="24" t="n">
        <x:v>0</x:v>
      </x:c>
      <x:c r="H175" s="24" t="n">
        <x:v>0</x:v>
      </x:c>
      <x:c r="I175" s="11" t="str">
        <x:f>IF(B175="Control","N/A",E175/C175)</x:f>
        <x:v>N/A</x:v>
      </x:c>
      <x:c r="J175" s="11" t="str">
        <x:f>IF(OR(B175="Control",F175=0),"N/A",E175/F175)</x:f>
        <x:v>N/A</x:v>
      </x:c>
      <x:c r="K175" s="13" t="str">
        <x:f>IF(OR(B175="Control",H175=0),"N/A",G175/H175)</x:f>
        <x:v>N/A</x:v>
      </x:c>
      <x:c r="L175" s="10" t="str">
        <x:v>Control scenario</x:v>
      </x:c>
    </x:row>
    <x:row r="176" ht="24" customHeight="1">
      <x:c r="A176" s="2" t="str">
        <x:v>S19</x:v>
      </x:c>
      <x:c r="B176" s="2" t="str">
        <x:v>Control</x:v>
      </x:c>
      <x:c r="C176" s="2" t="n">
        <x:v>9</x:v>
      </x:c>
      <x:c r="D176" s="2" t="n">
        <x:v>0</x:v>
      </x:c>
      <x:c r="E176" s="2" t="n">
        <x:v>0</x:v>
      </x:c>
      <x:c r="F176" s="2" t="n">
        <x:v>0</x:v>
      </x:c>
      <x:c r="G176" s="25" t="n">
        <x:v>0</x:v>
      </x:c>
      <x:c r="H176" s="25" t="n">
        <x:v>0</x:v>
      </x:c>
      <x:c r="I176" s="12" t="str">
        <x:f>IF(B176="Control","N/A",E176/C176)</x:f>
        <x:v>N/A</x:v>
      </x:c>
      <x:c r="J176" s="12" t="str">
        <x:f>IF(OR(B176="Control",F176=0),"N/A",E176/F176)</x:f>
        <x:v>N/A</x:v>
      </x:c>
      <x:c r="K176" s="14" t="str">
        <x:f>IF(OR(B176="Control",H176=0),"N/A",G176/H176)</x:f>
        <x:v>N/A</x:v>
      </x:c>
      <x:c r="L176" s="2" t="str">
        <x:v>Control scenario</x:v>
      </x:c>
    </x:row>
    <x:row r="177" ht="24" customHeight="1">
      <x:c r="A177" s="10" t="str">
        <x:v>S19</x:v>
      </x:c>
      <x:c r="B177" s="10" t="str">
        <x:v>Control</x:v>
      </x:c>
      <x:c r="C177" s="10" t="n">
        <x:v>10</x:v>
      </x:c>
      <x:c r="D177" s="10" t="n">
        <x:v>0</x:v>
      </x:c>
      <x:c r="E177" s="10" t="n">
        <x:v>0</x:v>
      </x:c>
      <x:c r="F177" s="10" t="n">
        <x:v>0</x:v>
      </x:c>
      <x:c r="G177" s="24" t="n">
        <x:v>0</x:v>
      </x:c>
      <x:c r="H177" s="24" t="n">
        <x:v>0</x:v>
      </x:c>
      <x:c r="I177" s="11" t="str">
        <x:f>IF(B177="Control","N/A",E177/C177)</x:f>
        <x:v>N/A</x:v>
      </x:c>
      <x:c r="J177" s="11" t="str">
        <x:f>IF(OR(B177="Control",F177=0),"N/A",E177/F177)</x:f>
        <x:v>N/A</x:v>
      </x:c>
      <x:c r="K177" s="13" t="str">
        <x:f>IF(OR(B177="Control",H177=0),"N/A",G177/H177)</x:f>
        <x:v>N/A</x:v>
      </x:c>
      <x:c r="L177" s="10" t="str">
        <x:v>Control scenario</x:v>
      </x:c>
    </x:row>
    <x:row r="178" ht="24" customHeight="1">
      <x:c r="A178" s="2" t="str">
        <x:v>S20</x:v>
      </x:c>
      <x:c r="B178" s="2" t="str">
        <x:v>Control</x:v>
      </x:c>
      <x:c r="C178" s="2" t="n">
        <x:v>1</x:v>
      </x:c>
      <x:c r="D178" s="2" t="n">
        <x:v>0</x:v>
      </x:c>
      <x:c r="E178" s="2" t="n">
        <x:v>0</x:v>
      </x:c>
      <x:c r="F178" s="2" t="n">
        <x:v>0</x:v>
      </x:c>
      <x:c r="G178" s="25" t="n">
        <x:v>0</x:v>
      </x:c>
      <x:c r="H178" s="25" t="n">
        <x:v>0</x:v>
      </x:c>
      <x:c r="I178" s="12" t="str">
        <x:f>IF(B178="Control","N/A",E178/C178)</x:f>
        <x:v>N/A</x:v>
      </x:c>
      <x:c r="J178" s="12" t="str">
        <x:f>IF(OR(B178="Control",F178=0),"N/A",E178/F178)</x:f>
        <x:v>N/A</x:v>
      </x:c>
      <x:c r="K178" s="14" t="str">
        <x:f>IF(OR(B178="Control",H178=0),"N/A",G178/H178)</x:f>
        <x:v>N/A</x:v>
      </x:c>
      <x:c r="L178" s="2" t="str">
        <x:v>Control scenario</x:v>
      </x:c>
    </x:row>
    <x:row r="179" ht="24" customHeight="1">
      <x:c r="A179" s="10" t="str">
        <x:v>S20</x:v>
      </x:c>
      <x:c r="B179" s="10" t="str">
        <x:v>Control</x:v>
      </x:c>
      <x:c r="C179" s="10" t="n">
        <x:v>3</x:v>
      </x:c>
      <x:c r="D179" s="10" t="n">
        <x:v>0</x:v>
      </x:c>
      <x:c r="E179" s="10" t="n">
        <x:v>0</x:v>
      </x:c>
      <x:c r="F179" s="10" t="n">
        <x:v>0</x:v>
      </x:c>
      <x:c r="G179" s="24" t="n">
        <x:v>0</x:v>
      </x:c>
      <x:c r="H179" s="24" t="n">
        <x:v>0</x:v>
      </x:c>
      <x:c r="I179" s="11" t="str">
        <x:f>IF(B179="Control","N/A",E179/C179)</x:f>
        <x:v>N/A</x:v>
      </x:c>
      <x:c r="J179" s="11" t="str">
        <x:f>IF(OR(B179="Control",F179=0),"N/A",E179/F179)</x:f>
        <x:v>N/A</x:v>
      </x:c>
      <x:c r="K179" s="13" t="str">
        <x:f>IF(OR(B179="Control",H179=0),"N/A",G179/H179)</x:f>
        <x:v>N/A</x:v>
      </x:c>
      <x:c r="L179" s="10" t="str">
        <x:v>Control scenario</x:v>
      </x:c>
    </x:row>
    <x:row r="180" ht="24" customHeight="1">
      <x:c r="A180" s="2" t="str">
        <x:v>S20</x:v>
      </x:c>
      <x:c r="B180" s="2" t="str">
        <x:v>Control</x:v>
      </x:c>
      <x:c r="C180" s="2" t="n">
        <x:v>4</x:v>
      </x:c>
      <x:c r="D180" s="2" t="n">
        <x:v>0</x:v>
      </x:c>
      <x:c r="E180" s="2" t="n">
        <x:v>0</x:v>
      </x:c>
      <x:c r="F180" s="2" t="n">
        <x:v>0</x:v>
      </x:c>
      <x:c r="G180" s="25" t="n">
        <x:v>0</x:v>
      </x:c>
      <x:c r="H180" s="25" t="n">
        <x:v>0</x:v>
      </x:c>
      <x:c r="I180" s="12" t="str">
        <x:f>IF(B180="Control","N/A",E180/C180)</x:f>
        <x:v>N/A</x:v>
      </x:c>
      <x:c r="J180" s="12" t="str">
        <x:f>IF(OR(B180="Control",F180=0),"N/A",E180/F180)</x:f>
        <x:v>N/A</x:v>
      </x:c>
      <x:c r="K180" s="14" t="str">
        <x:f>IF(OR(B180="Control",H180=0),"N/A",G180/H180)</x:f>
        <x:v>N/A</x:v>
      </x:c>
      <x:c r="L180" s="2" t="str">
        <x:v>Control scenario</x:v>
      </x:c>
    </x:row>
    <x:row r="181" ht="24" customHeight="1">
      <x:c r="A181" s="10" t="str">
        <x:v>S20</x:v>
      </x:c>
      <x:c r="B181" s="10" t="str">
        <x:v>Control</x:v>
      </x:c>
      <x:c r="C181" s="10" t="n">
        <x:v>5</x:v>
      </x:c>
      <x:c r="D181" s="10" t="n">
        <x:v>0</x:v>
      </x:c>
      <x:c r="E181" s="10" t="n">
        <x:v>0</x:v>
      </x:c>
      <x:c r="F181" s="10" t="n">
        <x:v>0</x:v>
      </x:c>
      <x:c r="G181" s="24" t="n">
        <x:v>0</x:v>
      </x:c>
      <x:c r="H181" s="24" t="n">
        <x:v>0</x:v>
      </x:c>
      <x:c r="I181" s="11" t="str">
        <x:f>IF(B181="Control","N/A",E181/C181)</x:f>
        <x:v>N/A</x:v>
      </x:c>
      <x:c r="J181" s="11" t="str">
        <x:f>IF(OR(B181="Control",F181=0),"N/A",E181/F181)</x:f>
        <x:v>N/A</x:v>
      </x:c>
      <x:c r="K181" s="13" t="str">
        <x:f>IF(OR(B181="Control",H181=0),"N/A",G181/H181)</x:f>
        <x:v>N/A</x:v>
      </x:c>
      <x:c r="L181" s="10" t="str">
        <x:v>Control scenario</x:v>
      </x:c>
    </x:row>
    <x:row r="182" ht="24" customHeight="1">
      <x:c r="A182" s="2" t="str">
        <x:v>S20</x:v>
      </x:c>
      <x:c r="B182" s="2" t="str">
        <x:v>Control</x:v>
      </x:c>
      <x:c r="C182" s="2" t="n">
        <x:v>6</x:v>
      </x:c>
      <x:c r="D182" s="2" t="n">
        <x:v>0</x:v>
      </x:c>
      <x:c r="E182" s="2" t="n">
        <x:v>0</x:v>
      </x:c>
      <x:c r="F182" s="2" t="n">
        <x:v>0</x:v>
      </x:c>
      <x:c r="G182" s="25" t="n">
        <x:v>0</x:v>
      </x:c>
      <x:c r="H182" s="25" t="n">
        <x:v>0</x:v>
      </x:c>
      <x:c r="I182" s="12" t="str">
        <x:f>IF(B182="Control","N/A",E182/C182)</x:f>
        <x:v>N/A</x:v>
      </x:c>
      <x:c r="J182" s="12" t="str">
        <x:f>IF(OR(B182="Control",F182=0),"N/A",E182/F182)</x:f>
        <x:v>N/A</x:v>
      </x:c>
      <x:c r="K182" s="14" t="str">
        <x:f>IF(OR(B182="Control",H182=0),"N/A",G182/H182)</x:f>
        <x:v>N/A</x:v>
      </x:c>
      <x:c r="L182" s="2" t="str">
        <x:v>Control scenario</x:v>
      </x:c>
    </x:row>
    <x:row r="183" ht="24" customHeight="1">
      <x:c r="A183" s="10" t="str">
        <x:v>S20</x:v>
      </x:c>
      <x:c r="B183" s="10" t="str">
        <x:v>Control</x:v>
      </x:c>
      <x:c r="C183" s="10" t="n">
        <x:v>7</x:v>
      </x:c>
      <x:c r="D183" s="10" t="n">
        <x:v>0</x:v>
      </x:c>
      <x:c r="E183" s="10" t="n">
        <x:v>0</x:v>
      </x:c>
      <x:c r="F183" s="10" t="n">
        <x:v>0</x:v>
      </x:c>
      <x:c r="G183" s="24" t="n">
        <x:v>0</x:v>
      </x:c>
      <x:c r="H183" s="24" t="n">
        <x:v>0</x:v>
      </x:c>
      <x:c r="I183" s="11" t="str">
        <x:f>IF(B183="Control","N/A",E183/C183)</x:f>
        <x:v>N/A</x:v>
      </x:c>
      <x:c r="J183" s="11" t="str">
        <x:f>IF(OR(B183="Control",F183=0),"N/A",E183/F183)</x:f>
        <x:v>N/A</x:v>
      </x:c>
      <x:c r="K183" s="13" t="str">
        <x:f>IF(OR(B183="Control",H183=0),"N/A",G183/H183)</x:f>
        <x:v>N/A</x:v>
      </x:c>
      <x:c r="L183" s="10" t="str">
        <x:v>Control scenario</x:v>
      </x:c>
    </x:row>
    <x:row r="184" ht="24" customHeight="1">
      <x:c r="A184" s="2" t="str">
        <x:v>S20</x:v>
      </x:c>
      <x:c r="B184" s="2" t="str">
        <x:v>Control</x:v>
      </x:c>
      <x:c r="C184" s="2" t="n">
        <x:v>8</x:v>
      </x:c>
      <x:c r="D184" s="2" t="n">
        <x:v>0</x:v>
      </x:c>
      <x:c r="E184" s="2" t="n">
        <x:v>0</x:v>
      </x:c>
      <x:c r="F184" s="2" t="n">
        <x:v>0</x:v>
      </x:c>
      <x:c r="G184" s="25" t="n">
        <x:v>0</x:v>
      </x:c>
      <x:c r="H184" s="25" t="n">
        <x:v>0</x:v>
      </x:c>
      <x:c r="I184" s="12" t="str">
        <x:f>IF(B184="Control","N/A",E184/C184)</x:f>
        <x:v>N/A</x:v>
      </x:c>
      <x:c r="J184" s="12" t="str">
        <x:f>IF(OR(B184="Control",F184=0),"N/A",E184/F184)</x:f>
        <x:v>N/A</x:v>
      </x:c>
      <x:c r="K184" s="14" t="str">
        <x:f>IF(OR(B184="Control",H184=0),"N/A",G184/H184)</x:f>
        <x:v>N/A</x:v>
      </x:c>
      <x:c r="L184" s="2" t="str">
        <x:v>Control scenario</x:v>
      </x:c>
    </x:row>
    <x:row r="185" ht="24" customHeight="1">
      <x:c r="A185" s="10" t="str">
        <x:v>S20</x:v>
      </x:c>
      <x:c r="B185" s="10" t="str">
        <x:v>Control</x:v>
      </x:c>
      <x:c r="C185" s="10" t="n">
        <x:v>9</x:v>
      </x:c>
      <x:c r="D185" s="10" t="n">
        <x:v>0</x:v>
      </x:c>
      <x:c r="E185" s="10" t="n">
        <x:v>0</x:v>
      </x:c>
      <x:c r="F185" s="10" t="n">
        <x:v>0</x:v>
      </x:c>
      <x:c r="G185" s="24" t="n">
        <x:v>0</x:v>
      </x:c>
      <x:c r="H185" s="24" t="n">
        <x:v>0</x:v>
      </x:c>
      <x:c r="I185" s="11" t="str">
        <x:f>IF(B185="Control","N/A",E185/C185)</x:f>
        <x:v>N/A</x:v>
      </x:c>
      <x:c r="J185" s="11" t="str">
        <x:f>IF(OR(B185="Control",F185=0),"N/A",E185/F185)</x:f>
        <x:v>N/A</x:v>
      </x:c>
      <x:c r="K185" s="13" t="str">
        <x:f>IF(OR(B185="Control",H185=0),"N/A",G185/H185)</x:f>
        <x:v>N/A</x:v>
      </x:c>
      <x:c r="L185" s="10" t="str">
        <x:v>Control scenario</x:v>
      </x:c>
    </x:row>
    <x:row r="186" ht="24" customHeight="1">
      <x:c r="A186" s="2" t="str">
        <x:v>S20</x:v>
      </x:c>
      <x:c r="B186" s="2" t="str">
        <x:v>Control</x:v>
      </x:c>
      <x:c r="C186" s="2" t="n">
        <x:v>10</x:v>
      </x:c>
      <x:c r="D186" s="2" t="n">
        <x:v>0</x:v>
      </x:c>
      <x:c r="E186" s="2" t="n">
        <x:v>0</x:v>
      </x:c>
      <x:c r="F186" s="2" t="n">
        <x:v>0</x:v>
      </x:c>
      <x:c r="G186" s="25" t="n">
        <x:v>0</x:v>
      </x:c>
      <x:c r="H186" s="25" t="n">
        <x:v>0</x:v>
      </x:c>
      <x:c r="I186" s="12" t="str">
        <x:f>IF(B186="Control","N/A",E186/C186)</x:f>
        <x:v>N/A</x:v>
      </x:c>
      <x:c r="J186" s="12" t="str">
        <x:f>IF(OR(B186="Control",F186=0),"N/A",E186/F186)</x:f>
        <x:v>N/A</x:v>
      </x:c>
      <x:c r="K186" s="14" t="str">
        <x:f>IF(OR(B186="Control",H186=0),"N/A",G186/H186)</x:f>
        <x:v>N/A</x:v>
      </x:c>
      <x:c r="L186" s="2" t="str">
        <x:v>Control scenario</x:v>
      </x:c>
    </x:row>
  </x:sheetData>
  <x:pageMargins left="0.7" right="0.7" top="0.75" bottom="0.75" header="0.3" footer="0.3"/>
  <x:tableParts count="1">
    <x:tablePart xmlns:r="http://schemas.openxmlformats.org/officeDocument/2006/relationships" r:id="Rcb01731c52de4d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.329999923706055" hidden="0" customWidth="1"/>
    <x:col min="2" max="2" width="12.220000267028809" hidden="0" customWidth="1"/>
    <x:col min="3" max="3" width="14.4399995803833" hidden="0" customWidth="1"/>
    <x:col min="4" max="4" width="9.4399995803833" hidden="0" customWidth="1"/>
    <x:col min="5" max="5" width="7.21999979019165" hidden="0" customWidth="1"/>
    <x:col min="6" max="6" width="12.779999732971191" hidden="0" customWidth="1"/>
    <x:col min="7" max="7" width="8.890000343322754" hidden="0" customWidth="1"/>
    <x:col min="8" max="8" width="12.220000267028809" hidden="0" customWidth="1"/>
    <x:col min="9" max="9" width="9.4399995803833" hidden="0" customWidth="1"/>
    <x:col min="10" max="10" width="20" hidden="0" customWidth="1"/>
    <x:col min="11" max="11" width="14.4399995803833" hidden="0" customWidth="1"/>
    <x:col min="12" max="12" width="80" hidden="0" customWidth="1"/>
    <x:col min="13" max="13" width="12.220000267028809" hidden="0" customWidth="1"/>
    <x:col min="14" max="14" width="52.220001220703125" hidden="0" customWidth="1"/>
    <x:col min="15" max="15" width="64.440002441406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9" customHeight="1">
      <x:c r="A2" s="3" t="str">
        <x:v>Frozen relevance ratings and listing facts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5" t="str">
        <x:v>500 original + 77 added judgments. Filter Round to inspect additions. Human review remains pending.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3" t="str">
        <x:v>Source: ratings/Expanded_Ratings.json and inputs/Expanded_Reviewer_Input.json. All grades use the frozen snapshot.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5" t="str">
        <x:v>Blank listing facts mean unknown. Grade changes require rerunning the calculator; this workbook is a frozen analysis.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9" t="str">
        <x:v>Scenario</x:v>
      </x:c>
      <x:c r="B6" s="9" t="str">
        <x:v>Task ID</x:v>
      </x:c>
      <x:c r="C6" s="9" t="str">
        <x:v>Listing ID</x:v>
      </x:c>
      <x:c r="D6" s="9" t="str">
        <x:v>Round</x:v>
      </x:c>
      <x:c r="E6" s="9" t="str">
        <x:v>Grade</x:v>
      </x:c>
      <x:c r="F6" s="9" t="str">
        <x:v>Rent SGD/mo</x:v>
      </x:c>
      <x:c r="G6" s="9" t="str">
        <x:v>Bedrooms</x:v>
      </x:c>
      <x:c r="H6" s="9" t="str">
        <x:v>Area sqft</x:v>
      </x:c>
      <x:c r="I6" s="9" t="str">
        <x:v>District</x:v>
      </x:c>
      <x:c r="J6" s="9" t="str">
        <x:v>Property type</x:v>
      </x:c>
      <x:c r="K6" s="9" t="str">
        <x:v>NUS distance m</x:v>
      </x:c>
      <x:c r="L6" s="9" t="str">
        <x:v>Rating rationale</x:v>
      </x:c>
      <x:c r="M6" s="9" t="str">
        <x:v>Source review</x:v>
      </x:c>
      <x:c r="N6" s="9" t="str">
        <x:v>Evidence gap / source review reason</x:v>
      </x:c>
      <x:c r="O6" s="9" t="str">
        <x:v>Source URL</x:v>
      </x:c>
    </x:row>
    <x:row r="7" ht="52" customHeight="1">
      <x:c r="A7" s="2" t="str">
        <x:v>S01</x:v>
      </x:c>
      <x:c r="B7" s="2" t="str">
        <x:v>S01-C01</x:v>
      </x:c>
      <x:c r="C7" s="2" t="str">
        <x:v>23762265</x:v>
      </x:c>
      <x:c r="D7" s="2" t="str">
        <x:v>Original</x:v>
      </x:c>
      <x:c r="E7" s="2" t="str">
        <x:v>U</x:v>
      </x:c>
      <x:c r="F7" s="26" t="n">
        <x:v>850</x:v>
      </x:c>
      <x:c r="G7" s="27"/>
      <x:c r="H7" s="27" t="n">
        <x:v>120</x:v>
      </x:c>
      <x:c r="I7" s="2" t="str">
        <x:v>D25</x:v>
      </x:c>
      <x:c r="J7" s="2" t="str">
        <x:v>HDB Flat</x:v>
      </x:c>
      <x:c r="K7" s="28" t="n">
        <x:v>15731.973991083934</x:v>
      </x:c>
      <x:c r="L7" s="30" t="str">
        <x:v>No known hard failure. Cannot verify: reported bedrooms.</x:v>
      </x:c>
      <x:c r="M7" s="31" t="str">
        <x:v>No</x:v>
      </x:c>
      <x:c r="N7" s="30" t="str">
        <x:v>Reported bedrooms Unknown; required &gt;= 1.</x:v>
      </x:c>
      <x:c r="O7" s="30" t="str">
        <x:v>https://www.propertyguru.com.sg/listing/hdb-for-rent-139-marsiling-road-23762265</x:v>
      </x:c>
    </x:row>
    <x:row r="8" ht="52" customHeight="1">
      <x:c r="A8" s="2" t="str">
        <x:v>S01</x:v>
      </x:c>
      <x:c r="B8" s="2" t="str">
        <x:v>S01-C02</x:v>
      </x:c>
      <x:c r="C8" s="2" t="str">
        <x:v>500269855</x:v>
      </x:c>
      <x:c r="D8" s="2" t="str">
        <x:v>Original</x:v>
      </x:c>
      <x:c r="E8" s="2" t="n">
        <x:v>2</x:v>
      </x:c>
      <x:c r="F8" s="26" t="n">
        <x:v>1200</x:v>
      </x:c>
      <x:c r="G8" s="27" t="n">
        <x:v>1</x:v>
      </x:c>
      <x:c r="H8" s="27" t="n">
        <x:v>108</x:v>
      </x:c>
      <x:c r="I8" s="2" t="str">
        <x:v>D12</x:v>
      </x:c>
      <x:c r="J8" s="2" t="str">
        <x:v>HDB Flat</x:v>
      </x:c>
      <x:c r="K8" s="28" t="n">
        <x:v>8732.764979062908</x:v>
      </x:c>
      <x:c r="L8" s="30" t="str">
        <x:v>Hard requirements pass. SGD 1,200/month, area 108 sqft. Rent offers savings, with a clear shortfall in the secondary size preference.</x:v>
      </x:c>
      <x:c r="M8" s="31" t="str">
        <x:v>No</x:v>
      </x:c>
      <x:c r="N8" s="30" t="str"/>
      <x:c r="O8" s="30" t="str">
        <x:v>https://www.propertyguru.com.sg/listing/hdb-for-rent-138c-lorong-1a-toa-payoh-500269855</x:v>
      </x:c>
    </x:row>
    <x:row r="9" ht="52" customHeight="1">
      <x:c r="A9" s="2" t="str">
        <x:v>S01</x:v>
      </x:c>
      <x:c r="B9" s="2" t="str">
        <x:v>S01-C03</x:v>
      </x:c>
      <x:c r="C9" s="2" t="str">
        <x:v>500281545</x:v>
      </x:c>
      <x:c r="D9" s="2" t="str">
        <x:v>Original</x:v>
      </x:c>
      <x:c r="E9" s="2" t="n">
        <x:v>3</x:v>
      </x:c>
      <x:c r="F9" s="26" t="n">
        <x:v>700</x:v>
      </x:c>
      <x:c r="G9" s="27" t="n">
        <x:v>3</x:v>
      </x:c>
      <x:c r="H9" s="27" t="n">
        <x:v>904</x:v>
      </x:c>
      <x:c r="I9" s="2" t="str">
        <x:v>D18</x:v>
      </x:c>
      <x:c r="J9" s="2" t="str">
        <x:v>HDB Flat</x:v>
      </x:c>
      <x:c r="K9" s="28" t="n">
        <x:v>18577.203300588288</x:v>
      </x:c>
      <x:c r="L9" s="30" t="str">
        <x:v>Hard requirements pass. SGD 700/month, area 904 sqft. Low rent and the reported area meets the secondary size preference.</x:v>
      </x:c>
      <x:c r="M9" s="31" t="str">
        <x:v>No</x:v>
      </x:c>
      <x:c r="N9" s="30" t="str"/>
      <x:c r="O9" s="30" t="str">
        <x:v>https://www.propertyguru.com.sg/listing/hdb-for-rent-832-tampines-street-82-500281545</x:v>
      </x:c>
    </x:row>
    <x:row r="10" ht="52" customHeight="1">
      <x:c r="A10" s="2" t="str">
        <x:v>S01</x:v>
      </x:c>
      <x:c r="B10" s="2" t="str">
        <x:v>S01-C04</x:v>
      </x:c>
      <x:c r="C10" s="2" t="str">
        <x:v>500266384</x:v>
      </x:c>
      <x:c r="D10" s="2" t="str">
        <x:v>Original</x:v>
      </x:c>
      <x:c r="E10" s="2" t="n">
        <x:v>3</x:v>
      </x:c>
      <x:c r="F10" s="26" t="n">
        <x:v>950</x:v>
      </x:c>
      <x:c r="G10" s="27" t="n">
        <x:v>1</x:v>
      </x:c>
      <x:c r="H10" s="27" t="n">
        <x:v>1087</x:v>
      </x:c>
      <x:c r="I10" s="2" t="str">
        <x:v>D25</x:v>
      </x:c>
      <x:c r="J10" s="2" t="str">
        <x:v>HDB Flat</x:v>
      </x:c>
      <x:c r="K10" s="28" t="n">
        <x:v>15743.894174459676</x:v>
      </x:c>
      <x:c r="L10" s="30" t="str">
        <x:v>Hard requirements pass. SGD 950/month, area 1,087 sqft. Low rent and the reported area meets the secondary size preference.</x:v>
      </x:c>
      <x:c r="M10" s="31" t="str">
        <x:v>No</x:v>
      </x:c>
      <x:c r="N10" s="30" t="str"/>
      <x:c r="O10" s="30" t="str">
        <x:v>https://www.propertyguru.com.sg/listing/hdb-for-rent-659-woodlands-ring-road-500266384</x:v>
      </x:c>
    </x:row>
    <x:row r="11" ht="52" customHeight="1">
      <x:c r="A11" s="2" t="str">
        <x:v>S01</x:v>
      </x:c>
      <x:c r="B11" s="2" t="str">
        <x:v>S01-C05</x:v>
      </x:c>
      <x:c r="C11" s="2" t="str">
        <x:v>25397469</x:v>
      </x:c>
      <x:c r="D11" s="2" t="str">
        <x:v>Original</x:v>
      </x:c>
      <x:c r="E11" s="2" t="n">
        <x:v>0</x:v>
      </x:c>
      <x:c r="F11" s="26" t="n">
        <x:v>1500</x:v>
      </x:c>
      <x:c r="G11" s="27" t="n">
        <x:v>0</x:v>
      </x:c>
      <x:c r="H11" s="27"/>
      <x:c r="I11" s="2" t="str">
        <x:v>D18</x:v>
      </x:c>
      <x:c r="J11" s="2" t="str">
        <x:v>Detached House</x:v>
      </x:c>
      <x:c r="K11" s="28"/>
      <x:c r="L11" s="30" t="str">
        <x:v>Hard failure: Reported bedrooms 0; required &gt;= 1.</x:v>
      </x:c>
      <x:c r="M11" s="31" t="str">
        <x:v>No</x:v>
      </x:c>
      <x:c r="N11" s="30" t="str">
        <x:v>Soft evidence missing: floor area (sqft).</x:v>
      </x:c>
      <x:c r="O11" s="30" t="str">
        <x:v>https://www.propertyguru.com.sg/listing/for-rent-775-upper-changi-road-east-25397469</x:v>
      </x:c>
    </x:row>
    <x:row r="12" ht="52" customHeight="1">
      <x:c r="A12" s="2" t="str">
        <x:v>S01</x:v>
      </x:c>
      <x:c r="B12" s="2" t="str">
        <x:v>S01-C06</x:v>
      </x:c>
      <x:c r="C12" s="2" t="str">
        <x:v>21644298</x:v>
      </x:c>
      <x:c r="D12" s="2" t="str">
        <x:v>Original</x:v>
      </x:c>
      <x:c r="E12" s="2" t="n">
        <x:v>2</x:v>
      </x:c>
      <x:c r="F12" s="26" t="n">
        <x:v>500</x:v>
      </x:c>
      <x:c r="G12" s="27" t="n">
        <x:v>1</x:v>
      </x:c>
      <x:c r="H12" s="27" t="n">
        <x:v>215</x:v>
      </x:c>
      <x:c r="I12" s="2" t="str">
        <x:v>D25</x:v>
      </x:c>
      <x:c r="J12" s="2" t="str">
        <x:v>HDB Flat</x:v>
      </x:c>
      <x:c r="K12" s="28" t="n">
        <x:v>15836.672596953475</x:v>
      </x:c>
      <x:c r="L12" s="30" t="str">
        <x:v>Hard requirements pass. SGD 500/month, area 215 sqft. Rent offers savings, with a clear shortfall in the secondary size preference.</x:v>
      </x:c>
      <x:c r="M12" s="31" t="str">
        <x:v>No</x:v>
      </x:c>
      <x:c r="N12" s="30" t="str"/>
      <x:c r="O12" s="30" t="str">
        <x:v>https://www.propertyguru.com.sg/listing/hdb-for-rent-605-woodlands-drive-42-21644298</x:v>
      </x:c>
    </x:row>
    <x:row r="13" ht="52" customHeight="1">
      <x:c r="A13" s="2" t="str">
        <x:v>S01</x:v>
      </x:c>
      <x:c r="B13" s="2" t="str">
        <x:v>S01-C07</x:v>
      </x:c>
      <x:c r="C13" s="2" t="str">
        <x:v>24489502</x:v>
      </x:c>
      <x:c r="D13" s="2" t="str">
        <x:v>Original</x:v>
      </x:c>
      <x:c r="E13" s="2" t="n">
        <x:v>0</x:v>
      </x:c>
      <x:c r="F13" s="26" t="n">
        <x:v>2050</x:v>
      </x:c>
      <x:c r="G13" s="27"/>
      <x:c r="H13" s="27" t="n">
        <x:v>250</x:v>
      </x:c>
      <x:c r="I13" s="2" t="str">
        <x:v>D18</x:v>
      </x:c>
      <x:c r="J13" s="2" t="str">
        <x:v>Executive Condominium</x:v>
      </x:c>
      <x:c r="K13" s="28"/>
      <x:c r="L13" s="30" t="str">
        <x:v>Hard failure: Rent (SGD/month) 2,050; required &lt;= 2,000.</x:v>
      </x:c>
      <x:c r="M13" s="31" t="str">
        <x:v>No</x:v>
      </x:c>
      <x:c r="N13" s="30" t="str">
        <x:v>Reported bedrooms Unknown; required &gt;= 1.</x:v>
      </x:c>
      <x:c r="O13" s="30" t="str">
        <x:v>https://www.propertyguru.com.sg/listing/for-rent-watercolours-24489502</x:v>
      </x:c>
    </x:row>
    <x:row r="14" ht="52" customHeight="1">
      <x:c r="A14" s="2" t="str">
        <x:v>S01</x:v>
      </x:c>
      <x:c r="B14" s="2" t="str">
        <x:v>S01-C08</x:v>
      </x:c>
      <x:c r="C14" s="2" t="str">
        <x:v>500211232</x:v>
      </x:c>
      <x:c r="D14" s="2" t="str">
        <x:v>Original</x:v>
      </x:c>
      <x:c r="E14" s="2" t="n">
        <x:v>2</x:v>
      </x:c>
      <x:c r="F14" s="26" t="n">
        <x:v>550</x:v>
      </x:c>
      <x:c r="G14" s="27" t="n">
        <x:v>1</x:v>
      </x:c>
      <x:c r="H14" s="27"/>
      <x:c r="I14" s="2" t="str">
        <x:v>D20</x:v>
      </x:c>
      <x:c r="J14" s="2" t="str">
        <x:v>HDB Flat</x:v>
      </x:c>
      <x:c r="K14" s="28" t="n">
        <x:v>11680.977408890318</x:v>
      </x:c>
      <x:c r="L14" s="30" t="str">
        <x:v>Hard requirements pass. SGD 550/month, area Unknown sqft. Low rent is attractive; the preferred floor area cannot be verified.</x:v>
      </x:c>
      <x:c r="M14" s="31" t="str">
        <x:v>No</x:v>
      </x:c>
      <x:c r="N14" s="30" t="str">
        <x:v>Soft evidence missing: floor area (sqft).</x:v>
      </x:c>
      <x:c r="O14" s="30" t="str">
        <x:v>https://www.propertyguru.com.sg/listing/hdb-for-rent-629-ang-mo-kio-avenue-4-500211232</x:v>
      </x:c>
    </x:row>
    <x:row r="15" ht="52" customHeight="1">
      <x:c r="A15" s="2" t="str">
        <x:v>S01</x:v>
      </x:c>
      <x:c r="B15" s="2" t="str">
        <x:v>S01-C09</x:v>
      </x:c>
      <x:c r="C15" s="2" t="str">
        <x:v>500248279</x:v>
      </x:c>
      <x:c r="D15" s="2" t="str">
        <x:v>Original</x:v>
      </x:c>
      <x:c r="E15" s="2" t="n">
        <x:v>1</x:v>
      </x:c>
      <x:c r="F15" s="26" t="n">
        <x:v>1400</x:v>
      </x:c>
      <x:c r="G15" s="27" t="n">
        <x:v>1</x:v>
      </x:c>
      <x:c r="H15" s="27" t="n">
        <x:v>161</x:v>
      </x:c>
      <x:c r="I15" s="2" t="str">
        <x:v>D02</x:v>
      </x:c>
      <x:c r="J15" s="2" t="str">
        <x:v>HDB Flat</x:v>
      </x:c>
      <x:c r="K15" s="28" t="n">
        <x:v>6788.811606313513</x:v>
      </x:c>
      <x:c r="L15" s="30" t="str">
        <x:v>Hard requirements pass. SGD 1,400/month, area 161 sqft. Several choices cost less; this listing also misses the size preference.</x:v>
      </x:c>
      <x:c r="M15" s="31" t="str">
        <x:v>No</x:v>
      </x:c>
      <x:c r="N15" s="30" t="str"/>
      <x:c r="O15" s="30" t="str">
        <x:v>https://www.propertyguru.com.sg/listing/hdb-for-rent-106-spottiswoode-park-road-500248279</x:v>
      </x:c>
    </x:row>
    <x:row r="16" ht="52" customHeight="1">
      <x:c r="A16" s="2" t="str">
        <x:v>S01</x:v>
      </x:c>
      <x:c r="B16" s="2" t="str">
        <x:v>S01-C10</x:v>
      </x:c>
      <x:c r="C16" s="2" t="str">
        <x:v>500200787</x:v>
      </x:c>
      <x:c r="D16" s="2" t="str">
        <x:v>Original</x:v>
      </x:c>
      <x:c r="E16" s="2" t="str">
        <x:v>U</x:v>
      </x:c>
      <x:c r="F16" s="26" t="n">
        <x:v>1700</x:v>
      </x:c>
      <x:c r="G16" s="27"/>
      <x:c r="H16" s="27" t="n">
        <x:v>220</x:v>
      </x:c>
      <x:c r="I16" s="2" t="str">
        <x:v>D08</x:v>
      </x:c>
      <x:c r="J16" s="2" t="str">
        <x:v>Walk-up Apartment</x:v>
      </x:c>
      <x:c r="K16" s="28"/>
      <x:c r="L16" s="30" t="str">
        <x:v>No known hard failure. Cannot verify: reported bedrooms.</x:v>
      </x:c>
      <x:c r="M16" s="31" t="str">
        <x:v>No</x:v>
      </x:c>
      <x:c r="N16" s="30" t="str">
        <x:v>Reported bedrooms Unknown; required &gt;= 1.</x:v>
      </x:c>
      <x:c r="O16" s="30" t="str">
        <x:v>https://www.propertyguru.com.sg/listing/for-rent-coliwoo-lavender-collection-perfect-for-students-from-lasalle-nafa-kaplan-500200787</x:v>
      </x:c>
    </x:row>
    <x:row r="17" ht="52" customHeight="1">
      <x:c r="A17" s="2" t="str">
        <x:v>S01</x:v>
      </x:c>
      <x:c r="B17" s="2" t="str">
        <x:v>S01-C11</x:v>
      </x:c>
      <x:c r="C17" s="2" t="str">
        <x:v>500287640</x:v>
      </x:c>
      <x:c r="D17" s="2" t="str">
        <x:v>Original</x:v>
      </x:c>
      <x:c r="E17" s="2" t="n">
        <x:v>2</x:v>
      </x:c>
      <x:c r="F17" s="26" t="n">
        <x:v>900</x:v>
      </x:c>
      <x:c r="G17" s="27" t="n">
        <x:v>1</x:v>
      </x:c>
      <x:c r="H17" s="27" t="n">
        <x:v>107</x:v>
      </x:c>
      <x:c r="I17" s="2" t="str">
        <x:v>D25</x:v>
      </x:c>
      <x:c r="J17" s="2" t="str">
        <x:v>HDB Flat</x:v>
      </x:c>
      <x:c r="K17" s="28" t="n">
        <x:v>16755.096331081848</x:v>
      </x:c>
      <x:c r="L17" s="30" t="str">
        <x:v>Hard requirements pass. SGD 900/month, area 107 sqft. Rent offers savings, with a clear shortfall in the secondary size preference.</x:v>
      </x:c>
      <x:c r="M17" s="31" t="str">
        <x:v>No</x:v>
      </x:c>
      <x:c r="N17" s="30" t="str"/>
      <x:c r="O17" s="30" t="str">
        <x:v>https://www.propertyguru.com.sg/listing/hdb-for-rent-787c-woodlands-crescent-500287640</x:v>
      </x:c>
    </x:row>
    <x:row r="18" ht="52" customHeight="1">
      <x:c r="A18" s="2" t="str">
        <x:v>S01</x:v>
      </x:c>
      <x:c r="B18" s="2" t="str">
        <x:v>S01-C12</x:v>
      </x:c>
      <x:c r="C18" s="2" t="str">
        <x:v>500267122</x:v>
      </x:c>
      <x:c r="D18" s="2" t="str">
        <x:v>Original</x:v>
      </x:c>
      <x:c r="E18" s="2" t="n">
        <x:v>3</x:v>
      </x:c>
      <x:c r="F18" s="26" t="n">
        <x:v>550</x:v>
      </x:c>
      <x:c r="G18" s="27" t="n">
        <x:v>1</x:v>
      </x:c>
      <x:c r="H18" s="27" t="n">
        <x:v>2152</x:v>
      </x:c>
      <x:c r="I18" s="2" t="str">
        <x:v>D27</x:v>
      </x:c>
      <x:c r="J18" s="2" t="str">
        <x:v>HDB Flat</x:v>
      </x:c>
      <x:c r="K18" s="28" t="n">
        <x:v>15980.770245317963</x:v>
      </x:c>
      <x:c r="L18" s="30" t="str">
        <x:v>Hard requirements pass. SGD 550/month, area 2,152 sqft. Low rent and the reported area meets the secondary size preference.</x:v>
      </x:c>
      <x:c r="M18" s="31" t="str">
        <x:v>No</x:v>
      </x:c>
      <x:c r="N18" s="30" t="str"/>
      <x:c r="O18" s="30" t="str">
        <x:v>https://www.propertyguru.com.sg/listing/hdb-for-rent-749-yishun-street-72-500267122</x:v>
      </x:c>
    </x:row>
    <x:row r="19" ht="52" customHeight="1">
      <x:c r="A19" s="2" t="str">
        <x:v>S01</x:v>
      </x:c>
      <x:c r="B19" s="2" t="str">
        <x:v>S01-C13</x:v>
      </x:c>
      <x:c r="C19" s="2" t="str">
        <x:v>500276593</x:v>
      </x:c>
      <x:c r="D19" s="2" t="str">
        <x:v>Original</x:v>
      </x:c>
      <x:c r="E19" s="2" t="n">
        <x:v>2</x:v>
      </x:c>
      <x:c r="F19" s="26" t="n">
        <x:v>1200</x:v>
      </x:c>
      <x:c r="G19" s="27" t="n">
        <x:v>1</x:v>
      </x:c>
      <x:c r="H19" s="27" t="n">
        <x:v>1108</x:v>
      </x:c>
      <x:c r="I19" s="2" t="str">
        <x:v>D18</x:v>
      </x:c>
      <x:c r="J19" s="2" t="str">
        <x:v>HDB Flat</x:v>
      </x:c>
      <x:c r="K19" s="28" t="n">
        <x:v>20911.196291127406</x:v>
      </x:c>
      <x:c r="L19" s="30" t="str">
        <x:v>Hard requirements pass. SGD 1,200/month, area 1,108 sqft. The size preference is met, but several qualifying choices have lower rent.</x:v>
      </x:c>
      <x:c r="M19" s="31" t="str">
        <x:v>No</x:v>
      </x:c>
      <x:c r="N19" s="30" t="str"/>
      <x:c r="O19" s="30" t="str">
        <x:v>https://www.propertyguru.com.sg/listing/hdb-for-rent-465-tampines-street-44-500276593</x:v>
      </x:c>
    </x:row>
    <x:row r="20" ht="52" customHeight="1">
      <x:c r="A20" s="2" t="str">
        <x:v>S01</x:v>
      </x:c>
      <x:c r="B20" s="2" t="str">
        <x:v>S01-C14</x:v>
      </x:c>
      <x:c r="C20" s="2" t="str">
        <x:v>500273560</x:v>
      </x:c>
      <x:c r="D20" s="2" t="str">
        <x:v>Original</x:v>
      </x:c>
      <x:c r="E20" s="2" t="n">
        <x:v>1</x:v>
      </x:c>
      <x:c r="F20" s="26" t="n">
        <x:v>1800</x:v>
      </x:c>
      <x:c r="G20" s="27" t="n">
        <x:v>1</x:v>
      </x:c>
      <x:c r="H20" s="27" t="n">
        <x:v>1000</x:v>
      </x:c>
      <x:c r="I20" s="2" t="str">
        <x:v>D08</x:v>
      </x:c>
      <x:c r="J20" s="2" t="str">
        <x:v>Terraced House</x:v>
      </x:c>
      <x:c r="K20" s="28"/>
      <x:c r="L20" s="30" t="str">
        <x:v>Hard requirements pass. SGD 1,800/month, area 1,000 sqft. The size preference is met, but rent is at the expensive end of this candidate set.</x:v>
      </x:c>
      <x:c r="M20" s="31" t="str">
        <x:v>No</x:v>
      </x:c>
      <x:c r="N20" s="30" t="str"/>
      <x:c r="O20" s="30" t="str">
        <x:v>https://www.propertyguru.com.sg/listing/for-rent-hindoo-road-500273560</x:v>
      </x:c>
    </x:row>
    <x:row r="21" ht="52" customHeight="1">
      <x:c r="A21" s="2" t="str">
        <x:v>S01</x:v>
      </x:c>
      <x:c r="B21" s="2" t="str">
        <x:v>S01-C15</x:v>
      </x:c>
      <x:c r="C21" s="2" t="str">
        <x:v>500176293</x:v>
      </x:c>
      <x:c r="D21" s="2" t="str">
        <x:v>Original</x:v>
      </x:c>
      <x:c r="E21" s="2" t="n">
        <x:v>1</x:v>
      </x:c>
      <x:c r="F21" s="26" t="n">
        <x:v>1300</x:v>
      </x:c>
      <x:c r="G21" s="27" t="n">
        <x:v>1</x:v>
      </x:c>
      <x:c r="H21" s="27" t="n">
        <x:v>120</x:v>
      </x:c>
      <x:c r="I21" s="2" t="str">
        <x:v>D16</x:v>
      </x:c>
      <x:c r="J21" s="2" t="str">
        <x:v>Condominium</x:v>
      </x:c>
      <x:c r="K21" s="28"/>
      <x:c r="L21" s="30" t="str">
        <x:v>Hard requirements pass. SGD 1,300/month, area 120 sqft. Several choices cost less; this listing also misses the size preference.</x:v>
      </x:c>
      <x:c r="M21" s="31" t="str">
        <x:v>No</x:v>
      </x:c>
      <x:c r="N21" s="30" t="str"/>
      <x:c r="O21" s="30" t="str">
        <x:v>https://www.propertyguru.com.sg/listing/for-rent-east-meadows-500176293</x:v>
      </x:c>
    </x:row>
    <x:row r="22" ht="52" customHeight="1">
      <x:c r="A22" s="2" t="str">
        <x:v>S01</x:v>
      </x:c>
      <x:c r="B22" s="2" t="str">
        <x:v>S01-C16</x:v>
      </x:c>
      <x:c r="C22" s="2" t="str">
        <x:v>24851014</x:v>
      </x:c>
      <x:c r="D22" s="2" t="str">
        <x:v>Original</x:v>
      </x:c>
      <x:c r="E22" s="2" t="str">
        <x:v>U</x:v>
      </x:c>
      <x:c r="F22" s="26" t="n">
        <x:v>2000</x:v>
      </x:c>
      <x:c r="G22" s="27"/>
      <x:c r="H22" s="27" t="n">
        <x:v>353</x:v>
      </x:c>
      <x:c r="I22" s="2" t="str">
        <x:v>D11</x:v>
      </x:c>
      <x:c r="J22" s="2" t="str">
        <x:v>Walk-up Apartment</x:v>
      </x:c>
      <x:c r="K22" s="28"/>
      <x:c r="L22" s="30" t="str">
        <x:v>No known hard failure. Cannot verify: reported bedrooms.</x:v>
      </x:c>
      <x:c r="M22" s="31" t="str">
        <x:v>No</x:v>
      </x:c>
      <x:c r="N22" s="30" t="str">
        <x:v>Reported bedrooms Unknown; required &gt;= 1.</x:v>
      </x:c>
      <x:c r="O22" s="30" t="str">
        <x:v>https://www.propertyguru.com.sg/listing/for-rent-eng-aun-mansion-24851014</x:v>
      </x:c>
    </x:row>
    <x:row r="23" ht="52" customHeight="1">
      <x:c r="A23" s="2" t="str">
        <x:v>S01</x:v>
      </x:c>
      <x:c r="B23" s="2" t="str">
        <x:v>S01-C17</x:v>
      </x:c>
      <x:c r="C23" s="2" t="str">
        <x:v>24359119</x:v>
      </x:c>
      <x:c r="D23" s="2" t="str">
        <x:v>Original</x:v>
      </x:c>
      <x:c r="E23" s="2" t="n">
        <x:v>1</x:v>
      </x:c>
      <x:c r="F23" s="26" t="n">
        <x:v>1800</x:v>
      </x:c>
      <x:c r="G23" s="27" t="n">
        <x:v>1</x:v>
      </x:c>
      <x:c r="H23" s="27" t="n">
        <x:v>650</x:v>
      </x:c>
      <x:c r="I23" s="2" t="str">
        <x:v>D28</x:v>
      </x:c>
      <x:c r="J23" s="2" t="str">
        <x:v>Corner Terrace</x:v>
      </x:c>
      <x:c r="K23" s="28"/>
      <x:c r="L23" s="30" t="str">
        <x:v>Hard requirements pass. SGD 1,800/month, area 650 sqft. The size preference is met, but rent is at the expensive end of this candidate set.</x:v>
      </x:c>
      <x:c r="M23" s="31" t="str">
        <x:v>No</x:v>
      </x:c>
      <x:c r="N23" s="30" t="str"/>
      <x:c r="O23" s="30" t="str">
        <x:v>https://www.propertyguru.com.sg/listing/for-rent-yio-chu-kang-24359119</x:v>
      </x:c>
    </x:row>
    <x:row r="24" ht="52" customHeight="1">
      <x:c r="A24" s="2" t="str">
        <x:v>S01</x:v>
      </x:c>
      <x:c r="B24" s="2" t="str">
        <x:v>S01-C18</x:v>
      </x:c>
      <x:c r="C24" s="2" t="str">
        <x:v>500270347</x:v>
      </x:c>
      <x:c r="D24" s="2" t="str">
        <x:v>Original</x:v>
      </x:c>
      <x:c r="E24" s="2" t="n">
        <x:v>3</x:v>
      </x:c>
      <x:c r="F24" s="26" t="n">
        <x:v>850</x:v>
      </x:c>
      <x:c r="G24" s="27" t="n">
        <x:v>1</x:v>
      </x:c>
      <x:c r="H24" s="27" t="n">
        <x:v>904</x:v>
      </x:c>
      <x:c r="I24" s="2" t="str">
        <x:v>D27</x:v>
      </x:c>
      <x:c r="J24" s="2" t="str">
        <x:v>HDB Flat</x:v>
      </x:c>
      <x:c r="K24" s="28" t="n">
        <x:v>15640.159940740406</x:v>
      </x:c>
      <x:c r="L24" s="30" t="str">
        <x:v>Hard requirements pass. SGD 850/month, area 904 sqft. Low rent and the reported area meets the secondary size preference.</x:v>
      </x:c>
      <x:c r="M24" s="31" t="str">
        <x:v>No</x:v>
      </x:c>
      <x:c r="N24" s="30" t="str"/>
      <x:c r="O24" s="30" t="str">
        <x:v>https://www.propertyguru.com.sg/listing/hdb-for-rent-655-yishun-avenue-4-500270347</x:v>
      </x:c>
    </x:row>
    <x:row r="25" ht="52" customHeight="1">
      <x:c r="A25" s="2" t="str">
        <x:v>S01</x:v>
      </x:c>
      <x:c r="B25" s="2" t="str">
        <x:v>S01-C19</x:v>
      </x:c>
      <x:c r="C25" s="2" t="str">
        <x:v>21342955</x:v>
      </x:c>
      <x:c r="D25" s="2" t="str">
        <x:v>Original</x:v>
      </x:c>
      <x:c r="E25" s="2" t="n">
        <x:v>0</x:v>
      </x:c>
      <x:c r="F25" s="26" t="n">
        <x:v>2050</x:v>
      </x:c>
      <x:c r="G25" s="27" t="n">
        <x:v>1</x:v>
      </x:c>
      <x:c r="H25" s="27" t="n">
        <x:v>231</x:v>
      </x:c>
      <x:c r="I25" s="2" t="str">
        <x:v>D23</x:v>
      </x:c>
      <x:c r="J25" s="2" t="str">
        <x:v>HDB Flat</x:v>
      </x:c>
      <x:c r="K25" s="28" t="n">
        <x:v>6357.047885943813</x:v>
      </x:c>
      <x:c r="L25" s="30" t="str">
        <x:v>Hard failure: Rent (SGD/month) 2,050; required &lt;= 2,000.</x:v>
      </x:c>
      <x:c r="M25" s="31" t="str">
        <x:v>No</x:v>
      </x:c>
      <x:c r="N25" s="30" t="str"/>
      <x:c r="O25" s="30" t="str">
        <x:v>https://www.propertyguru.com.sg/listing/hdb-for-rent-224-bukit-batok-street-21-21342955</x:v>
      </x:c>
    </x:row>
    <x:row r="26" ht="52" customHeight="1">
      <x:c r="A26" s="2" t="str">
        <x:v>S01</x:v>
      </x:c>
      <x:c r="B26" s="2" t="str">
        <x:v>S01-C20</x:v>
      </x:c>
      <x:c r="C26" s="2" t="str">
        <x:v>500246929</x:v>
      </x:c>
      <x:c r="D26" s="2" t="str">
        <x:v>Original</x:v>
      </x:c>
      <x:c r="E26" s="2" t="n">
        <x:v>0</x:v>
      </x:c>
      <x:c r="F26" s="26" t="n">
        <x:v>1050</x:v>
      </x:c>
      <x:c r="G26" s="27" t="n">
        <x:v>0</x:v>
      </x:c>
      <x:c r="H26" s="27"/>
      <x:c r="I26" s="2" t="str">
        <x:v>D18</x:v>
      </x:c>
      <x:c r="J26" s="2" t="str">
        <x:v>Condominium</x:v>
      </x:c>
      <x:c r="K26" s="28"/>
      <x:c r="L26" s="30" t="str">
        <x:v>Hard failure: Reported bedrooms 0; required &gt;= 1.</x:v>
      </x:c>
      <x:c r="M26" s="31" t="str">
        <x:v>No</x:v>
      </x:c>
      <x:c r="N26" s="30" t="str">
        <x:v>Soft evidence missing: floor area (sqft).</x:v>
      </x:c>
      <x:c r="O26" s="30" t="str">
        <x:v>https://www.propertyguru.com.sg/listing/for-rent-simei-green-condominium-500246929</x:v>
      </x:c>
    </x:row>
    <x:row r="27" ht="52" customHeight="1">
      <x:c r="A27" s="2" t="str">
        <x:v>S01</x:v>
      </x:c>
      <x:c r="B27" s="2" t="str">
        <x:v>S01-C21</x:v>
      </x:c>
      <x:c r="C27" s="2" t="str">
        <x:v>12620560</x:v>
      </x:c>
      <x:c r="D27" s="2" t="str">
        <x:v>Original</x:v>
      </x:c>
      <x:c r="E27" s="2" t="n">
        <x:v>3</x:v>
      </x:c>
      <x:c r="F27" s="26" t="n">
        <x:v>850</x:v>
      </x:c>
      <x:c r="G27" s="27" t="n">
        <x:v>1</x:v>
      </x:c>
      <x:c r="H27" s="27" t="n">
        <x:v>1291</x:v>
      </x:c>
      <x:c r="I27" s="2" t="str">
        <x:v>D10</x:v>
      </x:c>
      <x:c r="J27" s="2" t="str">
        <x:v>HDB Flat</x:v>
      </x:c>
      <x:c r="K27" s="28" t="n">
        <x:v>4025.366698820432</x:v>
      </x:c>
      <x:c r="L27" s="30" t="str">
        <x:v>Hard requirements pass. SGD 850/month, area 1,291 sqft. Low rent and the reported area meets the secondary size preference.</x:v>
      </x:c>
      <x:c r="M27" s="31" t="str">
        <x:v>No</x:v>
      </x:c>
      <x:c r="N27" s="30" t="str"/>
      <x:c r="O27" s="30" t="str">
        <x:v>https://www.propertyguru.com.sg/listing/hdb-for-rent-1-queen-s-road-12620560</x:v>
      </x:c>
    </x:row>
    <x:row r="28" ht="52" customHeight="1">
      <x:c r="A28" s="2" t="str">
        <x:v>S01</x:v>
      </x:c>
      <x:c r="B28" s="2" t="str">
        <x:v>S01-C22</x:v>
      </x:c>
      <x:c r="C28" s="2" t="str">
        <x:v>25578549</x:v>
      </x:c>
      <x:c r="D28" s="2" t="str">
        <x:v>Original</x:v>
      </x:c>
      <x:c r="E28" s="2" t="n">
        <x:v>0</x:v>
      </x:c>
      <x:c r="F28" s="26" t="n">
        <x:v>2050</x:v>
      </x:c>
      <x:c r="G28" s="27"/>
      <x:c r="H28" s="27" t="n">
        <x:v>180</x:v>
      </x:c>
      <x:c r="I28" s="2" t="str">
        <x:v>D19</x:v>
      </x:c>
      <x:c r="J28" s="2" t="str">
        <x:v>Condominium</x:v>
      </x:c>
      <x:c r="K28" s="28"/>
      <x:c r="L28" s="30" t="str">
        <x:v>Hard failure: Rent (SGD/month) 2,050; required &lt;= 2,000.</x:v>
      </x:c>
      <x:c r="M28" s="31" t="str">
        <x:v>No</x:v>
      </x:c>
      <x:c r="N28" s="30" t="str">
        <x:v>Reported bedrooms Unknown; required &gt;= 1.</x:v>
      </x:c>
      <x:c r="O28" s="30" t="str">
        <x:v>https://www.propertyguru.com.sg/listing/for-rent-botanique-at-bartley-25578549</x:v>
      </x:c>
    </x:row>
    <x:row r="29" ht="52" customHeight="1">
      <x:c r="A29" s="2" t="str">
        <x:v>S01</x:v>
      </x:c>
      <x:c r="B29" s="2" t="str">
        <x:v>S01-C23</x:v>
      </x:c>
      <x:c r="C29" s="2" t="str">
        <x:v>500285316</x:v>
      </x:c>
      <x:c r="D29" s="2" t="str">
        <x:v>Original</x:v>
      </x:c>
      <x:c r="E29" s="2" t="n">
        <x:v>2</x:v>
      </x:c>
      <x:c r="F29" s="26" t="n">
        <x:v>500</x:v>
      </x:c>
      <x:c r="G29" s="27" t="n">
        <x:v>1</x:v>
      </x:c>
      <x:c r="H29" s="27" t="n">
        <x:v>90</x:v>
      </x:c>
      <x:c r="I29" s="2" t="str">
        <x:v>D25</x:v>
      </x:c>
      <x:c r="J29" s="2" t="str">
        <x:v>HDB Flat</x:v>
      </x:c>
      <x:c r="K29" s="28" t="n">
        <x:v>16476.837741642907</x:v>
      </x:c>
      <x:c r="L29" s="30" t="str">
        <x:v>Hard requirements pass. SGD 500/month, area 90 sqft. Rent offers savings, with a clear shortfall in the secondary size preference.</x:v>
      </x:c>
      <x:c r="M29" s="31" t="str">
        <x:v>No</x:v>
      </x:c>
      <x:c r="N29" s="30" t="str"/>
      <x:c r="O29" s="30" t="str">
        <x:v>https://www.propertyguru.com.sg/listing/hdb-for-rent-728-woodlands-circle-500285316</x:v>
      </x:c>
    </x:row>
    <x:row r="30" ht="52" customHeight="1">
      <x:c r="A30" s="2" t="str">
        <x:v>S01</x:v>
      </x:c>
      <x:c r="B30" s="2" t="str">
        <x:v>S01-C24</x:v>
      </x:c>
      <x:c r="C30" s="2" t="str">
        <x:v>21026007</x:v>
      </x:c>
      <x:c r="D30" s="2" t="str">
        <x:v>Original</x:v>
      </x:c>
      <x:c r="E30" s="2" t="n">
        <x:v>2</x:v>
      </x:c>
      <x:c r="F30" s="26" t="n">
        <x:v>450</x:v>
      </x:c>
      <x:c r="G30" s="27" t="n">
        <x:v>3</x:v>
      </x:c>
      <x:c r="H30" s="27" t="n">
        <x:v>100</x:v>
      </x:c>
      <x:c r="I30" s="2" t="str">
        <x:v>D25</x:v>
      </x:c>
      <x:c r="J30" s="2" t="str">
        <x:v>HDB Flat</x:v>
      </x:c>
      <x:c r="K30" s="28" t="n">
        <x:v>16744.33025757308</x:v>
      </x:c>
      <x:c r="L30" s="30" t="str">
        <x:v>Hard requirements pass. SGD 450/month, area 100 sqft. Rent offers savings, with a clear shortfall in the secondary size preference.</x:v>
      </x:c>
      <x:c r="M30" s="31" t="str">
        <x:v>Yes</x:v>
      </x:c>
      <x:c r="N30" s="30" t="str">
        <x:v>At least 2 reported bedrooms with &lt;200 sqft; verify room/whole-unit scope and units.</x:v>
      </x:c>
      <x:c r="O30" s="30" t="str">
        <x:v>https://www.propertyguru.com.sg/listing/hdb-for-rent-764a-woodlands-circle-21026007</x:v>
      </x:c>
    </x:row>
    <x:row r="31" ht="52" customHeight="1">
      <x:c r="A31" s="2" t="str">
        <x:v>S01</x:v>
      </x:c>
      <x:c r="B31" s="2" t="str">
        <x:v>S01-C25</x:v>
      </x:c>
      <x:c r="C31" s="2" t="str">
        <x:v>500266385</x:v>
      </x:c>
      <x:c r="D31" s="2" t="str">
        <x:v>Original</x:v>
      </x:c>
      <x:c r="E31" s="2" t="n">
        <x:v>3</x:v>
      </x:c>
      <x:c r="F31" s="26" t="n">
        <x:v>900</x:v>
      </x:c>
      <x:c r="G31" s="27" t="n">
        <x:v>1</x:v>
      </x:c>
      <x:c r="H31" s="27" t="n">
        <x:v>13896</x:v>
      </x:c>
      <x:c r="I31" s="2" t="str">
        <x:v>D25</x:v>
      </x:c>
      <x:c r="J31" s="2" t="str">
        <x:v>HDB Flat</x:v>
      </x:c>
      <x:c r="K31" s="28" t="n">
        <x:v>15346.907446837738</x:v>
      </x:c>
      <x:c r="L31" s="30" t="str">
        <x:v>Hard requirements pass. SGD 900/month, area 13,896 sqft. Low rent and the reported area meets the secondary size preference.</x:v>
      </x:c>
      <x:c r="M31" s="31" t="str">
        <x:v>Yes</x:v>
      </x:c>
      <x:c r="N31" s="30" t="str">
        <x:v>Reported HDB floor area &gt;5,000 sqft; verify units and source entry.</x:v>
      </x:c>
      <x:c r="O31" s="30" t="str">
        <x:v>https://www.propertyguru.com.sg/listing/hdb-for-rent-557-woodlands-drive-53-500266385</x:v>
      </x:c>
    </x:row>
    <x:row r="32" ht="52" customHeight="1">
      <x:c r="A32" s="2" t="str">
        <x:v>S02</x:v>
      </x:c>
      <x:c r="B32" s="2" t="str">
        <x:v>S02-C01</x:v>
      </x:c>
      <x:c r="C32" s="2" t="str">
        <x:v>25370926</x:v>
      </x:c>
      <x:c r="D32" s="2" t="str">
        <x:v>Original</x:v>
      </x:c>
      <x:c r="E32" s="2" t="n">
        <x:v>1</x:v>
      </x:c>
      <x:c r="F32" s="26" t="n">
        <x:v>1800</x:v>
      </x:c>
      <x:c r="G32" s="27" t="n">
        <x:v>1</x:v>
      </x:c>
      <x:c r="H32" s="27" t="n">
        <x:v>130</x:v>
      </x:c>
      <x:c r="I32" s="2" t="str">
        <x:v>D09</x:v>
      </x:c>
      <x:c r="J32" s="2" t="str">
        <x:v>Apartment</x:v>
      </x:c>
      <x:c r="K32" s="28"/>
      <x:c r="L32" s="30" t="str">
        <x:v>Hard requirements pass. area 130 sqft. A small reported area compared with the 517-1,000 sqft qualifying alternatives.</x:v>
      </x:c>
      <x:c r="M32" s="31" t="str">
        <x:v>No</x:v>
      </x:c>
      <x:c r="N32" s="30" t="str"/>
      <x:c r="O32" s="30" t="str">
        <x:v>https://www.propertyguru.com.sg/listing/for-rent-288-river-valley-road-25370926</x:v>
      </x:c>
    </x:row>
    <x:row r="33" ht="52" customHeight="1">
      <x:c r="A33" s="2" t="str">
        <x:v>S02</x:v>
      </x:c>
      <x:c r="B33" s="2" t="str">
        <x:v>S02-C02</x:v>
      </x:c>
      <x:c r="C33" s="2" t="str">
        <x:v>500278958</x:v>
      </x:c>
      <x:c r="D33" s="2" t="str">
        <x:v>Original</x:v>
      </x:c>
      <x:c r="E33" s="2" t="n">
        <x:v>3</x:v>
      </x:c>
      <x:c r="F33" s="26" t="n">
        <x:v>1800</x:v>
      </x:c>
      <x:c r="G33" s="27" t="n">
        <x:v>1</x:v>
      </x:c>
      <x:c r="H33" s="27" t="n">
        <x:v>1000</x:v>
      </x:c>
      <x:c r="I33" s="2" t="str">
        <x:v>D08</x:v>
      </x:c>
      <x:c r="J33" s="2" t="str">
        <x:v>Terraced House</x:v>
      </x:c>
      <x:c r="K33" s="28"/>
      <x:c r="L33" s="30" t="str">
        <x:v>Hard requirements pass. area 1,000 sqft. Among the largest reported areas in this exact-rent candidate set.</x:v>
      </x:c>
      <x:c r="M33" s="31" t="str">
        <x:v>No</x:v>
      </x:c>
      <x:c r="N33" s="30" t="str"/>
      <x:c r="O33" s="30" t="str">
        <x:v>https://www.propertyguru.com.sg/listing/for-rent-hindoo-road-500278958</x:v>
      </x:c>
    </x:row>
    <x:row r="34" ht="52" customHeight="1">
      <x:c r="A34" s="2" t="str">
        <x:v>S02</x:v>
      </x:c>
      <x:c r="B34" s="2" t="str">
        <x:v>S02-C03</x:v>
      </x:c>
      <x:c r="C34" s="2" t="str">
        <x:v>500210552</x:v>
      </x:c>
      <x:c r="D34" s="2" t="str">
        <x:v>Original</x:v>
      </x:c>
      <x:c r="E34" s="2" t="n">
        <x:v>3</x:v>
      </x:c>
      <x:c r="F34" s="26" t="n">
        <x:v>1800</x:v>
      </x:c>
      <x:c r="G34" s="27" t="n">
        <x:v>3</x:v>
      </x:c>
      <x:c r="H34" s="27" t="n">
        <x:v>980</x:v>
      </x:c>
      <x:c r="I34" s="2" t="str">
        <x:v>D21</x:v>
      </x:c>
      <x:c r="J34" s="2" t="str">
        <x:v>Condominium</x:v>
      </x:c>
      <x:c r="K34" s="28"/>
      <x:c r="L34" s="30" t="str">
        <x:v>Hard requirements pass. area 980 sqft. Among the largest reported areas in this exact-rent candidate set.</x:v>
      </x:c>
      <x:c r="M34" s="31" t="str">
        <x:v>No</x:v>
      </x:c>
      <x:c r="N34" s="30" t="str"/>
      <x:c r="O34" s="30" t="str">
        <x:v>https://www.propertyguru.com.sg/listing/for-rent-ki-residences-at-brookvale-500210552</x:v>
      </x:c>
    </x:row>
    <x:row r="35" ht="52" customHeight="1">
      <x:c r="A35" s="2" t="str">
        <x:v>S02</x:v>
      </x:c>
      <x:c r="B35" s="2" t="str">
        <x:v>S02-C04</x:v>
      </x:c>
      <x:c r="C35" s="2" t="str">
        <x:v>500286414</x:v>
      </x:c>
      <x:c r="D35" s="2" t="str">
        <x:v>Original</x:v>
      </x:c>
      <x:c r="E35" s="2" t="n">
        <x:v>0</x:v>
      </x:c>
      <x:c r="F35" s="26" t="n">
        <x:v>1849</x:v>
      </x:c>
      <x:c r="G35" s="27" t="n">
        <x:v>1</x:v>
      </x:c>
      <x:c r="H35" s="27" t="n">
        <x:v>180</x:v>
      </x:c>
      <x:c r="I35" s="2" t="str">
        <x:v>D01</x:v>
      </x:c>
      <x:c r="J35" s="2" t="str">
        <x:v>Condominium</x:v>
      </x:c>
      <x:c r="K35" s="28" t="n">
        <x:v>7886.470541823693</x:v>
      </x:c>
      <x:c r="L35" s="30" t="str">
        <x:v>Hard failure: Rent (SGD/month) 1,849; required = 1,800.</x:v>
      </x:c>
      <x:c r="M35" s="31" t="str">
        <x:v>No</x:v>
      </x:c>
      <x:c r="N35" s="30" t="str"/>
      <x:c r="O35" s="30" t="str">
        <x:v>https://www.propertyguru.com.sg/listing/for-rent-emerald-garden-500286414</x:v>
      </x:c>
    </x:row>
    <x:row r="36" ht="52" customHeight="1">
      <x:c r="A36" s="2" t="str">
        <x:v>S02</x:v>
      </x:c>
      <x:c r="B36" s="2" t="str">
        <x:v>S02-C05</x:v>
      </x:c>
      <x:c r="C36" s="2" t="str">
        <x:v>500234326</x:v>
      </x:c>
      <x:c r="D36" s="2" t="str">
        <x:v>Original</x:v>
      </x:c>
      <x:c r="E36" s="2" t="n">
        <x:v>1</x:v>
      </x:c>
      <x:c r="F36" s="26" t="n">
        <x:v>1800</x:v>
      </x:c>
      <x:c r="G36" s="27" t="n">
        <x:v>1</x:v>
      </x:c>
      <x:c r="H36" s="27" t="n">
        <x:v>100</x:v>
      </x:c>
      <x:c r="I36" s="2" t="str">
        <x:v>D08</x:v>
      </x:c>
      <x:c r="J36" s="2" t="str">
        <x:v>Conservation House</x:v>
      </x:c>
      <x:c r="K36" s="28"/>
      <x:c r="L36" s="30" t="str">
        <x:v>Hard requirements pass. area 100 sqft. A small reported area compared with the 517-1,000 sqft qualifying alternatives.</x:v>
      </x:c>
      <x:c r="M36" s="31" t="str">
        <x:v>No</x:v>
      </x:c>
      <x:c r="N36" s="30" t="str"/>
      <x:c r="O36" s="30" t="str">
        <x:v>https://www.propertyguru.com.sg/listing/for-rent-pgp-building-500234326</x:v>
      </x:c>
    </x:row>
    <x:row r="37" ht="52" customHeight="1">
      <x:c r="A37" s="2" t="str">
        <x:v>S02</x:v>
      </x:c>
      <x:c r="B37" s="2" t="str">
        <x:v>S02-C06</x:v>
      </x:c>
      <x:c r="C37" s="2" t="str">
        <x:v>500261692</x:v>
      </x:c>
      <x:c r="D37" s="2" t="str">
        <x:v>Original</x:v>
      </x:c>
      <x:c r="E37" s="2" t="str">
        <x:v>U</x:v>
      </x:c>
      <x:c r="F37" s="26" t="n">
        <x:v>1800</x:v>
      </x:c>
      <x:c r="G37" s="27"/>
      <x:c r="H37" s="27" t="n">
        <x:v>200</x:v>
      </x:c>
      <x:c r="I37" s="2" t="str">
        <x:v>D22</x:v>
      </x:c>
      <x:c r="J37" s="2" t="str">
        <x:v>HDB Flat</x:v>
      </x:c>
      <x:c r="K37" s="28" t="n">
        <x:v>7554.902455855805</x:v>
      </x:c>
      <x:c r="L37" s="30" t="str">
        <x:v>No known hard failure. Cannot verify: reported bedrooms.</x:v>
      </x:c>
      <x:c r="M37" s="31" t="str">
        <x:v>No</x:v>
      </x:c>
      <x:c r="N37" s="30" t="str">
        <x:v>Reported bedrooms Unknown; required &gt;= 1.</x:v>
      </x:c>
      <x:c r="O37" s="30" t="str">
        <x:v>https://www.propertyguru.com.sg/listing/hdb-for-rent-344-jurong-east-street-31-500261692</x:v>
      </x:c>
    </x:row>
    <x:row r="38" ht="52" customHeight="1">
      <x:c r="A38" s="2" t="str">
        <x:v>S02</x:v>
      </x:c>
      <x:c r="B38" s="2" t="str">
        <x:v>S02-C07</x:v>
      </x:c>
      <x:c r="C38" s="2" t="str">
        <x:v>500286401</x:v>
      </x:c>
      <x:c r="D38" s="2" t="str">
        <x:v>Original</x:v>
      </x:c>
      <x:c r="E38" s="2" t="n">
        <x:v>3</x:v>
      </x:c>
      <x:c r="F38" s="26" t="n">
        <x:v>1800</x:v>
      </x:c>
      <x:c r="G38" s="27" t="n">
        <x:v>1</x:v>
      </x:c>
      <x:c r="H38" s="27" t="n">
        <x:v>1000</x:v>
      </x:c>
      <x:c r="I38" s="2" t="str">
        <x:v>D08</x:v>
      </x:c>
      <x:c r="J38" s="2" t="str">
        <x:v>Terraced House</x:v>
      </x:c>
      <x:c r="K38" s="28"/>
      <x:c r="L38" s="30" t="str">
        <x:v>Hard requirements pass. area 1,000 sqft. Among the largest reported areas in this exact-rent candidate set.</x:v>
      </x:c>
      <x:c r="M38" s="31" t="str">
        <x:v>No</x:v>
      </x:c>
      <x:c r="N38" s="30" t="str"/>
      <x:c r="O38" s="30" t="str">
        <x:v>https://www.propertyguru.com.sg/listing/for-rent-hindoo-road-500286401</x:v>
      </x:c>
    </x:row>
    <x:row r="39" ht="52" customHeight="1">
      <x:c r="A39" s="2" t="str">
        <x:v>S02</x:v>
      </x:c>
      <x:c r="B39" s="2" t="str">
        <x:v>S02-C08</x:v>
      </x:c>
      <x:c r="C39" s="2" t="str">
        <x:v>500244734</x:v>
      </x:c>
      <x:c r="D39" s="2" t="str">
        <x:v>Original</x:v>
      </x:c>
      <x:c r="E39" s="2" t="n">
        <x:v>0</x:v>
      </x:c>
      <x:c r="F39" s="26" t="n">
        <x:v>1800</x:v>
      </x:c>
      <x:c r="G39" s="27" t="n">
        <x:v>0</x:v>
      </x:c>
      <x:c r="H39" s="27"/>
      <x:c r="I39" s="2" t="str">
        <x:v>D27</x:v>
      </x:c>
      <x:c r="J39" s="2" t="str">
        <x:v>Condominium</x:v>
      </x:c>
      <x:c r="K39" s="28"/>
      <x:c r="L39" s="30" t="str">
        <x:v>Hard failure: Reported bedrooms 0; required &gt;= 1.</x:v>
      </x:c>
      <x:c r="M39" s="31" t="str">
        <x:v>No</x:v>
      </x:c>
      <x:c r="N39" s="30" t="str">
        <x:v>Soft evidence missing: floor area (sqft).</x:v>
      </x:c>
      <x:c r="O39" s="30" t="str">
        <x:v>https://www.propertyguru.com.sg/listing/for-rent-orchid-park-condominium-500244734</x:v>
      </x:c>
    </x:row>
    <x:row r="40" ht="52" customHeight="1">
      <x:c r="A40" s="2" t="str">
        <x:v>S02</x:v>
      </x:c>
      <x:c r="B40" s="2" t="str">
        <x:v>S02-C09</x:v>
      </x:c>
      <x:c r="C40" s="2" t="str">
        <x:v>24088084</x:v>
      </x:c>
      <x:c r="D40" s="2" t="str">
        <x:v>Original</x:v>
      </x:c>
      <x:c r="E40" s="2" t="n">
        <x:v>1</x:v>
      </x:c>
      <x:c r="F40" s="26" t="n">
        <x:v>1800</x:v>
      </x:c>
      <x:c r="G40" s="27" t="n">
        <x:v>1</x:v>
      </x:c>
      <x:c r="H40" s="27" t="n">
        <x:v>120</x:v>
      </x:c>
      <x:c r="I40" s="2" t="str">
        <x:v>D08</x:v>
      </x:c>
      <x:c r="J40" s="2" t="str">
        <x:v>Shophouse</x:v>
      </x:c>
      <x:c r="K40" s="28"/>
      <x:c r="L40" s="30" t="str">
        <x:v>Hard requirements pass. area 120 sqft. A small reported area compared with the 517-1,000 sqft qualifying alternatives.</x:v>
      </x:c>
      <x:c r="M40" s="31" t="str">
        <x:v>No</x:v>
      </x:c>
      <x:c r="N40" s="30" t="str"/>
      <x:c r="O40" s="30" t="str">
        <x:v>https://www.propertyguru.com.sg/listing/for-rent-42-rowell-road-ensuite-minimum-3-months-24088084</x:v>
      </x:c>
    </x:row>
    <x:row r="41" ht="52" customHeight="1">
      <x:c r="A41" s="2" t="str">
        <x:v>S02</x:v>
      </x:c>
      <x:c r="B41" s="2" t="str">
        <x:v>S02-C10</x:v>
      </x:c>
      <x:c r="C41" s="2" t="str">
        <x:v>24004684</x:v>
      </x:c>
      <x:c r="D41" s="2" t="str">
        <x:v>Original</x:v>
      </x:c>
      <x:c r="E41" s="2" t="n">
        <x:v>0</x:v>
      </x:c>
      <x:c r="F41" s="26" t="n">
        <x:v>1780</x:v>
      </x:c>
      <x:c r="G41" s="27" t="n">
        <x:v>1</x:v>
      </x:c>
      <x:c r="H41" s="27" t="n">
        <x:v>250</x:v>
      </x:c>
      <x:c r="I41" s="2" t="str">
        <x:v>D09</x:v>
      </x:c>
      <x:c r="J41" s="2" t="str">
        <x:v>Condominium</x:v>
      </x:c>
      <x:c r="K41" s="28"/>
      <x:c r="L41" s="30" t="str">
        <x:v>Hard failure: Rent (SGD/month) 1,780; required = 1,800.</x:v>
      </x:c>
      <x:c r="M41" s="31" t="str">
        <x:v>No</x:v>
      </x:c>
      <x:c r="N41" s="30" t="str"/>
      <x:c r="O41" s="30" t="str">
        <x:v>https://www.propertyguru.com.sg/listing/for-rent-mirage-tower-24004684</x:v>
      </x:c>
    </x:row>
    <x:row r="42" ht="52" customHeight="1">
      <x:c r="A42" s="2" t="str">
        <x:v>S02</x:v>
      </x:c>
      <x:c r="B42" s="2" t="str">
        <x:v>S02-C11</x:v>
      </x:c>
      <x:c r="C42" s="2" t="str">
        <x:v>500271461</x:v>
      </x:c>
      <x:c r="D42" s="2" t="str">
        <x:v>Original</x:v>
      </x:c>
      <x:c r="E42" s="2" t="n">
        <x:v>1</x:v>
      </x:c>
      <x:c r="F42" s="26" t="n">
        <x:v>1800</x:v>
      </x:c>
      <x:c r="G42" s="27" t="n">
        <x:v>1</x:v>
      </x:c>
      <x:c r="H42" s="27" t="n">
        <x:v>150</x:v>
      </x:c>
      <x:c r="I42" s="2" t="str">
        <x:v>D19</x:v>
      </x:c>
      <x:c r="J42" s="2" t="str">
        <x:v>Apartment</x:v>
      </x:c>
      <x:c r="K42" s="28"/>
      <x:c r="L42" s="30" t="str">
        <x:v>Hard requirements pass. area 150 sqft. A small reported area compared with the 517-1,000 sqft qualifying alternatives.</x:v>
      </x:c>
      <x:c r="M42" s="31" t="str">
        <x:v>No</x:v>
      </x:c>
      <x:c r="N42" s="30" t="str"/>
      <x:c r="O42" s="30" t="str">
        <x:v>https://www.propertyguru.com.sg/listing/for-rent-kensington-square-500271461</x:v>
      </x:c>
    </x:row>
    <x:row r="43" ht="52" customHeight="1">
      <x:c r="A43" s="2" t="str">
        <x:v>S02</x:v>
      </x:c>
      <x:c r="B43" s="2" t="str">
        <x:v>S02-C12</x:v>
      </x:c>
      <x:c r="C43" s="2" t="str">
        <x:v>24176559</x:v>
      </x:c>
      <x:c r="D43" s="2" t="str">
        <x:v>Original</x:v>
      </x:c>
      <x:c r="E43" s="2" t="str">
        <x:v>U</x:v>
      </x:c>
      <x:c r="F43" s="26" t="n">
        <x:v>1800</x:v>
      </x:c>
      <x:c r="G43" s="27"/>
      <x:c r="H43" s="27" t="n">
        <x:v>160</x:v>
      </x:c>
      <x:c r="I43" s="2" t="str">
        <x:v>D08</x:v>
      </x:c>
      <x:c r="J43" s="2" t="str">
        <x:v>Apartment</x:v>
      </x:c>
      <x:c r="K43" s="28"/>
      <x:c r="L43" s="30" t="str">
        <x:v>No known hard failure. Cannot verify: reported bedrooms.</x:v>
      </x:c>
      <x:c r="M43" s="31" t="str">
        <x:v>No</x:v>
      </x:c>
      <x:c r="N43" s="30" t="str">
        <x:v>Reported bedrooms Unknown; required &gt;= 1.</x:v>
      </x:c>
      <x:c r="O43" s="30" t="str">
        <x:v>https://www.propertyguru.com.sg/listing/for-rent-private-apartment-for-professionals-and-students-24176559</x:v>
      </x:c>
    </x:row>
    <x:row r="44" ht="52" customHeight="1">
      <x:c r="A44" s="2" t="str">
        <x:v>S02</x:v>
      </x:c>
      <x:c r="B44" s="2" t="str">
        <x:v>S02-C13</x:v>
      </x:c>
      <x:c r="C44" s="2" t="str">
        <x:v>25608818</x:v>
      </x:c>
      <x:c r="D44" s="2" t="str">
        <x:v>Original</x:v>
      </x:c>
      <x:c r="E44" s="2" t="n">
        <x:v>1</x:v>
      </x:c>
      <x:c r="F44" s="26" t="n">
        <x:v>1800</x:v>
      </x:c>
      <x:c r="G44" s="27" t="n">
        <x:v>1</x:v>
      </x:c>
      <x:c r="H44" s="27" t="n">
        <x:v>200</x:v>
      </x:c>
      <x:c r="I44" s="2" t="str">
        <x:v>D05</x:v>
      </x:c>
      <x:c r="J44" s="2" t="str">
        <x:v>Corner Terrace</x:v>
      </x:c>
      <x:c r="K44" s="28"/>
      <x:c r="L44" s="30" t="str">
        <x:v>Hard requirements pass. area 200 sqft. A small reported area compared with the 517-1,000 sqft qualifying alternatives.</x:v>
      </x:c>
      <x:c r="M44" s="31" t="str">
        <x:v>No</x:v>
      </x:c>
      <x:c r="N44" s="30" t="str"/>
      <x:c r="O44" s="30" t="str">
        <x:v>https://www.propertyguru.com.sg/listing/for-rent-170-pasir-panjang-road-25608818</x:v>
      </x:c>
    </x:row>
    <x:row r="45" ht="52" customHeight="1">
      <x:c r="A45" s="2" t="str">
        <x:v>S02</x:v>
      </x:c>
      <x:c r="B45" s="2" t="str">
        <x:v>S02-C14</x:v>
      </x:c>
      <x:c r="C45" s="2" t="str">
        <x:v>22233604</x:v>
      </x:c>
      <x:c r="D45" s="2" t="str">
        <x:v>Original</x:v>
      </x:c>
      <x:c r="E45" s="2" t="n">
        <x:v>0</x:v>
      </x:c>
      <x:c r="F45" s="26" t="n">
        <x:v>1780</x:v>
      </x:c>
      <x:c r="G45" s="27" t="n">
        <x:v>1</x:v>
      </x:c>
      <x:c r="H45" s="27" t="n">
        <x:v>200</x:v>
      </x:c>
      <x:c r="I45" s="2" t="str">
        <x:v>D09</x:v>
      </x:c>
      <x:c r="J45" s="2" t="str">
        <x:v>Apartment</x:v>
      </x:c>
      <x:c r="K45" s="28"/>
      <x:c r="L45" s="30" t="str">
        <x:v>Hard failure: Rent (SGD/month) 1,780; required = 1,800.</x:v>
      </x:c>
      <x:c r="M45" s="31" t="str">
        <x:v>No</x:v>
      </x:c>
      <x:c r="N45" s="30" t="str"/>
      <x:c r="O45" s="30" t="str">
        <x:v>https://www.propertyguru.com.sg/listing/for-rent-kim-sia-court-22233604</x:v>
      </x:c>
    </x:row>
    <x:row r="46" ht="52" customHeight="1">
      <x:c r="A46" s="2" t="str">
        <x:v>S02</x:v>
      </x:c>
      <x:c r="B46" s="2" t="str">
        <x:v>S02-C15</x:v>
      </x:c>
      <x:c r="C46" s="2" t="str">
        <x:v>500160959</x:v>
      </x:c>
      <x:c r="D46" s="2" t="str">
        <x:v>Original</x:v>
      </x:c>
      <x:c r="E46" s="2" t="n">
        <x:v>1</x:v>
      </x:c>
      <x:c r="F46" s="26" t="n">
        <x:v>1800</x:v>
      </x:c>
      <x:c r="G46" s="27" t="n">
        <x:v>1</x:v>
      </x:c>
      <x:c r="H46" s="27" t="n">
        <x:v>180</x:v>
      </x:c>
      <x:c r="I46" s="2" t="str">
        <x:v>D14</x:v>
      </x:c>
      <x:c r="J46" s="2" t="str">
        <x:v>Condominium</x:v>
      </x:c>
      <x:c r="K46" s="28"/>
      <x:c r="L46" s="30" t="str">
        <x:v>Hard requirements pass. area 180 sqft. A small reported area compared with the 517-1,000 sqft qualifying alternatives.</x:v>
      </x:c>
      <x:c r="M46" s="31" t="str">
        <x:v>No</x:v>
      </x:c>
      <x:c r="N46" s="30" t="str"/>
      <x:c r="O46" s="30" t="str">
        <x:v>https://www.propertyguru.com.sg/listing/for-rent-la-brisa-500160959</x:v>
      </x:c>
    </x:row>
    <x:row r="47" ht="52" customHeight="1">
      <x:c r="A47" s="2" t="str">
        <x:v>S02</x:v>
      </x:c>
      <x:c r="B47" s="2" t="str">
        <x:v>S02-C16</x:v>
      </x:c>
      <x:c r="C47" s="2" t="str">
        <x:v>500279215</x:v>
      </x:c>
      <x:c r="D47" s="2" t="str">
        <x:v>Original</x:v>
      </x:c>
      <x:c r="E47" s="2" t="n">
        <x:v>0</x:v>
      </x:c>
      <x:c r="F47" s="26" t="n">
        <x:v>1800</x:v>
      </x:c>
      <x:c r="G47" s="27" t="n">
        <x:v>0</x:v>
      </x:c>
      <x:c r="H47" s="27"/>
      <x:c r="I47" s="2" t="str">
        <x:v>D13</x:v>
      </x:c>
      <x:c r="J47" s="2" t="str">
        <x:v>Terraced House</x:v>
      </x:c>
      <x:c r="K47" s="28"/>
      <x:c r="L47" s="30" t="str">
        <x:v>Hard failure: Reported bedrooms 0; required &gt;= 1.</x:v>
      </x:c>
      <x:c r="M47" s="31" t="str">
        <x:v>No</x:v>
      </x:c>
      <x:c r="N47" s="30" t="str">
        <x:v>Soft evidence missing: floor area (sqft).</x:v>
      </x:c>
      <x:c r="O47" s="30" t="str">
        <x:v>https://www.propertyguru.com.sg/listing/for-rent-sennett-estate-500279215</x:v>
      </x:c>
    </x:row>
    <x:row r="48" ht="52" customHeight="1">
      <x:c r="A48" s="2" t="str">
        <x:v>S02</x:v>
      </x:c>
      <x:c r="B48" s="2" t="str">
        <x:v>S02-C17</x:v>
      </x:c>
      <x:c r="C48" s="2" t="str">
        <x:v>60104257</x:v>
      </x:c>
      <x:c r="D48" s="2" t="str">
        <x:v>Original</x:v>
      </x:c>
      <x:c r="E48" s="2" t="n">
        <x:v>0</x:v>
      </x:c>
      <x:c r="F48" s="26" t="n">
        <x:v>1800</x:v>
      </x:c>
      <x:c r="G48" s="27" t="n">
        <x:v>0</x:v>
      </x:c>
      <x:c r="H48" s="27"/>
      <x:c r="I48" s="2" t="str">
        <x:v>D14</x:v>
      </x:c>
      <x:c r="J48" s="2" t="str">
        <x:v>Terraced House</x:v>
      </x:c>
      <x:c r="K48" s="28"/>
      <x:c r="L48" s="30" t="str">
        <x:v>Hard failure: Reported bedrooms 0; required &gt;= 1.</x:v>
      </x:c>
      <x:c r="M48" s="31" t="str">
        <x:v>No</x:v>
      </x:c>
      <x:c r="N48" s="30" t="str">
        <x:v>Soft evidence missing: floor area (sqft).</x:v>
      </x:c>
      <x:c r="O48" s="30" t="str">
        <x:v>https://www.propertyguru.com.sg/listing/for-rent-10-lengkong-dua-near-kembangan-mrt-60104257</x:v>
      </x:c>
    </x:row>
    <x:row r="49" ht="52" customHeight="1">
      <x:c r="A49" s="2" t="str">
        <x:v>S02</x:v>
      </x:c>
      <x:c r="B49" s="2" t="str">
        <x:v>S02-C18</x:v>
      </x:c>
      <x:c r="C49" s="2" t="str">
        <x:v>500194135</x:v>
      </x:c>
      <x:c r="D49" s="2" t="str">
        <x:v>Original</x:v>
      </x:c>
      <x:c r="E49" s="2" t="n">
        <x:v>1</x:v>
      </x:c>
      <x:c r="F49" s="26" t="n">
        <x:v>1800</x:v>
      </x:c>
      <x:c r="G49" s="27" t="n">
        <x:v>1</x:v>
      </x:c>
      <x:c r="H49" s="27" t="n">
        <x:v>150</x:v>
      </x:c>
      <x:c r="I49" s="2" t="str">
        <x:v>D21</x:v>
      </x:c>
      <x:c r="J49" s="2" t="str">
        <x:v>Condominium</x:v>
      </x:c>
      <x:c r="K49" s="28"/>
      <x:c r="L49" s="30" t="str">
        <x:v>Hard requirements pass. area 150 sqft. A small reported area compared with the 517-1,000 sqft qualifying alternatives.</x:v>
      </x:c>
      <x:c r="M49" s="31" t="str">
        <x:v>No</x:v>
      </x:c>
      <x:c r="N49" s="30" t="str"/>
      <x:c r="O49" s="30" t="str">
        <x:v>https://www.propertyguru.com.sg/listing/for-rent-high-oak-condo-500194135</x:v>
      </x:c>
    </x:row>
    <x:row r="50" ht="52" customHeight="1">
      <x:c r="A50" s="2" t="str">
        <x:v>S02</x:v>
      </x:c>
      <x:c r="B50" s="2" t="str">
        <x:v>S02-C19</x:v>
      </x:c>
      <x:c r="C50" s="2" t="str">
        <x:v>500261905</x:v>
      </x:c>
      <x:c r="D50" s="2" t="str">
        <x:v>Original</x:v>
      </x:c>
      <x:c r="E50" s="2" t="n">
        <x:v>1</x:v>
      </x:c>
      <x:c r="F50" s="26" t="n">
        <x:v>1800</x:v>
      </x:c>
      <x:c r="G50" s="27" t="n">
        <x:v>1</x:v>
      </x:c>
      <x:c r="H50" s="27" t="n">
        <x:v>10</x:v>
      </x:c>
      <x:c r="I50" s="2" t="str">
        <x:v>D08</x:v>
      </x:c>
      <x:c r="J50" s="2" t="str">
        <x:v>Condominium</x:v>
      </x:c>
      <x:c r="K50" s="28"/>
      <x:c r="L50" s="30" t="str">
        <x:v>Hard requirements pass. area 10 sqft. A small reported area compared with the 517-1,000 sqft qualifying alternatives.</x:v>
      </x:c>
      <x:c r="M50" s="31" t="str">
        <x:v>Yes</x:v>
      </x:c>
      <x:c r="N50" s="30" t="str">
        <x:v>Very small reported floor area (&lt;50 sqft); verify its unit and scope.</x:v>
      </x:c>
      <x:c r="O50" s="30" t="str">
        <x:v>https://www.propertyguru.com.sg/listing/for-rent-piccadilly-galleria-500261905</x:v>
      </x:c>
    </x:row>
    <x:row r="51" ht="52" customHeight="1">
      <x:c r="A51" s="2" t="str">
        <x:v>S02</x:v>
      </x:c>
      <x:c r="B51" s="2" t="str">
        <x:v>S02-C20</x:v>
      </x:c>
      <x:c r="C51" s="2" t="str">
        <x:v>500273560</x:v>
      </x:c>
      <x:c r="D51" s="2" t="str">
        <x:v>Original</x:v>
      </x:c>
      <x:c r="E51" s="2" t="n">
        <x:v>3</x:v>
      </x:c>
      <x:c r="F51" s="26" t="n">
        <x:v>1800</x:v>
      </x:c>
      <x:c r="G51" s="27" t="n">
        <x:v>1</x:v>
      </x:c>
      <x:c r="H51" s="27" t="n">
        <x:v>1000</x:v>
      </x:c>
      <x:c r="I51" s="2" t="str">
        <x:v>D08</x:v>
      </x:c>
      <x:c r="J51" s="2" t="str">
        <x:v>Terraced House</x:v>
      </x:c>
      <x:c r="K51" s="28"/>
      <x:c r="L51" s="30" t="str">
        <x:v>Hard requirements pass. area 1,000 sqft. Among the largest reported areas in this exact-rent candidate set.</x:v>
      </x:c>
      <x:c r="M51" s="31" t="str">
        <x:v>No</x:v>
      </x:c>
      <x:c r="N51" s="30" t="str"/>
      <x:c r="O51" s="30" t="str">
        <x:v>https://www.propertyguru.com.sg/listing/for-rent-hindoo-road-500273560</x:v>
      </x:c>
    </x:row>
    <x:row r="52" ht="52" customHeight="1">
      <x:c r="A52" s="2" t="str">
        <x:v>S02</x:v>
      </x:c>
      <x:c r="B52" s="2" t="str">
        <x:v>S02-C21</x:v>
      </x:c>
      <x:c r="C52" s="2" t="str">
        <x:v>500288393</x:v>
      </x:c>
      <x:c r="D52" s="2" t="str">
        <x:v>Original</x:v>
      </x:c>
      <x:c r="E52" s="2" t="n">
        <x:v>2</x:v>
      </x:c>
      <x:c r="F52" s="26" t="n">
        <x:v>1800</x:v>
      </x:c>
      <x:c r="G52" s="27" t="n">
        <x:v>1</x:v>
      </x:c>
      <x:c r="H52" s="27" t="n">
        <x:v>517</x:v>
      </x:c>
      <x:c r="I52" s="2" t="str">
        <x:v>D28</x:v>
      </x:c>
      <x:c r="J52" s="2" t="str">
        <x:v>HDB Flat</x:v>
      </x:c>
      <x:c r="K52" s="28" t="n">
        <x:v>14813.495376275148</x:v>
      </x:c>
      <x:c r="L52" s="30" t="str">
        <x:v>Hard requirements pass. area 517 sqft. A meaningful size advantage over the small options, with larger choices still available.</x:v>
      </x:c>
      <x:c r="M52" s="31" t="str">
        <x:v>No</x:v>
      </x:c>
      <x:c r="N52" s="30" t="str"/>
      <x:c r="O52" s="30" t="str">
        <x:v>https://www.propertyguru.com.sg/listing/hdb-for-rent-455a-sengkang-west-avenue-500288393</x:v>
      </x:c>
    </x:row>
    <x:row r="53" ht="52" customHeight="1">
      <x:c r="A53" s="2" t="str">
        <x:v>S02</x:v>
      </x:c>
      <x:c r="B53" s="2" t="str">
        <x:v>S02-C22</x:v>
      </x:c>
      <x:c r="C53" s="2" t="str">
        <x:v>24359119</x:v>
      </x:c>
      <x:c r="D53" s="2" t="str">
        <x:v>Original</x:v>
      </x:c>
      <x:c r="E53" s="2" t="n">
        <x:v>2</x:v>
      </x:c>
      <x:c r="F53" s="26" t="n">
        <x:v>1800</x:v>
      </x:c>
      <x:c r="G53" s="27" t="n">
        <x:v>1</x:v>
      </x:c>
      <x:c r="H53" s="27" t="n">
        <x:v>650</x:v>
      </x:c>
      <x:c r="I53" s="2" t="str">
        <x:v>D28</x:v>
      </x:c>
      <x:c r="J53" s="2" t="str">
        <x:v>Corner Terrace</x:v>
      </x:c>
      <x:c r="K53" s="28"/>
      <x:c r="L53" s="30" t="str">
        <x:v>Hard requirements pass. area 650 sqft. A meaningful size advantage over the small options, with larger choices still available.</x:v>
      </x:c>
      <x:c r="M53" s="31" t="str">
        <x:v>No</x:v>
      </x:c>
      <x:c r="N53" s="30" t="str"/>
      <x:c r="O53" s="30" t="str">
        <x:v>https://www.propertyguru.com.sg/listing/for-rent-yio-chu-kang-24359119</x:v>
      </x:c>
    </x:row>
    <x:row r="54" ht="52" customHeight="1">
      <x:c r="A54" s="2" t="str">
        <x:v>S02</x:v>
      </x:c>
      <x:c r="B54" s="2" t="str">
        <x:v>S02-C23</x:v>
      </x:c>
      <x:c r="C54" s="2" t="str">
        <x:v>24675519</x:v>
      </x:c>
      <x:c r="D54" s="2" t="str">
        <x:v>Original</x:v>
      </x:c>
      <x:c r="E54" s="2" t="str">
        <x:v>U</x:v>
      </x:c>
      <x:c r="F54" s="26" t="n">
        <x:v>1800</x:v>
      </x:c>
      <x:c r="G54" s="27"/>
      <x:c r="H54" s="27" t="n">
        <x:v>250</x:v>
      </x:c>
      <x:c r="I54" s="2" t="str">
        <x:v>D14</x:v>
      </x:c>
      <x:c r="J54" s="2" t="str">
        <x:v>Apartment</x:v>
      </x:c>
      <x:c r="K54" s="28"/>
      <x:c r="L54" s="30" t="str">
        <x:v>No known hard failure. Cannot verify: reported bedrooms.</x:v>
      </x:c>
      <x:c r="M54" s="31" t="str">
        <x:v>No</x:v>
      </x:c>
      <x:c r="N54" s="30" t="str">
        <x:v>Reported bedrooms Unknown; required &gt;= 1.</x:v>
      </x:c>
      <x:c r="O54" s="30" t="str">
        <x:v>https://www.propertyguru.com.sg/listing/for-rent-1-loft-24675519</x:v>
      </x:c>
    </x:row>
    <x:row r="55" ht="52" customHeight="1">
      <x:c r="A55" s="2" t="str">
        <x:v>S02</x:v>
      </x:c>
      <x:c r="B55" s="2" t="str">
        <x:v>S02-C24</x:v>
      </x:c>
      <x:c r="C55" s="2" t="str">
        <x:v>500280806</x:v>
      </x:c>
      <x:c r="D55" s="2" t="str">
        <x:v>Original</x:v>
      </x:c>
      <x:c r="E55" s="2" t="n">
        <x:v>1</x:v>
      </x:c>
      <x:c r="F55" s="26" t="n">
        <x:v>1800</x:v>
      </x:c>
      <x:c r="G55" s="27" t="n">
        <x:v>1</x:v>
      </x:c>
      <x:c r="H55" s="27" t="n">
        <x:v>150</x:v>
      </x:c>
      <x:c r="I55" s="2" t="str">
        <x:v>D27</x:v>
      </x:c>
      <x:c r="J55" s="2" t="str">
        <x:v>Condominium</x:v>
      </x:c>
      <x:c r="K55" s="28"/>
      <x:c r="L55" s="30" t="str">
        <x:v>Hard requirements pass. area 150 sqft. A small reported area compared with the 517-1,000 sqft qualifying alternatives.</x:v>
      </x:c>
      <x:c r="M55" s="31" t="str">
        <x:v>No</x:v>
      </x:c>
      <x:c r="N55" s="30" t="str"/>
      <x:c r="O55" s="30" t="str">
        <x:v>https://www.propertyguru.com.sg/listing/for-rent-miltonia-residences-500280806</x:v>
      </x:c>
    </x:row>
    <x:row r="56" ht="52" customHeight="1">
      <x:c r="A56" s="2" t="str">
        <x:v>S02</x:v>
      </x:c>
      <x:c r="B56" s="2" t="str">
        <x:v>S02-C25</x:v>
      </x:c>
      <x:c r="C56" s="2" t="str">
        <x:v>500283813</x:v>
      </x:c>
      <x:c r="D56" s="2" t="str">
        <x:v>Original</x:v>
      </x:c>
      <x:c r="E56" s="2" t="n">
        <x:v>1</x:v>
      </x:c>
      <x:c r="F56" s="26" t="n">
        <x:v>1800</x:v>
      </x:c>
      <x:c r="G56" s="27" t="n">
        <x:v>1</x:v>
      </x:c>
      <x:c r="H56" s="27" t="n">
        <x:v>200</x:v>
      </x:c>
      <x:c r="I56" s="2" t="str">
        <x:v>D16</x:v>
      </x:c>
      <x:c r="J56" s="2" t="str">
        <x:v>Condominium</x:v>
      </x:c>
      <x:c r="K56" s="28"/>
      <x:c r="L56" s="30" t="str">
        <x:v>Hard requirements pass. area 200 sqft. A small reported area compared with the 517-1,000 sqft qualifying alternatives.</x:v>
      </x:c>
      <x:c r="M56" s="31" t="str">
        <x:v>No</x:v>
      </x:c>
      <x:c r="N56" s="30" t="str"/>
      <x:c r="O56" s="30" t="str">
        <x:v>https://www.propertyguru.com.sg/listing/for-rent-changi-court-500283813</x:v>
      </x:c>
    </x:row>
    <x:row r="57" ht="52" customHeight="1">
      <x:c r="A57" s="2" t="str">
        <x:v>S03</x:v>
      </x:c>
      <x:c r="B57" s="2" t="str">
        <x:v>S03-C01</x:v>
      </x:c>
      <x:c r="C57" s="2" t="str">
        <x:v>500224932</x:v>
      </x:c>
      <x:c r="D57" s="2" t="str">
        <x:v>Original</x:v>
      </x:c>
      <x:c r="E57" s="2" t="n">
        <x:v>0</x:v>
      </x:c>
      <x:c r="F57" s="26" t="n">
        <x:v>2550</x:v>
      </x:c>
      <x:c r="G57" s="27"/>
      <x:c r="H57" s="27" t="n">
        <x:v>150</x:v>
      </x:c>
      <x:c r="I57" s="2" t="str">
        <x:v>D19</x:v>
      </x:c>
      <x:c r="J57" s="2" t="str">
        <x:v>Apartment</x:v>
      </x:c>
      <x:c r="K57" s="28"/>
      <x:c r="L57" s="30" t="str">
        <x:v>Hard failure: Rent (SGD/month) 2,550; required &lt;= 2,500.</x:v>
      </x:c>
      <x:c r="M57" s="31" t="str">
        <x:v>No</x:v>
      </x:c>
      <x:c r="N57" s="30" t="str">
        <x:v>Reported bedrooms Unknown; required &gt;= 2.</x:v>
      </x:c>
      <x:c r="O57" s="30" t="str">
        <x:v>https://www.propertyguru.com.sg/listing/for-rent-serangoon-mrt-500224932</x:v>
      </x:c>
    </x:row>
    <x:row r="58" ht="52" customHeight="1">
      <x:c r="A58" s="2" t="str">
        <x:v>S03</x:v>
      </x:c>
      <x:c r="B58" s="2" t="str">
        <x:v>S03-C02</x:v>
      </x:c>
      <x:c r="C58" s="2" t="str">
        <x:v>500269618</x:v>
      </x:c>
      <x:c r="D58" s="2" t="str">
        <x:v>Original</x:v>
      </x:c>
      <x:c r="E58" s="2" t="n">
        <x:v>1</x:v>
      </x:c>
      <x:c r="F58" s="26" t="n">
        <x:v>1100</x:v>
      </x:c>
      <x:c r="G58" s="27" t="n">
        <x:v>3</x:v>
      </x:c>
      <x:c r="H58" s="27" t="n">
        <x:v>947</x:v>
      </x:c>
      <x:c r="I58" s="2" t="str">
        <x:v>D20</x:v>
      </x:c>
      <x:c r="J58" s="2" t="str">
        <x:v>HDB Flat</x:v>
      </x:c>
      <x:c r="K58" s="28" t="n">
        <x:v>9322.678441856815</x:v>
      </x:c>
      <x:c r="L58" s="30" t="str">
        <x:v>Hard requirements pass. D20, SGD 1,100/month. The primary D05 preference is unmet. Lower rent cannot establish a strong location fit; other districts remain hard-eligible.</x:v>
      </x:c>
      <x:c r="M58" s="31" t="str">
        <x:v>No</x:v>
      </x:c>
      <x:c r="N58" s="30" t="str"/>
      <x:c r="O58" s="30" t="str">
        <x:v>https://www.propertyguru.com.sg/listing/hdb-for-rent-25-sin-ming-road-500269618</x:v>
      </x:c>
    </x:row>
    <x:row r="59" ht="52" customHeight="1">
      <x:c r="A59" s="2" t="str">
        <x:v>S03</x:v>
      </x:c>
      <x:c r="B59" s="2" t="str">
        <x:v>S03-C03</x:v>
      </x:c>
      <x:c r="C59" s="2" t="str">
        <x:v>500274301</x:v>
      </x:c>
      <x:c r="D59" s="2" t="str">
        <x:v>Original</x:v>
      </x:c>
      <x:c r="E59" s="2" t="n">
        <x:v>1</x:v>
      </x:c>
      <x:c r="F59" s="26" t="n">
        <x:v>2200</x:v>
      </x:c>
      <x:c r="G59" s="27" t="n">
        <x:v>2</x:v>
      </x:c>
      <x:c r="H59" s="27" t="n">
        <x:v>700</x:v>
      </x:c>
      <x:c r="I59" s="2" t="str">
        <x:v>D27</x:v>
      </x:c>
      <x:c r="J59" s="2" t="str">
        <x:v>HDB Flat</x:v>
      </x:c>
      <x:c r="K59" s="28" t="n">
        <x:v>16904.8320926275</x:v>
      </x:c>
      <x:c r="L59" s="30" t="str">
        <x:v>Hard requirements pass. D27, SGD 2,200/month. The primary D05 preference is unmet. Lower rent cannot establish a strong location fit; other districts remain hard-eligible.</x:v>
      </x:c>
      <x:c r="M59" s="31" t="str">
        <x:v>No</x:v>
      </x:c>
      <x:c r="N59" s="30" t="str"/>
      <x:c r="O59" s="30" t="str">
        <x:v>https://www.propertyguru.com.sg/listing/hdb-for-rent-478a-yishun-street-44-500274301</x:v>
      </x:c>
    </x:row>
    <x:row r="60" ht="52" customHeight="1">
      <x:c r="A60" s="2" t="str">
        <x:v>S03</x:v>
      </x:c>
      <x:c r="B60" s="2" t="str">
        <x:v>S03-C04</x:v>
      </x:c>
      <x:c r="C60" s="2" t="str">
        <x:v>25280571</x:v>
      </x:c>
      <x:c r="D60" s="2" t="str">
        <x:v>Original</x:v>
      </x:c>
      <x:c r="E60" s="2" t="n">
        <x:v>1</x:v>
      </x:c>
      <x:c r="F60" s="26" t="n">
        <x:v>1200</x:v>
      </x:c>
      <x:c r="G60" s="27" t="n">
        <x:v>2</x:v>
      </x:c>
      <x:c r="H60" s="27" t="n">
        <x:v>300</x:v>
      </x:c>
      <x:c r="I60" s="2" t="str">
        <x:v>D08</x:v>
      </x:c>
      <x:c r="J60" s="2" t="str">
        <x:v>HDB Flat</x:v>
      </x:c>
      <x:c r="K60" s="28" t="n">
        <x:v>8155.196101310262</x:v>
      </x:c>
      <x:c r="L60" s="30" t="str">
        <x:v>Hard requirements pass. D08, SGD 1,200/month. The primary D05 preference is unmet. Lower rent cannot establish a strong location fit; other districts remain hard-eligible.</x:v>
      </x:c>
      <x:c r="M60" s="31" t="str">
        <x:v>No</x:v>
      </x:c>
      <x:c r="N60" s="30" t="str"/>
      <x:c r="O60" s="30" t="str">
        <x:v>https://www.propertyguru.com.sg/listing/hdb-for-rent-661-buffalo-road-25280571</x:v>
      </x:c>
    </x:row>
    <x:row r="61" ht="52" customHeight="1">
      <x:c r="A61" s="2" t="str">
        <x:v>S03</x:v>
      </x:c>
      <x:c r="B61" s="2" t="str">
        <x:v>S03-C05</x:v>
      </x:c>
      <x:c r="C61" s="2" t="str">
        <x:v>25369032</x:v>
      </x:c>
      <x:c r="D61" s="2" t="str">
        <x:v>Original</x:v>
      </x:c>
      <x:c r="E61" s="2" t="n">
        <x:v>1</x:v>
      </x:c>
      <x:c r="F61" s="26" t="n">
        <x:v>2500</x:v>
      </x:c>
      <x:c r="G61" s="27" t="n">
        <x:v>2</x:v>
      </x:c>
      <x:c r="H61" s="27" t="n">
        <x:v>700</x:v>
      </x:c>
      <x:c r="I61" s="2" t="str">
        <x:v>D25</x:v>
      </x:c>
      <x:c r="J61" s="2" t="str">
        <x:v>HDB Flat</x:v>
      </x:c>
      <x:c r="K61" s="28" t="n">
        <x:v>15742.170559566377</x:v>
      </x:c>
      <x:c r="L61" s="30" t="str">
        <x:v>Hard requirements pass. D25, SGD 2,500/month. The primary D05 preference is unmet. Lower rent cannot establish a strong location fit; other districts remain hard-eligible.</x:v>
      </x:c>
      <x:c r="M61" s="31" t="str">
        <x:v>No</x:v>
      </x:c>
      <x:c r="N61" s="30" t="str"/>
      <x:c r="O61" s="30" t="str">
        <x:v>https://www.propertyguru.com.sg/listing/hdb-for-rent-129-marsiling-rise-25369032</x:v>
      </x:c>
    </x:row>
    <x:row r="62" ht="52" customHeight="1">
      <x:c r="A62" s="2" t="str">
        <x:v>S03</x:v>
      </x:c>
      <x:c r="B62" s="2" t="str">
        <x:v>S03-C06</x:v>
      </x:c>
      <x:c r="C62" s="2" t="str">
        <x:v>24637792</x:v>
      </x:c>
      <x:c r="D62" s="2" t="str">
        <x:v>Original</x:v>
      </x:c>
      <x:c r="E62" s="2" t="str">
        <x:v>U</x:v>
      </x:c>
      <x:c r="F62" s="26" t="n">
        <x:v>2500</x:v>
      </x:c>
      <x:c r="G62" s="27"/>
      <x:c r="H62" s="27" t="n">
        <x:v>200</x:v>
      </x:c>
      <x:c r="I62" s="2" t="str">
        <x:v>D09</x:v>
      </x:c>
      <x:c r="J62" s="2" t="str">
        <x:v>Apartment</x:v>
      </x:c>
      <x:c r="K62" s="28"/>
      <x:c r="L62" s="30" t="str">
        <x:v>No known hard failure. Cannot verify: reported bedrooms.</x:v>
      </x:c>
      <x:c r="M62" s="31" t="str">
        <x:v>No</x:v>
      </x:c>
      <x:c r="N62" s="30" t="str">
        <x:v>Reported bedrooms Unknown; required &gt;= 2.</x:v>
      </x:c>
      <x:c r="O62" s="30" t="str">
        <x:v>https://www.propertyguru.com.sg/listing/for-rent-coliwoo-orchard-suit-for-short-or-long-term-stay-rental-professional-expat-or-student-24637792</x:v>
      </x:c>
    </x:row>
    <x:row r="63" ht="52" customHeight="1">
      <x:c r="A63" s="2" t="str">
        <x:v>S03</x:v>
      </x:c>
      <x:c r="B63" s="2" t="str">
        <x:v>S03-C07</x:v>
      </x:c>
      <x:c r="C63" s="2" t="str">
        <x:v>500281545</x:v>
      </x:c>
      <x:c r="D63" s="2" t="str">
        <x:v>Original</x:v>
      </x:c>
      <x:c r="E63" s="2" t="n">
        <x:v>1</x:v>
      </x:c>
      <x:c r="F63" s="26" t="n">
        <x:v>700</x:v>
      </x:c>
      <x:c r="G63" s="27" t="n">
        <x:v>3</x:v>
      </x:c>
      <x:c r="H63" s="27" t="n">
        <x:v>904</x:v>
      </x:c>
      <x:c r="I63" s="2" t="str">
        <x:v>D18</x:v>
      </x:c>
      <x:c r="J63" s="2" t="str">
        <x:v>HDB Flat</x:v>
      </x:c>
      <x:c r="K63" s="28" t="n">
        <x:v>18577.203300588288</x:v>
      </x:c>
      <x:c r="L63" s="30" t="str">
        <x:v>Hard requirements pass. D18, SGD 700/month. The primary D05 preference is unmet. Lower rent cannot establish a strong location fit; other districts remain hard-eligible.</x:v>
      </x:c>
      <x:c r="M63" s="31" t="str">
        <x:v>No</x:v>
      </x:c>
      <x:c r="N63" s="30" t="str"/>
      <x:c r="O63" s="30" t="str">
        <x:v>https://www.propertyguru.com.sg/listing/hdb-for-rent-832-tampines-street-82-500281545</x:v>
      </x:c>
    </x:row>
    <x:row r="64" ht="52" customHeight="1">
      <x:c r="A64" s="2" t="str">
        <x:v>S03</x:v>
      </x:c>
      <x:c r="B64" s="2" t="str">
        <x:v>S03-C08</x:v>
      </x:c>
      <x:c r="C64" s="2" t="str">
        <x:v>500249442</x:v>
      </x:c>
      <x:c r="D64" s="2" t="str">
        <x:v>Original</x:v>
      </x:c>
      <x:c r="E64" s="2" t="n">
        <x:v>1</x:v>
      </x:c>
      <x:c r="F64" s="26" t="n">
        <x:v>2500</x:v>
      </x:c>
      <x:c r="G64" s="27" t="n">
        <x:v>2</x:v>
      </x:c>
      <x:c r="H64" s="27" t="n">
        <x:v>721</x:v>
      </x:c>
      <x:c r="I64" s="2" t="str">
        <x:v>D19</x:v>
      </x:c>
      <x:c r="J64" s="2" t="str">
        <x:v>HDB Flat</x:v>
      </x:c>
      <x:c r="K64" s="28" t="n">
        <x:v>15253.950962182036</x:v>
      </x:c>
      <x:c r="L64" s="30" t="str">
        <x:v>Hard requirements pass. D19, SGD 2,500/month. The primary D05 preference is unmet. Lower rent cannot establish a strong location fit; other districts remain hard-eligible.</x:v>
      </x:c>
      <x:c r="M64" s="31" t="str">
        <x:v>No</x:v>
      </x:c>
      <x:c r="N64" s="30" t="str"/>
      <x:c r="O64" s="30" t="str">
        <x:v>https://www.propertyguru.com.sg/listing/hdb-for-rent-309-hougang-avenue-5-500249442</x:v>
      </x:c>
    </x:row>
    <x:row r="65" ht="52" customHeight="1">
      <x:c r="A65" s="2" t="str">
        <x:v>S03</x:v>
      </x:c>
      <x:c r="B65" s="2" t="str">
        <x:v>S03-C09</x:v>
      </x:c>
      <x:c r="C65" s="2" t="str">
        <x:v>500263724</x:v>
      </x:c>
      <x:c r="D65" s="2" t="str">
        <x:v>Original</x:v>
      </x:c>
      <x:c r="E65" s="2" t="n">
        <x:v>0</x:v>
      </x:c>
      <x:c r="F65" s="26" t="n">
        <x:v>2540</x:v>
      </x:c>
      <x:c r="G65" s="27"/>
      <x:c r="H65" s="27" t="n">
        <x:v>200</x:v>
      </x:c>
      <x:c r="I65" s="2" t="str">
        <x:v>D17</x:v>
      </x:c>
      <x:c r="J65" s="2" t="str">
        <x:v>Apartment</x:v>
      </x:c>
      <x:c r="K65" s="28"/>
      <x:c r="L65" s="30" t="str">
        <x:v>Hard failure: Rent (SGD/month) 2,540; required &lt;= 2,500.</x:v>
      </x:c>
      <x:c r="M65" s="31" t="str">
        <x:v>No</x:v>
      </x:c>
      <x:c r="N65" s="30" t="str">
        <x:v>Reported bedrooms Unknown; required &gt;= 2.</x:v>
      </x:c>
      <x:c r="O65" s="30" t="str">
        <x:v>https://www.propertyguru.com.sg/listing/for-rent-coliwoo-changi-resort-500263724</x:v>
      </x:c>
    </x:row>
    <x:row r="66" ht="52" customHeight="1">
      <x:c r="A66" s="2" t="str">
        <x:v>S03</x:v>
      </x:c>
      <x:c r="B66" s="2" t="str">
        <x:v>S03-C10</x:v>
      </x:c>
      <x:c r="C66" s="2" t="str">
        <x:v>500278672</x:v>
      </x:c>
      <x:c r="D66" s="2" t="str">
        <x:v>Original</x:v>
      </x:c>
      <x:c r="E66" s="2" t="n">
        <x:v>0</x:v>
      </x:c>
      <x:c r="F66" s="26" t="n">
        <x:v>2550</x:v>
      </x:c>
      <x:c r="G66" s="27"/>
      <x:c r="H66" s="27" t="n">
        <x:v>301</x:v>
      </x:c>
      <x:c r="I66" s="2" t="str">
        <x:v>D12</x:v>
      </x:c>
      <x:c r="J66" s="2" t="str">
        <x:v>Condominium</x:v>
      </x:c>
      <x:c r="K66" s="28"/>
      <x:c r="L66" s="30" t="str">
        <x:v>Hard failure: Rent (SGD/month) 2,550; required &lt;= 2,500.</x:v>
      </x:c>
      <x:c r="M66" s="31" t="str">
        <x:v>No</x:v>
      </x:c>
      <x:c r="N66" s="30" t="str">
        <x:v>Reported bedrooms Unknown; required &gt;= 2.</x:v>
      </x:c>
      <x:c r="O66" s="30" t="str">
        <x:v>https://www.propertyguru.com.sg/listing/for-rent-gem-residences-500278672</x:v>
      </x:c>
    </x:row>
    <x:row r="67" ht="52" customHeight="1">
      <x:c r="A67" s="2" t="str">
        <x:v>S03</x:v>
      </x:c>
      <x:c r="B67" s="2" t="str">
        <x:v>S03-C11</x:v>
      </x:c>
      <x:c r="C67" s="2" t="str">
        <x:v>500273485</x:v>
      </x:c>
      <x:c r="D67" s="2" t="str">
        <x:v>Original</x:v>
      </x:c>
      <x:c r="E67" s="2" t="n">
        <x:v>1</x:v>
      </x:c>
      <x:c r="F67" s="26" t="n">
        <x:v>2500</x:v>
      </x:c>
      <x:c r="G67" s="27" t="n">
        <x:v>2</x:v>
      </x:c>
      <x:c r="H67" s="27" t="n">
        <x:v>690</x:v>
      </x:c>
      <x:c r="I67" s="2" t="str">
        <x:v>D19</x:v>
      </x:c>
      <x:c r="J67" s="2" t="str">
        <x:v>HDB Flat</x:v>
      </x:c>
      <x:c r="K67" s="28" t="n">
        <x:v>14874.751267225722</x:v>
      </x:c>
      <x:c r="L67" s="30" t="str">
        <x:v>Hard requirements pass. D19, SGD 2,500/month. The primary D05 preference is unmet. Lower rent cannot establish a strong location fit; other districts remain hard-eligible.</x:v>
      </x:c>
      <x:c r="M67" s="31" t="str">
        <x:v>No</x:v>
      </x:c>
      <x:c r="N67" s="30" t="str"/>
      <x:c r="O67" s="30" t="str">
        <x:v>https://www.propertyguru.com.sg/listing/hdb-for-rent-2-hougang-avenue-3-500273485</x:v>
      </x:c>
    </x:row>
    <x:row r="68" ht="52" customHeight="1">
      <x:c r="A68" s="2" t="str">
        <x:v>S03</x:v>
      </x:c>
      <x:c r="B68" s="2" t="str">
        <x:v>S03-C12</x:v>
      </x:c>
      <x:c r="C68" s="2" t="str">
        <x:v>500256762</x:v>
      </x:c>
      <x:c r="D68" s="2" t="str">
        <x:v>Original</x:v>
      </x:c>
      <x:c r="E68" s="2" t="n">
        <x:v>1</x:v>
      </x:c>
      <x:c r="F68" s="26" t="n">
        <x:v>2300</x:v>
      </x:c>
      <x:c r="G68" s="27" t="n">
        <x:v>2</x:v>
      </x:c>
      <x:c r="H68" s="27" t="n">
        <x:v>200</x:v>
      </x:c>
      <x:c r="I68" s="2" t="str">
        <x:v>D19</x:v>
      </x:c>
      <x:c r="J68" s="2" t="str">
        <x:v>HDB Flat</x:v>
      </x:c>
      <x:c r="K68" s="28" t="n">
        <x:v>14804.014689821897</x:v>
      </x:c>
      <x:c r="L68" s="30" t="str">
        <x:v>Hard requirements pass. D19, SGD 2,300/month. The primary D05 preference is unmet. Lower rent cannot establish a strong location fit; other districts remain hard-eligible.</x:v>
      </x:c>
      <x:c r="M68" s="31" t="str">
        <x:v>No</x:v>
      </x:c>
      <x:c r="N68" s="30" t="str"/>
      <x:c r="O68" s="30" t="str">
        <x:v>https://www.propertyguru.com.sg/listing/hdb-for-rent-980b-buangkok-crescent-500256762</x:v>
      </x:c>
    </x:row>
    <x:row r="69" ht="52" customHeight="1">
      <x:c r="A69" s="2" t="str">
        <x:v>S03</x:v>
      </x:c>
      <x:c r="B69" s="2" t="str">
        <x:v>S03-C13</x:v>
      </x:c>
      <x:c r="C69" s="2" t="str">
        <x:v>500207090</x:v>
      </x:c>
      <x:c r="D69" s="2" t="str">
        <x:v>Original</x:v>
      </x:c>
      <x:c r="E69" s="2" t="str">
        <x:v>U</x:v>
      </x:c>
      <x:c r="F69" s="26" t="n">
        <x:v>2500</x:v>
      </x:c>
      <x:c r="G69" s="27"/>
      <x:c r="H69" s="27" t="n">
        <x:v>250</x:v>
      </x:c>
      <x:c r="I69" s="2" t="str">
        <x:v>D09</x:v>
      </x:c>
      <x:c r="J69" s="2" t="str">
        <x:v>Apartment</x:v>
      </x:c>
      <x:c r="K69" s="28"/>
      <x:c r="L69" s="30" t="str">
        <x:v>No known hard failure. Cannot verify: reported bedrooms.</x:v>
      </x:c>
      <x:c r="M69" s="31" t="str">
        <x:v>No</x:v>
      </x:c>
      <x:c r="N69" s="30" t="str">
        <x:v>Reported bedrooms Unknown; required &gt;= 2.</x:v>
      </x:c>
      <x:c r="O69" s="30" t="str">
        <x:v>https://www.propertyguru.com.sg/listing/for-rent-coliwoo-orchard-mins-walk-to-mrt-mount-elizabeth-shopping-500207090</x:v>
      </x:c>
    </x:row>
    <x:row r="70" ht="52" customHeight="1">
      <x:c r="A70" s="2" t="str">
        <x:v>S03</x:v>
      </x:c>
      <x:c r="B70" s="2" t="str">
        <x:v>S03-C14</x:v>
      </x:c>
      <x:c r="C70" s="2" t="str">
        <x:v>12620560</x:v>
      </x:c>
      <x:c r="D70" s="2" t="str">
        <x:v>Original</x:v>
      </x:c>
      <x:c r="E70" s="2" t="n">
        <x:v>0</x:v>
      </x:c>
      <x:c r="F70" s="26" t="n">
        <x:v>850</x:v>
      </x:c>
      <x:c r="G70" s="27" t="n">
        <x:v>1</x:v>
      </x:c>
      <x:c r="H70" s="27" t="n">
        <x:v>1291</x:v>
      </x:c>
      <x:c r="I70" s="2" t="str">
        <x:v>D10</x:v>
      </x:c>
      <x:c r="J70" s="2" t="str">
        <x:v>HDB Flat</x:v>
      </x:c>
      <x:c r="K70" s="28" t="n">
        <x:v>4025.366698820432</x:v>
      </x:c>
      <x:c r="L70" s="30" t="str">
        <x:v>Hard failure: Reported bedrooms 1; required &gt;= 2.</x:v>
      </x:c>
      <x:c r="M70" s="31" t="str">
        <x:v>No</x:v>
      </x:c>
      <x:c r="N70" s="30" t="str"/>
      <x:c r="O70" s="30" t="str">
        <x:v>https://www.propertyguru.com.sg/listing/hdb-for-rent-1-queen-s-road-12620560</x:v>
      </x:c>
    </x:row>
    <x:row r="71" ht="52" customHeight="1">
      <x:c r="A71" s="2" t="str">
        <x:v>S03</x:v>
      </x:c>
      <x:c r="B71" s="2" t="str">
        <x:v>S03-C15</x:v>
      </x:c>
      <x:c r="C71" s="2" t="str">
        <x:v>21789856</x:v>
      </x:c>
      <x:c r="D71" s="2" t="str">
        <x:v>Original</x:v>
      </x:c>
      <x:c r="E71" s="2" t="n">
        <x:v>1</x:v>
      </x:c>
      <x:c r="F71" s="26" t="n">
        <x:v>2250</x:v>
      </x:c>
      <x:c r="G71" s="27" t="n">
        <x:v>2</x:v>
      </x:c>
      <x:c r="H71" s="27" t="n">
        <x:v>645</x:v>
      </x:c>
      <x:c r="I71" s="2" t="str">
        <x:v>D20</x:v>
      </x:c>
      <x:c r="J71" s="2" t="str">
        <x:v>HDB Flat</x:v>
      </x:c>
      <x:c r="K71" s="28" t="n">
        <x:v>9878.80498522199</x:v>
      </x:c>
      <x:c r="L71" s="30" t="str">
        <x:v>Hard requirements pass. D20, SGD 2,250/month. The primary D05 preference is unmet. Lower rent cannot establish a strong location fit; other districts remain hard-eligible.</x:v>
      </x:c>
      <x:c r="M71" s="31" t="str">
        <x:v>No</x:v>
      </x:c>
      <x:c r="N71" s="30" t="str"/>
      <x:c r="O71" s="30" t="str">
        <x:v>https://www.propertyguru.com.sg/listing/hdb-for-rent-137-bishan-street-12-21789856</x:v>
      </x:c>
    </x:row>
    <x:row r="72" ht="52" customHeight="1">
      <x:c r="A72" s="2" t="str">
        <x:v>S03</x:v>
      </x:c>
      <x:c r="B72" s="2" t="str">
        <x:v>S03-C16</x:v>
      </x:c>
      <x:c r="C72" s="2" t="str">
        <x:v>21320657</x:v>
      </x:c>
      <x:c r="D72" s="2" t="str">
        <x:v>Original</x:v>
      </x:c>
      <x:c r="E72" s="2" t="n">
        <x:v>0</x:v>
      </x:c>
      <x:c r="F72" s="26" t="n">
        <x:v>2200</x:v>
      </x:c>
      <x:c r="G72" s="27" t="n">
        <x:v>1</x:v>
      </x:c>
      <x:c r="H72" s="27" t="n">
        <x:v>377</x:v>
      </x:c>
      <x:c r="I72" s="2" t="str">
        <x:v>D18</x:v>
      </x:c>
      <x:c r="J72" s="2" t="str">
        <x:v>Condominium</x:v>
      </x:c>
      <x:c r="K72" s="28"/>
      <x:c r="L72" s="30" t="str">
        <x:v>Hard failure: Reported bedrooms 1; required &gt;= 2.</x:v>
      </x:c>
      <x:c r="M72" s="31" t="str">
        <x:v>No</x:v>
      </x:c>
      <x:c r="N72" s="30" t="str"/>
      <x:c r="O72" s="30" t="str">
        <x:v>https://www.propertyguru.com.sg/listing/for-rent-the-santorini-21320657</x:v>
      </x:c>
    </x:row>
    <x:row r="73" ht="52" customHeight="1">
      <x:c r="A73" s="2" t="str">
        <x:v>S03</x:v>
      </x:c>
      <x:c r="B73" s="2" t="str">
        <x:v>S03-C17</x:v>
      </x:c>
      <x:c r="C73" s="2" t="str">
        <x:v>24181068</x:v>
      </x:c>
      <x:c r="D73" s="2" t="str">
        <x:v>Original</x:v>
      </x:c>
      <x:c r="E73" s="2" t="n">
        <x:v>1</x:v>
      </x:c>
      <x:c r="F73" s="26" t="n">
        <x:v>2400</x:v>
      </x:c>
      <x:c r="G73" s="27" t="n">
        <x:v>2</x:v>
      </x:c>
      <x:c r="H73" s="27" t="n">
        <x:v>732</x:v>
      </x:c>
      <x:c r="I73" s="2" t="str">
        <x:v>D27</x:v>
      </x:c>
      <x:c r="J73" s="2" t="str">
        <x:v>HDB Flat</x:v>
      </x:c>
      <x:c r="K73" s="28" t="n">
        <x:v>16271.78410267093</x:v>
      </x:c>
      <x:c r="L73" s="30" t="str">
        <x:v>Hard requirements pass. D27, SGD 2,400/month. The primary D05 preference is unmet. Lower rent cannot establish a strong location fit; other districts remain hard-eligible.</x:v>
      </x:c>
      <x:c r="M73" s="31" t="str">
        <x:v>No</x:v>
      </x:c>
      <x:c r="N73" s="30" t="str"/>
      <x:c r="O73" s="30" t="str">
        <x:v>https://www.propertyguru.com.sg/listing/hdb-for-rent-134-yishun-street-11-24181068</x:v>
      </x:c>
    </x:row>
    <x:row r="74" ht="52" customHeight="1">
      <x:c r="A74" s="2" t="str">
        <x:v>S03</x:v>
      </x:c>
      <x:c r="B74" s="2" t="str">
        <x:v>S03-C18</x:v>
      </x:c>
      <x:c r="C74" s="2" t="str">
        <x:v>500127611</x:v>
      </x:c>
      <x:c r="D74" s="2" t="str">
        <x:v>Original</x:v>
      </x:c>
      <x:c r="E74" s="2" t="n">
        <x:v>1</x:v>
      </x:c>
      <x:c r="F74" s="26" t="n">
        <x:v>1450</x:v>
      </x:c>
      <x:c r="G74" s="27" t="n">
        <x:v>2</x:v>
      </x:c>
      <x:c r="H74" s="27" t="n">
        <x:v>100</x:v>
      </x:c>
      <x:c r="I74" s="2" t="str">
        <x:v>D10</x:v>
      </x:c>
      <x:c r="J74" s="2" t="str">
        <x:v>Walk-up Apartment</x:v>
      </x:c>
      <x:c r="K74" s="28"/>
      <x:c r="L74" s="30" t="str">
        <x:v>Hard requirements pass. D10, SGD 1,450/month. The primary D05 preference is unmet. Lower rent cannot establish a strong location fit; other districts remain hard-eligible.</x:v>
      </x:c>
      <x:c r="M74" s="31" t="str">
        <x:v>Yes</x:v>
      </x:c>
      <x:c r="N74" s="30" t="str">
        <x:v>At least 2 reported bedrooms with &lt;200 sqft; verify room/whole-unit scope and units.</x:v>
      </x:c>
      <x:c r="O74" s="30" t="str">
        <x:v>https://www.propertyguru.com.sg/listing/for-rent-sixth-avenue-walk-up-apartment-500127611</x:v>
      </x:c>
    </x:row>
    <x:row r="75" ht="52" customHeight="1">
      <x:c r="A75" s="2" t="str">
        <x:v>S03</x:v>
      </x:c>
      <x:c r="B75" s="2" t="str">
        <x:v>S03-C19</x:v>
      </x:c>
      <x:c r="C75" s="2" t="str">
        <x:v>21026007</x:v>
      </x:c>
      <x:c r="D75" s="2" t="str">
        <x:v>Original</x:v>
      </x:c>
      <x:c r="E75" s="2" t="n">
        <x:v>1</x:v>
      </x:c>
      <x:c r="F75" s="26" t="n">
        <x:v>450</x:v>
      </x:c>
      <x:c r="G75" s="27" t="n">
        <x:v>3</x:v>
      </x:c>
      <x:c r="H75" s="27" t="n">
        <x:v>100</x:v>
      </x:c>
      <x:c r="I75" s="2" t="str">
        <x:v>D25</x:v>
      </x:c>
      <x:c r="J75" s="2" t="str">
        <x:v>HDB Flat</x:v>
      </x:c>
      <x:c r="K75" s="28" t="n">
        <x:v>16744.33025757308</x:v>
      </x:c>
      <x:c r="L75" s="30" t="str">
        <x:v>Hard requirements pass. D25, SGD 450/month. The primary D05 preference is unmet. Lower rent cannot establish a strong location fit; other districts remain hard-eligible.</x:v>
      </x:c>
      <x:c r="M75" s="31" t="str">
        <x:v>Yes</x:v>
      </x:c>
      <x:c r="N75" s="30" t="str">
        <x:v>At least 2 reported bedrooms with &lt;200 sqft; verify room/whole-unit scope and units.</x:v>
      </x:c>
      <x:c r="O75" s="30" t="str">
        <x:v>https://www.propertyguru.com.sg/listing/hdb-for-rent-764a-woodlands-circle-21026007</x:v>
      </x:c>
    </x:row>
    <x:row r="76" ht="52" customHeight="1">
      <x:c r="A76" s="2" t="str">
        <x:v>S03</x:v>
      </x:c>
      <x:c r="B76" s="2" t="str">
        <x:v>S03-C20</x:v>
      </x:c>
      <x:c r="C76" s="2" t="str">
        <x:v>25408130</x:v>
      </x:c>
      <x:c r="D76" s="2" t="str">
        <x:v>Original</x:v>
      </x:c>
      <x:c r="E76" s="2" t="str">
        <x:v>U</x:v>
      </x:c>
      <x:c r="F76" s="26" t="n">
        <x:v>2400</x:v>
      </x:c>
      <x:c r="G76" s="27"/>
      <x:c r="H76" s="27" t="n">
        <x:v>150</x:v>
      </x:c>
      <x:c r="I76" s="2" t="str">
        <x:v>D09</x:v>
      </x:c>
      <x:c r="J76" s="2" t="str">
        <x:v>Apartment</x:v>
      </x:c>
      <x:c r="K76" s="28"/>
      <x:c r="L76" s="30" t="str">
        <x:v>No known hard failure. Cannot verify: reported bedrooms.</x:v>
      </x:c>
      <x:c r="M76" s="31" t="str">
        <x:v>No</x:v>
      </x:c>
      <x:c r="N76" s="30" t="str">
        <x:v>Reported bedrooms Unknown; required &gt;= 2.</x:v>
      </x:c>
      <x:c r="O76" s="30" t="str">
        <x:v>https://www.propertyguru.com.sg/listing/for-rent-coliwoo-river-valley-288-various-types-of-rooms-25408130</x:v>
      </x:c>
    </x:row>
    <x:row r="77" ht="52" customHeight="1">
      <x:c r="A77" s="2" t="str">
        <x:v>S03</x:v>
      </x:c>
      <x:c r="B77" s="2" t="str">
        <x:v>S03-C21</x:v>
      </x:c>
      <x:c r="C77" s="2" t="str">
        <x:v>60023928</x:v>
      </x:c>
      <x:c r="D77" s="2" t="str">
        <x:v>Original</x:v>
      </x:c>
      <x:c r="E77" s="2" t="n">
        <x:v>1</x:v>
      </x:c>
      <x:c r="F77" s="26" t="n">
        <x:v>800</x:v>
      </x:c>
      <x:c r="G77" s="27" t="n">
        <x:v>2</x:v>
      </x:c>
      <x:c r="H77" s="27" t="n">
        <x:v>120</x:v>
      </x:c>
      <x:c r="I77" s="2" t="str">
        <x:v>D27</x:v>
      </x:c>
      <x:c r="J77" s="2" t="str">
        <x:v>HDB Flat</x:v>
      </x:c>
      <x:c r="K77" s="28" t="n">
        <x:v>16336.918172271477</x:v>
      </x:c>
      <x:c r="L77" s="30" t="str">
        <x:v>Hard requirements pass. D27, SGD 800/month. The primary D05 preference is unmet. Lower rent cannot establish a strong location fit; other districts remain hard-eligible.</x:v>
      </x:c>
      <x:c r="M77" s="31" t="str">
        <x:v>Yes</x:v>
      </x:c>
      <x:c r="N77" s="30" t="str">
        <x:v>At least 2 reported bedrooms with &lt;200 sqft; verify room/whole-unit scope and units.</x:v>
      </x:c>
      <x:c r="O77" s="30" t="str">
        <x:v>https://www.propertyguru.com.sg/listing/hdb-for-rent-203-yishun-street-21-60023928</x:v>
      </x:c>
    </x:row>
    <x:row r="78" ht="52" customHeight="1">
      <x:c r="A78" s="2" t="str">
        <x:v>S03</x:v>
      </x:c>
      <x:c r="B78" s="2" t="str">
        <x:v>S03-C22</x:v>
      </x:c>
      <x:c r="C78" s="2" t="str">
        <x:v>25549139</x:v>
      </x:c>
      <x:c r="D78" s="2" t="str">
        <x:v>Original</x:v>
      </x:c>
      <x:c r="E78" s="2" t="n">
        <x:v>1</x:v>
      </x:c>
      <x:c r="F78" s="26" t="n">
        <x:v>1150</x:v>
      </x:c>
      <x:c r="G78" s="27" t="n">
        <x:v>6</x:v>
      </x:c>
      <x:c r="H78" s="27" t="n">
        <x:v>120</x:v>
      </x:c>
      <x:c r="I78" s="2" t="str">
        <x:v>D22</x:v>
      </x:c>
      <x:c r="J78" s="2" t="str">
        <x:v>Condominium</x:v>
      </x:c>
      <x:c r="K78" s="28"/>
      <x:c r="L78" s="30" t="str">
        <x:v>Hard requirements pass. D22, SGD 1,150/month. The primary D05 preference is unmet. Lower rent cannot establish a strong location fit; other districts remain hard-eligible.</x:v>
      </x:c>
      <x:c r="M78" s="31" t="str">
        <x:v>Yes</x:v>
      </x:c>
      <x:c r="N78" s="30" t="str">
        <x:v>At least 2 reported bedrooms with &lt;200 sqft; verify room/whole-unit scope and units.</x:v>
      </x:c>
      <x:c r="O78" s="30" t="str">
        <x:v>https://www.propertyguru.com.sg/listing/for-rent-parc-oasis-25549139</x:v>
      </x:c>
    </x:row>
    <x:row r="79" ht="52" customHeight="1">
      <x:c r="A79" s="2" t="str">
        <x:v>S03</x:v>
      </x:c>
      <x:c r="B79" s="2" t="str">
        <x:v>S03-C23</x:v>
      </x:c>
      <x:c r="C79" s="2" t="str">
        <x:v>25544801</x:v>
      </x:c>
      <x:c r="D79" s="2" t="str">
        <x:v>Original</x:v>
      </x:c>
      <x:c r="E79" s="2" t="n">
        <x:v>1</x:v>
      </x:c>
      <x:c r="F79" s="26" t="n">
        <x:v>950</x:v>
      </x:c>
      <x:c r="G79" s="27" t="n">
        <x:v>7</x:v>
      </x:c>
      <x:c r="H79" s="27" t="n">
        <x:v>100</x:v>
      </x:c>
      <x:c r="I79" s="2" t="str">
        <x:v>D16</x:v>
      </x:c>
      <x:c r="J79" s="2" t="str">
        <x:v>Condominium</x:v>
      </x:c>
      <x:c r="K79" s="28"/>
      <x:c r="L79" s="30" t="str">
        <x:v>Hard requirements pass. D16, SGD 950/month. The primary D05 preference is unmet. Lower rent cannot establish a strong location fit; other districts remain hard-eligible.</x:v>
      </x:c>
      <x:c r="M79" s="31" t="str">
        <x:v>Yes</x:v>
      </x:c>
      <x:c r="N79" s="30" t="str">
        <x:v>At least 2 reported bedrooms with &lt;200 sqft; verify room/whole-unit scope and units.</x:v>
      </x:c>
      <x:c r="O79" s="30" t="str">
        <x:v>https://www.propertyguru.com.sg/listing/for-rent-the-bayshore-25544801</x:v>
      </x:c>
    </x:row>
    <x:row r="80" ht="52" customHeight="1">
      <x:c r="A80" s="2" t="str">
        <x:v>S03</x:v>
      </x:c>
      <x:c r="B80" s="2" t="str">
        <x:v>S03-C24</x:v>
      </x:c>
      <x:c r="C80" s="2" t="str">
        <x:v>24215747</x:v>
      </x:c>
      <x:c r="D80" s="2" t="str">
        <x:v>Original</x:v>
      </x:c>
      <x:c r="E80" s="2" t="n">
        <x:v>1</x:v>
      </x:c>
      <x:c r="F80" s="26" t="n">
        <x:v>2300</x:v>
      </x:c>
      <x:c r="G80" s="27" t="n">
        <x:v>2</x:v>
      </x:c>
      <x:c r="H80" s="27" t="n">
        <x:v>904</x:v>
      </x:c>
      <x:c r="I80" s="2" t="str">
        <x:v>D27</x:v>
      </x:c>
      <x:c r="J80" s="2" t="str">
        <x:v>HDB Flat</x:v>
      </x:c>
      <x:c r="K80" s="28" t="n">
        <x:v>16128.461668335649</x:v>
      </x:c>
      <x:c r="L80" s="30" t="str">
        <x:v>Hard requirements pass. D27, SGD 2,300/month. The primary D05 preference is unmet. Lower rent cannot establish a strong location fit; other districts remain hard-eligible.</x:v>
      </x:c>
      <x:c r="M80" s="31" t="str">
        <x:v>No</x:v>
      </x:c>
      <x:c r="N80" s="30" t="str"/>
      <x:c r="O80" s="30" t="str">
        <x:v>https://www.propertyguru.com.sg/listing/hdb-for-rent-423-yishun-avenue-11-24215747</x:v>
      </x:c>
    </x:row>
    <x:row r="81" ht="52" customHeight="1">
      <x:c r="A81" s="2" t="str">
        <x:v>S03</x:v>
      </x:c>
      <x:c r="B81" s="2" t="str">
        <x:v>S03-C25</x:v>
      </x:c>
      <x:c r="C81" s="2" t="str">
        <x:v>60060332</x:v>
      </x:c>
      <x:c r="D81" s="2" t="str">
        <x:v>Original</x:v>
      </x:c>
      <x:c r="E81" s="2" t="n">
        <x:v>1</x:v>
      </x:c>
      <x:c r="F81" s="26" t="n">
        <x:v>2400</x:v>
      </x:c>
      <x:c r="G81" s="27" t="n">
        <x:v>2</x:v>
      </x:c>
      <x:c r="H81" s="27" t="n">
        <x:v>800</x:v>
      </x:c>
      <x:c r="I81" s="2" t="str">
        <x:v>D19</x:v>
      </x:c>
      <x:c r="J81" s="2" t="str">
        <x:v>HDB Flat</x:v>
      </x:c>
      <x:c r="K81" s="28" t="n">
        <x:v>14242.284802481212</x:v>
      </x:c>
      <x:c r="L81" s="30" t="str">
        <x:v>Hard requirements pass. D19, SGD 2,400/month. The primary D05 preference is unmet. Lower rent cannot establish a strong location fit; other districts remain hard-eligible.</x:v>
      </x:c>
      <x:c r="M81" s="31" t="str">
        <x:v>No</x:v>
      </x:c>
      <x:c r="N81" s="30" t="str"/>
      <x:c r="O81" s="30" t="str">
        <x:v>https://www.propertyguru.com.sg/listing/hdb-for-rent-239-hougang-street-22-60060332</x:v>
      </x:c>
    </x:row>
    <x:row r="82" ht="52" customHeight="1">
      <x:c r="A82" s="2" t="str">
        <x:v>S04</x:v>
      </x:c>
      <x:c r="B82" s="2" t="str">
        <x:v>S04-C01</x:v>
      </x:c>
      <x:c r="C82" s="2" t="str">
        <x:v>21707927</x:v>
      </x:c>
      <x:c r="D82" s="2" t="str">
        <x:v>Original</x:v>
      </x:c>
      <x:c r="E82" s="2" t="n">
        <x:v>0</x:v>
      </x:c>
      <x:c r="F82" s="26" t="n">
        <x:v>3600</x:v>
      </x:c>
      <x:c r="G82" s="27" t="n">
        <x:v>1</x:v>
      </x:c>
      <x:c r="H82" s="27" t="n">
        <x:v>700</x:v>
      </x:c>
      <x:c r="I82" s="2" t="str">
        <x:v>D05</x:v>
      </x:c>
      <x:c r="J82" s="2" t="str">
        <x:v>Condominium</x:v>
      </x:c>
      <x:c r="K82" s="28"/>
      <x:c r="L82" s="30" t="str">
        <x:v>Hard failure: Reported bedrooms 1; required &gt;= 2.</x:v>
      </x:c>
      <x:c r="M82" s="31" t="str">
        <x:v>No</x:v>
      </x:c>
      <x:c r="N82" s="30" t="str"/>
      <x:c r="O82" s="30" t="str">
        <x:v>https://www.propertyguru.com.sg/listing/for-rent-viva-vista-21707927</x:v>
      </x:c>
    </x:row>
    <x:row r="83" ht="52" customHeight="1">
      <x:c r="A83" s="2" t="str">
        <x:v>S04</x:v>
      </x:c>
      <x:c r="B83" s="2" t="str">
        <x:v>S04-C02</x:v>
      </x:c>
      <x:c r="C83" s="2" t="str">
        <x:v>25621373</x:v>
      </x:c>
      <x:c r="D83" s="2" t="str">
        <x:v>Original</x:v>
      </x:c>
      <x:c r="E83" s="2" t="n">
        <x:v>1</x:v>
      </x:c>
      <x:c r="F83" s="26" t="n">
        <x:v>3800</x:v>
      </x:c>
      <x:c r="G83" s="27" t="n">
        <x:v>2</x:v>
      </x:c>
      <x:c r="H83" s="27" t="n">
        <x:v>570</x:v>
      </x:c>
      <x:c r="I83" s="2" t="str">
        <x:v>D05</x:v>
      </x:c>
      <x:c r="J83" s="2" t="str">
        <x:v>Apartment</x:v>
      </x:c>
      <x:c r="K83" s="28"/>
      <x:c r="L83" s="30" t="str">
        <x:v>Hard requirements pass. area 570 sqft, SGD 3,800/month. Small reported area despite the primary preference for space; stronger alternatives exist.</x:v>
      </x:c>
      <x:c r="M83" s="31" t="str">
        <x:v>No</x:v>
      </x:c>
      <x:c r="N83" s="30" t="str"/>
      <x:c r="O83" s="30" t="str">
        <x:v>https://www.propertyguru.com.sg/listing/for-rent-icon-pasir-panjang-25621373</x:v>
      </x:c>
    </x:row>
    <x:row r="84" ht="52" customHeight="1">
      <x:c r="A84" s="2" t="str">
        <x:v>S04</x:v>
      </x:c>
      <x:c r="B84" s="2" t="str">
        <x:v>S04-C03</x:v>
      </x:c>
      <x:c r="C84" s="2" t="str">
        <x:v>500256005</x:v>
      </x:c>
      <x:c r="D84" s="2" t="str">
        <x:v>Original</x:v>
      </x:c>
      <x:c r="E84" s="2" t="n">
        <x:v>1</x:v>
      </x:c>
      <x:c r="F84" s="26" t="n">
        <x:v>3100</x:v>
      </x:c>
      <x:c r="G84" s="27" t="n">
        <x:v>2</x:v>
      </x:c>
      <x:c r="H84" s="27" t="n">
        <x:v>67</x:v>
      </x:c>
      <x:c r="I84" s="2" t="str">
        <x:v>D05</x:v>
      </x:c>
      <x:c r="J84" s="2" t="str">
        <x:v>HDB Flat</x:v>
      </x:c>
      <x:c r="K84" s="28" t="n">
        <x:v>2229.2543901230597</x:v>
      </x:c>
      <x:c r="L84" s="30" t="str">
        <x:v>Hard requirements pass. area 67 sqft, SGD 3,100/month. Small reported area despite the primary preference for space; stronger alternatives exist.</x:v>
      </x:c>
      <x:c r="M84" s="31" t="str">
        <x:v>Yes</x:v>
      </x:c>
      <x:c r="N84" s="30" t="str">
        <x:v>At least 2 reported bedrooms with &lt;200 sqft; verify room/whole-unit scope and units.</x:v>
      </x:c>
      <x:c r="O84" s="30" t="str">
        <x:v>https://www.propertyguru.com.sg/listing/hdb-for-rent-351-clementi-avenue-2-500256005</x:v>
      </x:c>
    </x:row>
    <x:row r="85" ht="52" customHeight="1">
      <x:c r="A85" s="2" t="str">
        <x:v>S04</x:v>
      </x:c>
      <x:c r="B85" s="2" t="str">
        <x:v>S04-C04</x:v>
      </x:c>
      <x:c r="C85" s="2" t="str">
        <x:v>24205038</x:v>
      </x:c>
      <x:c r="D85" s="2" t="str">
        <x:v>Original</x:v>
      </x:c>
      <x:c r="E85" s="2" t="n">
        <x:v>0</x:v>
      </x:c>
      <x:c r="F85" s="26" t="n">
        <x:v>1590</x:v>
      </x:c>
      <x:c r="G85" s="27" t="n">
        <x:v>1</x:v>
      </x:c>
      <x:c r="H85" s="27" t="n">
        <x:v>150</x:v>
      </x:c>
      <x:c r="I85" s="2" t="str">
        <x:v>D05</x:v>
      </x:c>
      <x:c r="J85" s="2" t="str">
        <x:v>Terraced House</x:v>
      </x:c>
      <x:c r="K85" s="28"/>
      <x:c r="L85" s="30" t="str">
        <x:v>Hard failure: Reported bedrooms 1; required &gt;= 2.</x:v>
      </x:c>
      <x:c r="M85" s="31" t="str">
        <x:v>No</x:v>
      </x:c>
      <x:c r="N85" s="30" t="str"/>
      <x:c r="O85" s="30" t="str">
        <x:v>https://www.propertyguru.com.sg/listing/for-rent-west-coast-drive-24205038</x:v>
      </x:c>
    </x:row>
    <x:row r="86" ht="52" customHeight="1">
      <x:c r="A86" s="2" t="str">
        <x:v>S04</x:v>
      </x:c>
      <x:c r="B86" s="2" t="str">
        <x:v>S04-C05</x:v>
      </x:c>
      <x:c r="C86" s="2" t="str">
        <x:v>500279678</x:v>
      </x:c>
      <x:c r="D86" s="2" t="str">
        <x:v>Original</x:v>
      </x:c>
      <x:c r="E86" s="2" t="n">
        <x:v>0</x:v>
      </x:c>
      <x:c r="F86" s="26" t="n">
        <x:v>4200</x:v>
      </x:c>
      <x:c r="G86" s="27" t="n">
        <x:v>3</x:v>
      </x:c>
      <x:c r="H86" s="27" t="n">
        <x:v>990</x:v>
      </x:c>
      <x:c r="I86" s="2" t="str">
        <x:v>D05</x:v>
      </x:c>
      <x:c r="J86" s="2" t="str">
        <x:v>HDB Flat</x:v>
      </x:c>
      <x:c r="K86" s="28" t="n">
        <x:v>2541.0052623622532</x:v>
      </x:c>
      <x:c r="L86" s="30" t="str">
        <x:v>Hard failure: Rent (SGD/month) 4,200; required &lt;= 4,000.</x:v>
      </x:c>
      <x:c r="M86" s="31" t="str">
        <x:v>No</x:v>
      </x:c>
      <x:c r="N86" s="30" t="str"/>
      <x:c r="O86" s="30" t="str">
        <x:v>https://www.propertyguru.com.sg/listing/hdb-for-rent-341-clementi-avenue-5-500279678</x:v>
      </x:c>
    </x:row>
    <x:row r="87" ht="52" customHeight="1">
      <x:c r="A87" s="2" t="str">
        <x:v>S04</x:v>
      </x:c>
      <x:c r="B87" s="2" t="str">
        <x:v>S04-C06</x:v>
      </x:c>
      <x:c r="C87" s="2" t="str">
        <x:v>60011302</x:v>
      </x:c>
      <x:c r="D87" s="2" t="str">
        <x:v>Original</x:v>
      </x:c>
      <x:c r="E87" s="2" t="n">
        <x:v>2</x:v>
      </x:c>
      <x:c r="F87" s="26" t="n">
        <x:v>3600</x:v>
      </x:c>
      <x:c r="G87" s="27" t="n">
        <x:v>2</x:v>
      </x:c>
      <x:c r="H87" s="27" t="n">
        <x:v>861</x:v>
      </x:c>
      <x:c r="I87" s="2" t="str">
        <x:v>D05</x:v>
      </x:c>
      <x:c r="J87" s="2" t="str">
        <x:v>HDB Flat</x:v>
      </x:c>
      <x:c r="K87" s="28" t="n">
        <x:v>2302.2848936248324</x:v>
      </x:c>
      <x:c r="L87" s="30" t="str">
        <x:v>Hard requirements pass. area 861 sqft, SGD 3,600/month. A workable space-and-rent trade-off, with larger or better-balanced alternatives in the set.</x:v>
      </x:c>
      <x:c r="M87" s="31" t="str">
        <x:v>No</x:v>
      </x:c>
      <x:c r="N87" s="30" t="str"/>
      <x:c r="O87" s="30" t="str">
        <x:v>https://www.propertyguru.com.sg/listing/hdb-for-rent-450-clementi-avenue-3-60011302</x:v>
      </x:c>
    </x:row>
    <x:row r="88" ht="52" customHeight="1">
      <x:c r="A88" s="2" t="str">
        <x:v>S04</x:v>
      </x:c>
      <x:c r="B88" s="2" t="str">
        <x:v>S04-C07</x:v>
      </x:c>
      <x:c r="C88" s="2" t="str">
        <x:v>23810065</x:v>
      </x:c>
      <x:c r="D88" s="2" t="str">
        <x:v>Original</x:v>
      </x:c>
      <x:c r="E88" s="2" t="n">
        <x:v>0</x:v>
      </x:c>
      <x:c r="F88" s="26" t="n">
        <x:v>3500</x:v>
      </x:c>
      <x:c r="G88" s="27" t="n">
        <x:v>3</x:v>
      </x:c>
      <x:c r="H88" s="27" t="n">
        <x:v>968</x:v>
      </x:c>
      <x:c r="I88" s="2" t="str">
        <x:v>D19</x:v>
      </x:c>
      <x:c r="J88" s="2" t="str">
        <x:v>HDB Flat</x:v>
      </x:c>
      <x:c r="K88" s="28" t="n">
        <x:v>18974.61847847142</x:v>
      </x:c>
      <x:c r="L88" s="30" t="str">
        <x:v>Hard failure: District D19; required = D05.</x:v>
      </x:c>
      <x:c r="M88" s="31" t="str">
        <x:v>No</x:v>
      </x:c>
      <x:c r="N88" s="30" t="str"/>
      <x:c r="O88" s="30" t="str">
        <x:v>https://www.propertyguru.com.sg/listing/hdb-for-rent-160b-punggol-central-23810065</x:v>
      </x:c>
    </x:row>
    <x:row r="89" ht="52" customHeight="1">
      <x:c r="A89" s="2" t="str">
        <x:v>S04</x:v>
      </x:c>
      <x:c r="B89" s="2" t="str">
        <x:v>S04-C08</x:v>
      </x:c>
      <x:c r="C89" s="2" t="str">
        <x:v>500267173</x:v>
      </x:c>
      <x:c r="D89" s="2" t="str">
        <x:v>Original</x:v>
      </x:c>
      <x:c r="E89" s="2" t="n">
        <x:v>2</x:v>
      </x:c>
      <x:c r="F89" s="26" t="n">
        <x:v>3000</x:v>
      </x:c>
      <x:c r="G89" s="27" t="n">
        <x:v>2</x:v>
      </x:c>
      <x:c r="H89" s="27" t="n">
        <x:v>721</x:v>
      </x:c>
      <x:c r="I89" s="2" t="str">
        <x:v>D05</x:v>
      </x:c>
      <x:c r="J89" s="2" t="str">
        <x:v>HDB Flat</x:v>
      </x:c>
      <x:c r="K89" s="28" t="n">
        <x:v>3061.439034005761</x:v>
      </x:c>
      <x:c r="L89" s="30" t="str">
        <x:v>Hard requirements pass. area 721 sqft, SGD 3,000/month. A workable space-and-rent trade-off, with larger or better-balanced alternatives in the set.</x:v>
      </x:c>
      <x:c r="M89" s="31" t="str">
        <x:v>No</x:v>
      </x:c>
      <x:c r="N89" s="30" t="str"/>
      <x:c r="O89" s="30" t="str">
        <x:v>https://www.propertyguru.com.sg/listing/hdb-for-rent-306-clementi-avenue-4-500267173</x:v>
      </x:c>
    </x:row>
    <x:row r="90" ht="52" customHeight="1">
      <x:c r="A90" s="2" t="str">
        <x:v>S04</x:v>
      </x:c>
      <x:c r="B90" s="2" t="str">
        <x:v>S04-C09</x:v>
      </x:c>
      <x:c r="C90" s="2" t="str">
        <x:v>500249657</x:v>
      </x:c>
      <x:c r="D90" s="2" t="str">
        <x:v>Original</x:v>
      </x:c>
      <x:c r="E90" s="2" t="n">
        <x:v>2</x:v>
      </x:c>
      <x:c r="F90" s="26" t="n">
        <x:v>3100</x:v>
      </x:c>
      <x:c r="G90" s="27" t="n">
        <x:v>2</x:v>
      </x:c>
      <x:c r="H90" s="27" t="n">
        <x:v>732</x:v>
      </x:c>
      <x:c r="I90" s="2" t="str">
        <x:v>D05</x:v>
      </x:c>
      <x:c r="J90" s="2" t="str">
        <x:v>HDB Flat</x:v>
      </x:c>
      <x:c r="K90" s="28" t="n">
        <x:v>2802.8130076795196</x:v>
      </x:c>
      <x:c r="L90" s="30" t="str">
        <x:v>Hard requirements pass. area 732 sqft, SGD 3,100/month. A workable space-and-rent trade-off, with larger or better-balanced alternatives in the set.</x:v>
      </x:c>
      <x:c r="M90" s="31" t="str">
        <x:v>No</x:v>
      </x:c>
      <x:c r="N90" s="30" t="str"/>
      <x:c r="O90" s="30" t="str">
        <x:v>https://www.propertyguru.com.sg/listing/hdb-for-rent-374-clementi-avenue-4-500249657</x:v>
      </x:c>
    </x:row>
    <x:row r="91" ht="52" customHeight="1">
      <x:c r="A91" s="2" t="str">
        <x:v>S04</x:v>
      </x:c>
      <x:c r="B91" s="2" t="str">
        <x:v>S04-C10</x:v>
      </x:c>
      <x:c r="C91" s="2" t="str">
        <x:v>500186462</x:v>
      </x:c>
      <x:c r="D91" s="2" t="str">
        <x:v>Original</x:v>
      </x:c>
      <x:c r="E91" s="2" t="str">
        <x:v>U</x:v>
      </x:c>
      <x:c r="F91" s="26" t="n">
        <x:v>2800</x:v>
      </x:c>
      <x:c r="G91" s="27"/>
      <x:c r="H91" s="27" t="n">
        <x:v>120</x:v>
      </x:c>
      <x:c r="I91" s="2" t="str">
        <x:v>D05</x:v>
      </x:c>
      <x:c r="J91" s="2" t="str">
        <x:v>Apartment</x:v>
      </x:c>
      <x:c r="K91" s="28"/>
      <x:c r="L91" s="30" t="str">
        <x:v>No known hard failure. Cannot verify: reported bedrooms.</x:v>
      </x:c>
      <x:c r="M91" s="31" t="str">
        <x:v>No</x:v>
      </x:c>
      <x:c r="N91" s="30" t="str">
        <x:v>Reported bedrooms Unknown; required &gt;= 2.</x:v>
      </x:c>
      <x:c r="O91" s="30" t="str">
        <x:v>https://www.propertyguru.com.sg/listing/for-rent-lyf-one-north-singapore-80-nepal-park-singapore-139409-500186462</x:v>
      </x:c>
    </x:row>
    <x:row r="92" ht="52" customHeight="1">
      <x:c r="A92" s="2" t="str">
        <x:v>S04</x:v>
      </x:c>
      <x:c r="B92" s="2" t="str">
        <x:v>S04-C11</x:v>
      </x:c>
      <x:c r="C92" s="2" t="str">
        <x:v>23509141</x:v>
      </x:c>
      <x:c r="D92" s="2" t="str">
        <x:v>Original</x:v>
      </x:c>
      <x:c r="E92" s="2" t="n">
        <x:v>3</x:v>
      </x:c>
      <x:c r="F92" s="26" t="n">
        <x:v>3988</x:v>
      </x:c>
      <x:c r="G92" s="27" t="n">
        <x:v>3</x:v>
      </x:c>
      <x:c r="H92" s="27" t="n">
        <x:v>1270</x:v>
      </x:c>
      <x:c r="I92" s="2" t="str">
        <x:v>D05</x:v>
      </x:c>
      <x:c r="J92" s="2" t="str">
        <x:v>HDB Flat</x:v>
      </x:c>
      <x:c r="K92" s="28" t="n">
        <x:v>1829.3043762785262</x:v>
      </x:c>
      <x:c r="L92" s="30" t="str">
        <x:v>Hard requirements pass. area 1,270 sqft, SGD 3,988/month. One of the largest reported areas; the higher rent is a trade-off under the space-first preference.</x:v>
      </x:c>
      <x:c r="M92" s="31" t="str">
        <x:v>No</x:v>
      </x:c>
      <x:c r="N92" s="30" t="str"/>
      <x:c r="O92" s="30" t="str">
        <x:v>https://www.propertyguru.com.sg/listing/hdb-for-rent-717-clementi-west-street-2-23509141</x:v>
      </x:c>
    </x:row>
    <x:row r="93" ht="52" customHeight="1">
      <x:c r="A93" s="2" t="str">
        <x:v>S04</x:v>
      </x:c>
      <x:c r="B93" s="2" t="str">
        <x:v>S04-C12</x:v>
      </x:c>
      <x:c r="C93" s="2" t="str">
        <x:v>60100685</x:v>
      </x:c>
      <x:c r="D93" s="2" t="str">
        <x:v>Original</x:v>
      </x:c>
      <x:c r="E93" s="2" t="str">
        <x:v>U</x:v>
      </x:c>
      <x:c r="F93" s="26" t="n">
        <x:v>2800</x:v>
      </x:c>
      <x:c r="G93" s="27"/>
      <x:c r="H93" s="27" t="n">
        <x:v>300</x:v>
      </x:c>
      <x:c r="I93" s="2" t="str">
        <x:v>D05</x:v>
      </x:c>
      <x:c r="J93" s="2" t="str">
        <x:v>Terraced House</x:v>
      </x:c>
      <x:c r="K93" s="28"/>
      <x:c r="L93" s="30" t="str">
        <x:v>No known hard failure. Cannot verify: reported bedrooms.</x:v>
      </x:c>
      <x:c r="M93" s="31" t="str">
        <x:v>No</x:v>
      </x:c>
      <x:c r="N93" s="30" t="str">
        <x:v>Reported bedrooms Unknown; required &gt;= 2.</x:v>
      </x:c>
      <x:c r="O93" s="30" t="str">
        <x:v>https://www.propertyguru.com.sg/listing/for-rent-406f-pasir-panjang-road-60100685</x:v>
      </x:c>
    </x:row>
    <x:row r="94" ht="52" customHeight="1">
      <x:c r="A94" s="2" t="str">
        <x:v>S04</x:v>
      </x:c>
      <x:c r="B94" s="2" t="str">
        <x:v>S04-C13</x:v>
      </x:c>
      <x:c r="C94" s="2" t="str">
        <x:v>18689152</x:v>
      </x:c>
      <x:c r="D94" s="2" t="str">
        <x:v>Original</x:v>
      </x:c>
      <x:c r="E94" s="2" t="n">
        <x:v>3</x:v>
      </x:c>
      <x:c r="F94" s="26" t="n">
        <x:v>3350</x:v>
      </x:c>
      <x:c r="G94" s="27" t="n">
        <x:v>2</x:v>
      </x:c>
      <x:c r="H94" s="27" t="n">
        <x:v>969</x:v>
      </x:c>
      <x:c r="I94" s="2" t="str">
        <x:v>D05</x:v>
      </x:c>
      <x:c r="J94" s="2" t="str">
        <x:v>HDB Flat</x:v>
      </x:c>
      <x:c r="K94" s="28" t="n">
        <x:v>2447.2827690604304</x:v>
      </x:c>
      <x:c r="L94" s="30" t="str">
        <x:v>Hard requirements pass. area 969 sqft, SGD 3,350/month. Substantial reported space combined with lower rent than the largest options.</x:v>
      </x:c>
      <x:c r="M94" s="31" t="str">
        <x:v>No</x:v>
      </x:c>
      <x:c r="N94" s="30" t="str"/>
      <x:c r="O94" s="30" t="str">
        <x:v>https://www.propertyguru.com.sg/listing/hdb-for-rent-508-west-coast-drive-18689152</x:v>
      </x:c>
    </x:row>
    <x:row r="95" ht="52" customHeight="1">
      <x:c r="A95" s="2" t="str">
        <x:v>S04</x:v>
      </x:c>
      <x:c r="B95" s="2" t="str">
        <x:v>S04-C14</x:v>
      </x:c>
      <x:c r="C95" s="2" t="str">
        <x:v>20617351</x:v>
      </x:c>
      <x:c r="D95" s="2" t="str">
        <x:v>Original</x:v>
      </x:c>
      <x:c r="E95" s="2" t="n">
        <x:v>2</x:v>
      </x:c>
      <x:c r="F95" s="26" t="n">
        <x:v>3000</x:v>
      </x:c>
      <x:c r="G95" s="27" t="n">
        <x:v>2</x:v>
      </x:c>
      <x:c r="H95" s="27" t="n">
        <x:v>700</x:v>
      </x:c>
      <x:c r="I95" s="2" t="str">
        <x:v>D05</x:v>
      </x:c>
      <x:c r="J95" s="2" t="str">
        <x:v>HDB Flat</x:v>
      </x:c>
      <x:c r="K95" s="28" t="n">
        <x:v>2082.804536225351</x:v>
      </x:c>
      <x:c r="L95" s="30" t="str">
        <x:v>Hard requirements pass. area 700 sqft, SGD 3,000/month. A workable space-and-rent trade-off, with larger or better-balanced alternatives in the set.</x:v>
      </x:c>
      <x:c r="M95" s="31" t="str">
        <x:v>No</x:v>
      </x:c>
      <x:c r="N95" s="30" t="str"/>
      <x:c r="O95" s="30" t="str">
        <x:v>https://www.propertyguru.com.sg/listing/hdb-for-rent-354-clementi-avenue-2-20617351</x:v>
      </x:c>
    </x:row>
    <x:row r="96" ht="52" customHeight="1">
      <x:c r="A96" s="2" t="str">
        <x:v>S04</x:v>
      </x:c>
      <x:c r="B96" s="2" t="str">
        <x:v>S04-C15</x:v>
      </x:c>
      <x:c r="C96" s="2" t="str">
        <x:v>500278815</x:v>
      </x:c>
      <x:c r="D96" s="2" t="str">
        <x:v>Original</x:v>
      </x:c>
      <x:c r="E96" s="2" t="str">
        <x:v>U</x:v>
      </x:c>
      <x:c r="F96" s="26" t="n">
        <x:v>2500</x:v>
      </x:c>
      <x:c r="G96" s="27"/>
      <x:c r="H96" s="27" t="n">
        <x:v>360</x:v>
      </x:c>
      <x:c r="I96" s="2" t="str">
        <x:v>D05</x:v>
      </x:c>
      <x:c r="J96" s="2" t="str">
        <x:v>HDB Flat</x:v>
      </x:c>
      <x:c r="K96" s="28" t="n">
        <x:v>2561.1042685351595</x:v>
      </x:c>
      <x:c r="L96" s="30" t="str">
        <x:v>No known hard failure. Cannot verify: reported bedrooms.</x:v>
      </x:c>
      <x:c r="M96" s="31" t="str">
        <x:v>No</x:v>
      </x:c>
      <x:c r="N96" s="30" t="str">
        <x:v>Reported bedrooms Unknown; required &gt;= 2.</x:v>
      </x:c>
      <x:c r="O96" s="30" t="str">
        <x:v>https://www.propertyguru.com.sg/listing/hdb-for-rent-345-clementi-avenue-5-500278815</x:v>
      </x:c>
    </x:row>
    <x:row r="97" ht="52" customHeight="1">
      <x:c r="A97" s="2" t="str">
        <x:v>S04</x:v>
      </x:c>
      <x:c r="B97" s="2" t="str">
        <x:v>S04-C16</x:v>
      </x:c>
      <x:c r="C97" s="2" t="str">
        <x:v>21046537</x:v>
      </x:c>
      <x:c r="D97" s="2" t="str">
        <x:v>Original</x:v>
      </x:c>
      <x:c r="E97" s="2" t="n">
        <x:v>2</x:v>
      </x:c>
      <x:c r="F97" s="26" t="n">
        <x:v>3600</x:v>
      </x:c>
      <x:c r="G97" s="27" t="n">
        <x:v>2</x:v>
      </x:c>
      <x:c r="H97" s="27" t="n">
        <x:v>800</x:v>
      </x:c>
      <x:c r="I97" s="2" t="str">
        <x:v>D05</x:v>
      </x:c>
      <x:c r="J97" s="2" t="str">
        <x:v>HDB Flat</x:v>
      </x:c>
      <x:c r="K97" s="28" t="n">
        <x:v>971.6194119235158</x:v>
      </x:c>
      <x:c r="L97" s="30" t="str">
        <x:v>Hard requirements pass. area 800 sqft, SGD 3,600/month. A workable space-and-rent trade-off, with larger or better-balanced alternatives in the set.</x:v>
      </x:c>
      <x:c r="M97" s="31" t="str">
        <x:v>No</x:v>
      </x:c>
      <x:c r="N97" s="30" t="str"/>
      <x:c r="O97" s="30" t="str">
        <x:v>https://www.propertyguru.com.sg/listing/hdb-for-rent-2-dover-road-21046537</x:v>
      </x:c>
    </x:row>
    <x:row r="98" ht="52" customHeight="1">
      <x:c r="A98" s="2" t="str">
        <x:v>S04</x:v>
      </x:c>
      <x:c r="B98" s="2" t="str">
        <x:v>S04-C17</x:v>
      </x:c>
      <x:c r="C98" s="2" t="str">
        <x:v>500266415</x:v>
      </x:c>
      <x:c r="D98" s="2" t="str">
        <x:v>Original</x:v>
      </x:c>
      <x:c r="E98" s="2" t="n">
        <x:v>3</x:v>
      </x:c>
      <x:c r="F98" s="26" t="n">
        <x:v>3300</x:v>
      </x:c>
      <x:c r="G98" s="27" t="n">
        <x:v>2</x:v>
      </x:c>
      <x:c r="H98" s="27" t="n">
        <x:v>980</x:v>
      </x:c>
      <x:c r="I98" s="2" t="str">
        <x:v>D05</x:v>
      </x:c>
      <x:c r="J98" s="2" t="str">
        <x:v>HDB Flat</x:v>
      </x:c>
      <x:c r="K98" s="28" t="n">
        <x:v>2458.9986606885805</x:v>
      </x:c>
      <x:c r="L98" s="30" t="str">
        <x:v>Hard requirements pass. area 980 sqft, SGD 3,300/month. Substantial reported space combined with lower rent than the largest options.</x:v>
      </x:c>
      <x:c r="M98" s="31" t="str">
        <x:v>No</x:v>
      </x:c>
      <x:c r="N98" s="30" t="str"/>
      <x:c r="O98" s="30" t="str">
        <x:v>https://www.propertyguru.com.sg/listing/hdb-for-rent-511-west-coast-drive-500266415</x:v>
      </x:c>
    </x:row>
    <x:row r="99" ht="52" customHeight="1">
      <x:c r="A99" s="2" t="str">
        <x:v>S04</x:v>
      </x:c>
      <x:c r="B99" s="2" t="str">
        <x:v>S04-C18</x:v>
      </x:c>
      <x:c r="C99" s="2" t="str">
        <x:v>20205305</x:v>
      </x:c>
      <x:c r="D99" s="2" t="str">
        <x:v>Original</x:v>
      </x:c>
      <x:c r="E99" s="2" t="n">
        <x:v>2</x:v>
      </x:c>
      <x:c r="F99" s="26" t="n">
        <x:v>3200</x:v>
      </x:c>
      <x:c r="G99" s="27" t="n">
        <x:v>2</x:v>
      </x:c>
      <x:c r="H99" s="27" t="n">
        <x:v>721</x:v>
      </x:c>
      <x:c r="I99" s="2" t="str">
        <x:v>D05</x:v>
      </x:c>
      <x:c r="J99" s="2" t="str">
        <x:v>HDB Flat</x:v>
      </x:c>
      <x:c r="K99" s="28" t="n">
        <x:v>2643.575331483797</x:v>
      </x:c>
      <x:c r="L99" s="30" t="str">
        <x:v>Hard requirements pass. area 721 sqft, SGD 3,200/month. A workable space-and-rent trade-off, with larger or better-balanced alternatives in the set.</x:v>
      </x:c>
      <x:c r="M99" s="31" t="str">
        <x:v>No</x:v>
      </x:c>
      <x:c r="N99" s="30" t="str"/>
      <x:c r="O99" s="30" t="str">
        <x:v>https://www.propertyguru.com.sg/listing/hdb-for-rent-379-clementi-avenue-5-20205305</x:v>
      </x:c>
    </x:row>
    <x:row r="100" ht="52" customHeight="1">
      <x:c r="A100" s="2" t="str">
        <x:v>S04</x:v>
      </x:c>
      <x:c r="B100" s="2" t="str">
        <x:v>S04-C19</x:v>
      </x:c>
      <x:c r="C100" s="2" t="str">
        <x:v>24491935</x:v>
      </x:c>
      <x:c r="D100" s="2" t="str">
        <x:v>Original</x:v>
      </x:c>
      <x:c r="E100" s="2" t="n">
        <x:v>0</x:v>
      </x:c>
      <x:c r="F100" s="26" t="n">
        <x:v>4200</x:v>
      </x:c>
      <x:c r="G100" s="27" t="n">
        <x:v>2</x:v>
      </x:c>
      <x:c r="H100" s="27" t="n">
        <x:v>646</x:v>
      </x:c>
      <x:c r="I100" s="2" t="str">
        <x:v>D05</x:v>
      </x:c>
      <x:c r="J100" s="2" t="str">
        <x:v>Condominium</x:v>
      </x:c>
      <x:c r="K100" s="28"/>
      <x:c r="L100" s="30" t="str">
        <x:v>Hard failure: Rent (SGD/month) 4,200; required &lt;= 4,000.</x:v>
      </x:c>
      <x:c r="M100" s="31" t="str">
        <x:v>No</x:v>
      </x:c>
      <x:c r="N100" s="30" t="str"/>
      <x:c r="O100" s="30" t="str">
        <x:v>https://www.propertyguru.com.sg/listing/for-rent-parc-riviera-24491935</x:v>
      </x:c>
    </x:row>
    <x:row r="101" ht="52" customHeight="1">
      <x:c r="A101" s="2" t="str">
        <x:v>S04</x:v>
      </x:c>
      <x:c r="B101" s="2" t="str">
        <x:v>S04-C20</x:v>
      </x:c>
      <x:c r="C101" s="2" t="str">
        <x:v>25300986</x:v>
      </x:c>
      <x:c r="D101" s="2" t="str">
        <x:v>Original</x:v>
      </x:c>
      <x:c r="E101" s="2" t="n">
        <x:v>2</x:v>
      </x:c>
      <x:c r="F101" s="26" t="n">
        <x:v>3200</x:v>
      </x:c>
      <x:c r="G101" s="27" t="n">
        <x:v>2</x:v>
      </x:c>
      <x:c r="H101" s="27" t="n">
        <x:v>721</x:v>
      </x:c>
      <x:c r="I101" s="2" t="str">
        <x:v>D05</x:v>
      </x:c>
      <x:c r="J101" s="2" t="str">
        <x:v>HDB Flat</x:v>
      </x:c>
      <x:c r="K101" s="28" t="n">
        <x:v>2082.804536225351</x:v>
      </x:c>
      <x:c r="L101" s="30" t="str">
        <x:v>Hard requirements pass. area 721 sqft, SGD 3,200/month. A workable space-and-rent trade-off, with larger or better-balanced alternatives in the set.</x:v>
      </x:c>
      <x:c r="M101" s="31" t="str">
        <x:v>No</x:v>
      </x:c>
      <x:c r="N101" s="30" t="str"/>
      <x:c r="O101" s="30" t="str">
        <x:v>https://www.propertyguru.com.sg/listing/hdb-for-rent-354-clementi-avenue-2-25300986</x:v>
      </x:c>
    </x:row>
    <x:row r="102" ht="52" customHeight="1">
      <x:c r="A102" s="2" t="str">
        <x:v>S04</x:v>
      </x:c>
      <x:c r="B102" s="2" t="str">
        <x:v>S04-C21</x:v>
      </x:c>
      <x:c r="C102" s="2" t="str">
        <x:v>24981163</x:v>
      </x:c>
      <x:c r="D102" s="2" t="str">
        <x:v>Original</x:v>
      </x:c>
      <x:c r="E102" s="2" t="n">
        <x:v>2</x:v>
      </x:c>
      <x:c r="F102" s="26" t="n">
        <x:v>3800</x:v>
      </x:c>
      <x:c r="G102" s="27" t="n">
        <x:v>3</x:v>
      </x:c>
      <x:c r="H102" s="27" t="n">
        <x:v>1012</x:v>
      </x:c>
      <x:c r="I102" s="2" t="str">
        <x:v>D05</x:v>
      </x:c>
      <x:c r="J102" s="2" t="str">
        <x:v>HDB Flat</x:v>
      </x:c>
      <x:c r="K102" s="28" t="n">
        <x:v>2694.4217191512757</x:v>
      </x:c>
      <x:c r="L102" s="30" t="str">
        <x:v>Hard requirements pass. area 1,012 sqft, SGD 3,800/month. A workable space-and-rent trade-off, with larger or better-balanced alternatives in the set.</x:v>
      </x:c>
      <x:c r="M102" s="31" t="str">
        <x:v>No</x:v>
      </x:c>
      <x:c r="N102" s="30" t="str"/>
      <x:c r="O102" s="30" t="str">
        <x:v>https://www.propertyguru.com.sg/listing/hdb-for-rent-381-clementi-avenue-5-24981163</x:v>
      </x:c>
    </x:row>
    <x:row r="103" ht="52" customHeight="1">
      <x:c r="A103" s="2" t="str">
        <x:v>S04</x:v>
      </x:c>
      <x:c r="B103" s="2" t="str">
        <x:v>S04-C22</x:v>
      </x:c>
      <x:c r="C103" s="2" t="str">
        <x:v>500183381</x:v>
      </x:c>
      <x:c r="D103" s="2" t="str">
        <x:v>Original</x:v>
      </x:c>
      <x:c r="E103" s="2" t="n">
        <x:v>2</x:v>
      </x:c>
      <x:c r="F103" s="26" t="n">
        <x:v>3500</x:v>
      </x:c>
      <x:c r="G103" s="27" t="n">
        <x:v>2</x:v>
      </x:c>
      <x:c r="H103" s="27" t="n">
        <x:v>721</x:v>
      </x:c>
      <x:c r="I103" s="2" t="str">
        <x:v>D05</x:v>
      </x:c>
      <x:c r="J103" s="2" t="str">
        <x:v>HDB Flat</x:v>
      </x:c>
      <x:c r="K103" s="28" t="n">
        <x:v>2223.4456483032645</x:v>
      </x:c>
      <x:c r="L103" s="30" t="str">
        <x:v>Hard requirements pass. area 721 sqft, SGD 3,500/month. A workable space-and-rent trade-off, with larger or better-balanced alternatives in the set.</x:v>
      </x:c>
      <x:c r="M103" s="31" t="str">
        <x:v>No</x:v>
      </x:c>
      <x:c r="N103" s="30" t="str"/>
      <x:c r="O103" s="30" t="str">
        <x:v>https://www.propertyguru.com.sg/listing/hdb-for-rent-330-clementi-avenue-2-500183381</x:v>
      </x:c>
    </x:row>
    <x:row r="104" ht="52" customHeight="1">
      <x:c r="A104" s="2" t="str">
        <x:v>S04</x:v>
      </x:c>
      <x:c r="B104" s="2" t="str">
        <x:v>S04-C23</x:v>
      </x:c>
      <x:c r="C104" s="2" t="str">
        <x:v>500282878</x:v>
      </x:c>
      <x:c r="D104" s="2" t="str">
        <x:v>Original</x:v>
      </x:c>
      <x:c r="E104" s="2" t="n">
        <x:v>2</x:v>
      </x:c>
      <x:c r="F104" s="26" t="n">
        <x:v>3200</x:v>
      </x:c>
      <x:c r="G104" s="27" t="n">
        <x:v>2</x:v>
      </x:c>
      <x:c r="H104" s="27" t="n">
        <x:v>721</x:v>
      </x:c>
      <x:c r="I104" s="2" t="str">
        <x:v>D05</x:v>
      </x:c>
      <x:c r="J104" s="2" t="str">
        <x:v>HDB Flat</x:v>
      </x:c>
      <x:c r="K104" s="28" t="n">
        <x:v>2186.20049721633</x:v>
      </x:c>
      <x:c r="L104" s="30" t="str">
        <x:v>Hard requirements pass. area 721 sqft, SGD 3,200/month. A workable space-and-rent trade-off, with larger or better-balanced alternatives in the set.</x:v>
      </x:c>
      <x:c r="M104" s="31" t="str">
        <x:v>No</x:v>
      </x:c>
      <x:c r="N104" s="30" t="str"/>
      <x:c r="O104" s="30" t="str">
        <x:v>https://www.propertyguru.com.sg/listing/hdb-for-rent-329-clementi-avenue-2-500282878</x:v>
      </x:c>
    </x:row>
    <x:row r="105" ht="52" customHeight="1">
      <x:c r="A105" s="2" t="str">
        <x:v>S04</x:v>
      </x:c>
      <x:c r="B105" s="2" t="str">
        <x:v>S04-C24</x:v>
      </x:c>
      <x:c r="C105" s="2" t="str">
        <x:v>500164225</x:v>
      </x:c>
      <x:c r="D105" s="2" t="str">
        <x:v>Original</x:v>
      </x:c>
      <x:c r="E105" s="2" t="n">
        <x:v>3</x:v>
      </x:c>
      <x:c r="F105" s="26" t="n">
        <x:v>3999</x:v>
      </x:c>
      <x:c r="G105" s="27" t="n">
        <x:v>3</x:v>
      </x:c>
      <x:c r="H105" s="27" t="n">
        <x:v>1238</x:v>
      </x:c>
      <x:c r="I105" s="2" t="str">
        <x:v>D05</x:v>
      </x:c>
      <x:c r="J105" s="2" t="str">
        <x:v>HDB Flat</x:v>
      </x:c>
      <x:c r="K105" s="28" t="n">
        <x:v>1490.5774106311762</x:v>
      </x:c>
      <x:c r="L105" s="30" t="str">
        <x:v>Hard requirements pass. area 1,238 sqft, SGD 3,999/month. One of the largest reported areas; the higher rent is a trade-off under the space-first preference.</x:v>
      </x:c>
      <x:c r="M105" s="31" t="str">
        <x:v>No</x:v>
      </x:c>
      <x:c r="N105" s="30" t="str"/>
      <x:c r="O105" s="30" t="str">
        <x:v>https://www.propertyguru.com.sg/listing/hdb-for-rent-604-clementi-west-street-1-500164225</x:v>
      </x:c>
    </x:row>
    <x:row r="106" ht="52" customHeight="1">
      <x:c r="A106" s="2" t="str">
        <x:v>S04</x:v>
      </x:c>
      <x:c r="B106" s="2" t="str">
        <x:v>S04-C25</x:v>
      </x:c>
      <x:c r="C106" s="2" t="str">
        <x:v>500262756</x:v>
      </x:c>
      <x:c r="D106" s="2" t="str">
        <x:v>Original</x:v>
      </x:c>
      <x:c r="E106" s="2" t="n">
        <x:v>2</x:v>
      </x:c>
      <x:c r="F106" s="26" t="n">
        <x:v>3000</x:v>
      </x:c>
      <x:c r="G106" s="27" t="n">
        <x:v>2</x:v>
      </x:c>
      <x:c r="H106" s="27" t="n">
        <x:v>699</x:v>
      </x:c>
      <x:c r="I106" s="2" t="str">
        <x:v>D05</x:v>
      </x:c>
      <x:c r="J106" s="2" t="str">
        <x:v>HDB Flat</x:v>
      </x:c>
      <x:c r="K106" s="28" t="n">
        <x:v>971.6194119235158</x:v>
      </x:c>
      <x:c r="L106" s="30" t="str">
        <x:v>Hard requirements pass. area 699 sqft, SGD 3,000/month. A workable space-and-rent trade-off, with larger or better-balanced alternatives in the set.</x:v>
      </x:c>
      <x:c r="M106" s="31" t="str">
        <x:v>No</x:v>
      </x:c>
      <x:c r="N106" s="30" t="str"/>
      <x:c r="O106" s="30" t="str">
        <x:v>https://www.propertyguru.com.sg/listing/hdb-for-rent-2-dover-road-500262756</x:v>
      </x:c>
    </x:row>
    <x:row r="107" ht="52" customHeight="1">
      <x:c r="A107" s="2" t="str">
        <x:v>S05</x:v>
      </x:c>
      <x:c r="B107" s="2" t="str">
        <x:v>S05-C01</x:v>
      </x:c>
      <x:c r="C107" s="2" t="str">
        <x:v>23454442</x:v>
      </x:c>
      <x:c r="D107" s="2" t="str">
        <x:v>Original</x:v>
      </x:c>
      <x:c r="E107" s="2" t="n">
        <x:v>1</x:v>
      </x:c>
      <x:c r="F107" s="26" t="n">
        <x:v>3500</x:v>
      </x:c>
      <x:c r="G107" s="27" t="n">
        <x:v>3</x:v>
      </x:c>
      <x:c r="H107" s="27" t="n">
        <x:v>699</x:v>
      </x:c>
      <x:c r="I107" s="2" t="str">
        <x:v>D10</x:v>
      </x:c>
      <x:c r="J107" s="2" t="str">
        <x:v>HDB Flat</x:v>
      </x:c>
      <x:c r="K107" s="28" t="n">
        <x:v>2130.080207870866</x:v>
      </x:c>
      <x:c r="L107" s="30" t="str">
        <x:v>Hard requirements pass. area 699 sqft, SGD 3,500/month. The reported area falls short of the primary size preference; cheaper rent alone does not fulfil it.</x:v>
      </x:c>
      <x:c r="M107" s="31" t="str">
        <x:v>No</x:v>
      </x:c>
      <x:c r="N107" s="30" t="str"/>
      <x:c r="O107" s="30" t="str">
        <x:v>https://www.propertyguru.com.sg/listing/hdb-for-rent-1-ghim-moh-road-23454442</x:v>
      </x:c>
    </x:row>
    <x:row r="108" ht="52" customHeight="1">
      <x:c r="A108" s="2" t="str">
        <x:v>S05</x:v>
      </x:c>
      <x:c r="B108" s="2" t="str">
        <x:v>S05-C02</x:v>
      </x:c>
      <x:c r="C108" s="2" t="str">
        <x:v>24866516</x:v>
      </x:c>
      <x:c r="D108" s="2" t="str">
        <x:v>Original</x:v>
      </x:c>
      <x:c r="E108" s="2" t="n">
        <x:v>0</x:v>
      </x:c>
      <x:c r="F108" s="26" t="n">
        <x:v>3000</x:v>
      </x:c>
      <x:c r="G108" s="27" t="n">
        <x:v>2</x:v>
      </x:c>
      <x:c r="H108" s="27" t="n">
        <x:v>700</x:v>
      </x:c>
      <x:c r="I108" s="2" t="str">
        <x:v>D10</x:v>
      </x:c>
      <x:c r="J108" s="2" t="str">
        <x:v>HDB Flat</x:v>
      </x:c>
      <x:c r="K108" s="28" t="n">
        <x:v>2146.023016219489</x:v>
      </x:c>
      <x:c r="L108" s="30" t="str">
        <x:v>Hard failure: Reported bedrooms 2; required &gt;= 3.</x:v>
      </x:c>
      <x:c r="M108" s="31" t="str">
        <x:v>No</x:v>
      </x:c>
      <x:c r="N108" s="30" t="str"/>
      <x:c r="O108" s="30" t="str">
        <x:v>https://www.propertyguru.com.sg/listing/hdb-for-rent-6-ghim-moh-road-24866516</x:v>
      </x:c>
    </x:row>
    <x:row r="109" ht="52" customHeight="1">
      <x:c r="A109" s="2" t="str">
        <x:v>S05</x:v>
      </x:c>
      <x:c r="B109" s="2" t="str">
        <x:v>S05-C03</x:v>
      </x:c>
      <x:c r="C109" s="2" t="str">
        <x:v>500152958</x:v>
      </x:c>
      <x:c r="D109" s="2" t="str">
        <x:v>Original</x:v>
      </x:c>
      <x:c r="E109" s="2" t="n">
        <x:v>0</x:v>
      </x:c>
      <x:c r="F109" s="26" t="n">
        <x:v>5300</x:v>
      </x:c>
      <x:c r="G109" s="27" t="n">
        <x:v>2</x:v>
      </x:c>
      <x:c r="H109" s="27" t="n">
        <x:v>936</x:v>
      </x:c>
      <x:c r="I109" s="2" t="str">
        <x:v>D10</x:v>
      </x:c>
      <x:c r="J109" s="2" t="str">
        <x:v>Apartment</x:v>
      </x:c>
      <x:c r="K109" s="28"/>
      <x:c r="L109" s="30" t="str">
        <x:v>Hard failure: Reported bedrooms 2; required &gt;= 3.</x:v>
      </x:c>
      <x:c r="M109" s="31" t="str">
        <x:v>No</x:v>
      </x:c>
      <x:c r="N109" s="30" t="str"/>
      <x:c r="O109" s="30" t="str">
        <x:v>https://www.propertyguru.com.sg/listing/for-rent-the-hermitage-500152958</x:v>
      </x:c>
    </x:row>
    <x:row r="110" ht="52" customHeight="1">
      <x:c r="A110" s="2" t="str">
        <x:v>S05</x:v>
      </x:c>
      <x:c r="B110" s="2" t="str">
        <x:v>S05-C04</x:v>
      </x:c>
      <x:c r="C110" s="2" t="str">
        <x:v>24572583</x:v>
      </x:c>
      <x:c r="D110" s="2" t="str">
        <x:v>Original</x:v>
      </x:c>
      <x:c r="E110" s="2" t="n">
        <x:v>2</x:v>
      </x:c>
      <x:c r="F110" s="26" t="n">
        <x:v>6500</x:v>
      </x:c>
      <x:c r="G110" s="27" t="n">
        <x:v>3</x:v>
      </x:c>
      <x:c r="H110" s="27" t="n">
        <x:v>1700</x:v>
      </x:c>
      <x:c r="I110" s="2" t="str">
        <x:v>D10</x:v>
      </x:c>
      <x:c r="J110" s="2" t="str">
        <x:v>Condominium</x:v>
      </x:c>
      <x:c r="K110" s="28"/>
      <x:c r="L110" s="30" t="str">
        <x:v>Hard requirements pass. area 1,700 sqft, SGD 6,500/month. The preferred size is met, but rent is near the cap and cheaper size-matching options exist.</x:v>
      </x:c>
      <x:c r="M110" s="31" t="str">
        <x:v>No</x:v>
      </x:c>
      <x:c r="N110" s="30" t="str"/>
      <x:c r="O110" s="30" t="str">
        <x:v>https://www.propertyguru.com.sg/listing/for-rent-ridgewood-condominium-24572583</x:v>
      </x:c>
    </x:row>
    <x:row r="111" ht="52" customHeight="1">
      <x:c r="A111" s="2" t="str">
        <x:v>S05</x:v>
      </x:c>
      <x:c r="B111" s="2" t="str">
        <x:v>S05-C05</x:v>
      </x:c>
      <x:c r="C111" s="2" t="str">
        <x:v>500266705</x:v>
      </x:c>
      <x:c r="D111" s="2" t="str">
        <x:v>Original</x:v>
      </x:c>
      <x:c r="E111" s="2" t="str">
        <x:v>U</x:v>
      </x:c>
      <x:c r="F111" s="26" t="n">
        <x:v>3800</x:v>
      </x:c>
      <x:c r="G111" s="27"/>
      <x:c r="H111" s="27" t="n">
        <x:v>350</x:v>
      </x:c>
      <x:c r="I111" s="2" t="str">
        <x:v>D10</x:v>
      </x:c>
      <x:c r="J111" s="2" t="str">
        <x:v>Apartment</x:v>
      </x:c>
      <x:c r="K111" s="28"/>
      <x:c r="L111" s="30" t="str">
        <x:v>No known hard failure. Cannot verify: reported bedrooms.</x:v>
      </x:c>
      <x:c r="M111" s="31" t="str">
        <x:v>No</x:v>
      </x:c>
      <x:c r="N111" s="30" t="str">
        <x:v>Reported bedrooms Unknown; required &gt;= 3.</x:v>
      </x:c>
      <x:c r="O111" s="30" t="str">
        <x:v>https://www.propertyguru.com.sg/listing/for-rent-the-assembly-at-stevens-service-residences-500266705</x:v>
      </x:c>
    </x:row>
    <x:row r="112" ht="52" customHeight="1">
      <x:c r="A112" s="2" t="str">
        <x:v>S05</x:v>
      </x:c>
      <x:c r="B112" s="2" t="str">
        <x:v>S05-C06</x:v>
      </x:c>
      <x:c r="C112" s="2" t="str">
        <x:v>25230947</x:v>
      </x:c>
      <x:c r="D112" s="2" t="str">
        <x:v>Original</x:v>
      </x:c>
      <x:c r="E112" s="2" t="n">
        <x:v>1</x:v>
      </x:c>
      <x:c r="F112" s="26" t="n">
        <x:v>5900</x:v>
      </x:c>
      <x:c r="G112" s="27" t="n">
        <x:v>4</x:v>
      </x:c>
      <x:c r="H112" s="27" t="n">
        <x:v>1335</x:v>
      </x:c>
      <x:c r="I112" s="2" t="str">
        <x:v>D10</x:v>
      </x:c>
      <x:c r="J112" s="2" t="str">
        <x:v>HDB Flat</x:v>
      </x:c>
      <x:c r="K112" s="28" t="n">
        <x:v>2524.558935479599</x:v>
      </x:c>
      <x:c r="L112" s="30" t="str">
        <x:v>Hard requirements pass. area 1,335 sqft, SGD 5,900/month. The reported area falls short of the primary size preference; cheaper rent alone does not fulfil it.</x:v>
      </x:c>
      <x:c r="M112" s="31" t="str">
        <x:v>No</x:v>
      </x:c>
      <x:c r="N112" s="30" t="str"/>
      <x:c r="O112" s="30" t="str">
        <x:v>https://www.propertyguru.com.sg/listing/hdb-for-rent-3-holland-close-25230947</x:v>
      </x:c>
    </x:row>
    <x:row r="113" ht="52" customHeight="1">
      <x:c r="A113" s="2" t="str">
        <x:v>S05</x:v>
      </x:c>
      <x:c r="B113" s="2" t="str">
        <x:v>S05-C07</x:v>
      </x:c>
      <x:c r="C113" s="2" t="str">
        <x:v>500281102</x:v>
      </x:c>
      <x:c r="D113" s="2" t="str">
        <x:v>Original</x:v>
      </x:c>
      <x:c r="E113" s="2" t="n">
        <x:v>2</x:v>
      </x:c>
      <x:c r="F113" s="26" t="n">
        <x:v>6000</x:v>
      </x:c>
      <x:c r="G113" s="27" t="n">
        <x:v>3</x:v>
      </x:c>
      <x:c r="H113" s="27" t="n">
        <x:v>1411</x:v>
      </x:c>
      <x:c r="I113" s="2" t="str">
        <x:v>D10</x:v>
      </x:c>
      <x:c r="J113" s="2" t="str">
        <x:v>Apartment</x:v>
      </x:c>
      <x:c r="K113" s="28"/>
      <x:c r="L113" s="30" t="str">
        <x:v>Hard requirements pass. area 1,411 sqft, SGD 6,000/month. The area is only modestly below the soft target; this remains a trade-off, not a hard failure.</x:v>
      </x:c>
      <x:c r="M113" s="31" t="str">
        <x:v>No</x:v>
      </x:c>
      <x:c r="N113" s="30" t="str"/>
      <x:c r="O113" s="30" t="str">
        <x:v>https://www.propertyguru.com.sg/listing/for-rent-jervois-grove-500281102</x:v>
      </x:c>
    </x:row>
    <x:row r="114" ht="52" customHeight="1">
      <x:c r="A114" s="2" t="str">
        <x:v>S05</x:v>
      </x:c>
      <x:c r="B114" s="2" t="str">
        <x:v>S05-C08</x:v>
      </x:c>
      <x:c r="C114" s="2" t="str">
        <x:v>25431334</x:v>
      </x:c>
      <x:c r="D114" s="2" t="str">
        <x:v>Original</x:v>
      </x:c>
      <x:c r="E114" s="2" t="n">
        <x:v>1</x:v>
      </x:c>
      <x:c r="F114" s="26" t="n">
        <x:v>4800</x:v>
      </x:c>
      <x:c r="G114" s="27" t="n">
        <x:v>3</x:v>
      </x:c>
      <x:c r="H114" s="27" t="n">
        <x:v>936</x:v>
      </x:c>
      <x:c r="I114" s="2" t="str">
        <x:v>D10</x:v>
      </x:c>
      <x:c r="J114" s="2" t="str">
        <x:v>HDB Flat</x:v>
      </x:c>
      <x:c r="K114" s="28" t="n">
        <x:v>2329.187450171285</x:v>
      </x:c>
      <x:c r="L114" s="30" t="str">
        <x:v>Hard requirements pass. area 936 sqft, SGD 4,800/month. The reported area falls short of the primary size preference; cheaper rent alone does not fulfil it.</x:v>
      </x:c>
      <x:c r="M114" s="31" t="str">
        <x:v>No</x:v>
      </x:c>
      <x:c r="N114" s="30" t="str"/>
      <x:c r="O114" s="30" t="str">
        <x:v>https://www.propertyguru.com.sg/listing/hdb-for-rent-18b-holland-drive-25431334</x:v>
      </x:c>
    </x:row>
    <x:row r="115" ht="52" customHeight="1">
      <x:c r="A115" s="2" t="str">
        <x:v>S05</x:v>
      </x:c>
      <x:c r="B115" s="2" t="str">
        <x:v>S05-C09</x:v>
      </x:c>
      <x:c r="C115" s="2" t="str">
        <x:v>500092043</x:v>
      </x:c>
      <x:c r="D115" s="2" t="str">
        <x:v>Original</x:v>
      </x:c>
      <x:c r="E115" s="2" t="n">
        <x:v>3</x:v>
      </x:c>
      <x:c r="F115" s="26" t="n">
        <x:v>5500</x:v>
      </x:c>
      <x:c r="G115" s="27" t="n">
        <x:v>3</x:v>
      </x:c>
      <x:c r="H115" s="27" t="n">
        <x:v>1500</x:v>
      </x:c>
      <x:c r="I115" s="2" t="str">
        <x:v>D10</x:v>
      </x:c>
      <x:c r="J115" s="2" t="str">
        <x:v>Condominium</x:v>
      </x:c>
      <x:c r="K115" s="28"/>
      <x:c r="L115" s="30" t="str">
        <x:v>Hard requirements pass. area 1,500 sqft, SGD 5,500/month. The preferred size is met at a lower rent than several other size-matching choices.</x:v>
      </x:c>
      <x:c r="M115" s="31" t="str">
        <x:v>No</x:v>
      </x:c>
      <x:c r="N115" s="30" t="str"/>
      <x:c r="O115" s="30" t="str">
        <x:v>https://www.propertyguru.com.sg/listing/for-rent-rainbow-mansions-500092043</x:v>
      </x:c>
    </x:row>
    <x:row r="116" ht="52" customHeight="1">
      <x:c r="A116" s="2" t="str">
        <x:v>S05</x:v>
      </x:c>
      <x:c r="B116" s="2" t="str">
        <x:v>S05-C10</x:v>
      </x:c>
      <x:c r="C116" s="2" t="str">
        <x:v>24936408</x:v>
      </x:c>
      <x:c r="D116" s="2" t="str">
        <x:v>Original</x:v>
      </x:c>
      <x:c r="E116" s="2" t="n">
        <x:v>0</x:v>
      </x:c>
      <x:c r="F116" s="26" t="n">
        <x:v>6667</x:v>
      </x:c>
      <x:c r="G116" s="27" t="n">
        <x:v>3</x:v>
      </x:c>
      <x:c r="H116" s="27" t="n">
        <x:v>1668</x:v>
      </x:c>
      <x:c r="I116" s="2" t="str">
        <x:v>D10</x:v>
      </x:c>
      <x:c r="J116" s="2" t="str">
        <x:v>Condominium</x:v>
      </x:c>
      <x:c r="K116" s="28"/>
      <x:c r="L116" s="30" t="str">
        <x:v>Hard failure: Rent (SGD/month) 6,667; required &lt;= 6,500.</x:v>
      </x:c>
      <x:c r="M116" s="31" t="str">
        <x:v>No</x:v>
      </x:c>
      <x:c r="N116" s="30" t="str"/>
      <x:c r="O116" s="30" t="str">
        <x:v>https://www.propertyguru.com.sg/listing/for-rent-jervois-lodge-24936408</x:v>
      </x:c>
    </x:row>
    <x:row r="117" ht="52" customHeight="1">
      <x:c r="A117" s="2" t="str">
        <x:v>S05</x:v>
      </x:c>
      <x:c r="B117" s="2" t="str">
        <x:v>S05-C11</x:v>
      </x:c>
      <x:c r="C117" s="2" t="str">
        <x:v>24424470</x:v>
      </x:c>
      <x:c r="D117" s="2" t="str">
        <x:v>Original</x:v>
      </x:c>
      <x:c r="E117" s="2" t="n">
        <x:v>1</x:v>
      </x:c>
      <x:c r="F117" s="26" t="n">
        <x:v>5500</x:v>
      </x:c>
      <x:c r="G117" s="27" t="n">
        <x:v>3</x:v>
      </x:c>
      <x:c r="H117" s="27" t="n">
        <x:v>1119</x:v>
      </x:c>
      <x:c r="I117" s="2" t="str">
        <x:v>D10</x:v>
      </x:c>
      <x:c r="J117" s="2" t="str">
        <x:v>Apartment</x:v>
      </x:c>
      <x:c r="K117" s="28"/>
      <x:c r="L117" s="30" t="str">
        <x:v>Hard requirements pass. area 1,119 sqft, SGD 5,500/month. The reported area falls short of the primary size preference; cheaper rent alone does not fulfil it.</x:v>
      </x:c>
      <x:c r="M117" s="31" t="str">
        <x:v>No</x:v>
      </x:c>
      <x:c r="N117" s="30" t="str"/>
      <x:c r="O117" s="30" t="str">
        <x:v>https://www.propertyguru.com.sg/listing/for-rent-proximo-24424470</x:v>
      </x:c>
    </x:row>
    <x:row r="118" ht="52" customHeight="1">
      <x:c r="A118" s="2" t="str">
        <x:v>S05</x:v>
      </x:c>
      <x:c r="B118" s="2" t="str">
        <x:v>S05-C12</x:v>
      </x:c>
      <x:c r="C118" s="2" t="str">
        <x:v>22280837</x:v>
      </x:c>
      <x:c r="D118" s="2" t="str">
        <x:v>Original</x:v>
      </x:c>
      <x:c r="E118" s="2" t="n">
        <x:v>2</x:v>
      </x:c>
      <x:c r="F118" s="26" t="n">
        <x:v>6300</x:v>
      </x:c>
      <x:c r="G118" s="27" t="n">
        <x:v>3</x:v>
      </x:c>
      <x:c r="H118" s="27" t="n">
        <x:v>1744</x:v>
      </x:c>
      <x:c r="I118" s="2" t="str">
        <x:v>D10</x:v>
      </x:c>
      <x:c r="J118" s="2" t="str">
        <x:v>Condominium</x:v>
      </x:c>
      <x:c r="K118" s="28"/>
      <x:c r="L118" s="30" t="str">
        <x:v>Hard requirements pass. area 1,744 sqft, SGD 6,300/month. The preferred size is met, but rent is near the cap and cheaper size-matching options exist.</x:v>
      </x:c>
      <x:c r="M118" s="31" t="str">
        <x:v>No</x:v>
      </x:c>
      <x:c r="N118" s="30" t="str"/>
      <x:c r="O118" s="30" t="str">
        <x:v>https://www.propertyguru.com.sg/listing/for-rent-ridgewood-condominium-22280837</x:v>
      </x:c>
    </x:row>
    <x:row r="119" ht="52" customHeight="1">
      <x:c r="A119" s="2" t="str">
        <x:v>S05</x:v>
      </x:c>
      <x:c r="B119" s="2" t="str">
        <x:v>S05-C13</x:v>
      </x:c>
      <x:c r="C119" s="2" t="str">
        <x:v>500195969</x:v>
      </x:c>
      <x:c r="D119" s="2" t="str">
        <x:v>Original</x:v>
      </x:c>
      <x:c r="E119" s="2" t="n">
        <x:v>1</x:v>
      </x:c>
      <x:c r="F119" s="26" t="n">
        <x:v>6000</x:v>
      </x:c>
      <x:c r="G119" s="27" t="n">
        <x:v>3</x:v>
      </x:c>
      <x:c r="H119" s="27" t="n">
        <x:v>851</x:v>
      </x:c>
      <x:c r="I119" s="2" t="str">
        <x:v>D10</x:v>
      </x:c>
      <x:c r="J119" s="2" t="str">
        <x:v>Condominium</x:v>
      </x:c>
      <x:c r="K119" s="28" t="n">
        <x:v>5726.981837996808</x:v>
      </x:c>
      <x:c r="L119" s="30" t="str">
        <x:v>Hard requirements pass. area 851 sqft, SGD 6,000/month. The reported area falls short of the primary size preference; cheaper rent alone does not fulfil it.</x:v>
      </x:c>
      <x:c r="M119" s="31" t="str">
        <x:v>No</x:v>
      </x:c>
      <x:c r="N119" s="30" t="str"/>
      <x:c r="O119" s="30" t="str">
        <x:v>https://www.propertyguru.com.sg/listing/for-rent-rv-residences-500195969</x:v>
      </x:c>
    </x:row>
    <x:row r="120" ht="52" customHeight="1">
      <x:c r="A120" s="2" t="str">
        <x:v>S05</x:v>
      </x:c>
      <x:c r="B120" s="2" t="str">
        <x:v>S05-C14</x:v>
      </x:c>
      <x:c r="C120" s="2" t="str">
        <x:v>19213816</x:v>
      </x:c>
      <x:c r="D120" s="2" t="str">
        <x:v>Original</x:v>
      </x:c>
      <x:c r="E120" s="2" t="n">
        <x:v>0</x:v>
      </x:c>
      <x:c r="F120" s="26" t="n">
        <x:v>6600</x:v>
      </x:c>
      <x:c r="G120" s="27" t="n">
        <x:v>3</x:v>
      </x:c>
      <x:c r="H120" s="27" t="n">
        <x:v>1302</x:v>
      </x:c>
      <x:c r="I120" s="2" t="str">
        <x:v>D10</x:v>
      </x:c>
      <x:c r="J120" s="2" t="str">
        <x:v>Condominium</x:v>
      </x:c>
      <x:c r="K120" s="28"/>
      <x:c r="L120" s="30" t="str">
        <x:v>Hard failure: Rent (SGD/month) 6,600; required &lt;= 6,500.</x:v>
      </x:c>
      <x:c r="M120" s="31" t="str">
        <x:v>No</x:v>
      </x:c>
      <x:c r="N120" s="30" t="str"/>
      <x:c r="O120" s="30" t="str">
        <x:v>https://www.propertyguru.com.sg/listing/for-rent-the-tessarina-19213816</x:v>
      </x:c>
    </x:row>
    <x:row r="121" ht="52" customHeight="1">
      <x:c r="A121" s="2" t="str">
        <x:v>S05</x:v>
      </x:c>
      <x:c r="B121" s="2" t="str">
        <x:v>S05-C15</x:v>
      </x:c>
      <x:c r="C121" s="2" t="str">
        <x:v>500266134</x:v>
      </x:c>
      <x:c r="D121" s="2" t="str">
        <x:v>Original</x:v>
      </x:c>
      <x:c r="E121" s="2" t="n">
        <x:v>2</x:v>
      </x:c>
      <x:c r="F121" s="26" t="n">
        <x:v>6500</x:v>
      </x:c>
      <x:c r="G121" s="27" t="n">
        <x:v>3</x:v>
      </x:c>
      <x:c r="H121" s="27" t="n">
        <x:v>1657</x:v>
      </x:c>
      <x:c r="I121" s="2" t="str">
        <x:v>D10</x:v>
      </x:c>
      <x:c r="J121" s="2" t="str">
        <x:v>Condominium</x:v>
      </x:c>
      <x:c r="K121" s="28"/>
      <x:c r="L121" s="30" t="str">
        <x:v>Hard requirements pass. area 1,657 sqft, SGD 6,500/month. The preferred size is met, but rent is near the cap and cheaper size-matching options exist.</x:v>
      </x:c>
      <x:c r="M121" s="31" t="str">
        <x:v>No</x:v>
      </x:c>
      <x:c r="N121" s="30" t="str"/>
      <x:c r="O121" s="30" t="str">
        <x:v>https://www.propertyguru.com.sg/listing/for-rent-fairlodge-500266134</x:v>
      </x:c>
    </x:row>
    <x:row r="122" ht="52" customHeight="1">
      <x:c r="A122" s="2" t="str">
        <x:v>S05</x:v>
      </x:c>
      <x:c r="B122" s="2" t="str">
        <x:v>S05-C16</x:v>
      </x:c>
      <x:c r="C122" s="2" t="str">
        <x:v>25368286</x:v>
      </x:c>
      <x:c r="D122" s="2" t="str">
        <x:v>Original</x:v>
      </x:c>
      <x:c r="E122" s="2" t="n">
        <x:v>1</x:v>
      </x:c>
      <x:c r="F122" s="26" t="n">
        <x:v>3499</x:v>
      </x:c>
      <x:c r="G122" s="27" t="n">
        <x:v>3</x:v>
      </x:c>
      <x:c r="H122" s="27" t="n">
        <x:v>699</x:v>
      </x:c>
      <x:c r="I122" s="2" t="str">
        <x:v>D10</x:v>
      </x:c>
      <x:c r="J122" s="2" t="str">
        <x:v>HDB Flat</x:v>
      </x:c>
      <x:c r="K122" s="28" t="n">
        <x:v>2314.0423628711924</x:v>
      </x:c>
      <x:c r="L122" s="30" t="str">
        <x:v>Hard requirements pass. area 699 sqft, SGD 3,499/month. The reported area falls short of the primary size preference; cheaper rent alone does not fulfil it.</x:v>
      </x:c>
      <x:c r="M122" s="31" t="str">
        <x:v>No</x:v>
      </x:c>
      <x:c r="N122" s="30" t="str"/>
      <x:c r="O122" s="30" t="str">
        <x:v>https://www.propertyguru.com.sg/listing/hdb-for-rent-9-holland-avenue-25368286</x:v>
      </x:c>
    </x:row>
    <x:row r="123" ht="52" customHeight="1">
      <x:c r="A123" s="2" t="str">
        <x:v>S05</x:v>
      </x:c>
      <x:c r="B123" s="2" t="str">
        <x:v>S05-C17</x:v>
      </x:c>
      <x:c r="C123" s="2" t="str">
        <x:v>500284522</x:v>
      </x:c>
      <x:c r="D123" s="2" t="str">
        <x:v>Original</x:v>
      </x:c>
      <x:c r="E123" s="2" t="str">
        <x:v>U</x:v>
      </x:c>
      <x:c r="F123" s="26" t="n">
        <x:v>2800</x:v>
      </x:c>
      <x:c r="G123" s="27"/>
      <x:c r="H123" s="27" t="n">
        <x:v>250</x:v>
      </x:c>
      <x:c r="I123" s="2" t="str">
        <x:v>D10</x:v>
      </x:c>
      <x:c r="J123" s="2" t="str">
        <x:v>Condominium</x:v>
      </x:c>
      <x:c r="K123" s="28"/>
      <x:c r="L123" s="30" t="str">
        <x:v>No known hard failure. Cannot verify: reported bedrooms.</x:v>
      </x:c>
      <x:c r="M123" s="31" t="str">
        <x:v>No</x:v>
      </x:c>
      <x:c r="N123" s="30" t="str">
        <x:v>Reported bedrooms Unknown; required &gt;= 3.</x:v>
      </x:c>
      <x:c r="O123" s="30" t="str">
        <x:v>https://www.propertyguru.com.sg/listing/for-rent-melrose-park-500284522</x:v>
      </x:c>
    </x:row>
    <x:row r="124" ht="52" customHeight="1">
      <x:c r="A124" s="2" t="str">
        <x:v>S05</x:v>
      </x:c>
      <x:c r="B124" s="2" t="str">
        <x:v>S05-C18</x:v>
      </x:c>
      <x:c r="C124" s="2" t="str">
        <x:v>25484671</x:v>
      </x:c>
      <x:c r="D124" s="2" t="str">
        <x:v>Original</x:v>
      </x:c>
      <x:c r="E124" s="2" t="str">
        <x:v>U</x:v>
      </x:c>
      <x:c r="F124" s="26" t="n">
        <x:v>2150</x:v>
      </x:c>
      <x:c r="G124" s="27"/>
      <x:c r="H124" s="27" t="n">
        <x:v>250</x:v>
      </x:c>
      <x:c r="I124" s="2" t="str">
        <x:v>D10</x:v>
      </x:c>
      <x:c r="J124" s="2" t="str">
        <x:v>Apartment</x:v>
      </x:c>
      <x:c r="K124" s="28"/>
      <x:c r="L124" s="30" t="str">
        <x:v>No known hard failure. Cannot verify: reported bedrooms.</x:v>
      </x:c>
      <x:c r="M124" s="31" t="str">
        <x:v>No</x:v>
      </x:c>
      <x:c r="N124" s="30" t="str">
        <x:v>Reported bedrooms Unknown; required &gt;= 3.</x:v>
      </x:c>
      <x:c r="O124" s="30" t="str">
        <x:v>https://www.propertyguru.com.sg/listing/for-rent-coliwoo-studios-1a-lutheran-25484671</x:v>
      </x:c>
    </x:row>
    <x:row r="125" ht="52" customHeight="1">
      <x:c r="A125" s="2" t="str">
        <x:v>S05</x:v>
      </x:c>
      <x:c r="B125" s="2" t="str">
        <x:v>S05-C19</x:v>
      </x:c>
      <x:c r="C125" s="2" t="str">
        <x:v>20676599</x:v>
      </x:c>
      <x:c r="D125" s="2" t="str">
        <x:v>Original</x:v>
      </x:c>
      <x:c r="E125" s="2" t="n">
        <x:v>3</x:v>
      </x:c>
      <x:c r="F125" s="26" t="n">
        <x:v>5900</x:v>
      </x:c>
      <x:c r="G125" s="27" t="n">
        <x:v>3</x:v>
      </x:c>
      <x:c r="H125" s="27" t="n">
        <x:v>1744</x:v>
      </x:c>
      <x:c r="I125" s="2" t="str">
        <x:v>D10</x:v>
      </x:c>
      <x:c r="J125" s="2" t="str">
        <x:v>Condominium</x:v>
      </x:c>
      <x:c r="K125" s="28"/>
      <x:c r="L125" s="30" t="str">
        <x:v>Hard requirements pass. area 1,744 sqft, SGD 5,900/month. The preferred size is met at a lower rent than several other size-matching choices.</x:v>
      </x:c>
      <x:c r="M125" s="31" t="str">
        <x:v>No</x:v>
      </x:c>
      <x:c r="N125" s="30" t="str"/>
      <x:c r="O125" s="30" t="str">
        <x:v>https://www.propertyguru.com.sg/listing/for-rent-ridgewood-condominium-20676599</x:v>
      </x:c>
    </x:row>
    <x:row r="126" ht="52" customHeight="1">
      <x:c r="A126" s="2" t="str">
        <x:v>S05</x:v>
      </x:c>
      <x:c r="B126" s="2" t="str">
        <x:v>S05-C20</x:v>
      </x:c>
      <x:c r="C126" s="2" t="str">
        <x:v>500267519</x:v>
      </x:c>
      <x:c r="D126" s="2" t="str">
        <x:v>Original</x:v>
      </x:c>
      <x:c r="E126" s="2" t="n">
        <x:v>1</x:v>
      </x:c>
      <x:c r="F126" s="26" t="n">
        <x:v>4900</x:v>
      </x:c>
      <x:c r="G126" s="27" t="n">
        <x:v>4</x:v>
      </x:c>
      <x:c r="H126" s="27" t="n">
        <x:v>1200</x:v>
      </x:c>
      <x:c r="I126" s="2" t="str">
        <x:v>D10</x:v>
      </x:c>
      <x:c r="J126" s="2" t="str">
        <x:v>Apartment</x:v>
      </x:c>
      <x:c r="K126" s="28"/>
      <x:c r="L126" s="30" t="str">
        <x:v>Hard requirements pass. area 1,200 sqft, SGD 4,900/month. The reported area falls short of the primary size preference; cheaper rent alone does not fulfil it.</x:v>
      </x:c>
      <x:c r="M126" s="31" t="str">
        <x:v>No</x:v>
      </x:c>
      <x:c r="N126" s="30" t="str"/>
      <x:c r="O126" s="30" t="str">
        <x:v>https://www.propertyguru.com.sg/listing/for-rent-619-bukit-timah-500267519</x:v>
      </x:c>
    </x:row>
    <x:row r="127" ht="52" customHeight="1">
      <x:c r="A127" s="2" t="str">
        <x:v>S05</x:v>
      </x:c>
      <x:c r="B127" s="2" t="str">
        <x:v>S05-C21</x:v>
      </x:c>
      <x:c r="C127" s="2" t="str">
        <x:v>500257662</x:v>
      </x:c>
      <x:c r="D127" s="2" t="str">
        <x:v>Original</x:v>
      </x:c>
      <x:c r="E127" s="2" t="n">
        <x:v>2</x:v>
      </x:c>
      <x:c r="F127" s="26" t="n">
        <x:v>6500</x:v>
      </x:c>
      <x:c r="G127" s="27" t="n">
        <x:v>3</x:v>
      </x:c>
      <x:c r="H127" s="27" t="n">
        <x:v>1744</x:v>
      </x:c>
      <x:c r="I127" s="2" t="str">
        <x:v>D10</x:v>
      </x:c>
      <x:c r="J127" s="2" t="str">
        <x:v>Condominium</x:v>
      </x:c>
      <x:c r="K127" s="28"/>
      <x:c r="L127" s="30" t="str">
        <x:v>Hard requirements pass. area 1,744 sqft, SGD 6,500/month. The preferred size is met, but rent is near the cap and cheaper size-matching options exist.</x:v>
      </x:c>
      <x:c r="M127" s="31" t="str">
        <x:v>No</x:v>
      </x:c>
      <x:c r="N127" s="30" t="str"/>
      <x:c r="O127" s="30" t="str">
        <x:v>https://www.propertyguru.com.sg/listing/for-rent-ridgewood-condominium-500257662</x:v>
      </x:c>
    </x:row>
    <x:row r="128" ht="52" customHeight="1">
      <x:c r="A128" s="2" t="str">
        <x:v>S05</x:v>
      </x:c>
      <x:c r="B128" s="2" t="str">
        <x:v>S05-C22</x:v>
      </x:c>
      <x:c r="C128" s="2" t="str">
        <x:v>25141944</x:v>
      </x:c>
      <x:c r="D128" s="2" t="str">
        <x:v>Original</x:v>
      </x:c>
      <x:c r="E128" s="2" t="n">
        <x:v>2</x:v>
      </x:c>
      <x:c r="F128" s="26" t="n">
        <x:v>6300</x:v>
      </x:c>
      <x:c r="G128" s="27" t="n">
        <x:v>3</x:v>
      </x:c>
      <x:c r="H128" s="27" t="n">
        <x:v>1507</x:v>
      </x:c>
      <x:c r="I128" s="2" t="str">
        <x:v>D10</x:v>
      </x:c>
      <x:c r="J128" s="2" t="str">
        <x:v>Condominium</x:v>
      </x:c>
      <x:c r="K128" s="28"/>
      <x:c r="L128" s="30" t="str">
        <x:v>Hard requirements pass. area 1,507 sqft, SGD 6,300/month. The preferred size is met, but rent is near the cap and cheaper size-matching options exist.</x:v>
      </x:c>
      <x:c r="M128" s="31" t="str">
        <x:v>No</x:v>
      </x:c>
      <x:c r="N128" s="30" t="str"/>
      <x:c r="O128" s="30" t="str">
        <x:v>https://www.propertyguru.com.sg/listing/for-rent-the-serenade-holland-25141944</x:v>
      </x:c>
    </x:row>
    <x:row r="129" ht="52" customHeight="1">
      <x:c r="A129" s="2" t="str">
        <x:v>S05</x:v>
      </x:c>
      <x:c r="B129" s="2" t="str">
        <x:v>S05-C23</x:v>
      </x:c>
      <x:c r="C129" s="2" t="str">
        <x:v>500226736</x:v>
      </x:c>
      <x:c r="D129" s="2" t="str">
        <x:v>Original</x:v>
      </x:c>
      <x:c r="E129" s="2" t="n">
        <x:v>0</x:v>
      </x:c>
      <x:c r="F129" s="26" t="n">
        <x:v>5300</x:v>
      </x:c>
      <x:c r="G129" s="27" t="n">
        <x:v>3</x:v>
      </x:c>
      <x:c r="H129" s="27" t="n">
        <x:v>958</x:v>
      </x:c>
      <x:c r="I129" s="2" t="str">
        <x:v>D20</x:v>
      </x:c>
      <x:c r="J129" s="2" t="str">
        <x:v>Condominium</x:v>
      </x:c>
      <x:c r="K129" s="28"/>
      <x:c r="L129" s="30" t="str">
        <x:v>Hard failure: District D20; required = D10.</x:v>
      </x:c>
      <x:c r="M129" s="31" t="str">
        <x:v>No</x:v>
      </x:c>
      <x:c r="N129" s="30" t="str"/>
      <x:c r="O129" s="30" t="str">
        <x:v>https://www.propertyguru.com.sg/listing/for-rent-amo-residence-500226736</x:v>
      </x:c>
    </x:row>
    <x:row r="130" ht="52" customHeight="1">
      <x:c r="A130" s="2" t="str">
        <x:v>S05</x:v>
      </x:c>
      <x:c r="B130" s="2" t="str">
        <x:v>S05-C24</x:v>
      </x:c>
      <x:c r="C130" s="2" t="str">
        <x:v>500273255</x:v>
      </x:c>
      <x:c r="D130" s="2" t="str">
        <x:v>Original</x:v>
      </x:c>
      <x:c r="E130" s="2" t="n">
        <x:v>1</x:v>
      </x:c>
      <x:c r="F130" s="26" t="n">
        <x:v>4150</x:v>
      </x:c>
      <x:c r="G130" s="27" t="n">
        <x:v>3</x:v>
      </x:c>
      <x:c r="H130" s="27" t="n">
        <x:v>1280</x:v>
      </x:c>
      <x:c r="I130" s="2" t="str">
        <x:v>D10</x:v>
      </x:c>
      <x:c r="J130" s="2" t="str">
        <x:v>HDB Flat</x:v>
      </x:c>
      <x:c r="K130" s="28" t="n">
        <x:v>1974.7592412767783</x:v>
      </x:c>
      <x:c r="L130" s="30" t="str">
        <x:v>Hard requirements pass. area 1,280 sqft, SGD 4,150/month. The reported area falls short of the primary size preference; cheaper rent alone does not fulfil it.</x:v>
      </x:c>
      <x:c r="M130" s="31" t="str">
        <x:v>No</x:v>
      </x:c>
      <x:c r="N130" s="30" t="str"/>
      <x:c r="O130" s="30" t="str">
        <x:v>https://www.propertyguru.com.sg/listing/hdb-for-rent-8-ghim-moh-road-500273255</x:v>
      </x:c>
    </x:row>
    <x:row r="131" ht="52" customHeight="1">
      <x:c r="A131" s="2" t="str">
        <x:v>S05</x:v>
      </x:c>
      <x:c r="B131" s="2" t="str">
        <x:v>S05-C25</x:v>
      </x:c>
      <x:c r="C131" s="2" t="str">
        <x:v>500285609</x:v>
      </x:c>
      <x:c r="D131" s="2" t="str">
        <x:v>Original</x:v>
      </x:c>
      <x:c r="E131" s="2" t="n">
        <x:v>1</x:v>
      </x:c>
      <x:c r="F131" s="26" t="n">
        <x:v>3400</x:v>
      </x:c>
      <x:c r="G131" s="27" t="n">
        <x:v>3</x:v>
      </x:c>
      <x:c r="H131" s="27" t="n">
        <x:v>699</x:v>
      </x:c>
      <x:c r="I131" s="2" t="str">
        <x:v>D10</x:v>
      </x:c>
      <x:c r="J131" s="2" t="str">
        <x:v>HDB Flat</x:v>
      </x:c>
      <x:c r="K131" s="28" t="n">
        <x:v>2314.0423628711924</x:v>
      </x:c>
      <x:c r="L131" s="30" t="str">
        <x:v>Hard requirements pass. area 699 sqft, SGD 3,400/month. The reported area falls short of the primary size preference; cheaper rent alone does not fulfil it.</x:v>
      </x:c>
      <x:c r="M131" s="31" t="str">
        <x:v>No</x:v>
      </x:c>
      <x:c r="N131" s="30" t="str"/>
      <x:c r="O131" s="30" t="str">
        <x:v>https://www.propertyguru.com.sg/listing/hdb-for-rent-9-holland-avenue-500285609</x:v>
      </x:c>
    </x:row>
    <x:row r="132" ht="52" customHeight="1">
      <x:c r="A132" s="2" t="str">
        <x:v>S06</x:v>
      </x:c>
      <x:c r="B132" s="2" t="str">
        <x:v>S06-C01</x:v>
      </x:c>
      <x:c r="C132" s="2" t="str">
        <x:v>500245773</x:v>
      </x:c>
      <x:c r="D132" s="2" t="str">
        <x:v>Original</x:v>
      </x:c>
      <x:c r="E132" s="2" t="n">
        <x:v>1</x:v>
      </x:c>
      <x:c r="F132" s="26" t="n">
        <x:v>3100</x:v>
      </x:c>
      <x:c r="G132" s="27" t="n">
        <x:v>2</x:v>
      </x:c>
      <x:c r="H132" s="27" t="n">
        <x:v>634</x:v>
      </x:c>
      <x:c r="I132" s="2" t="str">
        <x:v>D10</x:v>
      </x:c>
      <x:c r="J132" s="2" t="str">
        <x:v>HDB Flat</x:v>
      </x:c>
      <x:c r="K132" s="28" t="n">
        <x:v>2212.1666126829746</x:v>
      </x:c>
      <x:c r="L132" s="30" t="str">
        <x:v>Hard requirements pass. HDB Flat, area 634 sqft. The primary condominium preference is unmet; the mandatory type was not restricted.</x:v>
      </x:c>
      <x:c r="M132" s="31" t="str">
        <x:v>No</x:v>
      </x:c>
      <x:c r="N132" s="30" t="str"/>
      <x:c r="O132" s="30" t="str">
        <x:v>https://www.propertyguru.com.sg/listing/hdb-for-rent-8-holland-avenue-500245773</x:v>
      </x:c>
    </x:row>
    <x:row r="133" ht="52" customHeight="1">
      <x:c r="A133" s="2" t="str">
        <x:v>S06</x:v>
      </x:c>
      <x:c r="B133" s="2" t="str">
        <x:v>S06-C02</x:v>
      </x:c>
      <x:c r="C133" s="2" t="str">
        <x:v>500257625</x:v>
      </x:c>
      <x:c r="D133" s="2" t="str">
        <x:v>Original</x:v>
      </x:c>
      <x:c r="E133" s="2" t="n">
        <x:v>2</x:v>
      </x:c>
      <x:c r="F133" s="26" t="n">
        <x:v>4700</x:v>
      </x:c>
      <x:c r="G133" s="27" t="n">
        <x:v>2</x:v>
      </x:c>
      <x:c r="H133" s="27" t="n">
        <x:v>614</x:v>
      </x:c>
      <x:c r="I133" s="2" t="str">
        <x:v>D09</x:v>
      </x:c>
      <x:c r="J133" s="2" t="str">
        <x:v>Condominium</x:v>
      </x:c>
      <x:c r="K133" s="28"/>
      <x:c r="L133" s="30" t="str">
        <x:v>Hard requirements pass. Condominium, area 614 sqft. The condominium preference is met, with a size trade-off against larger qualifying condominiums.</x:v>
      </x:c>
      <x:c r="M133" s="31" t="str">
        <x:v>No</x:v>
      </x:c>
      <x:c r="N133" s="30" t="str"/>
      <x:c r="O133" s="30" t="str">
        <x:v>https://www.propertyguru.com.sg/listing/for-rent-kopar-at-newton-500257625</x:v>
      </x:c>
    </x:row>
    <x:row r="134" ht="52" customHeight="1">
      <x:c r="A134" s="2" t="str">
        <x:v>S06</x:v>
      </x:c>
      <x:c r="B134" s="2" t="str">
        <x:v>S06-C03</x:v>
      </x:c>
      <x:c r="C134" s="2" t="str">
        <x:v>23763863</x:v>
      </x:c>
      <x:c r="D134" s="2" t="str">
        <x:v>Original</x:v>
      </x:c>
      <x:c r="E134" s="2" t="n">
        <x:v>1</x:v>
      </x:c>
      <x:c r="F134" s="26" t="n">
        <x:v>3100</x:v>
      </x:c>
      <x:c r="G134" s="27" t="n">
        <x:v>2</x:v>
      </x:c>
      <x:c r="H134" s="27" t="n">
        <x:v>635</x:v>
      </x:c>
      <x:c r="I134" s="2" t="str">
        <x:v>D10</x:v>
      </x:c>
      <x:c r="J134" s="2" t="str">
        <x:v>HDB Flat</x:v>
      </x:c>
      <x:c r="K134" s="28" t="n">
        <x:v>2506.1949860131276</x:v>
      </x:c>
      <x:c r="L134" s="30" t="str">
        <x:v>Hard requirements pass. HDB Flat, area 635 sqft. The primary condominium preference is unmet; the mandatory type was not restricted.</x:v>
      </x:c>
      <x:c r="M134" s="31" t="str">
        <x:v>No</x:v>
      </x:c>
      <x:c r="N134" s="30" t="str"/>
      <x:c r="O134" s="30" t="str">
        <x:v>https://www.propertyguru.com.sg/listing/hdb-for-rent-31-holland-close-23763863</x:v>
      </x:c>
    </x:row>
    <x:row r="135" ht="52" customHeight="1">
      <x:c r="A135" s="2" t="str">
        <x:v>S06</x:v>
      </x:c>
      <x:c r="B135" s="2" t="str">
        <x:v>S06-C04</x:v>
      </x:c>
      <x:c r="C135" s="2" t="str">
        <x:v>500127611</x:v>
      </x:c>
      <x:c r="D135" s="2" t="str">
        <x:v>Original</x:v>
      </x:c>
      <x:c r="E135" s="2" t="n">
        <x:v>1</x:v>
      </x:c>
      <x:c r="F135" s="26" t="n">
        <x:v>1450</x:v>
      </x:c>
      <x:c r="G135" s="27" t="n">
        <x:v>2</x:v>
      </x:c>
      <x:c r="H135" s="27" t="n">
        <x:v>100</x:v>
      </x:c>
      <x:c r="I135" s="2" t="str">
        <x:v>D10</x:v>
      </x:c>
      <x:c r="J135" s="2" t="str">
        <x:v>Walk-up Apartment</x:v>
      </x:c>
      <x:c r="K135" s="28"/>
      <x:c r="L135" s="30" t="str">
        <x:v>Hard requirements pass. Walk-up Apartment, area 100 sqft. The primary condominium preference is unmet; the mandatory type was not restricted.</x:v>
      </x:c>
      <x:c r="M135" s="31" t="str">
        <x:v>Yes</x:v>
      </x:c>
      <x:c r="N135" s="30" t="str">
        <x:v>At least 2 reported bedrooms with &lt;200 sqft; verify room/whole-unit scope and units.</x:v>
      </x:c>
      <x:c r="O135" s="30" t="str">
        <x:v>https://www.propertyguru.com.sg/listing/for-rent-sixth-avenue-walk-up-apartment-500127611</x:v>
      </x:c>
    </x:row>
    <x:row r="136" ht="52" customHeight="1">
      <x:c r="A136" s="2" t="str">
        <x:v>S06</x:v>
      </x:c>
      <x:c r="B136" s="2" t="str">
        <x:v>S06-C05</x:v>
      </x:c>
      <x:c r="C136" s="2" t="str">
        <x:v>500273685</x:v>
      </x:c>
      <x:c r="D136" s="2" t="str">
        <x:v>Original</x:v>
      </x:c>
      <x:c r="E136" s="2" t="n">
        <x:v>3</x:v>
      </x:c>
      <x:c r="F136" s="26" t="n">
        <x:v>4900</x:v>
      </x:c>
      <x:c r="G136" s="27" t="n">
        <x:v>2</x:v>
      </x:c>
      <x:c r="H136" s="27" t="n">
        <x:v>1744</x:v>
      </x:c>
      <x:c r="I136" s="2" t="str">
        <x:v>D09</x:v>
      </x:c>
      <x:c r="J136" s="2" t="str">
        <x:v>Condominium</x:v>
      </x:c>
      <x:c r="K136" s="28"/>
      <x:c r="L136" s="30" t="str">
        <x:v>Hard requirements pass. Condominium, area 1,744 sqft. The preferred condominium type is met with one of the larger reported areas.</x:v>
      </x:c>
      <x:c r="M136" s="31" t="str">
        <x:v>No</x:v>
      </x:c>
      <x:c r="N136" s="30" t="str"/>
      <x:c r="O136" s="30" t="str">
        <x:v>https://www.propertyguru.com.sg/listing/for-rent-cairnhill-astoria-500273685</x:v>
      </x:c>
    </x:row>
    <x:row r="137" ht="52" customHeight="1">
      <x:c r="A137" s="2" t="str">
        <x:v>S06</x:v>
      </x:c>
      <x:c r="B137" s="2" t="str">
        <x:v>S06-C06</x:v>
      </x:c>
      <x:c r="C137" s="2" t="str">
        <x:v>25408130</x:v>
      </x:c>
      <x:c r="D137" s="2" t="str">
        <x:v>Original</x:v>
      </x:c>
      <x:c r="E137" s="2" t="str">
        <x:v>U</x:v>
      </x:c>
      <x:c r="F137" s="26" t="n">
        <x:v>2400</x:v>
      </x:c>
      <x:c r="G137" s="27"/>
      <x:c r="H137" s="27" t="n">
        <x:v>150</x:v>
      </x:c>
      <x:c r="I137" s="2" t="str">
        <x:v>D09</x:v>
      </x:c>
      <x:c r="J137" s="2" t="str">
        <x:v>Apartment</x:v>
      </x:c>
      <x:c r="K137" s="28"/>
      <x:c r="L137" s="30" t="str">
        <x:v>No known hard failure. Cannot verify: reported bedrooms.</x:v>
      </x:c>
      <x:c r="M137" s="31" t="str">
        <x:v>No</x:v>
      </x:c>
      <x:c r="N137" s="30" t="str">
        <x:v>Reported bedrooms Unknown; required = 2.</x:v>
      </x:c>
      <x:c r="O137" s="30" t="str">
        <x:v>https://www.propertyguru.com.sg/listing/for-rent-coliwoo-river-valley-288-various-types-of-rooms-25408130</x:v>
      </x:c>
    </x:row>
    <x:row r="138" ht="52" customHeight="1">
      <x:c r="A138" s="2" t="str">
        <x:v>S06</x:v>
      </x:c>
      <x:c r="B138" s="2" t="str">
        <x:v>S06-C07</x:v>
      </x:c>
      <x:c r="C138" s="2" t="str">
        <x:v>24433215</x:v>
      </x:c>
      <x:c r="D138" s="2" t="str">
        <x:v>Original</x:v>
      </x:c>
      <x:c r="E138" s="2" t="n">
        <x:v>0</x:v>
      </x:c>
      <x:c r="F138" s="26" t="n">
        <x:v>4400</x:v>
      </x:c>
      <x:c r="G138" s="27" t="n">
        <x:v>1</x:v>
      </x:c>
      <x:c r="H138" s="27" t="n">
        <x:v>517</x:v>
      </x:c>
      <x:c r="I138" s="2" t="str">
        <x:v>D10</x:v>
      </x:c>
      <x:c r="J138" s="2" t="str">
        <x:v>Condominium</x:v>
      </x:c>
      <x:c r="K138" s="28"/>
      <x:c r="L138" s="30" t="str">
        <x:v>Hard failure: Reported bedrooms 1; required = 2.</x:v>
      </x:c>
      <x:c r="M138" s="31" t="str">
        <x:v>No</x:v>
      </x:c>
      <x:c r="N138" s="30" t="str"/>
      <x:c r="O138" s="30" t="str">
        <x:v>https://www.propertyguru.com.sg/listing/for-rent-fourth-avenue-residences-24433215</x:v>
      </x:c>
    </x:row>
    <x:row r="139" ht="52" customHeight="1">
      <x:c r="A139" s="2" t="str">
        <x:v>S06</x:v>
      </x:c>
      <x:c r="B139" s="2" t="str">
        <x:v>S06-C08</x:v>
      </x:c>
      <x:c r="C139" s="2" t="str">
        <x:v>60135572</x:v>
      </x:c>
      <x:c r="D139" s="2" t="str">
        <x:v>Original</x:v>
      </x:c>
      <x:c r="E139" s="2" t="n">
        <x:v>2</x:v>
      </x:c>
      <x:c r="F139" s="26" t="n">
        <x:v>4700</x:v>
      </x:c>
      <x:c r="G139" s="27" t="n">
        <x:v>2</x:v>
      </x:c>
      <x:c r="H139" s="27" t="n">
        <x:v>829</x:v>
      </x:c>
      <x:c r="I139" s="2" t="str">
        <x:v>D09</x:v>
      </x:c>
      <x:c r="J139" s="2" t="str">
        <x:v>Condominium</x:v>
      </x:c>
      <x:c r="K139" s="28"/>
      <x:c r="L139" s="30" t="str">
        <x:v>Hard requirements pass. Condominium, area 829 sqft. The condominium preference is met, with a size trade-off against larger qualifying condominiums.</x:v>
      </x:c>
      <x:c r="M139" s="31" t="str">
        <x:v>No</x:v>
      </x:c>
      <x:c r="N139" s="30" t="str"/>
      <x:c r="O139" s="30" t="str">
        <x:v>https://www.propertyguru.com.sg/listing/for-rent-the-peak-cairnhill-ii-60135572</x:v>
      </x:c>
    </x:row>
    <x:row r="140" ht="52" customHeight="1">
      <x:c r="A140" s="2" t="str">
        <x:v>S06</x:v>
      </x:c>
      <x:c r="B140" s="2" t="str">
        <x:v>S06-C09</x:v>
      </x:c>
      <x:c r="C140" s="2" t="str">
        <x:v>500132951</x:v>
      </x:c>
      <x:c r="D140" s="2" t="str">
        <x:v>Original</x:v>
      </x:c>
      <x:c r="E140" s="2" t="str">
        <x:v>U</x:v>
      </x:c>
      <x:c r="F140" s="26" t="n">
        <x:v>2500</x:v>
      </x:c>
      <x:c r="G140" s="27"/>
      <x:c r="H140" s="27" t="n">
        <x:v>150</x:v>
      </x:c>
      <x:c r="I140" s="2" t="str">
        <x:v>D09</x:v>
      </x:c>
      <x:c r="J140" s="2" t="str">
        <x:v>Apartment</x:v>
      </x:c>
      <x:c r="K140" s="28"/>
      <x:c r="L140" s="30" t="str">
        <x:v>No known hard failure. Cannot verify: reported bedrooms.</x:v>
      </x:c>
      <x:c r="M140" s="31" t="str">
        <x:v>No</x:v>
      </x:c>
      <x:c r="N140" s="30" t="str">
        <x:v>Reported bedrooms Unknown; required = 2.</x:v>
      </x:c>
      <x:c r="O140" s="30" t="str">
        <x:v>https://www.propertyguru.com.sg/listing/for-rent-reside-i-336-river-valley-i-limited-units-with-massive-discounts-500132951</x:v>
      </x:c>
    </x:row>
    <x:row r="141" ht="52" customHeight="1">
      <x:c r="A141" s="2" t="str">
        <x:v>S06</x:v>
      </x:c>
      <x:c r="B141" s="2" t="str">
        <x:v>S06-C10</x:v>
      </x:c>
      <x:c r="C141" s="2" t="str">
        <x:v>500288180</x:v>
      </x:c>
      <x:c r="D141" s="2" t="str">
        <x:v>Original</x:v>
      </x:c>
      <x:c r="E141" s="2" t="n">
        <x:v>2</x:v>
      </x:c>
      <x:c r="F141" s="26" t="n">
        <x:v>4500</x:v>
      </x:c>
      <x:c r="G141" s="27" t="n">
        <x:v>2</x:v>
      </x:c>
      <x:c r="H141" s="27" t="n">
        <x:v>689</x:v>
      </x:c>
      <x:c r="I141" s="2" t="str">
        <x:v>D09</x:v>
      </x:c>
      <x:c r="J141" s="2" t="str">
        <x:v>Condominium</x:v>
      </x:c>
      <x:c r="K141" s="28" t="n">
        <x:v>6602.995340865953</x:v>
      </x:c>
      <x:c r="L141" s="30" t="str">
        <x:v>Hard requirements pass. Condominium, area 689 sqft. The condominium preference is met, with a size trade-off against larger qualifying condominiums.</x:v>
      </x:c>
      <x:c r="M141" s="31" t="str">
        <x:v>No</x:v>
      </x:c>
      <x:c r="N141" s="30" t="str"/>
      <x:c r="O141" s="30" t="str">
        <x:v>https://www.propertyguru.com.sg/listing/for-rent-espada-500288180</x:v>
      </x:c>
    </x:row>
    <x:row r="142" ht="52" customHeight="1">
      <x:c r="A142" s="2" t="str">
        <x:v>S06</x:v>
      </x:c>
      <x:c r="B142" s="2" t="str">
        <x:v>S06-C11</x:v>
      </x:c>
      <x:c r="C142" s="2" t="str">
        <x:v>500285015</x:v>
      </x:c>
      <x:c r="D142" s="2" t="str">
        <x:v>Original</x:v>
      </x:c>
      <x:c r="E142" s="2" t="n">
        <x:v>0</x:v>
      </x:c>
      <x:c r="F142" s="26" t="n">
        <x:v>4400</x:v>
      </x:c>
      <x:c r="G142" s="27" t="n">
        <x:v>1</x:v>
      </x:c>
      <x:c r="H142" s="27" t="n">
        <x:v>441</x:v>
      </x:c>
      <x:c r="I142" s="2" t="str">
        <x:v>D09</x:v>
      </x:c>
      <x:c r="J142" s="2" t="str">
        <x:v>Condominium</x:v>
      </x:c>
      <x:c r="K142" s="28"/>
      <x:c r="L142" s="30" t="str">
        <x:v>Hard failure: Reported bedrooms 1; required = 2.</x:v>
      </x:c>
      <x:c r="M142" s="31" t="str">
        <x:v>No</x:v>
      </x:c>
      <x:c r="N142" s="30" t="str"/>
      <x:c r="O142" s="30" t="str">
        <x:v>https://www.propertyguru.com.sg/listing/for-rent-orchard-sophia-500285015</x:v>
      </x:c>
    </x:row>
    <x:row r="143" ht="52" customHeight="1">
      <x:c r="A143" s="2" t="str">
        <x:v>S06</x:v>
      </x:c>
      <x:c r="B143" s="2" t="str">
        <x:v>S06-C12</x:v>
      </x:c>
      <x:c r="C143" s="2" t="str">
        <x:v>24791472</x:v>
      </x:c>
      <x:c r="D143" s="2" t="str">
        <x:v>Original</x:v>
      </x:c>
      <x:c r="E143" s="2" t="n">
        <x:v>0</x:v>
      </x:c>
      <x:c r="F143" s="26" t="n">
        <x:v>5100</x:v>
      </x:c>
      <x:c r="G143" s="27" t="n">
        <x:v>2</x:v>
      </x:c>
      <x:c r="H143" s="27" t="n">
        <x:v>689</x:v>
      </x:c>
      <x:c r="I143" s="2" t="str">
        <x:v>D09</x:v>
      </x:c>
      <x:c r="J143" s="2" t="str">
        <x:v>Condominium</x:v>
      </x:c>
      <x:c r="K143" s="28"/>
      <x:c r="L143" s="30" t="str">
        <x:v>Hard failure: Rent (SGD/month) 5,100; required &lt;= 5,000.</x:v>
      </x:c>
      <x:c r="M143" s="31" t="str">
        <x:v>No</x:v>
      </x:c>
      <x:c r="N143" s="30" t="str"/>
      <x:c r="O143" s="30" t="str">
        <x:v>https://www.propertyguru.com.sg/listing/for-rent-kopar-at-newton-24791472</x:v>
      </x:c>
    </x:row>
    <x:row r="144" ht="52" customHeight="1">
      <x:c r="A144" s="2" t="str">
        <x:v>S06</x:v>
      </x:c>
      <x:c r="B144" s="2" t="str">
        <x:v>S06-C13</x:v>
      </x:c>
      <x:c r="C144" s="2" t="str">
        <x:v>500261264</x:v>
      </x:c>
      <x:c r="D144" s="2" t="str">
        <x:v>Original</x:v>
      </x:c>
      <x:c r="E144" s="2" t="n">
        <x:v>1</x:v>
      </x:c>
      <x:c r="F144" s="26" t="n">
        <x:v>5000</x:v>
      </x:c>
      <x:c r="G144" s="27" t="n">
        <x:v>2</x:v>
      </x:c>
      <x:c r="H144" s="27" t="n">
        <x:v>700</x:v>
      </x:c>
      <x:c r="I144" s="2" t="str">
        <x:v>D10</x:v>
      </x:c>
      <x:c r="J144" s="2" t="str">
        <x:v>Apartment</x:v>
      </x:c>
      <x:c r="K144" s="28"/>
      <x:c r="L144" s="30" t="str">
        <x:v>Hard requirements pass. Apartment, area 700 sqft. The primary condominium preference is unmet; the mandatory type was not restricted.</x:v>
      </x:c>
      <x:c r="M144" s="31" t="str">
        <x:v>No</x:v>
      </x:c>
      <x:c r="N144" s="30" t="str"/>
      <x:c r="O144" s="30" t="str">
        <x:v>https://www.propertyguru.com.sg/listing/for-rent-the-initial-sama-500261264</x:v>
      </x:c>
    </x:row>
    <x:row r="145" ht="52" customHeight="1">
      <x:c r="A145" s="2" t="str">
        <x:v>S06</x:v>
      </x:c>
      <x:c r="B145" s="2" t="str">
        <x:v>S06-C14</x:v>
      </x:c>
      <x:c r="C145" s="2" t="str">
        <x:v>23185254</x:v>
      </x:c>
      <x:c r="D145" s="2" t="str">
        <x:v>Original</x:v>
      </x:c>
      <x:c r="E145" s="2" t="n">
        <x:v>3</x:v>
      </x:c>
      <x:c r="F145" s="26" t="n">
        <x:v>5000</x:v>
      </x:c>
      <x:c r="G145" s="27" t="n">
        <x:v>2</x:v>
      </x:c>
      <x:c r="H145" s="27" t="n">
        <x:v>1109</x:v>
      </x:c>
      <x:c r="I145" s="2" t="str">
        <x:v>D10</x:v>
      </x:c>
      <x:c r="J145" s="2" t="str">
        <x:v>Condominium</x:v>
      </x:c>
      <x:c r="K145" s="28"/>
      <x:c r="L145" s="30" t="str">
        <x:v>Hard requirements pass. Condominium, area 1,109 sqft. The preferred condominium type is met with one of the larger reported areas.</x:v>
      </x:c>
      <x:c r="M145" s="31" t="str">
        <x:v>No</x:v>
      </x:c>
      <x:c r="N145" s="30" t="str"/>
      <x:c r="O145" s="30" t="str">
        <x:v>https://www.propertyguru.com.sg/listing/for-rent-the-aston-23185254</x:v>
      </x:c>
    </x:row>
    <x:row r="146" ht="52" customHeight="1">
      <x:c r="A146" s="2" t="str">
        <x:v>S06</x:v>
      </x:c>
      <x:c r="B146" s="2" t="str">
        <x:v>S06-C15</x:v>
      </x:c>
      <x:c r="C146" s="2" t="str">
        <x:v>23950933</x:v>
      </x:c>
      <x:c r="D146" s="2" t="str">
        <x:v>Original</x:v>
      </x:c>
      <x:c r="E146" s="2" t="n">
        <x:v>2</x:v>
      </x:c>
      <x:c r="F146" s="26" t="n">
        <x:v>4100</x:v>
      </x:c>
      <x:c r="G146" s="27" t="n">
        <x:v>2</x:v>
      </x:c>
      <x:c r="H146" s="27" t="n">
        <x:v>700</x:v>
      </x:c>
      <x:c r="I146" s="2" t="str">
        <x:v>D09</x:v>
      </x:c>
      <x:c r="J146" s="2" t="str">
        <x:v>Condominium</x:v>
      </x:c>
      <x:c r="K146" s="28"/>
      <x:c r="L146" s="30" t="str">
        <x:v>Hard requirements pass. Condominium, area 700 sqft. The condominium preference is met, with a size trade-off against larger qualifying condominiums.</x:v>
      </x:c>
      <x:c r="M146" s="31" t="str">
        <x:v>No</x:v>
      </x:c>
      <x:c r="N146" s="30" t="str"/>
      <x:c r="O146" s="30" t="str">
        <x:v>https://www.propertyguru.com.sg/listing/for-rent-newton-edge-23950933</x:v>
      </x:c>
    </x:row>
    <x:row r="147" ht="52" customHeight="1">
      <x:c r="A147" s="2" t="str">
        <x:v>S06</x:v>
      </x:c>
      <x:c r="B147" s="2" t="str">
        <x:v>S06-C16</x:v>
      </x:c>
      <x:c r="C147" s="2" t="str">
        <x:v>500275613</x:v>
      </x:c>
      <x:c r="D147" s="2" t="str">
        <x:v>Original</x:v>
      </x:c>
      <x:c r="E147" s="2" t="n">
        <x:v>1</x:v>
      </x:c>
      <x:c r="F147" s="26" t="n">
        <x:v>3499</x:v>
      </x:c>
      <x:c r="G147" s="27" t="n">
        <x:v>2</x:v>
      </x:c>
      <x:c r="H147" s="27" t="n">
        <x:v>699</x:v>
      </x:c>
      <x:c r="I147" s="2" t="str">
        <x:v>D10</x:v>
      </x:c>
      <x:c r="J147" s="2" t="str">
        <x:v>HDB Flat</x:v>
      </x:c>
      <x:c r="K147" s="28" t="n">
        <x:v>2314.0423628711924</x:v>
      </x:c>
      <x:c r="L147" s="30" t="str">
        <x:v>Hard requirements pass. HDB Flat, area 699 sqft. The primary condominium preference is unmet; the mandatory type was not restricted.</x:v>
      </x:c>
      <x:c r="M147" s="31" t="str">
        <x:v>No</x:v>
      </x:c>
      <x:c r="N147" s="30" t="str"/>
      <x:c r="O147" s="30" t="str">
        <x:v>https://www.propertyguru.com.sg/listing/hdb-for-rent-9-holland-avenue-500275613</x:v>
      </x:c>
    </x:row>
    <x:row r="148" ht="52" customHeight="1">
      <x:c r="A148" s="2" t="str">
        <x:v>S06</x:v>
      </x:c>
      <x:c r="B148" s="2" t="str">
        <x:v>S06-C17</x:v>
      </x:c>
      <x:c r="C148" s="2" t="str">
        <x:v>500280720</x:v>
      </x:c>
      <x:c r="D148" s="2" t="str">
        <x:v>Original</x:v>
      </x:c>
      <x:c r="E148" s="2" t="n">
        <x:v>0</x:v>
      </x:c>
      <x:c r="F148" s="26" t="n">
        <x:v>3700</x:v>
      </x:c>
      <x:c r="G148" s="27" t="n">
        <x:v>2</x:v>
      </x:c>
      <x:c r="H148" s="27" t="n">
        <x:v>710</x:v>
      </x:c>
      <x:c r="I148" s="2" t="str">
        <x:v>D23</x:v>
      </x:c>
      <x:c r="J148" s="2" t="str">
        <x:v>Condominium</x:v>
      </x:c>
      <x:c r="K148" s="28"/>
      <x:c r="L148" s="30" t="str">
        <x:v>Hard failure: District D23; required in {D09, D10}.</x:v>
      </x:c>
      <x:c r="M148" s="31" t="str">
        <x:v>No</x:v>
      </x:c>
      <x:c r="N148" s="30" t="str"/>
      <x:c r="O148" s="30" t="str">
        <x:v>https://www.propertyguru.com.sg/listing/for-rent-sol-acres-500280720</x:v>
      </x:c>
    </x:row>
    <x:row r="149" ht="52" customHeight="1">
      <x:c r="A149" s="2" t="str">
        <x:v>S06</x:v>
      </x:c>
      <x:c r="B149" s="2" t="str">
        <x:v>S06-C18</x:v>
      </x:c>
      <x:c r="C149" s="2" t="str">
        <x:v>500253404</x:v>
      </x:c>
      <x:c r="D149" s="2" t="str">
        <x:v>Original</x:v>
      </x:c>
      <x:c r="E149" s="2" t="n">
        <x:v>2</x:v>
      </x:c>
      <x:c r="F149" s="26" t="n">
        <x:v>4888</x:v>
      </x:c>
      <x:c r="G149" s="27" t="n">
        <x:v>2</x:v>
      </x:c>
      <x:c r="H149" s="27" t="n">
        <x:v>689</x:v>
      </x:c>
      <x:c r="I149" s="2" t="str">
        <x:v>D09</x:v>
      </x:c>
      <x:c r="J149" s="2" t="str">
        <x:v>Condominium</x:v>
      </x:c>
      <x:c r="K149" s="28"/>
      <x:c r="L149" s="30" t="str">
        <x:v>Hard requirements pass. Condominium, area 689 sqft. The condominium preference is met, with a size trade-off against larger qualifying condominiums.</x:v>
      </x:c>
      <x:c r="M149" s="31" t="str">
        <x:v>No</x:v>
      </x:c>
      <x:c r="N149" s="30" t="str"/>
      <x:c r="O149" s="30" t="str">
        <x:v>https://www.propertyguru.com.sg/listing/for-rent-kopar-at-newton-500253404</x:v>
      </x:c>
    </x:row>
    <x:row r="150" ht="52" customHeight="1">
      <x:c r="A150" s="2" t="str">
        <x:v>S06</x:v>
      </x:c>
      <x:c r="B150" s="2" t="str">
        <x:v>S06-C19</x:v>
      </x:c>
      <x:c r="C150" s="2" t="str">
        <x:v>500252151</x:v>
      </x:c>
      <x:c r="D150" s="2" t="str">
        <x:v>Original</x:v>
      </x:c>
      <x:c r="E150" s="2" t="n">
        <x:v>0</x:v>
      </x:c>
      <x:c r="F150" s="26" t="n">
        <x:v>5100</x:v>
      </x:c>
      <x:c r="G150" s="27" t="n">
        <x:v>2</x:v>
      </x:c>
      <x:c r="H150" s="27" t="n">
        <x:v>732</x:v>
      </x:c>
      <x:c r="I150" s="2" t="str">
        <x:v>D09</x:v>
      </x:c>
      <x:c r="J150" s="2" t="str">
        <x:v>Condominium</x:v>
      </x:c>
      <x:c r="K150" s="28"/>
      <x:c r="L150" s="30" t="str">
        <x:v>Hard failure: Rent (SGD/month) 5,100; required &lt;= 5,000.</x:v>
      </x:c>
      <x:c r="M150" s="31" t="str">
        <x:v>No</x:v>
      </x:c>
      <x:c r="N150" s="30" t="str"/>
      <x:c r="O150" s="30" t="str">
        <x:v>https://www.propertyguru.com.sg/listing/for-rent-the-boutiq-killiney-500252151</x:v>
      </x:c>
    </x:row>
    <x:row r="151" ht="52" customHeight="1">
      <x:c r="A151" s="2" t="str">
        <x:v>S06</x:v>
      </x:c>
      <x:c r="B151" s="2" t="str">
        <x:v>S06-C20</x:v>
      </x:c>
      <x:c r="C151" s="2" t="str">
        <x:v>60008567</x:v>
      </x:c>
      <x:c r="D151" s="2" t="str">
        <x:v>Original</x:v>
      </x:c>
      <x:c r="E151" s="2" t="str">
        <x:v>U</x:v>
      </x:c>
      <x:c r="F151" s="26" t="n">
        <x:v>2600</x:v>
      </x:c>
      <x:c r="G151" s="27"/>
      <x:c r="H151" s="27" t="n">
        <x:v>230</x:v>
      </x:c>
      <x:c r="I151" s="2" t="str">
        <x:v>D09</x:v>
      </x:c>
      <x:c r="J151" s="2" t="str">
        <x:v>Apartment</x:v>
      </x:c>
      <x:c r="K151" s="28"/>
      <x:c r="L151" s="30" t="str">
        <x:v>No known hard failure. Cannot verify: reported bedrooms.</x:v>
      </x:c>
      <x:c r="M151" s="31" t="str">
        <x:v>No</x:v>
      </x:c>
      <x:c r="N151" s="30" t="str">
        <x:v>Reported bedrooms Unknown; required = 2.</x:v>
      </x:c>
      <x:c r="O151" s="30" t="str">
        <x:v>https://www.propertyguru.com.sg/listing/for-rent-private-studio-at-orchard-near-cbd-and-mrt-60008567</x:v>
      </x:c>
    </x:row>
    <x:row r="152" ht="52" customHeight="1">
      <x:c r="A152" s="2" t="str">
        <x:v>S06</x:v>
      </x:c>
      <x:c r="B152" s="2" t="str">
        <x:v>S06-C21</x:v>
      </x:c>
      <x:c r="C152" s="2" t="str">
        <x:v>24866516</x:v>
      </x:c>
      <x:c r="D152" s="2" t="str">
        <x:v>Original</x:v>
      </x:c>
      <x:c r="E152" s="2" t="n">
        <x:v>1</x:v>
      </x:c>
      <x:c r="F152" s="26" t="n">
        <x:v>3000</x:v>
      </x:c>
      <x:c r="G152" s="27" t="n">
        <x:v>2</x:v>
      </x:c>
      <x:c r="H152" s="27" t="n">
        <x:v>700</x:v>
      </x:c>
      <x:c r="I152" s="2" t="str">
        <x:v>D10</x:v>
      </x:c>
      <x:c r="J152" s="2" t="str">
        <x:v>HDB Flat</x:v>
      </x:c>
      <x:c r="K152" s="28" t="n">
        <x:v>2146.023016219489</x:v>
      </x:c>
      <x:c r="L152" s="30" t="str">
        <x:v>Hard requirements pass. HDB Flat, area 700 sqft. The primary condominium preference is unmet; the mandatory type was not restricted.</x:v>
      </x:c>
      <x:c r="M152" s="31" t="str">
        <x:v>No</x:v>
      </x:c>
      <x:c r="N152" s="30" t="str"/>
      <x:c r="O152" s="30" t="str">
        <x:v>https://www.propertyguru.com.sg/listing/hdb-for-rent-6-ghim-moh-road-24866516</x:v>
      </x:c>
    </x:row>
    <x:row r="153" ht="52" customHeight="1">
      <x:c r="A153" s="2" t="str">
        <x:v>S06</x:v>
      </x:c>
      <x:c r="B153" s="2" t="str">
        <x:v>S06-C22</x:v>
      </x:c>
      <x:c r="C153" s="2" t="str">
        <x:v>21395299</x:v>
      </x:c>
      <x:c r="D153" s="2" t="str">
        <x:v>Original</x:v>
      </x:c>
      <x:c r="E153" s="2" t="n">
        <x:v>1</x:v>
      </x:c>
      <x:c r="F153" s="26" t="n">
        <x:v>5000</x:v>
      </x:c>
      <x:c r="G153" s="27" t="n">
        <x:v>2</x:v>
      </x:c>
      <x:c r="H153" s="27" t="n">
        <x:v>990</x:v>
      </x:c>
      <x:c r="I153" s="2" t="str">
        <x:v>D09</x:v>
      </x:c>
      <x:c r="J153" s="2" t="str">
        <x:v>Apartment</x:v>
      </x:c>
      <x:c r="K153" s="28" t="n">
        <x:v>7055.815394250482</x:v>
      </x:c>
      <x:c r="L153" s="30" t="str">
        <x:v>Hard requirements pass. Apartment, area 990 sqft. The primary condominium preference is unmet; the mandatory type was not restricted.</x:v>
      </x:c>
      <x:c r="M153" s="31" t="str">
        <x:v>No</x:v>
      </x:c>
      <x:c r="N153" s="30" t="str"/>
      <x:c r="O153" s="30" t="str">
        <x:v>https://www.propertyguru.com.sg/listing/for-rent-vivace-21395299</x:v>
      </x:c>
    </x:row>
    <x:row r="154" ht="52" customHeight="1">
      <x:c r="A154" s="2" t="str">
        <x:v>S06</x:v>
      </x:c>
      <x:c r="B154" s="2" t="str">
        <x:v>S06-C23</x:v>
      </x:c>
      <x:c r="C154" s="2" t="str">
        <x:v>23719546</x:v>
      </x:c>
      <x:c r="D154" s="2" t="str">
        <x:v>Original</x:v>
      </x:c>
      <x:c r="E154" s="2" t="n">
        <x:v>3</x:v>
      </x:c>
      <x:c r="F154" s="26" t="n">
        <x:v>4500</x:v>
      </x:c>
      <x:c r="G154" s="27" t="n">
        <x:v>2</x:v>
      </x:c>
      <x:c r="H154" s="27" t="n">
        <x:v>1200</x:v>
      </x:c>
      <x:c r="I154" s="2" t="str">
        <x:v>D09</x:v>
      </x:c>
      <x:c r="J154" s="2" t="str">
        <x:v>Condominium</x:v>
      </x:c>
      <x:c r="K154" s="28"/>
      <x:c r="L154" s="30" t="str">
        <x:v>Hard requirements pass. Condominium, area 1,200 sqft. The preferred condominium type is met with one of the larger reported areas.</x:v>
      </x:c>
      <x:c r="M154" s="31" t="str">
        <x:v>No</x:v>
      </x:c>
      <x:c r="N154" s="30" t="str"/>
      <x:c r="O154" s="30" t="str">
        <x:v>https://www.propertyguru.com.sg/listing/for-rent-lloyd-mansion-23719546</x:v>
      </x:c>
    </x:row>
    <x:row r="155" ht="52" customHeight="1">
      <x:c r="A155" s="2" t="str">
        <x:v>S06</x:v>
      </x:c>
      <x:c r="B155" s="2" t="str">
        <x:v>S06-C24</x:v>
      </x:c>
      <x:c r="C155" s="2" t="str">
        <x:v>21435410</x:v>
      </x:c>
      <x:c r="D155" s="2" t="str">
        <x:v>Original</x:v>
      </x:c>
      <x:c r="E155" s="2" t="n">
        <x:v>3</x:v>
      </x:c>
      <x:c r="F155" s="26" t="n">
        <x:v>4850</x:v>
      </x:c>
      <x:c r="G155" s="27" t="n">
        <x:v>2</x:v>
      </x:c>
      <x:c r="H155" s="27" t="n">
        <x:v>1023</x:v>
      </x:c>
      <x:c r="I155" s="2" t="str">
        <x:v>D10</x:v>
      </x:c>
      <x:c r="J155" s="2" t="str">
        <x:v>Condominium</x:v>
      </x:c>
      <x:c r="K155" s="28"/>
      <x:c r="L155" s="30" t="str">
        <x:v>Hard requirements pass. Condominium, area 1,023 sqft. The preferred condominium type is met with one of the larger reported areas.</x:v>
      </x:c>
      <x:c r="M155" s="31" t="str">
        <x:v>No</x:v>
      </x:c>
      <x:c r="N155" s="30" t="str"/>
      <x:c r="O155" s="30" t="str">
        <x:v>https://www.propertyguru.com.sg/listing/for-rent-jervois-meadows-21435410</x:v>
      </x:c>
    </x:row>
    <x:row r="156" ht="52" customHeight="1">
      <x:c r="A156" s="2" t="str">
        <x:v>S06</x:v>
      </x:c>
      <x:c r="B156" s="2" t="str">
        <x:v>S06-C25</x:v>
      </x:c>
      <x:c r="C156" s="2" t="str">
        <x:v>23378361</x:v>
      </x:c>
      <x:c r="D156" s="2" t="str">
        <x:v>Original</x:v>
      </x:c>
      <x:c r="E156" s="2" t="n">
        <x:v>1</x:v>
      </x:c>
      <x:c r="F156" s="26" t="n">
        <x:v>5000</x:v>
      </x:c>
      <x:c r="G156" s="27" t="n">
        <x:v>2</x:v>
      </x:c>
      <x:c r="H156" s="27" t="n">
        <x:v>840</x:v>
      </x:c>
      <x:c r="I156" s="2" t="str">
        <x:v>D09</x:v>
      </x:c>
      <x:c r="J156" s="2" t="str">
        <x:v>Apartment</x:v>
      </x:c>
      <x:c r="K156" s="28"/>
      <x:c r="L156" s="30" t="str">
        <x:v>Hard requirements pass. Apartment, area 840 sqft. The primary condominium preference is unmet; the mandatory type was not restricted.</x:v>
      </x:c>
      <x:c r="M156" s="31" t="str">
        <x:v>No</x:v>
      </x:c>
      <x:c r="N156" s="30" t="str"/>
      <x:c r="O156" s="30" t="str">
        <x:v>https://www.propertyguru.com.sg/listing/for-rent-mackenzie-88-23378361</x:v>
      </x:c>
    </x:row>
    <x:row r="157" ht="52" customHeight="1">
      <x:c r="A157" s="2" t="str">
        <x:v>S07</x:v>
      </x:c>
      <x:c r="B157" s="2" t="str">
        <x:v>S07-C01</x:v>
      </x:c>
      <x:c r="C157" s="2" t="str">
        <x:v>500264016</x:v>
      </x:c>
      <x:c r="D157" s="2" t="str">
        <x:v>Original</x:v>
      </x:c>
      <x:c r="E157" s="2" t="n">
        <x:v>0</x:v>
      </x:c>
      <x:c r="F157" s="26" t="n">
        <x:v>3500</x:v>
      </x:c>
      <x:c r="G157" s="27" t="n">
        <x:v>2</x:v>
      </x:c>
      <x:c r="H157" s="27" t="n">
        <x:v>657</x:v>
      </x:c>
      <x:c r="I157" s="2" t="str">
        <x:v>D19</x:v>
      </x:c>
      <x:c r="J157" s="2" t="str">
        <x:v>Condominium</x:v>
      </x:c>
      <x:c r="K157" s="28"/>
      <x:c r="L157" s="30" t="str">
        <x:v>Hard failure: Property type Condominium; required = HDB Flat.</x:v>
      </x:c>
      <x:c r="M157" s="31" t="str">
        <x:v>No</x:v>
      </x:c>
      <x:c r="N157" s="30" t="str"/>
      <x:c r="O157" s="30" t="str">
        <x:v>https://www.propertyguru.com.sg/listing/for-rent-midtown-residences-500264016</x:v>
      </x:c>
    </x:row>
    <x:row r="158" ht="52" customHeight="1">
      <x:c r="A158" s="2" t="str">
        <x:v>S07</x:v>
      </x:c>
      <x:c r="B158" s="2" t="str">
        <x:v>S07-C02</x:v>
      </x:c>
      <x:c r="C158" s="2" t="str">
        <x:v>25534000</x:v>
      </x:c>
      <x:c r="D158" s="2" t="str">
        <x:v>Original</x:v>
      </x:c>
      <x:c r="E158" s="2" t="n">
        <x:v>2</x:v>
      </x:c>
      <x:c r="F158" s="26" t="n">
        <x:v>3100</x:v>
      </x:c>
      <x:c r="G158" s="27" t="n">
        <x:v>2</x:v>
      </x:c>
      <x:c r="H158" s="27" t="n">
        <x:v>785</x:v>
      </x:c>
      <x:c r="I158" s="2" t="str">
        <x:v>D18</x:v>
      </x:c>
      <x:c r="J158" s="2" t="str">
        <x:v>HDB Flat</x:v>
      </x:c>
      <x:c r="K158" s="28" t="n">
        <x:v>20137.233782528725</x:v>
      </x:c>
      <x:c r="L158" s="30" t="str">
        <x:v>Hard requirements pass. D18, SGD 3,100/month. D18 is met, with higher rent than the strongest D18 alternatives.</x:v>
      </x:c>
      <x:c r="M158" s="31" t="str">
        <x:v>No</x:v>
      </x:c>
      <x:c r="N158" s="30" t="str"/>
      <x:c r="O158" s="30" t="str">
        <x:v>https://www.propertyguru.com.sg/listing/hdb-for-rent-234-tampines-street-21-25534000</x:v>
      </x:c>
    </x:row>
    <x:row r="159" ht="52" customHeight="1">
      <x:c r="A159" s="2" t="str">
        <x:v>S07</x:v>
      </x:c>
      <x:c r="B159" s="2" t="str">
        <x:v>S07-C03</x:v>
      </x:c>
      <x:c r="C159" s="2" t="str">
        <x:v>500269987</x:v>
      </x:c>
      <x:c r="D159" s="2" t="str">
        <x:v>Original</x:v>
      </x:c>
      <x:c r="E159" s="2" t="n">
        <x:v>3</x:v>
      </x:c>
      <x:c r="F159" s="26" t="n">
        <x:v>2700</x:v>
      </x:c>
      <x:c r="G159" s="27" t="n">
        <x:v>2</x:v>
      </x:c>
      <x:c r="H159" s="27" t="n">
        <x:v>735</x:v>
      </x:c>
      <x:c r="I159" s="2" t="str">
        <x:v>D18</x:v>
      </x:c>
      <x:c r="J159" s="2" t="str">
        <x:v>HDB Flat</x:v>
      </x:c>
      <x:c r="K159" s="28" t="n">
        <x:v>20723.874768305133</x:v>
      </x:c>
      <x:c r="L159" s="30" t="str">
        <x:v>Hard requirements pass. D18, SGD 2,700/month. D18 is met with relatively low rent among the D18 choices.</x:v>
      </x:c>
      <x:c r="M159" s="31" t="str">
        <x:v>No</x:v>
      </x:c>
      <x:c r="N159" s="30" t="str"/>
      <x:c r="O159" s="30" t="str">
        <x:v>https://www.propertyguru.com.sg/listing/hdb-for-rent-292-tampines-street-22-500269987</x:v>
      </x:c>
    </x:row>
    <x:row r="160" ht="52" customHeight="1">
      <x:c r="A160" s="2" t="str">
        <x:v>S07</x:v>
      </x:c>
      <x:c r="B160" s="2" t="str">
        <x:v>S07-C04</x:v>
      </x:c>
      <x:c r="C160" s="2" t="str">
        <x:v>500281207</x:v>
      </x:c>
      <x:c r="D160" s="2" t="str">
        <x:v>Original</x:v>
      </x:c>
      <x:c r="E160" s="2" t="n">
        <x:v>0</x:v>
      </x:c>
      <x:c r="F160" s="26" t="n">
        <x:v>800</x:v>
      </x:c>
      <x:c r="G160" s="27" t="n">
        <x:v>1</x:v>
      </x:c>
      <x:c r="H160" s="27" t="n">
        <x:v>107</x:v>
      </x:c>
      <x:c r="I160" s="2" t="str">
        <x:v>D23</x:v>
      </x:c>
      <x:c r="J160" s="2" t="str">
        <x:v>HDB Flat</x:v>
      </x:c>
      <x:c r="K160" s="28" t="n">
        <x:v>11814.167392281706</x:v>
      </x:c>
      <x:c r="L160" s="30" t="str">
        <x:v>Hard failure: Reported bedrooms 1; required &gt;= 2.</x:v>
      </x:c>
      <x:c r="M160" s="31" t="str">
        <x:v>No</x:v>
      </x:c>
      <x:c r="N160" s="30" t="str"/>
      <x:c r="O160" s="30" t="str">
        <x:v>https://www.propertyguru.com.sg/listing/hdb-for-rent-627-choa-chu-kang-street-62-500281207</x:v>
      </x:c>
    </x:row>
    <x:row r="161" ht="52" customHeight="1">
      <x:c r="A161" s="2" t="str">
        <x:v>S07</x:v>
      </x:c>
      <x:c r="B161" s="2" t="str">
        <x:v>S07-C05</x:v>
      </x:c>
      <x:c r="C161" s="2" t="str">
        <x:v>500266354</x:v>
      </x:c>
      <x:c r="D161" s="2" t="str">
        <x:v>Original</x:v>
      </x:c>
      <x:c r="E161" s="2" t="str">
        <x:v>U</x:v>
      </x:c>
      <x:c r="F161" s="26" t="n">
        <x:v>2400</x:v>
      </x:c>
      <x:c r="G161" s="27"/>
      <x:c r="H161" s="27" t="n">
        <x:v>320</x:v>
      </x:c>
      <x:c r="I161" s="2" t="str">
        <x:v>D19</x:v>
      </x:c>
      <x:c r="J161" s="2" t="str">
        <x:v>HDB Flat</x:v>
      </x:c>
      <x:c r="K161" s="28" t="n">
        <x:v>15758.019220921668</x:v>
      </x:c>
      <x:c r="L161" s="30" t="str">
        <x:v>No known hard failure. Cannot verify: reported bedrooms.</x:v>
      </x:c>
      <x:c r="M161" s="31" t="str">
        <x:v>No</x:v>
      </x:c>
      <x:c r="N161" s="30" t="str">
        <x:v>Reported bedrooms Unknown; required &gt;= 2.</x:v>
      </x:c>
      <x:c r="O161" s="30" t="str">
        <x:v>https://www.propertyguru.com.sg/listing/hdb-for-rent-420-hougang-avenue-10-500266354</x:v>
      </x:c>
    </x:row>
    <x:row r="162" ht="52" customHeight="1">
      <x:c r="A162" s="2" t="str">
        <x:v>S07</x:v>
      </x:c>
      <x:c r="B162" s="2" t="str">
        <x:v>S07-C06</x:v>
      </x:c>
      <x:c r="C162" s="2" t="str">
        <x:v>25263732</x:v>
      </x:c>
      <x:c r="D162" s="2" t="str">
        <x:v>Original</x:v>
      </x:c>
      <x:c r="E162" s="2" t="str">
        <x:v>U</x:v>
      </x:c>
      <x:c r="F162" s="26" t="n">
        <x:v>788</x:v>
      </x:c>
      <x:c r="G162" s="27"/>
      <x:c r="H162" s="27" t="n">
        <x:v>90</x:v>
      </x:c>
      <x:c r="I162" s="2" t="str">
        <x:v>D04</x:v>
      </x:c>
      <x:c r="J162" s="2" t="str">
        <x:v>HDB Flat</x:v>
      </x:c>
      <x:c r="K162" s="28" t="n">
        <x:v>5409.506798639307</x:v>
      </x:c>
      <x:c r="L162" s="30" t="str">
        <x:v>No known hard failure. Cannot verify: reported bedrooms.</x:v>
      </x:c>
      <x:c r="M162" s="31" t="str">
        <x:v>No</x:v>
      </x:c>
      <x:c r="N162" s="30" t="str">
        <x:v>Reported bedrooms Unknown; required &gt;= 2.</x:v>
      </x:c>
      <x:c r="O162" s="30" t="str">
        <x:v>https://www.propertyguru.com.sg/listing/hdb-for-rent-18-telok-blangah-crescent-25263732</x:v>
      </x:c>
    </x:row>
    <x:row r="163" ht="52" customHeight="1">
      <x:c r="A163" s="2" t="str">
        <x:v>S07</x:v>
      </x:c>
      <x:c r="B163" s="2" t="str">
        <x:v>S07-C07</x:v>
      </x:c>
      <x:c r="C163" s="2" t="str">
        <x:v>500191517</x:v>
      </x:c>
      <x:c r="D163" s="2" t="str">
        <x:v>Original</x:v>
      </x:c>
      <x:c r="E163" s="2" t="n">
        <x:v>2</x:v>
      </x:c>
      <x:c r="F163" s="26" t="n">
        <x:v>3500</x:v>
      </x:c>
      <x:c r="G163" s="27" t="n">
        <x:v>3</x:v>
      </x:c>
      <x:c r="H163" s="27" t="n">
        <x:v>1400</x:v>
      </x:c>
      <x:c r="I163" s="2" t="str">
        <x:v>D18</x:v>
      </x:c>
      <x:c r="J163" s="2" t="str">
        <x:v>HDB Flat</x:v>
      </x:c>
      <x:c r="K163" s="28" t="n">
        <x:v>22197.268568135496</x:v>
      </x:c>
      <x:c r="L163" s="30" t="str">
        <x:v>Hard requirements pass. D18, SGD 3,500/month. D18 is met, with higher rent than the strongest D18 alternatives.</x:v>
      </x:c>
      <x:c r="M163" s="31" t="str">
        <x:v>No</x:v>
      </x:c>
      <x:c r="N163" s="30" t="str"/>
      <x:c r="O163" s="30" t="str">
        <x:v>https://www.propertyguru.com.sg/listing/hdb-for-rent-256-pasir-ris-street-21-500191517</x:v>
      </x:c>
    </x:row>
    <x:row r="164" ht="52" customHeight="1">
      <x:c r="A164" s="2" t="str">
        <x:v>S07</x:v>
      </x:c>
      <x:c r="B164" s="2" t="str">
        <x:v>S07-C08</x:v>
      </x:c>
      <x:c r="C164" s="2" t="str">
        <x:v>500061668</x:v>
      </x:c>
      <x:c r="D164" s="2" t="str">
        <x:v>Original</x:v>
      </x:c>
      <x:c r="E164" s="2" t="n">
        <x:v>1</x:v>
      </x:c>
      <x:c r="F164" s="26" t="n">
        <x:v>3000</x:v>
      </x:c>
      <x:c r="G164" s="27" t="n">
        <x:v>2</x:v>
      </x:c>
      <x:c r="H164" s="27" t="n">
        <x:v>689</x:v>
      </x:c>
      <x:c r="I164" s="2" t="str">
        <x:v>D27</x:v>
      </x:c>
      <x:c r="J164" s="2" t="str">
        <x:v>HDB Flat</x:v>
      </x:c>
      <x:c r="K164" s="28" t="n">
        <x:v>16438.978080624274</x:v>
      </x:c>
      <x:c r="L164" s="30" t="str">
        <x:v>Hard requirements pass. D27, SGD 3,000/month. The primary D18 preference is unmet, even where rent is lower.</x:v>
      </x:c>
      <x:c r="M164" s="31" t="str">
        <x:v>No</x:v>
      </x:c>
      <x:c r="N164" s="30" t="str"/>
      <x:c r="O164" s="30" t="str">
        <x:v>https://www.propertyguru.com.sg/listing/hdb-for-rent-113-yishun-ring-road-500061668</x:v>
      </x:c>
    </x:row>
    <x:row r="165" ht="52" customHeight="1">
      <x:c r="A165" s="2" t="str">
        <x:v>S07</x:v>
      </x:c>
      <x:c r="B165" s="2" t="str">
        <x:v>S07-C09</x:v>
      </x:c>
      <x:c r="C165" s="2" t="str">
        <x:v>500269618</x:v>
      </x:c>
      <x:c r="D165" s="2" t="str">
        <x:v>Original</x:v>
      </x:c>
      <x:c r="E165" s="2" t="n">
        <x:v>1</x:v>
      </x:c>
      <x:c r="F165" s="26" t="n">
        <x:v>1100</x:v>
      </x:c>
      <x:c r="G165" s="27" t="n">
        <x:v>3</x:v>
      </x:c>
      <x:c r="H165" s="27" t="n">
        <x:v>947</x:v>
      </x:c>
      <x:c r="I165" s="2" t="str">
        <x:v>D20</x:v>
      </x:c>
      <x:c r="J165" s="2" t="str">
        <x:v>HDB Flat</x:v>
      </x:c>
      <x:c r="K165" s="28" t="n">
        <x:v>9322.678441856815</x:v>
      </x:c>
      <x:c r="L165" s="30" t="str">
        <x:v>Hard requirements pass. D20, SGD 1,100/month. The primary D18 preference is unmet, even where rent is lower.</x:v>
      </x:c>
      <x:c r="M165" s="31" t="str">
        <x:v>No</x:v>
      </x:c>
      <x:c r="N165" s="30" t="str"/>
      <x:c r="O165" s="30" t="str">
        <x:v>https://www.propertyguru.com.sg/listing/hdb-for-rent-25-sin-ming-road-500269618</x:v>
      </x:c>
    </x:row>
    <x:row r="166" ht="52" customHeight="1">
      <x:c r="A166" s="2" t="str">
        <x:v>S07</x:v>
      </x:c>
      <x:c r="B166" s="2" t="str">
        <x:v>S07-C10</x:v>
      </x:c>
      <x:c r="C166" s="2" t="str">
        <x:v>21474500</x:v>
      </x:c>
      <x:c r="D166" s="2" t="str">
        <x:v>Original</x:v>
      </x:c>
      <x:c r="E166" s="2" t="n">
        <x:v>2</x:v>
      </x:c>
      <x:c r="F166" s="26" t="n">
        <x:v>3300</x:v>
      </x:c>
      <x:c r="G166" s="27" t="n">
        <x:v>2</x:v>
      </x:c>
      <x:c r="H166" s="27" t="n">
        <x:v>1119</x:v>
      </x:c>
      <x:c r="I166" s="2" t="str">
        <x:v>D18</x:v>
      </x:c>
      <x:c r="J166" s="2" t="str">
        <x:v>HDB Flat</x:v>
      </x:c>
      <x:c r="K166" s="28" t="n">
        <x:v>18183.338253398215</x:v>
      </x:c>
      <x:c r="L166" s="30" t="str">
        <x:v>Hard requirements pass. D18, SGD 3,300/month. D18 is met, with higher rent than the strongest D18 alternatives.</x:v>
      </x:c>
      <x:c r="M166" s="31" t="str">
        <x:v>No</x:v>
      </x:c>
      <x:c r="N166" s="30" t="str"/>
      <x:c r="O166" s="30" t="str">
        <x:v>https://www.propertyguru.com.sg/listing/hdb-for-rent-887a-tampines-street-81-21474500</x:v>
      </x:c>
    </x:row>
    <x:row r="167" ht="52" customHeight="1">
      <x:c r="A167" s="2" t="str">
        <x:v>S07</x:v>
      </x:c>
      <x:c r="B167" s="2" t="str">
        <x:v>S07-C11</x:v>
      </x:c>
      <x:c r="C167" s="2" t="str">
        <x:v>500184075</x:v>
      </x:c>
      <x:c r="D167" s="2" t="str">
        <x:v>Original</x:v>
      </x:c>
      <x:c r="E167" s="2" t="n">
        <x:v>1</x:v>
      </x:c>
      <x:c r="F167" s="26" t="n">
        <x:v>2999</x:v>
      </x:c>
      <x:c r="G167" s="27" t="n">
        <x:v>2</x:v>
      </x:c>
      <x:c r="H167" s="27" t="n">
        <x:v>721</x:v>
      </x:c>
      <x:c r="I167" s="2" t="str">
        <x:v>D23</x:v>
      </x:c>
      <x:c r="J167" s="2" t="str">
        <x:v>HDB Flat</x:v>
      </x:c>
      <x:c r="K167" s="28" t="n">
        <x:v>7256.262798888328</x:v>
      </x:c>
      <x:c r="L167" s="30" t="str">
        <x:v>Hard requirements pass. D23, SGD 2,999/month. The primary D18 preference is unmet, even where rent is lower.</x:v>
      </x:c>
      <x:c r="M167" s="31" t="str">
        <x:v>No</x:v>
      </x:c>
      <x:c r="N167" s="30" t="str"/>
      <x:c r="O167" s="30" t="str">
        <x:v>https://www.propertyguru.com.sg/listing/hdb-for-rent-534-bukit-batok-street-51-500184075</x:v>
      </x:c>
    </x:row>
    <x:row r="168" ht="52" customHeight="1">
      <x:c r="A168" s="2" t="str">
        <x:v>S07</x:v>
      </x:c>
      <x:c r="B168" s="2" t="str">
        <x:v>S07-C12</x:v>
      </x:c>
      <x:c r="C168" s="2" t="str">
        <x:v>60023928</x:v>
      </x:c>
      <x:c r="D168" s="2" t="str">
        <x:v>Original</x:v>
      </x:c>
      <x:c r="E168" s="2" t="n">
        <x:v>1</x:v>
      </x:c>
      <x:c r="F168" s="26" t="n">
        <x:v>800</x:v>
      </x:c>
      <x:c r="G168" s="27" t="n">
        <x:v>2</x:v>
      </x:c>
      <x:c r="H168" s="27" t="n">
        <x:v>120</x:v>
      </x:c>
      <x:c r="I168" s="2" t="str">
        <x:v>D27</x:v>
      </x:c>
      <x:c r="J168" s="2" t="str">
        <x:v>HDB Flat</x:v>
      </x:c>
      <x:c r="K168" s="28" t="n">
        <x:v>16336.918172271477</x:v>
      </x:c>
      <x:c r="L168" s="30" t="str">
        <x:v>Hard requirements pass. D27, SGD 800/month. The primary D18 preference is unmet, even where rent is lower.</x:v>
      </x:c>
      <x:c r="M168" s="31" t="str">
        <x:v>Yes</x:v>
      </x:c>
      <x:c r="N168" s="30" t="str">
        <x:v>At least 2 reported bedrooms with &lt;200 sqft; verify room/whole-unit scope and units.</x:v>
      </x:c>
      <x:c r="O168" s="30" t="str">
        <x:v>https://www.propertyguru.com.sg/listing/hdb-for-rent-203-yishun-street-21-60023928</x:v>
      </x:c>
    </x:row>
    <x:row r="169" ht="52" customHeight="1">
      <x:c r="A169" s="2" t="str">
        <x:v>S07</x:v>
      </x:c>
      <x:c r="B169" s="2" t="str">
        <x:v>S07-C13</x:v>
      </x:c>
      <x:c r="C169" s="2" t="str">
        <x:v>500270042</x:v>
      </x:c>
      <x:c r="D169" s="2" t="str">
        <x:v>Original</x:v>
      </x:c>
      <x:c r="E169" s="2" t="n">
        <x:v>1</x:v>
      </x:c>
      <x:c r="F169" s="26" t="n">
        <x:v>3500</x:v>
      </x:c>
      <x:c r="G169" s="27" t="n">
        <x:v>3</x:v>
      </x:c>
      <x:c r="H169" s="27" t="n">
        <x:v>1023</x:v>
      </x:c>
      <x:c r="I169" s="2" t="str">
        <x:v>D28</x:v>
      </x:c>
      <x:c r="J169" s="2" t="str">
        <x:v>HDB Flat</x:v>
      </x:c>
      <x:c r="K169" s="28" t="n">
        <x:v>15158.189434984955</x:v>
      </x:c>
      <x:c r="L169" s="30" t="str">
        <x:v>Hard requirements pass. D28, SGD 3,500/month. The primary D18 preference is unmet, even where rent is lower.</x:v>
      </x:c>
      <x:c r="M169" s="31" t="str">
        <x:v>No</x:v>
      </x:c>
      <x:c r="N169" s="30" t="str"/>
      <x:c r="O169" s="30" t="str">
        <x:v>https://www.propertyguru.com.sg/listing/hdb-for-rent-410c-fernvale-road-500270042</x:v>
      </x:c>
    </x:row>
    <x:row r="170" ht="52" customHeight="1">
      <x:c r="A170" s="2" t="str">
        <x:v>S07</x:v>
      </x:c>
      <x:c r="B170" s="2" t="str">
        <x:v>S07-C14</x:v>
      </x:c>
      <x:c r="C170" s="2" t="str">
        <x:v>25512234</x:v>
      </x:c>
      <x:c r="D170" s="2" t="str">
        <x:v>Original</x:v>
      </x:c>
      <x:c r="E170" s="2" t="n">
        <x:v>1</x:v>
      </x:c>
      <x:c r="F170" s="26" t="n">
        <x:v>3000</x:v>
      </x:c>
      <x:c r="G170" s="27" t="n">
        <x:v>2</x:v>
      </x:c>
      <x:c r="H170" s="27" t="n">
        <x:v>732</x:v>
      </x:c>
      <x:c r="I170" s="2" t="str">
        <x:v>D19</x:v>
      </x:c>
      <x:c r="J170" s="2" t="str">
        <x:v>HDB Flat</x:v>
      </x:c>
      <x:c r="K170" s="28" t="n">
        <x:v>16502.68391369943</x:v>
      </x:c>
      <x:c r="L170" s="30" t="str">
        <x:v>Hard requirements pass. D19, SGD 3,000/month. The primary D18 preference is unmet, even where rent is lower.</x:v>
      </x:c>
      <x:c r="M170" s="31" t="str">
        <x:v>No</x:v>
      </x:c>
      <x:c r="N170" s="30" t="str"/>
      <x:c r="O170" s="30" t="str">
        <x:v>https://www.propertyguru.com.sg/listing/hdb-for-rent-201b-compassvale-drive-25512234</x:v>
      </x:c>
    </x:row>
    <x:row r="171" ht="52" customHeight="1">
      <x:c r="A171" s="2" t="str">
        <x:v>S07</x:v>
      </x:c>
      <x:c r="B171" s="2" t="str">
        <x:v>S07-C15</x:v>
      </x:c>
      <x:c r="C171" s="2" t="str">
        <x:v>20779850</x:v>
      </x:c>
      <x:c r="D171" s="2" t="str">
        <x:v>Original</x:v>
      </x:c>
      <x:c r="E171" s="2" t="n">
        <x:v>0</x:v>
      </x:c>
      <x:c r="F171" s="26" t="n">
        <x:v>750</x:v>
      </x:c>
      <x:c r="G171" s="27" t="n">
        <x:v>1</x:v>
      </x:c>
      <x:c r="H171" s="27" t="n">
        <x:v>300</x:v>
      </x:c>
      <x:c r="I171" s="2" t="str">
        <x:v>D16</x:v>
      </x:c>
      <x:c r="J171" s="2" t="str">
        <x:v>HDB Flat</x:v>
      </x:c>
      <x:c r="K171" s="28" t="n">
        <x:v>18549.509524739497</x:v>
      </x:c>
      <x:c r="L171" s="30" t="str">
        <x:v>Hard failure: Reported bedrooms 1; required &gt;= 2.</x:v>
      </x:c>
      <x:c r="M171" s="31" t="str">
        <x:v>No</x:v>
      </x:c>
      <x:c r="N171" s="30" t="str"/>
      <x:c r="O171" s="30" t="str">
        <x:v>https://www.propertyguru.com.sg/listing/hdb-for-rent-91-bedok-north-street-4-20779850</x:v>
      </x:c>
    </x:row>
    <x:row r="172" ht="52" customHeight="1">
      <x:c r="A172" s="2" t="str">
        <x:v>S07</x:v>
      </x:c>
      <x:c r="B172" s="2" t="str">
        <x:v>S07-C16</x:v>
      </x:c>
      <x:c r="C172" s="2" t="str">
        <x:v>500272688</x:v>
      </x:c>
      <x:c r="D172" s="2" t="str">
        <x:v>Original</x:v>
      </x:c>
      <x:c r="E172" s="2" t="n">
        <x:v>3</x:v>
      </x:c>
      <x:c r="F172" s="26" t="n">
        <x:v>2700</x:v>
      </x:c>
      <x:c r="G172" s="27" t="n">
        <x:v>2</x:v>
      </x:c>
      <x:c r="H172" s="27" t="n">
        <x:v>735</x:v>
      </x:c>
      <x:c r="I172" s="2" t="str">
        <x:v>D18</x:v>
      </x:c>
      <x:c r="J172" s="2" t="str">
        <x:v>HDB Flat</x:v>
      </x:c>
      <x:c r="K172" s="28" t="n">
        <x:v>20516.144844720584</x:v>
      </x:c>
      <x:c r="L172" s="30" t="str">
        <x:v>Hard requirements pass. D18, SGD 2,700/month. D18 is met with relatively low rent among the D18 choices.</x:v>
      </x:c>
      <x:c r="M172" s="31" t="str">
        <x:v>No</x:v>
      </x:c>
      <x:c r="N172" s="30" t="str"/>
      <x:c r="O172" s="30" t="str">
        <x:v>https://www.propertyguru.com.sg/listing/hdb-for-rent-219-tampines-street-24-500272688</x:v>
      </x:c>
    </x:row>
    <x:row r="173" ht="52" customHeight="1">
      <x:c r="A173" s="2" t="str">
        <x:v>S07</x:v>
      </x:c>
      <x:c r="B173" s="2" t="str">
        <x:v>S07-C17</x:v>
      </x:c>
      <x:c r="C173" s="2" t="str">
        <x:v>500281545</x:v>
      </x:c>
      <x:c r="D173" s="2" t="str">
        <x:v>Original</x:v>
      </x:c>
      <x:c r="E173" s="2" t="n">
        <x:v>3</x:v>
      </x:c>
      <x:c r="F173" s="26" t="n">
        <x:v>700</x:v>
      </x:c>
      <x:c r="G173" s="27" t="n">
        <x:v>3</x:v>
      </x:c>
      <x:c r="H173" s="27" t="n">
        <x:v>904</x:v>
      </x:c>
      <x:c r="I173" s="2" t="str">
        <x:v>D18</x:v>
      </x:c>
      <x:c r="J173" s="2" t="str">
        <x:v>HDB Flat</x:v>
      </x:c>
      <x:c r="K173" s="28" t="n">
        <x:v>18577.203300588288</x:v>
      </x:c>
      <x:c r="L173" s="30" t="str">
        <x:v>Hard requirements pass. D18, SGD 700/month. D18 is met with relatively low rent among the D18 choices.</x:v>
      </x:c>
      <x:c r="M173" s="31" t="str">
        <x:v>No</x:v>
      </x:c>
      <x:c r="N173" s="30" t="str"/>
      <x:c r="O173" s="30" t="str">
        <x:v>https://www.propertyguru.com.sg/listing/hdb-for-rent-832-tampines-street-82-500281545</x:v>
      </x:c>
    </x:row>
    <x:row r="174" ht="52" customHeight="1">
      <x:c r="A174" s="2" t="str">
        <x:v>S07</x:v>
      </x:c>
      <x:c r="B174" s="2" t="str">
        <x:v>S07-C18</x:v>
      </x:c>
      <x:c r="C174" s="2" t="str">
        <x:v>21026007</x:v>
      </x:c>
      <x:c r="D174" s="2" t="str">
        <x:v>Original</x:v>
      </x:c>
      <x:c r="E174" s="2" t="n">
        <x:v>1</x:v>
      </x:c>
      <x:c r="F174" s="26" t="n">
        <x:v>450</x:v>
      </x:c>
      <x:c r="G174" s="27" t="n">
        <x:v>3</x:v>
      </x:c>
      <x:c r="H174" s="27" t="n">
        <x:v>100</x:v>
      </x:c>
      <x:c r="I174" s="2" t="str">
        <x:v>D25</x:v>
      </x:c>
      <x:c r="J174" s="2" t="str">
        <x:v>HDB Flat</x:v>
      </x:c>
      <x:c r="K174" s="28" t="n">
        <x:v>16744.33025757308</x:v>
      </x:c>
      <x:c r="L174" s="30" t="str">
        <x:v>Hard requirements pass. D25, SGD 450/month. The primary D18 preference is unmet, even where rent is lower.</x:v>
      </x:c>
      <x:c r="M174" s="31" t="str">
        <x:v>Yes</x:v>
      </x:c>
      <x:c r="N174" s="30" t="str">
        <x:v>At least 2 reported bedrooms with &lt;200 sqft; verify room/whole-unit scope and units.</x:v>
      </x:c>
      <x:c r="O174" s="30" t="str">
        <x:v>https://www.propertyguru.com.sg/listing/hdb-for-rent-764a-woodlands-circle-21026007</x:v>
      </x:c>
    </x:row>
    <x:row r="175" ht="52" customHeight="1">
      <x:c r="A175" s="2" t="str">
        <x:v>S07</x:v>
      </x:c>
      <x:c r="B175" s="2" t="str">
        <x:v>S07-C19</x:v>
      </x:c>
      <x:c r="C175" s="2" t="str">
        <x:v>25545825</x:v>
      </x:c>
      <x:c r="D175" s="2" t="str">
        <x:v>Original</x:v>
      </x:c>
      <x:c r="E175" s="2" t="n">
        <x:v>3</x:v>
      </x:c>
      <x:c r="F175" s="26" t="n">
        <x:v>2900</x:v>
      </x:c>
      <x:c r="G175" s="27" t="n">
        <x:v>2</x:v>
      </x:c>
      <x:c r="H175" s="27" t="n">
        <x:v>721</x:v>
      </x:c>
      <x:c r="I175" s="2" t="str">
        <x:v>D18</x:v>
      </x:c>
      <x:c r="J175" s="2" t="str">
        <x:v>HDB Flat</x:v>
      </x:c>
      <x:c r="K175" s="28" t="n">
        <x:v>18241.17096906057</x:v>
      </x:c>
      <x:c r="L175" s="30" t="str">
        <x:v>Hard requirements pass. D18, SGD 2,900/month. D18 is met with relatively low rent among the D18 choices.</x:v>
      </x:c>
      <x:c r="M175" s="31" t="str">
        <x:v>No</x:v>
      </x:c>
      <x:c r="N175" s="30" t="str"/>
      <x:c r="O175" s="30" t="str">
        <x:v>https://www.propertyguru.com.sg/listing/hdb-for-rent-825-tampines-street-81-25545825</x:v>
      </x:c>
    </x:row>
    <x:row r="176" ht="52" customHeight="1">
      <x:c r="A176" s="2" t="str">
        <x:v>S07</x:v>
      </x:c>
      <x:c r="B176" s="2" t="str">
        <x:v>S07-C20</x:v>
      </x:c>
      <x:c r="C176" s="2" t="str">
        <x:v>500222509</x:v>
      </x:c>
      <x:c r="D176" s="2" t="str">
        <x:v>Original</x:v>
      </x:c>
      <x:c r="E176" s="2" t="str">
        <x:v>U</x:v>
      </x:c>
      <x:c r="F176" s="26" t="n">
        <x:v>2000</x:v>
      </x:c>
      <x:c r="G176" s="27"/>
      <x:c r="H176" s="27" t="n">
        <x:v>200</x:v>
      </x:c>
      <x:c r="I176" s="2" t="str">
        <x:v>D25</x:v>
      </x:c>
      <x:c r="J176" s="2" t="str">
        <x:v>HDB Flat</x:v>
      </x:c>
      <x:c r="K176" s="28" t="n">
        <x:v>14915.13918490808</x:v>
      </x:c>
      <x:c r="L176" s="30" t="str">
        <x:v>No known hard failure. Cannot verify: reported bedrooms.</x:v>
      </x:c>
      <x:c r="M176" s="31" t="str">
        <x:v>No</x:v>
      </x:c>
      <x:c r="N176" s="30" t="str">
        <x:v>Reported bedrooms Unknown; required &gt;= 2.</x:v>
      </x:c>
      <x:c r="O176" s="30" t="str">
        <x:v>https://www.propertyguru.com.sg/listing/hdb-for-rent-404-woodlands-street-41-500222509</x:v>
      </x:c>
    </x:row>
    <x:row r="177" ht="52" customHeight="1">
      <x:c r="A177" s="2" t="str">
        <x:v>S07</x:v>
      </x:c>
      <x:c r="B177" s="2" t="str">
        <x:v>S07-C21</x:v>
      </x:c>
      <x:c r="C177" s="2" t="str">
        <x:v>500260846</x:v>
      </x:c>
      <x:c r="D177" s="2" t="str">
        <x:v>Original</x:v>
      </x:c>
      <x:c r="E177" s="2" t="n">
        <x:v>0</x:v>
      </x:c>
      <x:c r="F177" s="26" t="n">
        <x:v>3533</x:v>
      </x:c>
      <x:c r="G177" s="27" t="n">
        <x:v>2</x:v>
      </x:c>
      <x:c r="H177" s="27" t="n">
        <x:v>721</x:v>
      </x:c>
      <x:c r="I177" s="2" t="str">
        <x:v>D25</x:v>
      </x:c>
      <x:c r="J177" s="2" t="str">
        <x:v>HDB Flat</x:v>
      </x:c>
      <x:c r="K177" s="28" t="n">
        <x:v>16063.910982211384</x:v>
      </x:c>
      <x:c r="L177" s="30" t="str">
        <x:v>Hard failure: Rent (SGD/month) 3,533; required &lt;= 3,500.</x:v>
      </x:c>
      <x:c r="M177" s="31" t="str">
        <x:v>No</x:v>
      </x:c>
      <x:c r="N177" s="30" t="str"/>
      <x:c r="O177" s="30" t="str">
        <x:v>https://www.propertyguru.com.sg/listing/hdb-for-rent-803-woodlands-street-81-500260846</x:v>
      </x:c>
    </x:row>
    <x:row r="178" ht="52" customHeight="1">
      <x:c r="A178" s="2" t="str">
        <x:v>S07</x:v>
      </x:c>
      <x:c r="B178" s="2" t="str">
        <x:v>S07-C22</x:v>
      </x:c>
      <x:c r="C178" s="2" t="str">
        <x:v>24127463</x:v>
      </x:c>
      <x:c r="D178" s="2" t="str">
        <x:v>Original</x:v>
      </x:c>
      <x:c r="E178" s="2" t="n">
        <x:v>2</x:v>
      </x:c>
      <x:c r="F178" s="26" t="n">
        <x:v>3400</x:v>
      </x:c>
      <x:c r="G178" s="27" t="n">
        <x:v>2</x:v>
      </x:c>
      <x:c r="H178" s="27" t="n">
        <x:v>721</x:v>
      </x:c>
      <x:c r="I178" s="2" t="str">
        <x:v>D18</x:v>
      </x:c>
      <x:c r="J178" s="2" t="str">
        <x:v>HDB Flat</x:v>
      </x:c>
      <x:c r="K178" s="28" t="n">
        <x:v>20886.26477014303</x:v>
      </x:c>
      <x:c r="L178" s="30" t="str">
        <x:v>Hard requirements pass. D18, SGD 3,400/month. D18 is met, with higher rent than the strongest D18 alternatives.</x:v>
      </x:c>
      <x:c r="M178" s="31" t="str">
        <x:v>No</x:v>
      </x:c>
      <x:c r="N178" s="30" t="str"/>
      <x:c r="O178" s="30" t="str">
        <x:v>https://www.propertyguru.com.sg/listing/hdb-for-rent-476-tampines-street-44-24127463</x:v>
      </x:c>
    </x:row>
    <x:row r="179" ht="52" customHeight="1">
      <x:c r="A179" s="2" t="str">
        <x:v>S07</x:v>
      </x:c>
      <x:c r="B179" s="2" t="str">
        <x:v>S07-C23</x:v>
      </x:c>
      <x:c r="C179" s="2" t="str">
        <x:v>20090505</x:v>
      </x:c>
      <x:c r="D179" s="2" t="str">
        <x:v>Original</x:v>
      </x:c>
      <x:c r="E179" s="2" t="n">
        <x:v>1</x:v>
      </x:c>
      <x:c r="F179" s="26" t="n">
        <x:v>3350</x:v>
      </x:c>
      <x:c r="G179" s="27" t="n">
        <x:v>3</x:v>
      </x:c>
      <x:c r="H179" s="27" t="n">
        <x:v>1087</x:v>
      </x:c>
      <x:c r="I179" s="2" t="str">
        <x:v>D19</x:v>
      </x:c>
      <x:c r="J179" s="2" t="str">
        <x:v>HDB Flat</x:v>
      </x:c>
      <x:c r="K179" s="28" t="n">
        <x:v>17240.409350550748</x:v>
      </x:c>
      <x:c r="L179" s="30" t="str">
        <x:v>Hard requirements pass. D19, SGD 3,350/month. The primary D18 preference is unmet, even where rent is lower.</x:v>
      </x:c>
      <x:c r="M179" s="31" t="str">
        <x:v>No</x:v>
      </x:c>
      <x:c r="N179" s="30" t="str"/>
      <x:c r="O179" s="30" t="str">
        <x:v>https://www.propertyguru.com.sg/listing/hdb-for-rent-120a-rivervale-drive-20090505</x:v>
      </x:c>
    </x:row>
    <x:row r="180" ht="52" customHeight="1">
      <x:c r="A180" s="2" t="str">
        <x:v>S07</x:v>
      </x:c>
      <x:c r="B180" s="2" t="str">
        <x:v>S07-C24</x:v>
      </x:c>
      <x:c r="C180" s="2" t="str">
        <x:v>500271006</x:v>
      </x:c>
      <x:c r="D180" s="2" t="str">
        <x:v>Original</x:v>
      </x:c>
      <x:c r="E180" s="2" t="n">
        <x:v>2</x:v>
      </x:c>
      <x:c r="F180" s="26" t="n">
        <x:v>3500</x:v>
      </x:c>
      <x:c r="G180" s="27" t="n">
        <x:v>3</x:v>
      </x:c>
      <x:c r="H180" s="27" t="n">
        <x:v>1356</x:v>
      </x:c>
      <x:c r="I180" s="2" t="str">
        <x:v>D18</x:v>
      </x:c>
      <x:c r="J180" s="2" t="str">
        <x:v>HDB Flat</x:v>
      </x:c>
      <x:c r="K180" s="28" t="n">
        <x:v>21637.839797800178</x:v>
      </x:c>
      <x:c r="L180" s="30" t="str">
        <x:v>Hard requirements pass. D18, SGD 3,500/month. D18 is met, with higher rent than the strongest D18 alternatives.</x:v>
      </x:c>
      <x:c r="M180" s="31" t="str">
        <x:v>No</x:v>
      </x:c>
      <x:c r="N180" s="30" t="str"/>
      <x:c r="O180" s="30" t="str">
        <x:v>https://www.propertyguru.com.sg/listing/hdb-for-rent-189-pasir-ris-street-12-500271006</x:v>
      </x:c>
    </x:row>
    <x:row r="181" ht="52" customHeight="1">
      <x:c r="A181" s="2" t="str">
        <x:v>S07</x:v>
      </x:c>
      <x:c r="B181" s="2" t="str">
        <x:v>S07-C25</x:v>
      </x:c>
      <x:c r="C181" s="2" t="str">
        <x:v>24209479</x:v>
      </x:c>
      <x:c r="D181" s="2" t="str">
        <x:v>Original</x:v>
      </x:c>
      <x:c r="E181" s="2" t="n">
        <x:v>0</x:v>
      </x:c>
      <x:c r="F181" s="26" t="n">
        <x:v>3550</x:v>
      </x:c>
      <x:c r="G181" s="27" t="n">
        <x:v>2</x:v>
      </x:c>
      <x:c r="H181" s="27" t="n">
        <x:v>732</x:v>
      </x:c>
      <x:c r="I181" s="2" t="str">
        <x:v>D07</x:v>
      </x:c>
      <x:c r="J181" s="2" t="str">
        <x:v>HDB Flat</x:v>
      </x:c>
      <x:c r="K181" s="28" t="n">
        <x:v>8541.925438456408</x:v>
      </x:c>
      <x:c r="L181" s="30" t="str">
        <x:v>Hard failure: Rent (SGD/month) 3,550; required &lt;= 3,500.</x:v>
      </x:c>
      <x:c r="M181" s="31" t="str">
        <x:v>No</x:v>
      </x:c>
      <x:c r="N181" s="30" t="str"/>
      <x:c r="O181" s="30" t="str">
        <x:v>https://www.propertyguru.com.sg/listing/hdb-for-rent-271-queen-street-24209479</x:v>
      </x:c>
    </x:row>
    <x:row r="182" ht="52" customHeight="1">
      <x:c r="A182" s="2" t="str">
        <x:v>S08</x:v>
      </x:c>
      <x:c r="B182" s="2" t="str">
        <x:v>S08-C01</x:v>
      </x:c>
      <x:c r="C182" s="2" t="str">
        <x:v>17715224</x:v>
      </x:c>
      <x:c r="D182" s="2" t="str">
        <x:v>Original</x:v>
      </x:c>
      <x:c r="E182" s="2" t="n">
        <x:v>2</x:v>
      </x:c>
      <x:c r="F182" s="26" t="n">
        <x:v>2900</x:v>
      </x:c>
      <x:c r="G182" s="27" t="n">
        <x:v>1</x:v>
      </x:c>
      <x:c r="H182" s="27" t="n">
        <x:v>400</x:v>
      </x:c>
      <x:c r="I182" s="2" t="str">
        <x:v>D03</x:v>
      </x:c>
      <x:c r="J182" s="2" t="str">
        <x:v>Apartment</x:v>
      </x:c>
      <x:c r="K182" s="28"/>
      <x:c r="L182" s="30" t="str">
        <x:v>Hard requirements pass. D03, area 400 sqft. The preferred district is met; the reported area is below the secondary target.</x:v>
      </x:c>
      <x:c r="M182" s="31" t="str">
        <x:v>No</x:v>
      </x:c>
      <x:c r="N182" s="30" t="str"/>
      <x:c r="O182" s="30" t="str">
        <x:v>https://www.propertyguru.com.sg/listing/for-rent-tiong-poh-road-17715224</x:v>
      </x:c>
    </x:row>
    <x:row r="183" ht="52" customHeight="1">
      <x:c r="A183" s="2" t="str">
        <x:v>S08</x:v>
      </x:c>
      <x:c r="B183" s="2" t="str">
        <x:v>S08-C02</x:v>
      </x:c>
      <x:c r="C183" s="2" t="str">
        <x:v>500230344</x:v>
      </x:c>
      <x:c r="D183" s="2" t="str">
        <x:v>Original</x:v>
      </x:c>
      <x:c r="E183" s="2" t="n">
        <x:v>1</x:v>
      </x:c>
      <x:c r="F183" s="26" t="n">
        <x:v>2900</x:v>
      </x:c>
      <x:c r="G183" s="27" t="n">
        <x:v>1</x:v>
      </x:c>
      <x:c r="H183" s="27" t="n">
        <x:v>625</x:v>
      </x:c>
      <x:c r="I183" s="2" t="str">
        <x:v>D27</x:v>
      </x:c>
      <x:c r="J183" s="2" t="str">
        <x:v>Condominium</x:v>
      </x:c>
      <x:c r="K183" s="28"/>
      <x:c r="L183" s="30" t="str">
        <x:v>Hard requirements pass. D27, area 625 sqft. Outside both preferred districts; low rent or extra space does not fulfil that primary preference.</x:v>
      </x:c>
      <x:c r="M183" s="31" t="str">
        <x:v>No</x:v>
      </x:c>
      <x:c r="N183" s="30" t="str"/>
      <x:c r="O183" s="30" t="str">
        <x:v>https://www.propertyguru.com.sg/listing/for-rent-skies-miltonia-500230344</x:v>
      </x:c>
    </x:row>
    <x:row r="184" ht="52" customHeight="1">
      <x:c r="A184" s="2" t="str">
        <x:v>S08</x:v>
      </x:c>
      <x:c r="B184" s="2" t="str">
        <x:v>S08-C03</x:v>
      </x:c>
      <x:c r="C184" s="2" t="str">
        <x:v>500102561</x:v>
      </x:c>
      <x:c r="D184" s="2" t="str">
        <x:v>Original</x:v>
      </x:c>
      <x:c r="E184" s="2" t="str">
        <x:v>U</x:v>
      </x:c>
      <x:c r="F184" s="26" t="n">
        <x:v>3000</x:v>
      </x:c>
      <x:c r="G184" s="27"/>
      <x:c r="H184" s="27" t="n">
        <x:v>480</x:v>
      </x:c>
      <x:c r="I184" s="2" t="str">
        <x:v>D14</x:v>
      </x:c>
      <x:c r="J184" s="2" t="str">
        <x:v>Apartment</x:v>
      </x:c>
      <x:c r="K184" s="28"/>
      <x:c r="L184" s="30" t="str">
        <x:v>No known hard failure. Cannot verify: reported bedrooms.</x:v>
      </x:c>
      <x:c r="M184" s="31" t="str">
        <x:v>No</x:v>
      </x:c>
      <x:c r="N184" s="30" t="str">
        <x:v>Reported bedrooms Unknown; required = 1.</x:v>
      </x:c>
      <x:c r="O184" s="30" t="str">
        <x:v>https://www.propertyguru.com.sg/listing/for-rent-11-lorong-31-geylang-500102561</x:v>
      </x:c>
    </x:row>
    <x:row r="185" ht="52" customHeight="1">
      <x:c r="A185" s="2" t="str">
        <x:v>S08</x:v>
      </x:c>
      <x:c r="B185" s="2" t="str">
        <x:v>S08-C04</x:v>
      </x:c>
      <x:c r="C185" s="2" t="str">
        <x:v>20243674</x:v>
      </x:c>
      <x:c r="D185" s="2" t="str">
        <x:v>Original</x:v>
      </x:c>
      <x:c r="E185" s="2" t="n">
        <x:v>1</x:v>
      </x:c>
      <x:c r="F185" s="26" t="n">
        <x:v>3000</x:v>
      </x:c>
      <x:c r="G185" s="27" t="n">
        <x:v>1</x:v>
      </x:c>
      <x:c r="H185" s="27" t="n">
        <x:v>570</x:v>
      </x:c>
      <x:c r="I185" s="2" t="str">
        <x:v>D14</x:v>
      </x:c>
      <x:c r="J185" s="2" t="str">
        <x:v>Condominium</x:v>
      </x:c>
      <x:c r="K185" s="28"/>
      <x:c r="L185" s="30" t="str">
        <x:v>Hard requirements pass. D14, area 570 sqft. Outside both preferred districts; low rent or extra space does not fulfil that primary preference.</x:v>
      </x:c>
      <x:c r="M185" s="31" t="str">
        <x:v>No</x:v>
      </x:c>
      <x:c r="N185" s="30" t="str"/>
      <x:c r="O185" s="30" t="str">
        <x:v>https://www.propertyguru.com.sg/listing/for-rent-levenue-20243674</x:v>
      </x:c>
    </x:row>
    <x:row r="186" ht="52" customHeight="1">
      <x:c r="A186" s="2" t="str">
        <x:v>S08</x:v>
      </x:c>
      <x:c r="B186" s="2" t="str">
        <x:v>S08-C05</x:v>
      </x:c>
      <x:c r="C186" s="2" t="str">
        <x:v>500257678</x:v>
      </x:c>
      <x:c r="D186" s="2" t="str">
        <x:v>Original</x:v>
      </x:c>
      <x:c r="E186" s="2" t="n">
        <x:v>1</x:v>
      </x:c>
      <x:c r="F186" s="26" t="n">
        <x:v>1000</x:v>
      </x:c>
      <x:c r="G186" s="27" t="n">
        <x:v>1</x:v>
      </x:c>
      <x:c r="H186" s="27" t="n">
        <x:v>120</x:v>
      </x:c>
      <x:c r="I186" s="2" t="str">
        <x:v>D16</x:v>
      </x:c>
      <x:c r="J186" s="2" t="str">
        <x:v>Condominium</x:v>
      </x:c>
      <x:c r="K186" s="28"/>
      <x:c r="L186" s="30" t="str">
        <x:v>Hard requirements pass. D16, area 120 sqft. Outside both preferred districts; low rent or extra space does not fulfil that primary preference.</x:v>
      </x:c>
      <x:c r="M186" s="31" t="str">
        <x:v>No</x:v>
      </x:c>
      <x:c r="N186" s="30" t="str"/>
      <x:c r="O186" s="30" t="str">
        <x:v>https://www.propertyguru.com.sg/listing/for-rent-costa-del-sol-500257678</x:v>
      </x:c>
    </x:row>
    <x:row r="187" ht="52" customHeight="1">
      <x:c r="A187" s="2" t="str">
        <x:v>S08</x:v>
      </x:c>
      <x:c r="B187" s="2" t="str">
        <x:v>S08-C06</x:v>
      </x:c>
      <x:c r="C187" s="2" t="str">
        <x:v>500136378</x:v>
      </x:c>
      <x:c r="D187" s="2" t="str">
        <x:v>Original</x:v>
      </x:c>
      <x:c r="E187" s="2" t="n">
        <x:v>1</x:v>
      </x:c>
      <x:c r="F187" s="26" t="n">
        <x:v>900</x:v>
      </x:c>
      <x:c r="G187" s="27" t="n">
        <x:v>1</x:v>
      </x:c>
      <x:c r="H187" s="27" t="n">
        <x:v>140</x:v>
      </x:c>
      <x:c r="I187" s="2" t="str">
        <x:v>D14</x:v>
      </x:c>
      <x:c r="J187" s="2" t="str">
        <x:v>Apartment</x:v>
      </x:c>
      <x:c r="K187" s="28"/>
      <x:c r="L187" s="30" t="str">
        <x:v>Hard requirements pass. D14, area 140 sqft. Outside both preferred districts; low rent or extra space does not fulfil that primary preference.</x:v>
      </x:c>
      <x:c r="M187" s="31" t="str">
        <x:v>No</x:v>
      </x:c>
      <x:c r="N187" s="30" t="str"/>
      <x:c r="O187" s="30" t="str">
        <x:v>https://www.propertyguru.com.sg/listing/for-rent-angsana-21-500136378</x:v>
      </x:c>
    </x:row>
    <x:row r="188" ht="52" customHeight="1">
      <x:c r="A188" s="2" t="str">
        <x:v>S08</x:v>
      </x:c>
      <x:c r="B188" s="2" t="str">
        <x:v>S08-C07</x:v>
      </x:c>
      <x:c r="C188" s="2" t="str">
        <x:v>500124231</x:v>
      </x:c>
      <x:c r="D188" s="2" t="str">
        <x:v>Original</x:v>
      </x:c>
      <x:c r="E188" s="2" t="n">
        <x:v>1</x:v>
      </x:c>
      <x:c r="F188" s="26" t="n">
        <x:v>1950</x:v>
      </x:c>
      <x:c r="G188" s="27" t="n">
        <x:v>1</x:v>
      </x:c>
      <x:c r="H188" s="27" t="n">
        <x:v>200</x:v>
      </x:c>
      <x:c r="I188" s="2" t="str">
        <x:v>D19</x:v>
      </x:c>
      <x:c r="J188" s="2" t="str">
        <x:v>Condominium</x:v>
      </x:c>
      <x:c r="K188" s="28"/>
      <x:c r="L188" s="30" t="str">
        <x:v>Hard requirements pass. D19, area 200 sqft. Outside both preferred districts; low rent or extra space does not fulfil that primary preference.</x:v>
      </x:c>
      <x:c r="M188" s="31" t="str">
        <x:v>No</x:v>
      </x:c>
      <x:c r="N188" s="30" t="str"/>
      <x:c r="O188" s="30" t="str">
        <x:v>https://www.propertyguru.com.sg/listing/for-rent-sunglade-500124231</x:v>
      </x:c>
    </x:row>
    <x:row r="189" ht="52" customHeight="1">
      <x:c r="A189" s="2" t="str">
        <x:v>S08</x:v>
      </x:c>
      <x:c r="B189" s="2" t="str">
        <x:v>S08-C08</x:v>
      </x:c>
      <x:c r="C189" s="2" t="str">
        <x:v>500262279</x:v>
      </x:c>
      <x:c r="D189" s="2" t="str">
        <x:v>Original</x:v>
      </x:c>
      <x:c r="E189" s="2" t="n">
        <x:v>1</x:v>
      </x:c>
      <x:c r="F189" s="26" t="n">
        <x:v>2900</x:v>
      </x:c>
      <x:c r="G189" s="27" t="n">
        <x:v>1</x:v>
      </x:c>
      <x:c r="H189" s="27" t="n">
        <x:v>650</x:v>
      </x:c>
      <x:c r="I189" s="2" t="str">
        <x:v>D25</x:v>
      </x:c>
      <x:c r="J189" s="2" t="str">
        <x:v>Condominium</x:v>
      </x:c>
      <x:c r="K189" s="28"/>
      <x:c r="L189" s="30" t="str">
        <x:v>Hard requirements pass. D25, area 650 sqft. Outside both preferred districts; low rent or extra space does not fulfil that primary preference.</x:v>
      </x:c>
      <x:c r="M189" s="31" t="str">
        <x:v>No</x:v>
      </x:c>
      <x:c r="N189" s="30" t="str"/>
      <x:c r="O189" s="30" t="str">
        <x:v>https://www.propertyguru.com.sg/listing/for-rent-parc-rosewood-500262279</x:v>
      </x:c>
    </x:row>
    <x:row r="190" ht="52" customHeight="1">
      <x:c r="A190" s="2" t="str">
        <x:v>S08</x:v>
      </x:c>
      <x:c r="B190" s="2" t="str">
        <x:v>S08-C09</x:v>
      </x:c>
      <x:c r="C190" s="2" t="str">
        <x:v>20692755</x:v>
      </x:c>
      <x:c r="D190" s="2" t="str">
        <x:v>Original</x:v>
      </x:c>
      <x:c r="E190" s="2" t="n">
        <x:v>3</x:v>
      </x:c>
      <x:c r="F190" s="26" t="n">
        <x:v>3000</x:v>
      </x:c>
      <x:c r="G190" s="27" t="n">
        <x:v>1</x:v>
      </x:c>
      <x:c r="H190" s="27" t="n">
        <x:v>517</x:v>
      </x:c>
      <x:c r="I190" s="2" t="str">
        <x:v>D03</x:v>
      </x:c>
      <x:c r="J190" s="2" t="str">
        <x:v>Condominium</x:v>
      </x:c>
      <x:c r="K190" s="28"/>
      <x:c r="L190" s="30" t="str">
        <x:v>Hard requirements pass. D03, area 517 sqft. Both the preferred district and the 500-sqft preference are met.</x:v>
      </x:c>
      <x:c r="M190" s="31" t="str">
        <x:v>No</x:v>
      </x:c>
      <x:c r="N190" s="30" t="str"/>
      <x:c r="O190" s="30" t="str">
        <x:v>https://www.propertyguru.com.sg/listing/for-rent-alexis-20692755</x:v>
      </x:c>
    </x:row>
    <x:row r="191" ht="52" customHeight="1">
      <x:c r="A191" s="2" t="str">
        <x:v>S08</x:v>
      </x:c>
      <x:c r="B191" s="2" t="str">
        <x:v>S08-C10</x:v>
      </x:c>
      <x:c r="C191" s="2" t="str">
        <x:v>24052465</x:v>
      </x:c>
      <x:c r="D191" s="2" t="str">
        <x:v>Original</x:v>
      </x:c>
      <x:c r="E191" s="2" t="n">
        <x:v>1</x:v>
      </x:c>
      <x:c r="F191" s="26" t="n">
        <x:v>870</x:v>
      </x:c>
      <x:c r="G191" s="27" t="n">
        <x:v>1</x:v>
      </x:c>
      <x:c r="H191" s="27" t="n">
        <x:v>100</x:v>
      </x:c>
      <x:c r="I191" s="2" t="str">
        <x:v>D22</x:v>
      </x:c>
      <x:c r="J191" s="2" t="str">
        <x:v>Condominium</x:v>
      </x:c>
      <x:c r="K191" s="28" t="n">
        <x:v>8004.2466792731975</x:v>
      </x:c>
      <x:c r="L191" s="30" t="str">
        <x:v>Hard requirements pass. D22, area 100 sqft. Outside both preferred districts; low rent or extra space does not fulfil that primary preference.</x:v>
      </x:c>
      <x:c r="M191" s="31" t="str">
        <x:v>No</x:v>
      </x:c>
      <x:c r="N191" s="30" t="str"/>
      <x:c r="O191" s="30" t="str">
        <x:v>https://www.propertyguru.com.sg/listing/for-rent-lakeville-24052465</x:v>
      </x:c>
    </x:row>
    <x:row r="192" ht="52" customHeight="1">
      <x:c r="A192" s="2" t="str">
        <x:v>S08</x:v>
      </x:c>
      <x:c r="B192" s="2" t="str">
        <x:v>S08-C11</x:v>
      </x:c>
      <x:c r="C192" s="2" t="str">
        <x:v>500024623</x:v>
      </x:c>
      <x:c r="D192" s="2" t="str">
        <x:v>Original</x:v>
      </x:c>
      <x:c r="E192" s="2" t="str">
        <x:v>U</x:v>
      </x:c>
      <x:c r="F192" s="26" t="n">
        <x:v>2750</x:v>
      </x:c>
      <x:c r="G192" s="27"/>
      <x:c r="H192" s="27" t="n">
        <x:v>136</x:v>
      </x:c>
      <x:c r="I192" s="2" t="str">
        <x:v>D09</x:v>
      </x:c>
      <x:c r="J192" s="2" t="str">
        <x:v>Apartment</x:v>
      </x:c>
      <x:c r="K192" s="28"/>
      <x:c r="L192" s="30" t="str">
        <x:v>No known hard failure. Cannot verify: reported bedrooms.</x:v>
      </x:c>
      <x:c r="M192" s="31" t="str">
        <x:v>No</x:v>
      </x:c>
      <x:c r="N192" s="30" t="str">
        <x:v>Reported bedrooms Unknown; required = 1.</x:v>
      </x:c>
      <x:c r="O192" s="30" t="str">
        <x:v>https://www.propertyguru.com.sg/listing/for-rent-reside-336-river-valley-co-living-500024623</x:v>
      </x:c>
    </x:row>
    <x:row r="193" ht="52" customHeight="1">
      <x:c r="A193" s="2" t="str">
        <x:v>S08</x:v>
      </x:c>
      <x:c r="B193" s="2" t="str">
        <x:v>S08-C12</x:v>
      </x:c>
      <x:c r="C193" s="2" t="str">
        <x:v>500264460</x:v>
      </x:c>
      <x:c r="D193" s="2" t="str">
        <x:v>Original</x:v>
      </x:c>
      <x:c r="E193" s="2" t="n">
        <x:v>0</x:v>
      </x:c>
      <x:c r="F193" s="26" t="n">
        <x:v>1800</x:v>
      </x:c>
      <x:c r="G193" s="27" t="n">
        <x:v>0</x:v>
      </x:c>
      <x:c r="H193" s="27"/>
      <x:c r="I193" s="2" t="str">
        <x:v>D28</x:v>
      </x:c>
      <x:c r="J193" s="2" t="str">
        <x:v>Condominium</x:v>
      </x:c>
      <x:c r="K193" s="28"/>
      <x:c r="L193" s="30" t="str">
        <x:v>Hard failure: Reported bedrooms 0; required = 1.</x:v>
      </x:c>
      <x:c r="M193" s="31" t="str">
        <x:v>No</x:v>
      </x:c>
      <x:c r="N193" s="30" t="str">
        <x:v>Soft evidence missing: floor area (sqft).</x:v>
      </x:c>
      <x:c r="O193" s="30" t="str">
        <x:v>https://www.propertyguru.com.sg/listing/for-rent-rivertrees-residences-500264460</x:v>
      </x:c>
    </x:row>
    <x:row r="194" ht="52" customHeight="1">
      <x:c r="A194" s="2" t="str">
        <x:v>S08</x:v>
      </x:c>
      <x:c r="B194" s="2" t="str">
        <x:v>S08-C13</x:v>
      </x:c>
      <x:c r="C194" s="2" t="str">
        <x:v>18656603</x:v>
      </x:c>
      <x:c r="D194" s="2" t="str">
        <x:v>Original</x:v>
      </x:c>
      <x:c r="E194" s="2" t="n">
        <x:v>0</x:v>
      </x:c>
      <x:c r="F194" s="26" t="n">
        <x:v>1350</x:v>
      </x:c>
      <x:c r="G194" s="27" t="n">
        <x:v>1</x:v>
      </x:c>
      <x:c r="H194" s="27" t="n">
        <x:v>150</x:v>
      </x:c>
      <x:c r="I194" s="2" t="str">
        <x:v>D01</x:v>
      </x:c>
      <x:c r="J194" s="2" t="str">
        <x:v>HDB Flat</x:v>
      </x:c>
      <x:c r="K194" s="28" t="n">
        <x:v>7362.3976943335065</x:v>
      </x:c>
      <x:c r="L194" s="30" t="str">
        <x:v>Hard failure: Property type HDB Flat; required in {Apartment, Condominium}.</x:v>
      </x:c>
      <x:c r="M194" s="31" t="str">
        <x:v>No</x:v>
      </x:c>
      <x:c r="N194" s="30" t="str"/>
      <x:c r="O194" s="30" t="str">
        <x:v>https://www.propertyguru.com.sg/listing/hdb-for-rent-32-new-market-road-18656603</x:v>
      </x:c>
    </x:row>
    <x:row r="195" ht="52" customHeight="1">
      <x:c r="A195" s="2" t="str">
        <x:v>S08</x:v>
      </x:c>
      <x:c r="B195" s="2" t="str">
        <x:v>S08-C14</x:v>
      </x:c>
      <x:c r="C195" s="2" t="str">
        <x:v>24839318</x:v>
      </x:c>
      <x:c r="D195" s="2" t="str">
        <x:v>Original</x:v>
      </x:c>
      <x:c r="E195" s="2" t="n">
        <x:v>2</x:v>
      </x:c>
      <x:c r="F195" s="26" t="n">
        <x:v>2500</x:v>
      </x:c>
      <x:c r="G195" s="27" t="n">
        <x:v>1</x:v>
      </x:c>
      <x:c r="H195" s="27" t="n">
        <x:v>150</x:v>
      </x:c>
      <x:c r="I195" s="2" t="str">
        <x:v>D05</x:v>
      </x:c>
      <x:c r="J195" s="2" t="str">
        <x:v>Apartment</x:v>
      </x:c>
      <x:c r="K195" s="28"/>
      <x:c r="L195" s="30" t="str">
        <x:v>Hard requirements pass. D05, area 150 sqft. The preferred district is met; the reported area is below the secondary target.</x:v>
      </x:c>
      <x:c r="M195" s="31" t="str">
        <x:v>No</x:v>
      </x:c>
      <x:c r="N195" s="30" t="str"/>
      <x:c r="O195" s="30" t="str">
        <x:v>https://www.propertyguru.com.sg/listing/for-rent-coliwoo-pasir-panjang-walking-distance-to-nus-24839318</x:v>
      </x:c>
    </x:row>
    <x:row r="196" ht="52" customHeight="1">
      <x:c r="A196" s="2" t="str">
        <x:v>S08</x:v>
      </x:c>
      <x:c r="B196" s="2" t="str">
        <x:v>S08-C15</x:v>
      </x:c>
      <x:c r="C196" s="2" t="str">
        <x:v>25417680</x:v>
      </x:c>
      <x:c r="D196" s="2" t="str">
        <x:v>Original</x:v>
      </x:c>
      <x:c r="E196" s="2" t="n">
        <x:v>0</x:v>
      </x:c>
      <x:c r="F196" s="26" t="n">
        <x:v>1000</x:v>
      </x:c>
      <x:c r="G196" s="27" t="n">
        <x:v>0</x:v>
      </x:c>
      <x:c r="H196" s="27"/>
      <x:c r="I196" s="2" t="str">
        <x:v>D16</x:v>
      </x:c>
      <x:c r="J196" s="2" t="str">
        <x:v>Condominium</x:v>
      </x:c>
      <x:c r="K196" s="28"/>
      <x:c r="L196" s="30" t="str">
        <x:v>Hard failure: Reported bedrooms 0; required = 1.</x:v>
      </x:c>
      <x:c r="M196" s="31" t="str">
        <x:v>No</x:v>
      </x:c>
      <x:c r="N196" s="30" t="str">
        <x:v>Soft evidence missing: floor area (sqft).</x:v>
      </x:c>
      <x:c r="O196" s="30" t="str">
        <x:v>https://www.propertyguru.com.sg/listing/for-rent-changi-court-25417680</x:v>
      </x:c>
    </x:row>
    <x:row r="197" ht="52" customHeight="1">
      <x:c r="A197" s="2" t="str">
        <x:v>S08</x:v>
      </x:c>
      <x:c r="B197" s="2" t="str">
        <x:v>S08-C16</x:v>
      </x:c>
      <x:c r="C197" s="2" t="str">
        <x:v>20114703</x:v>
      </x:c>
      <x:c r="D197" s="2" t="str">
        <x:v>Original</x:v>
      </x:c>
      <x:c r="E197" s="2" t="n">
        <x:v>1</x:v>
      </x:c>
      <x:c r="F197" s="26" t="n">
        <x:v>3000</x:v>
      </x:c>
      <x:c r="G197" s="27" t="n">
        <x:v>1</x:v>
      </x:c>
      <x:c r="H197" s="27" t="n">
        <x:v>800</x:v>
      </x:c>
      <x:c r="I197" s="2" t="str">
        <x:v>D21</x:v>
      </x:c>
      <x:c r="J197" s="2" t="str">
        <x:v>Condominium</x:v>
      </x:c>
      <x:c r="K197" s="28"/>
      <x:c r="L197" s="30" t="str">
        <x:v>Hard requirements pass. D21, area 800 sqft. Outside both preferred districts; low rent or extra space does not fulfil that primary preference.</x:v>
      </x:c>
      <x:c r="M197" s="31" t="str">
        <x:v>No</x:v>
      </x:c>
      <x:c r="N197" s="30" t="str"/>
      <x:c r="O197" s="30" t="str">
        <x:v>https://www.propertyguru.com.sg/listing/for-rent-hillview-green-20114703</x:v>
      </x:c>
    </x:row>
    <x:row r="198" ht="52" customHeight="1">
      <x:c r="A198" s="2" t="str">
        <x:v>S08</x:v>
      </x:c>
      <x:c r="B198" s="2" t="str">
        <x:v>S08-C17</x:v>
      </x:c>
      <x:c r="C198" s="2" t="str">
        <x:v>500064269</x:v>
      </x:c>
      <x:c r="D198" s="2" t="str">
        <x:v>Original</x:v>
      </x:c>
      <x:c r="E198" s="2" t="n">
        <x:v>0</x:v>
      </x:c>
      <x:c r="F198" s="26" t="n">
        <x:v>3050</x:v>
      </x:c>
      <x:c r="G198" s="27" t="n">
        <x:v>1</x:v>
      </x:c>
      <x:c r="H198" s="27" t="n">
        <x:v>635</x:v>
      </x:c>
      <x:c r="I198" s="2" t="str">
        <x:v>D26</x:v>
      </x:c>
      <x:c r="J198" s="2" t="str">
        <x:v>Condominium</x:v>
      </x:c>
      <x:c r="K198" s="28"/>
      <x:c r="L198" s="30" t="str">
        <x:v>Hard failure: Rent (SGD/month) 3,050; required &lt;= 3,000.</x:v>
      </x:c>
      <x:c r="M198" s="31" t="str">
        <x:v>No</x:v>
      </x:c>
      <x:c r="N198" s="30" t="str"/>
      <x:c r="O198" s="30" t="str">
        <x:v>https://www.propertyguru.com.sg/listing/for-rent-meadows-peirce-500064269</x:v>
      </x:c>
    </x:row>
    <x:row r="199" ht="52" customHeight="1">
      <x:c r="A199" s="2" t="str">
        <x:v>S08</x:v>
      </x:c>
      <x:c r="B199" s="2" t="str">
        <x:v>S08-C18</x:v>
      </x:c>
      <x:c r="C199" s="2" t="str">
        <x:v>500242272</x:v>
      </x:c>
      <x:c r="D199" s="2" t="str">
        <x:v>Original</x:v>
      </x:c>
      <x:c r="E199" s="2" t="n">
        <x:v>1</x:v>
      </x:c>
      <x:c r="F199" s="26" t="n">
        <x:v>1150</x:v>
      </x:c>
      <x:c r="G199" s="27" t="n">
        <x:v>1</x:v>
      </x:c>
      <x:c r="H199" s="27" t="n">
        <x:v>120</x:v>
      </x:c>
      <x:c r="I199" s="2" t="str">
        <x:v>D27</x:v>
      </x:c>
      <x:c r="J199" s="2" t="str">
        <x:v>Condominium</x:v>
      </x:c>
      <x:c r="K199" s="28"/>
      <x:c r="L199" s="30" t="str">
        <x:v>Hard requirements pass. D27, area 120 sqft. Outside both preferred districts; low rent or extra space does not fulfil that primary preference.</x:v>
      </x:c>
      <x:c r="M199" s="31" t="str">
        <x:v>No</x:v>
      </x:c>
      <x:c r="N199" s="30" t="str"/>
      <x:c r="O199" s="30" t="str">
        <x:v>https://www.propertyguru.com.sg/listing/for-rent-orchid-park-condominium-500242272</x:v>
      </x:c>
    </x:row>
    <x:row r="200" ht="52" customHeight="1">
      <x:c r="A200" s="2" t="str">
        <x:v>S08</x:v>
      </x:c>
      <x:c r="B200" s="2" t="str">
        <x:v>S08-C19</x:v>
      </x:c>
      <x:c r="C200" s="2" t="str">
        <x:v>60008774</x:v>
      </x:c>
      <x:c r="D200" s="2" t="str">
        <x:v>Original</x:v>
      </x:c>
      <x:c r="E200" s="2" t="n">
        <x:v>2</x:v>
      </x:c>
      <x:c r="F200" s="26" t="n">
        <x:v>2600</x:v>
      </x:c>
      <x:c r="G200" s="27" t="n">
        <x:v>1</x:v>
      </x:c>
      <x:c r="H200" s="27" t="n">
        <x:v>250</x:v>
      </x:c>
      <x:c r="I200" s="2" t="str">
        <x:v>D05</x:v>
      </x:c>
      <x:c r="J200" s="2" t="str">
        <x:v>Apartment</x:v>
      </x:c>
      <x:c r="K200" s="28"/>
      <x:c r="L200" s="30" t="str">
        <x:v>Hard requirements pass. D05, area 250 sqft. The preferred district is met; the reported area is below the secondary target.</x:v>
      </x:c>
      <x:c r="M200" s="31" t="str">
        <x:v>No</x:v>
      </x:c>
      <x:c r="N200" s="30" t="str"/>
      <x:c r="O200" s="30" t="str">
        <x:v>https://www.propertyguru.com.sg/listing/for-rent-whitehaven-60008774</x:v>
      </x:c>
    </x:row>
    <x:row r="201" ht="52" customHeight="1">
      <x:c r="A201" s="2" t="str">
        <x:v>S08</x:v>
      </x:c>
      <x:c r="B201" s="2" t="str">
        <x:v>S08-C20</x:v>
      </x:c>
      <x:c r="C201" s="2" t="str">
        <x:v>60107236</x:v>
      </x:c>
      <x:c r="D201" s="2" t="str">
        <x:v>Original</x:v>
      </x:c>
      <x:c r="E201" s="2" t="n">
        <x:v>1</x:v>
      </x:c>
      <x:c r="F201" s="26" t="n">
        <x:v>750</x:v>
      </x:c>
      <x:c r="G201" s="27" t="n">
        <x:v>1</x:v>
      </x:c>
      <x:c r="H201" s="27" t="n">
        <x:v>100</x:v>
      </x:c>
      <x:c r="I201" s="2" t="str">
        <x:v>D19</x:v>
      </x:c>
      <x:c r="J201" s="2" t="str">
        <x:v>Condominium</x:v>
      </x:c>
      <x:c r="K201" s="28"/>
      <x:c r="L201" s="30" t="str">
        <x:v>Hard requirements pass. D19, area 100 sqft. Outside both preferred districts; low rent or extra space does not fulfil that primary preference.</x:v>
      </x:c>
      <x:c r="M201" s="31" t="str">
        <x:v>No</x:v>
      </x:c>
      <x:c r="N201" s="30" t="str"/>
      <x:c r="O201" s="30" t="str">
        <x:v>https://www.propertyguru.com.sg/listing/for-rent-riversails-60107236</x:v>
      </x:c>
    </x:row>
    <x:row r="202" ht="52" customHeight="1">
      <x:c r="A202" s="2" t="str">
        <x:v>S08</x:v>
      </x:c>
      <x:c r="B202" s="2" t="str">
        <x:v>S08-C21</x:v>
      </x:c>
      <x:c r="C202" s="2" t="str">
        <x:v>500262835</x:v>
      </x:c>
      <x:c r="D202" s="2" t="str">
        <x:v>Original</x:v>
      </x:c>
      <x:c r="E202" s="2" t="str">
        <x:v>U</x:v>
      </x:c>
      <x:c r="F202" s="26" t="n">
        <x:v>2900</x:v>
      </x:c>
      <x:c r="G202" s="27"/>
      <x:c r="H202" s="27" t="n">
        <x:v>250</x:v>
      </x:c>
      <x:c r="I202" s="2" t="str">
        <x:v>D15</x:v>
      </x:c>
      <x:c r="J202" s="2" t="str">
        <x:v>Condominium</x:v>
      </x:c>
      <x:c r="K202" s="28"/>
      <x:c r="L202" s="30" t="str">
        <x:v>No known hard failure. Cannot verify: reported bedrooms.</x:v>
      </x:c>
      <x:c r="M202" s="31" t="str">
        <x:v>No</x:v>
      </x:c>
      <x:c r="N202" s="30" t="str">
        <x:v>Reported bedrooms Unknown; required = 1.</x:v>
      </x:c>
      <x:c r="O202" s="30" t="str">
        <x:v>https://www.propertyguru.com.sg/listing/for-rent-grand-dunman-500262835</x:v>
      </x:c>
    </x:row>
    <x:row r="203" ht="52" customHeight="1">
      <x:c r="A203" s="2" t="str">
        <x:v>S08</x:v>
      </x:c>
      <x:c r="B203" s="2" t="str">
        <x:v>S08-C22</x:v>
      </x:c>
      <x:c r="C203" s="2" t="str">
        <x:v>25301156</x:v>
      </x:c>
      <x:c r="D203" s="2" t="str">
        <x:v>Original</x:v>
      </x:c>
      <x:c r="E203" s="2" t="n">
        <x:v>0</x:v>
      </x:c>
      <x:c r="F203" s="26" t="n">
        <x:v>3050</x:v>
      </x:c>
      <x:c r="G203" s="27" t="n">
        <x:v>1</x:v>
      </x:c>
      <x:c r="H203" s="27" t="n">
        <x:v>495</x:v>
      </x:c>
      <x:c r="I203" s="2" t="str">
        <x:v>D18</x:v>
      </x:c>
      <x:c r="J203" s="2" t="str">
        <x:v>Condominium</x:v>
      </x:c>
      <x:c r="K203" s="28"/>
      <x:c r="L203" s="30" t="str">
        <x:v>Hard failure: Rent (SGD/month) 3,050; required &lt;= 3,000.</x:v>
      </x:c>
      <x:c r="M203" s="31" t="str">
        <x:v>No</x:v>
      </x:c>
      <x:c r="N203" s="30" t="str"/>
      <x:c r="O203" s="30" t="str">
        <x:v>https://www.propertyguru.com.sg/listing/for-rent-the-alps-residences-25301156</x:v>
      </x:c>
    </x:row>
    <x:row r="204" ht="52" customHeight="1">
      <x:c r="A204" s="2" t="str">
        <x:v>S08</x:v>
      </x:c>
      <x:c r="B204" s="2" t="str">
        <x:v>S08-C23</x:v>
      </x:c>
      <x:c r="C204" s="2" t="str">
        <x:v>500257694</x:v>
      </x:c>
      <x:c r="D204" s="2" t="str">
        <x:v>Original</x:v>
      </x:c>
      <x:c r="E204" s="2" t="n">
        <x:v>1</x:v>
      </x:c>
      <x:c r="F204" s="26" t="n">
        <x:v>900</x:v>
      </x:c>
      <x:c r="G204" s="27" t="n">
        <x:v>1</x:v>
      </x:c>
      <x:c r="H204" s="27" t="n">
        <x:v>100</x:v>
      </x:c>
      <x:c r="I204" s="2" t="str">
        <x:v>D16</x:v>
      </x:c>
      <x:c r="J204" s="2" t="str">
        <x:v>Condominium</x:v>
      </x:c>
      <x:c r="K204" s="28"/>
      <x:c r="L204" s="30" t="str">
        <x:v>Hard requirements pass. D16, area 100 sqft. Outside both preferred districts; low rent or extra space does not fulfil that primary preference.</x:v>
      </x:c>
      <x:c r="M204" s="31" t="str">
        <x:v>No</x:v>
      </x:c>
      <x:c r="N204" s="30" t="str"/>
      <x:c r="O204" s="30" t="str">
        <x:v>https://www.propertyguru.com.sg/listing/for-rent-costa-del-sol-500257694</x:v>
      </x:c>
    </x:row>
    <x:row r="205" ht="52" customHeight="1">
      <x:c r="A205" s="2" t="str">
        <x:v>S08</x:v>
      </x:c>
      <x:c r="B205" s="2" t="str">
        <x:v>S08-C24</x:v>
      </x:c>
      <x:c r="C205" s="2" t="str">
        <x:v>500279601</x:v>
      </x:c>
      <x:c r="D205" s="2" t="str">
        <x:v>Original</x:v>
      </x:c>
      <x:c r="E205" s="2" t="n">
        <x:v>2</x:v>
      </x:c>
      <x:c r="F205" s="26" t="n">
        <x:v>1749</x:v>
      </x:c>
      <x:c r="G205" s="27" t="n">
        <x:v>1</x:v>
      </x:c>
      <x:c r="H205" s="27" t="n">
        <x:v>190</x:v>
      </x:c>
      <x:c r="I205" s="2" t="str">
        <x:v>D05</x:v>
      </x:c>
      <x:c r="J205" s="2" t="str">
        <x:v>Condominium</x:v>
      </x:c>
      <x:c r="K205" s="28"/>
      <x:c r="L205" s="30" t="str">
        <x:v>Hard requirements pass. D05, area 190 sqft. The preferred district is met; the reported area is below the secondary target.</x:v>
      </x:c>
      <x:c r="M205" s="31" t="str">
        <x:v>No</x:v>
      </x:c>
      <x:c r="N205" s="30" t="str"/>
      <x:c r="O205" s="30" t="str">
        <x:v>https://www.propertyguru.com.sg/listing/for-rent-normanton-park-500279601</x:v>
      </x:c>
    </x:row>
    <x:row r="206" ht="52" customHeight="1">
      <x:c r="A206" s="2" t="str">
        <x:v>S08</x:v>
      </x:c>
      <x:c r="B206" s="2" t="str">
        <x:v>S08-C25</x:v>
      </x:c>
      <x:c r="C206" s="2" t="str">
        <x:v>24158218</x:v>
      </x:c>
      <x:c r="D206" s="2" t="str">
        <x:v>Original</x:v>
      </x:c>
      <x:c r="E206" s="2" t="n">
        <x:v>2</x:v>
      </x:c>
      <x:c r="F206" s="26" t="n">
        <x:v>1270</x:v>
      </x:c>
      <x:c r="G206" s="27" t="n">
        <x:v>1</x:v>
      </x:c>
      <x:c r="H206" s="27" t="n">
        <x:v>105</x:v>
      </x:c>
      <x:c r="I206" s="2" t="str">
        <x:v>D03</x:v>
      </x:c>
      <x:c r="J206" s="2" t="str">
        <x:v>Condominium</x:v>
      </x:c>
      <x:c r="K206" s="28"/>
      <x:c r="L206" s="30" t="str">
        <x:v>Hard requirements pass. D03, area 105 sqft. The preferred district is met; the reported area is below the secondary target.</x:v>
      </x:c>
      <x:c r="M206" s="31" t="str">
        <x:v>No</x:v>
      </x:c>
      <x:c r="N206" s="30" t="str"/>
      <x:c r="O206" s="30" t="str">
        <x:v>https://www.propertyguru.com.sg/listing/for-rent-emerald-park-24158218</x:v>
      </x:c>
    </x:row>
    <x:row r="207" ht="52" customHeight="1">
      <x:c r="A207" s="2" t="str">
        <x:v>S09</x:v>
      </x:c>
      <x:c r="B207" s="2" t="str">
        <x:v>S09-C01</x:v>
      </x:c>
      <x:c r="C207" s="2" t="str">
        <x:v>25292812</x:v>
      </x:c>
      <x:c r="D207" s="2" t="str">
        <x:v>Original</x:v>
      </x:c>
      <x:c r="E207" s="2" t="n">
        <x:v>1</x:v>
      </x:c>
      <x:c r="F207" s="26" t="n">
        <x:v>4000</x:v>
      </x:c>
      <x:c r="G207" s="27" t="n">
        <x:v>4</x:v>
      </x:c>
      <x:c r="H207" s="27" t="n">
        <x:v>1335</x:v>
      </x:c>
      <x:c r="I207" s="2" t="str">
        <x:v>D16</x:v>
      </x:c>
      <x:c r="J207" s="2" t="str">
        <x:v>HDB Flat</x:v>
      </x:c>
      <x:c r="K207" s="28" t="n">
        <x:v>18648.599439376936</x:v>
      </x:c>
      <x:c r="L207" s="30" t="str">
        <x:v>Hard requirements pass. D16, SGD 4,000/month. The mandatory size passes, but the primary D18 preference is unmet.</x:v>
      </x:c>
      <x:c r="M207" s="31" t="str">
        <x:v>No</x:v>
      </x:c>
      <x:c r="N207" s="30" t="str"/>
      <x:c r="O207" s="30" t="str">
        <x:v>https://www.propertyguru.com.sg/listing/hdb-for-rent-94e-bedok-north-avenue-4-25292812</x:v>
      </x:c>
    </x:row>
    <x:row r="208" ht="52" customHeight="1">
      <x:c r="A208" s="2" t="str">
        <x:v>S09</x:v>
      </x:c>
      <x:c r="B208" s="2" t="str">
        <x:v>S09-C02</x:v>
      </x:c>
      <x:c r="C208" s="2" t="str">
        <x:v>60060068</x:v>
      </x:c>
      <x:c r="D208" s="2" t="str">
        <x:v>Original</x:v>
      </x:c>
      <x:c r="E208" s="2" t="n">
        <x:v>2</x:v>
      </x:c>
      <x:c r="F208" s="26" t="n">
        <x:v>4200</x:v>
      </x:c>
      <x:c r="G208" s="27" t="n">
        <x:v>3</x:v>
      </x:c>
      <x:c r="H208" s="27" t="n">
        <x:v>1184</x:v>
      </x:c>
      <x:c r="I208" s="2" t="str">
        <x:v>D18</x:v>
      </x:c>
      <x:c r="J208" s="2" t="str">
        <x:v>Condominium</x:v>
      </x:c>
      <x:c r="K208" s="28"/>
      <x:c r="L208" s="30" t="str">
        <x:v>Hard requirements pass. D18, SGD 4,200/month. D18 is met, with a rent trade-off against cheaper D18 alternatives.</x:v>
      </x:c>
      <x:c r="M208" s="31" t="str">
        <x:v>No</x:v>
      </x:c>
      <x:c r="N208" s="30" t="str"/>
      <x:c r="O208" s="30" t="str">
        <x:v>https://www.propertyguru.com.sg/listing/for-rent-the-esparis-60060068</x:v>
      </x:c>
    </x:row>
    <x:row r="209" ht="52" customHeight="1">
      <x:c r="A209" s="2" t="str">
        <x:v>S09</x:v>
      </x:c>
      <x:c r="B209" s="2" t="str">
        <x:v>S09-C03</x:v>
      </x:c>
      <x:c r="C209" s="2" t="str">
        <x:v>23399659</x:v>
      </x:c>
      <x:c r="D209" s="2" t="str">
        <x:v>Original</x:v>
      </x:c>
      <x:c r="E209" s="2" t="n">
        <x:v>1</x:v>
      </x:c>
      <x:c r="F209" s="26" t="n">
        <x:v>3800</x:v>
      </x:c>
      <x:c r="G209" s="27" t="n">
        <x:v>3</x:v>
      </x:c>
      <x:c r="H209" s="27" t="n">
        <x:v>1421</x:v>
      </x:c>
      <x:c r="I209" s="2" t="str">
        <x:v>D16</x:v>
      </x:c>
      <x:c r="J209" s="2" t="str">
        <x:v>HDB Flat</x:v>
      </x:c>
      <x:c r="K209" s="28" t="n">
        <x:v>18737.88988619475</x:v>
      </x:c>
      <x:c r="L209" s="30" t="str">
        <x:v>Hard requirements pass. D16, SGD 3,800/month. The mandatory size passes, but the primary D18 preference is unmet.</x:v>
      </x:c>
      <x:c r="M209" s="31" t="str">
        <x:v>No</x:v>
      </x:c>
      <x:c r="N209" s="30" t="str"/>
      <x:c r="O209" s="30" t="str">
        <x:v>https://www.propertyguru.com.sg/listing/hdb-for-rent-94d-bedok-north-avenue-4-23399659</x:v>
      </x:c>
    </x:row>
    <x:row r="210" ht="52" customHeight="1">
      <x:c r="A210" s="2" t="str">
        <x:v>S09</x:v>
      </x:c>
      <x:c r="B210" s="2" t="str">
        <x:v>S09-C04</x:v>
      </x:c>
      <x:c r="C210" s="2" t="str">
        <x:v>25283036</x:v>
      </x:c>
      <x:c r="D210" s="2" t="str">
        <x:v>Original</x:v>
      </x:c>
      <x:c r="E210" s="2" t="n">
        <x:v>2</x:v>
      </x:c>
      <x:c r="F210" s="26" t="n">
        <x:v>3900</x:v>
      </x:c>
      <x:c r="G210" s="27" t="n">
        <x:v>4</x:v>
      </x:c>
      <x:c r="H210" s="27" t="n">
        <x:v>1313</x:v>
      </x:c>
      <x:c r="I210" s="2" t="str">
        <x:v>D18</x:v>
      </x:c>
      <x:c r="J210" s="2" t="str">
        <x:v>HDB Flat</x:v>
      </x:c>
      <x:c r="K210" s="28" t="n">
        <x:v>18150.949070004102</x:v>
      </x:c>
      <x:c r="L210" s="30" t="str">
        <x:v>Hard requirements pass. D18, SGD 3,900/month. D18 is met, with a rent trade-off against cheaper D18 alternatives.</x:v>
      </x:c>
      <x:c r="M210" s="31" t="str">
        <x:v>No</x:v>
      </x:c>
      <x:c r="N210" s="30" t="str"/>
      <x:c r="O210" s="30" t="str">
        <x:v>https://www.propertyguru.com.sg/listing/hdb-for-rent-888-tampines-street-81-25283036</x:v>
      </x:c>
    </x:row>
    <x:row r="211" ht="52" customHeight="1">
      <x:c r="A211" s="2" t="str">
        <x:v>S09</x:v>
      </x:c>
      <x:c r="B211" s="2" t="str">
        <x:v>S09-C05</x:v>
      </x:c>
      <x:c r="C211" s="2" t="str">
        <x:v>500238933</x:v>
      </x:c>
      <x:c r="D211" s="2" t="str">
        <x:v>Original</x:v>
      </x:c>
      <x:c r="E211" s="2" t="n">
        <x:v>1</x:v>
      </x:c>
      <x:c r="F211" s="26" t="n">
        <x:v>4300</x:v>
      </x:c>
      <x:c r="G211" s="27" t="n">
        <x:v>4</x:v>
      </x:c>
      <x:c r="H211" s="27" t="n">
        <x:v>1302</x:v>
      </x:c>
      <x:c r="I211" s="2" t="str">
        <x:v>D23</x:v>
      </x:c>
      <x:c r="J211" s="2" t="str">
        <x:v>HDB Flat</x:v>
      </x:c>
      <x:c r="K211" s="28" t="n">
        <x:v>10412.424167312995</x:v>
      </x:c>
      <x:c r="L211" s="30" t="str">
        <x:v>Hard requirements pass. D23, SGD 4,300/month. The mandatory size passes, but the primary D18 preference is unmet.</x:v>
      </x:c>
      <x:c r="M211" s="31" t="str">
        <x:v>No</x:v>
      </x:c>
      <x:c r="N211" s="30" t="str"/>
      <x:c r="O211" s="30" t="str">
        <x:v>https://www.propertyguru.com.sg/listing/hdb-for-rent-446-choa-chu-kang-avenue-4-500238933</x:v>
      </x:c>
    </x:row>
    <x:row r="212" ht="52" customHeight="1">
      <x:c r="A212" s="2" t="str">
        <x:v>S09</x:v>
      </x:c>
      <x:c r="B212" s="2" t="str">
        <x:v>S09-C06</x:v>
      </x:c>
      <x:c r="C212" s="2" t="str">
        <x:v>24593875</x:v>
      </x:c>
      <x:c r="D212" s="2" t="str">
        <x:v>Original</x:v>
      </x:c>
      <x:c r="E212" s="2" t="n">
        <x:v>1</x:v>
      </x:c>
      <x:c r="F212" s="26" t="n">
        <x:v>3500</x:v>
      </x:c>
      <x:c r="G212" s="27" t="n">
        <x:v>3</x:v>
      </x:c>
      <x:c r="H212" s="27" t="n">
        <x:v>1087</x:v>
      </x:c>
      <x:c r="I212" s="2" t="str">
        <x:v>D23</x:v>
      </x:c>
      <x:c r="J212" s="2" t="str">
        <x:v>HDB Flat</x:v>
      </x:c>
      <x:c r="K212" s="28" t="n">
        <x:v>9790.283970666615</x:v>
      </x:c>
      <x:c r="L212" s="30" t="str">
        <x:v>Hard requirements pass. D23, SGD 3,500/month. The mandatory size passes, but the primary D18 preference is unmet.</x:v>
      </x:c>
      <x:c r="M212" s="31" t="str">
        <x:v>No</x:v>
      </x:c>
      <x:c r="N212" s="30" t="str"/>
      <x:c r="O212" s="30" t="str">
        <x:v>https://www.propertyguru.com.sg/listing/hdb-for-rent-449-bukit-panjang-ring-road-24593875</x:v>
      </x:c>
    </x:row>
    <x:row r="213" ht="52" customHeight="1">
      <x:c r="A213" s="2" t="str">
        <x:v>S09</x:v>
      </x:c>
      <x:c r="B213" s="2" t="str">
        <x:v>S09-C07</x:v>
      </x:c>
      <x:c r="C213" s="2" t="str">
        <x:v>23440021</x:v>
      </x:c>
      <x:c r="D213" s="2" t="str">
        <x:v>Original</x:v>
      </x:c>
      <x:c r="E213" s="2" t="n">
        <x:v>1</x:v>
      </x:c>
      <x:c r="F213" s="26" t="n">
        <x:v>2900</x:v>
      </x:c>
      <x:c r="G213" s="27" t="n">
        <x:v>3</x:v>
      </x:c>
      <x:c r="H213" s="27" t="n">
        <x:v>1000</x:v>
      </x:c>
      <x:c r="I213" s="2" t="str">
        <x:v>D15</x:v>
      </x:c>
      <x:c r="J213" s="2" t="str">
        <x:v>Walk-up Apartment</x:v>
      </x:c>
      <x:c r="K213" s="28"/>
      <x:c r="L213" s="30" t="str">
        <x:v>Hard requirements pass. D15, SGD 2,900/month. The mandatory size passes, but the primary D18 preference is unmet.</x:v>
      </x:c>
      <x:c r="M213" s="31" t="str">
        <x:v>No</x:v>
      </x:c>
      <x:c r="N213" s="30" t="str"/>
      <x:c r="O213" s="30" t="str">
        <x:v>https://www.propertyguru.com.sg/listing/for-rent-joo-chiat-place-23440021</x:v>
      </x:c>
    </x:row>
    <x:row r="214" ht="52" customHeight="1">
      <x:c r="A214" s="2" t="str">
        <x:v>S09</x:v>
      </x:c>
      <x:c r="B214" s="2" t="str">
        <x:v>S09-C08</x:v>
      </x:c>
      <x:c r="C214" s="2" t="str">
        <x:v>24759365</x:v>
      </x:c>
      <x:c r="D214" s="2" t="str">
        <x:v>Original</x:v>
      </x:c>
      <x:c r="E214" s="2" t="n">
        <x:v>1</x:v>
      </x:c>
      <x:c r="F214" s="26" t="n">
        <x:v>2950</x:v>
      </x:c>
      <x:c r="G214" s="27" t="n">
        <x:v>3</x:v>
      </x:c>
      <x:c r="H214" s="27" t="n">
        <x:v>1109</x:v>
      </x:c>
      <x:c r="I214" s="2" t="str">
        <x:v>D23</x:v>
      </x:c>
      <x:c r="J214" s="2" t="str">
        <x:v>HDB Flat</x:v>
      </x:c>
      <x:c r="K214" s="28" t="n">
        <x:v>8732.788506437206</x:v>
      </x:c>
      <x:c r="L214" s="30" t="str">
        <x:v>Hard requirements pass. D23, SGD 2,950/month. The mandatory size passes, but the primary D18 preference is unmet.</x:v>
      </x:c>
      <x:c r="M214" s="31" t="str">
        <x:v>No</x:v>
      </x:c>
      <x:c r="N214" s="30" t="str"/>
      <x:c r="O214" s="30" t="str">
        <x:v>https://www.propertyguru.com.sg/listing/hdb-for-rent-131-cashew-road-24759365</x:v>
      </x:c>
    </x:row>
    <x:row r="215" ht="52" customHeight="1">
      <x:c r="A215" s="2" t="str">
        <x:v>S09</x:v>
      </x:c>
      <x:c r="B215" s="2" t="str">
        <x:v>S09-C09</x:v>
      </x:c>
      <x:c r="C215" s="2" t="str">
        <x:v>25171747</x:v>
      </x:c>
      <x:c r="D215" s="2" t="str">
        <x:v>Original</x:v>
      </x:c>
      <x:c r="E215" s="2" t="n">
        <x:v>2</x:v>
      </x:c>
      <x:c r="F215" s="26" t="n">
        <x:v>4000</x:v>
      </x:c>
      <x:c r="G215" s="27" t="n">
        <x:v>3</x:v>
      </x:c>
      <x:c r="H215" s="27" t="n">
        <x:v>1119</x:v>
      </x:c>
      <x:c r="I215" s="2" t="str">
        <x:v>D18</x:v>
      </x:c>
      <x:c r="J215" s="2" t="str">
        <x:v>HDB Flat</x:v>
      </x:c>
      <x:c r="K215" s="28" t="n">
        <x:v>20635.264693131405</x:v>
      </x:c>
      <x:c r="L215" s="30" t="str">
        <x:v>Hard requirements pass. D18, SGD 4,000/month. D18 is met, with a rent trade-off against cheaper D18 alternatives.</x:v>
      </x:c>
      <x:c r="M215" s="31" t="str">
        <x:v>No</x:v>
      </x:c>
      <x:c r="N215" s="30" t="str"/>
      <x:c r="O215" s="30" t="str">
        <x:v>https://www.propertyguru.com.sg/listing/hdb-for-rent-297-tampines-street-22-25171747</x:v>
      </x:c>
    </x:row>
    <x:row r="216" ht="52" customHeight="1">
      <x:c r="A216" s="2" t="str">
        <x:v>S09</x:v>
      </x:c>
      <x:c r="B216" s="2" t="str">
        <x:v>S09-C10</x:v>
      </x:c>
      <x:c r="C216" s="2" t="str">
        <x:v>60113140</x:v>
      </x:c>
      <x:c r="D216" s="2" t="str">
        <x:v>Original</x:v>
      </x:c>
      <x:c r="E216" s="2" t="n">
        <x:v>2</x:v>
      </x:c>
      <x:c r="F216" s="26" t="n">
        <x:v>4300</x:v>
      </x:c>
      <x:c r="G216" s="27" t="n">
        <x:v>4</x:v>
      </x:c>
      <x:c r="H216" s="27" t="n">
        <x:v>1378</x:v>
      </x:c>
      <x:c r="I216" s="2" t="str">
        <x:v>D18</x:v>
      </x:c>
      <x:c r="J216" s="2" t="str">
        <x:v>HDB Flat</x:v>
      </x:c>
      <x:c r="K216" s="28" t="n">
        <x:v>21010.464232172573</x:v>
      </x:c>
      <x:c r="L216" s="30" t="str">
        <x:v>Hard requirements pass. D18, SGD 4,300/month. D18 is met, with a rent trade-off against cheaper D18 alternatives.</x:v>
      </x:c>
      <x:c r="M216" s="31" t="str">
        <x:v>No</x:v>
      </x:c>
      <x:c r="N216" s="30" t="str"/>
      <x:c r="O216" s="30" t="str">
        <x:v>https://www.propertyguru.com.sg/listing/hdb-for-rent-396-tampines-avenue-7-60113140</x:v>
      </x:c>
    </x:row>
    <x:row r="217" ht="52" customHeight="1">
      <x:c r="A217" s="2" t="str">
        <x:v>S09</x:v>
      </x:c>
      <x:c r="B217" s="2" t="str">
        <x:v>S09-C11</x:v>
      </x:c>
      <x:c r="C217" s="2" t="str">
        <x:v>500280728</x:v>
      </x:c>
      <x:c r="D217" s="2" t="str">
        <x:v>Original</x:v>
      </x:c>
      <x:c r="E217" s="2" t="n">
        <x:v>1</x:v>
      </x:c>
      <x:c r="F217" s="26" t="n">
        <x:v>3600</x:v>
      </x:c>
      <x:c r="G217" s="27" t="n">
        <x:v>3</x:v>
      </x:c>
      <x:c r="H217" s="27" t="n">
        <x:v>1001</x:v>
      </x:c>
      <x:c r="I217" s="2" t="str">
        <x:v>D19</x:v>
      </x:c>
      <x:c r="J217" s="2" t="str">
        <x:v>HDB Flat</x:v>
      </x:c>
      <x:c r="K217" s="28" t="n">
        <x:v>19249.44068366942</x:v>
      </x:c>
      <x:c r="L217" s="30" t="str">
        <x:v>Hard requirements pass. D19, SGD 3,600/month. The mandatory size passes, but the primary D18 preference is unmet.</x:v>
      </x:c>
      <x:c r="M217" s="31" t="str">
        <x:v>No</x:v>
      </x:c>
      <x:c r="N217" s="30" t="str"/>
      <x:c r="O217" s="30" t="str">
        <x:v>https://www.propertyguru.com.sg/listing/hdb-for-rent-667a-punggol-drive-500280728</x:v>
      </x:c>
    </x:row>
    <x:row r="218" ht="52" customHeight="1">
      <x:c r="A218" s="2" t="str">
        <x:v>S09</x:v>
      </x:c>
      <x:c r="B218" s="2" t="str">
        <x:v>S09-C12</x:v>
      </x:c>
      <x:c r="C218" s="2" t="str">
        <x:v>500272998</x:v>
      </x:c>
      <x:c r="D218" s="2" t="str">
        <x:v>Original</x:v>
      </x:c>
      <x:c r="E218" s="2" t="n">
        <x:v>3</x:v>
      </x:c>
      <x:c r="F218" s="26" t="n">
        <x:v>3458</x:v>
      </x:c>
      <x:c r="G218" s="27" t="n">
        <x:v>3</x:v>
      </x:c>
      <x:c r="H218" s="27" t="n">
        <x:v>1119</x:v>
      </x:c>
      <x:c r="I218" s="2" t="str">
        <x:v>D18</x:v>
      </x:c>
      <x:c r="J218" s="2" t="str">
        <x:v>HDB Flat</x:v>
      </x:c>
      <x:c r="K218" s="28" t="n">
        <x:v>20270.165576445306</x:v>
      </x:c>
      <x:c r="L218" s="30" t="str">
        <x:v>Hard requirements pass. D18, SGD 3,458/month. D18 is met with lower rent than several other D18 choices.</x:v>
      </x:c>
      <x:c r="M218" s="31" t="str">
        <x:v>No</x:v>
      </x:c>
      <x:c r="N218" s="30" t="str"/>
      <x:c r="O218" s="30" t="str">
        <x:v>https://www.propertyguru.com.sg/listing/hdb-for-rent-634-pasir-ris-drive-1-500272998</x:v>
      </x:c>
    </x:row>
    <x:row r="219" ht="52" customHeight="1">
      <x:c r="A219" s="2" t="str">
        <x:v>S09</x:v>
      </x:c>
      <x:c r="B219" s="2" t="str">
        <x:v>S09-C13</x:v>
      </x:c>
      <x:c r="C219" s="2" t="str">
        <x:v>21792437</x:v>
      </x:c>
      <x:c r="D219" s="2" t="str">
        <x:v>Original</x:v>
      </x:c>
      <x:c r="E219" s="2" t="n">
        <x:v>0</x:v>
      </x:c>
      <x:c r="F219" s="26" t="n">
        <x:v>4000</x:v>
      </x:c>
      <x:c r="G219" s="27" t="n">
        <x:v>3</x:v>
      </x:c>
      <x:c r="H219" s="27" t="n">
        <x:v>991</x:v>
      </x:c>
      <x:c r="I219" s="2" t="str">
        <x:v>D16</x:v>
      </x:c>
      <x:c r="J219" s="2" t="str">
        <x:v>HDB Flat</x:v>
      </x:c>
      <x:c r="K219" s="28" t="n">
        <x:v>18484.207283795233</x:v>
      </x:c>
      <x:c r="L219" s="30" t="str">
        <x:v>Hard failure: Floor area (sqft) 991; required &gt;= 1,000.</x:v>
      </x:c>
      <x:c r="M219" s="31" t="str">
        <x:v>No</x:v>
      </x:c>
      <x:c r="N219" s="30" t="str"/>
      <x:c r="O219" s="30" t="str">
        <x:v>https://www.propertyguru.com.sg/listing/hdb-for-rent-185-bedok-north-road-21792437</x:v>
      </x:c>
    </x:row>
    <x:row r="220" ht="52" customHeight="1">
      <x:c r="A220" s="2" t="str">
        <x:v>S09</x:v>
      </x:c>
      <x:c r="B220" s="2" t="str">
        <x:v>S09-C14</x:v>
      </x:c>
      <x:c r="C220" s="2" t="str">
        <x:v>500225164</x:v>
      </x:c>
      <x:c r="D220" s="2" t="str">
        <x:v>Original</x:v>
      </x:c>
      <x:c r="E220" s="2" t="n">
        <x:v>0</x:v>
      </x:c>
      <x:c r="F220" s="26" t="n">
        <x:v>3800</x:v>
      </x:c>
      <x:c r="G220" s="27" t="n">
        <x:v>2</x:v>
      </x:c>
      <x:c r="H220" s="27" t="n">
        <x:v>1335</x:v>
      </x:c>
      <x:c r="I220" s="2" t="str">
        <x:v>D25</x:v>
      </x:c>
      <x:c r="J220" s="2" t="str">
        <x:v>Condominium</x:v>
      </x:c>
      <x:c r="K220" s="28"/>
      <x:c r="L220" s="30" t="str">
        <x:v>Hard failure: Reported bedrooms 2; required &gt;= 3.</x:v>
      </x:c>
      <x:c r="M220" s="31" t="str">
        <x:v>No</x:v>
      </x:c>
      <x:c r="N220" s="30" t="str"/>
      <x:c r="O220" s="30" t="str">
        <x:v>https://www.propertyguru.com.sg/listing/for-rent-parc-rosewood-500225164</x:v>
      </x:c>
    </x:row>
    <x:row r="221" ht="52" customHeight="1">
      <x:c r="A221" s="2" t="str">
        <x:v>S09</x:v>
      </x:c>
      <x:c r="B221" s="2" t="str">
        <x:v>S09-C15</x:v>
      </x:c>
      <x:c r="C221" s="2" t="str">
        <x:v>500254217</x:v>
      </x:c>
      <x:c r="D221" s="2" t="str">
        <x:v>Original</x:v>
      </x:c>
      <x:c r="E221" s="2" t="n">
        <x:v>1</x:v>
      </x:c>
      <x:c r="F221" s="26" t="n">
        <x:v>4500</x:v>
      </x:c>
      <x:c r="G221" s="27" t="n">
        <x:v>4</x:v>
      </x:c>
      <x:c r="H221" s="27" t="n">
        <x:v>1453</x:v>
      </x:c>
      <x:c r="I221" s="2" t="str">
        <x:v>D19</x:v>
      </x:c>
      <x:c r="J221" s="2" t="str">
        <x:v>HDB Flat</x:v>
      </x:c>
      <x:c r="K221" s="28" t="n">
        <x:v>16968.33085574411</x:v>
      </x:c>
      <x:c r="L221" s="30" t="str">
        <x:v>Hard requirements pass. D19, SGD 4,500/month. The mandatory size passes, but the primary D18 preference is unmet.</x:v>
      </x:c>
      <x:c r="M221" s="31" t="str">
        <x:v>No</x:v>
      </x:c>
      <x:c r="N221" s="30" t="str"/>
      <x:c r="O221" s="30" t="str">
        <x:v>https://www.propertyguru.com.sg/listing/hdb-for-rent-225c-compassvale-walk-500254217</x:v>
      </x:c>
    </x:row>
    <x:row r="222" ht="52" customHeight="1">
      <x:c r="A222" s="2" t="str">
        <x:v>S09</x:v>
      </x:c>
      <x:c r="B222" s="2" t="str">
        <x:v>S09-C16</x:v>
      </x:c>
      <x:c r="C222" s="2" t="str">
        <x:v>500275409</x:v>
      </x:c>
      <x:c r="D222" s="2" t="str">
        <x:v>Original</x:v>
      </x:c>
      <x:c r="E222" s="2" t="n">
        <x:v>3</x:v>
      </x:c>
      <x:c r="F222" s="26" t="n">
        <x:v>3400</x:v>
      </x:c>
      <x:c r="G222" s="27" t="n">
        <x:v>3</x:v>
      </x:c>
      <x:c r="H222" s="27" t="n">
        <x:v>1120</x:v>
      </x:c>
      <x:c r="I222" s="2" t="str">
        <x:v>D18</x:v>
      </x:c>
      <x:c r="J222" s="2" t="str">
        <x:v>HDB Flat</x:v>
      </x:c>
      <x:c r="K222" s="28" t="n">
        <x:v>19872.409125653732</x:v>
      </x:c>
      <x:c r="L222" s="30" t="str">
        <x:v>Hard requirements pass. D18, SGD 3,400/month. D18 is met with lower rent than several other D18 choices.</x:v>
      </x:c>
      <x:c r="M222" s="31" t="str">
        <x:v>No</x:v>
      </x:c>
      <x:c r="N222" s="30" t="str"/>
      <x:c r="O222" s="30" t="str">
        <x:v>https://www.propertyguru.com.sg/listing/hdb-for-rent-109-simei-street-1-500275409</x:v>
      </x:c>
    </x:row>
    <x:row r="223" ht="52" customHeight="1">
      <x:c r="A223" s="2" t="str">
        <x:v>S09</x:v>
      </x:c>
      <x:c r="B223" s="2" t="str">
        <x:v>S09-C17</x:v>
      </x:c>
      <x:c r="C223" s="2" t="str">
        <x:v>500194402</x:v>
      </x:c>
      <x:c r="D223" s="2" t="str">
        <x:v>Original</x:v>
      </x:c>
      <x:c r="E223" s="2" t="str">
        <x:v>U</x:v>
      </x:c>
      <x:c r="F223" s="26" t="n">
        <x:v>2400</x:v>
      </x:c>
      <x:c r="G223" s="27"/>
      <x:c r="H223" s="27" t="n">
        <x:v>2400</x:v>
      </x:c>
      <x:c r="I223" s="2" t="str">
        <x:v>D18</x:v>
      </x:c>
      <x:c r="J223" s="2" t="str">
        <x:v>Executive Condominium</x:v>
      </x:c>
      <x:c r="K223" s="28"/>
      <x:c r="L223" s="30" t="str">
        <x:v>No known hard failure. Cannot verify: reported bedrooms.</x:v>
      </x:c>
      <x:c r="M223" s="31" t="str">
        <x:v>No</x:v>
      </x:c>
      <x:c r="N223" s="30" t="str">
        <x:v>Reported bedrooms Unknown; required &gt;= 3.</x:v>
      </x:c>
      <x:c r="O223" s="30" t="str">
        <x:v>https://www.propertyguru.com.sg/listing/for-rent-citylife-tampines-500194402</x:v>
      </x:c>
    </x:row>
    <x:row r="224" ht="52" customHeight="1">
      <x:c r="A224" s="2" t="str">
        <x:v>S09</x:v>
      </x:c>
      <x:c r="B224" s="2" t="str">
        <x:v>S09-C18</x:v>
      </x:c>
      <x:c r="C224" s="2" t="str">
        <x:v>23746946</x:v>
      </x:c>
      <x:c r="D224" s="2" t="str">
        <x:v>Original</x:v>
      </x:c>
      <x:c r="E224" s="2" t="n">
        <x:v>1</x:v>
      </x:c>
      <x:c r="F224" s="26" t="n">
        <x:v>4500</x:v>
      </x:c>
      <x:c r="G224" s="27" t="n">
        <x:v>3</x:v>
      </x:c>
      <x:c r="H224" s="27" t="n">
        <x:v>1571</x:v>
      </x:c>
      <x:c r="I224" s="2" t="str">
        <x:v>D22</x:v>
      </x:c>
      <x:c r="J224" s="2" t="str">
        <x:v>HDB Flat</x:v>
      </x:c>
      <x:c r="K224" s="28" t="n">
        <x:v>5143.55200415775</x:v>
      </x:c>
      <x:c r="L224" s="30" t="str">
        <x:v>Hard requirements pass. D22, SGD 4,500/month. The mandatory size passes, but the primary D18 preference is unmet.</x:v>
      </x:c>
      <x:c r="M224" s="31" t="str">
        <x:v>No</x:v>
      </x:c>
      <x:c r="N224" s="30" t="str"/>
      <x:c r="O224" s="30" t="str">
        <x:v>https://www.propertyguru.com.sg/listing/hdb-for-rent-50-teban-gardens-road-23746946</x:v>
      </x:c>
    </x:row>
    <x:row r="225" ht="52" customHeight="1">
      <x:c r="A225" s="2" t="str">
        <x:v>S09</x:v>
      </x:c>
      <x:c r="B225" s="2" t="str">
        <x:v>S09-C19</x:v>
      </x:c>
      <x:c r="C225" s="2" t="str">
        <x:v>60058612</x:v>
      </x:c>
      <x:c r="D225" s="2" t="str">
        <x:v>Original</x:v>
      </x:c>
      <x:c r="E225" s="2" t="n">
        <x:v>1</x:v>
      </x:c>
      <x:c r="F225" s="26" t="n">
        <x:v>4300</x:v>
      </x:c>
      <x:c r="G225" s="27" t="n">
        <x:v>3</x:v>
      </x:c>
      <x:c r="H225" s="27" t="n">
        <x:v>1216</x:v>
      </x:c>
      <x:c r="I225" s="2" t="str">
        <x:v>D23</x:v>
      </x:c>
      <x:c r="J225" s="2" t="str">
        <x:v>HDB Flat</x:v>
      </x:c>
      <x:c r="K225" s="28" t="n">
        <x:v>6088.218506165559</x:v>
      </x:c>
      <x:c r="L225" s="30" t="str">
        <x:v>Hard requirements pass. D23, SGD 4,300/month. The mandatory size passes, but the primary D18 preference is unmet.</x:v>
      </x:c>
      <x:c r="M225" s="31" t="str">
        <x:v>No</x:v>
      </x:c>
      <x:c r="N225" s="30" t="str"/>
      <x:c r="O225" s="30" t="str">
        <x:v>https://www.propertyguru.com.sg/listing/hdb-for-rent-293b-bukit-batok-street-21-60058612</x:v>
      </x:c>
    </x:row>
    <x:row r="226" ht="52" customHeight="1">
      <x:c r="A226" s="2" t="str">
        <x:v>S09</x:v>
      </x:c>
      <x:c r="B226" s="2" t="str">
        <x:v>S09-C20</x:v>
      </x:c>
      <x:c r="C226" s="2" t="str">
        <x:v>500285513</x:v>
      </x:c>
      <x:c r="D226" s="2" t="str">
        <x:v>Original</x:v>
      </x:c>
      <x:c r="E226" s="2" t="n">
        <x:v>0</x:v>
      </x:c>
      <x:c r="F226" s="26" t="n">
        <x:v>4599</x:v>
      </x:c>
      <x:c r="G226" s="27" t="n">
        <x:v>3</x:v>
      </x:c>
      <x:c r="H226" s="27" t="n">
        <x:v>1259</x:v>
      </x:c>
      <x:c r="I226" s="2" t="str">
        <x:v>D23</x:v>
      </x:c>
      <x:c r="J226" s="2" t="str">
        <x:v>Condominium</x:v>
      </x:c>
      <x:c r="K226" s="28" t="n">
        <x:v>7180.369813563164</x:v>
      </x:c>
      <x:c r="L226" s="30" t="str">
        <x:v>Hard failure: Rent (SGD/month) 4,599; required &lt;= 4,500.</x:v>
      </x:c>
      <x:c r="M226" s="31" t="str">
        <x:v>No</x:v>
      </x:c>
      <x:c r="N226" s="30" t="str"/>
      <x:c r="O226" s="30" t="str">
        <x:v>https://www.propertyguru.com.sg/listing/for-rent-guilin-view-500285513</x:v>
      </x:c>
    </x:row>
    <x:row r="227" ht="52" customHeight="1">
      <x:c r="A227" s="2" t="str">
        <x:v>S09</x:v>
      </x:c>
      <x:c r="B227" s="2" t="str">
        <x:v>S09-C21</x:v>
      </x:c>
      <x:c r="C227" s="2" t="str">
        <x:v>500272797</x:v>
      </x:c>
      <x:c r="D227" s="2" t="str">
        <x:v>Original</x:v>
      </x:c>
      <x:c r="E227" s="2" t="n">
        <x:v>3</x:v>
      </x:c>
      <x:c r="F227" s="26" t="n">
        <x:v>2999</x:v>
      </x:c>
      <x:c r="G227" s="27" t="n">
        <x:v>3</x:v>
      </x:c>
      <x:c r="H227" s="27" t="n">
        <x:v>1119</x:v>
      </x:c>
      <x:c r="I227" s="2" t="str">
        <x:v>D18</x:v>
      </x:c>
      <x:c r="J227" s="2" t="str">
        <x:v>HDB Flat</x:v>
      </x:c>
      <x:c r="K227" s="28" t="n">
        <x:v>20215.452555986783</x:v>
      </x:c>
      <x:c r="L227" s="30" t="str">
        <x:v>Hard requirements pass. D18, SGD 2,999/month. D18 is met with lower rent than several other D18 choices.</x:v>
      </x:c>
      <x:c r="M227" s="31" t="str">
        <x:v>No</x:v>
      </x:c>
      <x:c r="N227" s="30" t="str"/>
      <x:c r="O227" s="30" t="str">
        <x:v>https://www.propertyguru.com.sg/listing/hdb-for-rent-637-pasir-ris-drive-1-500272797</x:v>
      </x:c>
    </x:row>
    <x:row r="228" ht="52" customHeight="1">
      <x:c r="A228" s="2" t="str">
        <x:v>S09</x:v>
      </x:c>
      <x:c r="B228" s="2" t="str">
        <x:v>S09-C22</x:v>
      </x:c>
      <x:c r="C228" s="2" t="str">
        <x:v>16634118</x:v>
      </x:c>
      <x:c r="D228" s="2" t="str">
        <x:v>Original</x:v>
      </x:c>
      <x:c r="E228" s="2" t="n">
        <x:v>1</x:v>
      </x:c>
      <x:c r="F228" s="26" t="n">
        <x:v>2799</x:v>
      </x:c>
      <x:c r="G228" s="27" t="n">
        <x:v>3</x:v>
      </x:c>
      <x:c r="H228" s="27" t="n">
        <x:v>1130</x:v>
      </x:c>
      <x:c r="I228" s="2" t="str">
        <x:v>D25</x:v>
      </x:c>
      <x:c r="J228" s="2" t="str">
        <x:v>HDB Flat</x:v>
      </x:c>
      <x:c r="K228" s="28" t="n">
        <x:v>16420.681780542094</x:v>
      </x:c>
      <x:c r="L228" s="30" t="str">
        <x:v>Hard requirements pass. D25, SGD 2,799/month. The mandatory size passes, but the primary D18 preference is unmet.</x:v>
      </x:c>
      <x:c r="M228" s="31" t="str">
        <x:v>No</x:v>
      </x:c>
      <x:c r="N228" s="30" t="str"/>
      <x:c r="O228" s="30" t="str">
        <x:v>https://www.propertyguru.com.sg/listing/hdb-for-rent-843-woodlands-street-82-16634118</x:v>
      </x:c>
    </x:row>
    <x:row r="229" ht="52" customHeight="1">
      <x:c r="A229" s="2" t="str">
        <x:v>S09</x:v>
      </x:c>
      <x:c r="B229" s="2" t="str">
        <x:v>S09-C23</x:v>
      </x:c>
      <x:c r="C229" s="2" t="str">
        <x:v>500097562</x:v>
      </x:c>
      <x:c r="D229" s="2" t="str">
        <x:v>Original</x:v>
      </x:c>
      <x:c r="E229" s="2" t="n">
        <x:v>0</x:v>
      </x:c>
      <x:c r="F229" s="26" t="n">
        <x:v>4599</x:v>
      </x:c>
      <x:c r="G229" s="27" t="n">
        <x:v>3</x:v>
      </x:c>
      <x:c r="H229" s="27" t="n">
        <x:v>1023</x:v>
      </x:c>
      <x:c r="I229" s="2" t="str">
        <x:v>D27</x:v>
      </x:c>
      <x:c r="J229" s="2" t="str">
        <x:v>Executive Condominium</x:v>
      </x:c>
      <x:c r="K229" s="28" t="n">
        <x:v>16227.92228690533</x:v>
      </x:c>
      <x:c r="L229" s="30" t="str">
        <x:v>Hard failure: Rent (SGD/month) 4,599; required &lt;= 4,500.</x:v>
      </x:c>
      <x:c r="M229" s="31" t="str">
        <x:v>No</x:v>
      </x:c>
      <x:c r="N229" s="30" t="str"/>
      <x:c r="O229" s="30" t="str">
        <x:v>https://www.propertyguru.com.sg/listing/for-rent-the-canopy-500097562</x:v>
      </x:c>
    </x:row>
    <x:row r="230" ht="52" customHeight="1">
      <x:c r="A230" s="2" t="str">
        <x:v>S09</x:v>
      </x:c>
      <x:c r="B230" s="2" t="str">
        <x:v>S09-C24</x:v>
      </x:c>
      <x:c r="C230" s="2" t="str">
        <x:v>25356088</x:v>
      </x:c>
      <x:c r="D230" s="2" t="str">
        <x:v>Original</x:v>
      </x:c>
      <x:c r="E230" s="2" t="n">
        <x:v>0</x:v>
      </x:c>
      <x:c r="F230" s="26" t="n">
        <x:v>4500</x:v>
      </x:c>
      <x:c r="G230" s="27" t="n">
        <x:v>2</x:v>
      </x:c>
      <x:c r="H230" s="27" t="n">
        <x:v>1130</x:v>
      </x:c>
      <x:c r="I230" s="2" t="str">
        <x:v>D12</x:v>
      </x:c>
      <x:c r="J230" s="2" t="str">
        <x:v>Apartment</x:v>
      </x:c>
      <x:c r="K230" s="28"/>
      <x:c r="L230" s="30" t="str">
        <x:v>Hard failure: Reported bedrooms 2; required &gt;= 3.</x:v>
      </x:c>
      <x:c r="M230" s="31" t="str">
        <x:v>No</x:v>
      </x:c>
      <x:c r="N230" s="30" t="str"/>
      <x:c r="O230" s="30" t="str">
        <x:v>https://www.propertyguru.com.sg/listing/for-rent-balestier-point-25356088</x:v>
      </x:c>
    </x:row>
    <x:row r="231" ht="52" customHeight="1">
      <x:c r="A231" s="2" t="str">
        <x:v>S09</x:v>
      </x:c>
      <x:c r="B231" s="2" t="str">
        <x:v>S09-C25</x:v>
      </x:c>
      <x:c r="C231" s="2" t="str">
        <x:v>19192277</x:v>
      </x:c>
      <x:c r="D231" s="2" t="str">
        <x:v>Original</x:v>
      </x:c>
      <x:c r="E231" s="2" t="n">
        <x:v>3</x:v>
      </x:c>
      <x:c r="F231" s="26" t="n">
        <x:v>3500</x:v>
      </x:c>
      <x:c r="G231" s="27" t="n">
        <x:v>3</x:v>
      </x:c>
      <x:c r="H231" s="27" t="n">
        <x:v>1119</x:v>
      </x:c>
      <x:c r="I231" s="2" t="str">
        <x:v>D18</x:v>
      </x:c>
      <x:c r="J231" s="2" t="str">
        <x:v>HDB Flat</x:v>
      </x:c>
      <x:c r="K231" s="28" t="n">
        <x:v>22152.940658131865</x:v>
      </x:c>
      <x:c r="L231" s="30" t="str">
        <x:v>Hard requirements pass. D18, SGD 3,500/month. D18 is met with lower rent than several other D18 choices.</x:v>
      </x:c>
      <x:c r="M231" s="31" t="str">
        <x:v>No</x:v>
      </x:c>
      <x:c r="N231" s="30" t="str"/>
      <x:c r="O231" s="30" t="str">
        <x:v>https://www.propertyguru.com.sg/listing/hdb-for-rent-487-pasir-ris-drive-4-19192277</x:v>
      </x:c>
    </x:row>
    <x:row r="232" ht="52" customHeight="1">
      <x:c r="A232" s="2" t="str">
        <x:v>S10</x:v>
      </x:c>
      <x:c r="B232" s="2" t="str">
        <x:v>S10-C01</x:v>
      </x:c>
      <x:c r="C232" s="2" t="str">
        <x:v>500205286</x:v>
      </x:c>
      <x:c r="D232" s="2" t="str">
        <x:v>Original</x:v>
      </x:c>
      <x:c r="E232" s="2" t="n">
        <x:v>2</x:v>
      </x:c>
      <x:c r="F232" s="26" t="n">
        <x:v>7000</x:v>
      </x:c>
      <x:c r="G232" s="27" t="n">
        <x:v>5</x:v>
      </x:c>
      <x:c r="H232" s="27" t="n">
        <x:v>3304</x:v>
      </x:c>
      <x:c r="I232" s="2" t="str">
        <x:v>D27</x:v>
      </x:c>
      <x:c r="J232" s="2" t="str">
        <x:v>Terraced House</x:v>
      </x:c>
      <x:c r="K232" s="28" t="n">
        <x:v>16158.184793369197</x:v>
      </x:c>
      <x:c r="L232" s="30" t="str">
        <x:v>Hard requirements pass. area 3,304 sqft, SGD 7,000/month. A meaningful space-and-rent trade-off; other options offer more space or greater savings.</x:v>
      </x:c>
      <x:c r="M232" s="31" t="str">
        <x:v>No</x:v>
      </x:c>
      <x:c r="N232" s="30" t="str"/>
      <x:c r="O232" s="30" t="str">
        <x:v>https://www.propertyguru.com.sg/listing/for-rent-the-shaughnessy-500205286</x:v>
      </x:c>
    </x:row>
    <x:row r="233" ht="52" customHeight="1">
      <x:c r="A233" s="2" t="str">
        <x:v>S10</x:v>
      </x:c>
      <x:c r="B233" s="2" t="str">
        <x:v>S10-C02</x:v>
      </x:c>
      <x:c r="C233" s="2" t="str">
        <x:v>24115300</x:v>
      </x:c>
      <x:c r="D233" s="2" t="str">
        <x:v>Original</x:v>
      </x:c>
      <x:c r="E233" s="2" t="n">
        <x:v>2</x:v>
      </x:c>
      <x:c r="F233" s="26" t="n">
        <x:v>6800</x:v>
      </x:c>
      <x:c r="G233" s="27" t="n">
        <x:v>4</x:v>
      </x:c>
      <x:c r="H233" s="27" t="n">
        <x:v>3500</x:v>
      </x:c>
      <x:c r="I233" s="2" t="str">
        <x:v>D26</x:v>
      </x:c>
      <x:c r="J233" s="2" t="str">
        <x:v>Semi-Detached House</x:v>
      </x:c>
      <x:c r="K233" s="28" t="n">
        <x:v>12693.026835662924</x:v>
      </x:c>
      <x:c r="L233" s="30" t="str">
        <x:v>Hard requirements pass. area 3,500 sqft, SGD 6,800/month. A meaningful space-and-rent trade-off; other options offer more space or greater savings.</x:v>
      </x:c>
      <x:c r="M233" s="31" t="str">
        <x:v>No</x:v>
      </x:c>
      <x:c r="N233" s="30" t="str"/>
      <x:c r="O233" s="30" t="str">
        <x:v>https://www.propertyguru.com.sg/listing/for-rent-springleaf-villas-24115300</x:v>
      </x:c>
    </x:row>
    <x:row r="234" ht="52" customHeight="1">
      <x:c r="A234" s="2" t="str">
        <x:v>S10</x:v>
      </x:c>
      <x:c r="B234" s="2" t="str">
        <x:v>S10-C03</x:v>
      </x:c>
      <x:c r="C234" s="2" t="str">
        <x:v>24086174</x:v>
      </x:c>
      <x:c r="D234" s="2" t="str">
        <x:v>Original</x:v>
      </x:c>
      <x:c r="E234" s="2" t="n">
        <x:v>2</x:v>
      </x:c>
      <x:c r="F234" s="26" t="n">
        <x:v>4000</x:v>
      </x:c>
      <x:c r="G234" s="27" t="n">
        <x:v>3</x:v>
      </x:c>
      <x:c r="H234" s="27" t="n">
        <x:v>2139</x:v>
      </x:c>
      <x:c r="I234" s="2" t="str">
        <x:v>D16</x:v>
      </x:c>
      <x:c r="J234" s="2" t="str">
        <x:v>Terraced House</x:v>
      </x:c>
      <x:c r="K234" s="28"/>
      <x:c r="L234" s="30" t="str">
        <x:v>Hard requirements pass. area 2,139 sqft, SGD 4,000/month. A meaningful space-and-rent trade-off; other options offer more space or greater savings.</x:v>
      </x:c>
      <x:c r="M234" s="31" t="str">
        <x:v>No</x:v>
      </x:c>
      <x:c r="N234" s="30" t="str"/>
      <x:c r="O234" s="30" t="str">
        <x:v>https://www.propertyguru.com.sg/listing/for-rent-jalan-pari-kikis-24086174</x:v>
      </x:c>
    </x:row>
    <x:row r="235" ht="52" customHeight="1">
      <x:c r="A235" s="2" t="str">
        <x:v>S10</x:v>
      </x:c>
      <x:c r="B235" s="2" t="str">
        <x:v>S10-C04</x:v>
      </x:c>
      <x:c r="C235" s="2" t="str">
        <x:v>500285317</x:v>
      </x:c>
      <x:c r="D235" s="2" t="str">
        <x:v>Original</x:v>
      </x:c>
      <x:c r="E235" s="2" t="n">
        <x:v>2</x:v>
      </x:c>
      <x:c r="F235" s="26" t="n">
        <x:v>4000</x:v>
      </x:c>
      <x:c r="G235" s="27" t="n">
        <x:v>3</x:v>
      </x:c>
      <x:c r="H235" s="27" t="n">
        <x:v>2138</x:v>
      </x:c>
      <x:c r="I235" s="2" t="str">
        <x:v>D16</x:v>
      </x:c>
      <x:c r="J235" s="2" t="str">
        <x:v>Terraced House</x:v>
      </x:c>
      <x:c r="K235" s="28"/>
      <x:c r="L235" s="30" t="str">
        <x:v>Hard requirements pass. area 2,138 sqft, SGD 4,000/month. A meaningful space-and-rent trade-off; other options offer more space or greater savings.</x:v>
      </x:c>
      <x:c r="M235" s="31" t="str">
        <x:v>No</x:v>
      </x:c>
      <x:c r="N235" s="30" t="str"/>
      <x:c r="O235" s="30" t="str">
        <x:v>https://www.propertyguru.com.sg/listing/for-rent-tanah-merah-landed-house-for-rent-3br-near-mrt-4k-500285317</x:v>
      </x:c>
    </x:row>
    <x:row r="236" ht="52" customHeight="1">
      <x:c r="A236" s="2" t="str">
        <x:v>S10</x:v>
      </x:c>
      <x:c r="B236" s="2" t="str">
        <x:v>S10-C05</x:v>
      </x:c>
      <x:c r="C236" s="2" t="str">
        <x:v>500231770</x:v>
      </x:c>
      <x:c r="D236" s="2" t="str">
        <x:v>Original</x:v>
      </x:c>
      <x:c r="E236" s="2" t="n">
        <x:v>2</x:v>
      </x:c>
      <x:c r="F236" s="26" t="n">
        <x:v>6800</x:v>
      </x:c>
      <x:c r="G236" s="27" t="n">
        <x:v>5</x:v>
      </x:c>
      <x:c r="H236" s="27" t="n">
        <x:v>2800</x:v>
      </x:c>
      <x:c r="I236" s="2" t="str">
        <x:v>D15</x:v>
      </x:c>
      <x:c r="J236" s="2" t="str">
        <x:v>Terraced House</x:v>
      </x:c>
      <x:c r="K236" s="28"/>
      <x:c r="L236" s="30" t="str">
        <x:v>Hard requirements pass. area 2,800 sqft, SGD 6,800/month. A meaningful space-and-rent trade-off; other options offer more space or greater savings.</x:v>
      </x:c>
      <x:c r="M236" s="31" t="str">
        <x:v>No</x:v>
      </x:c>
      <x:c r="N236" s="30" t="str"/>
      <x:c r="O236" s="30" t="str">
        <x:v>https://www.propertyguru.com.sg/listing/for-rent-opera-estate-500231770</x:v>
      </x:c>
    </x:row>
    <x:row r="237" ht="52" customHeight="1">
      <x:c r="A237" s="2" t="str">
        <x:v>S10</x:v>
      </x:c>
      <x:c r="B237" s="2" t="str">
        <x:v>S10-C06</x:v>
      </x:c>
      <x:c r="C237" s="2" t="str">
        <x:v>500222176</x:v>
      </x:c>
      <x:c r="D237" s="2" t="str">
        <x:v>Original</x:v>
      </x:c>
      <x:c r="E237" s="2" t="n">
        <x:v>1</x:v>
      </x:c>
      <x:c r="F237" s="26" t="n">
        <x:v>6000</x:v>
      </x:c>
      <x:c r="G237" s="27" t="n">
        <x:v>4</x:v>
      </x:c>
      <x:c r="H237" s="27" t="n">
        <x:v>1815</x:v>
      </x:c>
      <x:c r="I237" s="2" t="str">
        <x:v>D20</x:v>
      </x:c>
      <x:c r="J237" s="2" t="str">
        <x:v>Terraced House</x:v>
      </x:c>
      <x:c r="K237" s="28"/>
      <x:c r="L237" s="30" t="str">
        <x:v>Hard requirements pass. area 1,815 sqft, SGD 6,000/month. Reported space is relatively limited for this set; the primary preference remains weak.</x:v>
      </x:c>
      <x:c r="M237" s="31" t="str">
        <x:v>No</x:v>
      </x:c>
      <x:c r="N237" s="30" t="str"/>
      <x:c r="O237" s="30" t="str">
        <x:v>https://www.propertyguru.com.sg/listing/for-rent-thomson-park-500222176</x:v>
      </x:c>
    </x:row>
    <x:row r="238" ht="52" customHeight="1">
      <x:c r="A238" s="2" t="str">
        <x:v>S10</x:v>
      </x:c>
      <x:c r="B238" s="2" t="str">
        <x:v>S10-C07</x:v>
      </x:c>
      <x:c r="C238" s="2" t="str">
        <x:v>500090915</x:v>
      </x:c>
      <x:c r="D238" s="2" t="str">
        <x:v>Original</x:v>
      </x:c>
      <x:c r="E238" s="2" t="n">
        <x:v>2</x:v>
      </x:c>
      <x:c r="F238" s="26" t="n">
        <x:v>6000</x:v>
      </x:c>
      <x:c r="G238" s="27" t="n">
        <x:v>4</x:v>
      </x:c>
      <x:c r="H238" s="27" t="n">
        <x:v>2400</x:v>
      </x:c>
      <x:c r="I238" s="2" t="str">
        <x:v>D28</x:v>
      </x:c>
      <x:c r="J238" s="2" t="str">
        <x:v>Semi-Detached House</x:v>
      </x:c>
      <x:c r="K238" s="28"/>
      <x:c r="L238" s="30" t="str">
        <x:v>Hard requirements pass. area 2,400 sqft, SGD 6,000/month. A meaningful space-and-rent trade-off; other options offer more space or greater savings.</x:v>
      </x:c>
      <x:c r="M238" s="31" t="str">
        <x:v>No</x:v>
      </x:c>
      <x:c r="N238" s="30" t="str"/>
      <x:c r="O238" s="30" t="str">
        <x:v>https://www.propertyguru.com.sg/listing/for-rent-begonia-landed-level-2-for-rent-500090915</x:v>
      </x:c>
    </x:row>
    <x:row r="239" ht="52" customHeight="1">
      <x:c r="A239" s="2" t="str">
        <x:v>S10</x:v>
      </x:c>
      <x:c r="B239" s="2" t="str">
        <x:v>S10-C08</x:v>
      </x:c>
      <x:c r="C239" s="2" t="str">
        <x:v>500240356</x:v>
      </x:c>
      <x:c r="D239" s="2" t="str">
        <x:v>Original</x:v>
      </x:c>
      <x:c r="E239" s="2" t="n">
        <x:v>0</x:v>
      </x:c>
      <x:c r="F239" s="26" t="n">
        <x:v>4100</x:v>
      </x:c>
      <x:c r="G239" s="27" t="n">
        <x:v>3</x:v>
      </x:c>
      <x:c r="H239" s="27" t="n">
        <x:v>904</x:v>
      </x:c>
      <x:c r="I239" s="2" t="str">
        <x:v>D19</x:v>
      </x:c>
      <x:c r="J239" s="2" t="str">
        <x:v>Condominium</x:v>
      </x:c>
      <x:c r="K239" s="28"/>
      <x:c r="L239" s="30" t="str">
        <x:v>Hard failure: Property type Condominium; required in {Terraced House, Semi-Detached House}.</x:v>
      </x:c>
      <x:c r="M239" s="31" t="str">
        <x:v>No</x:v>
      </x:c>
      <x:c r="N239" s="30" t="str"/>
      <x:c r="O239" s="30" t="str">
        <x:v>https://www.propertyguru.com.sg/listing/for-rent-rivercove-residences-ec-500240356</x:v>
      </x:c>
    </x:row>
    <x:row r="240" ht="52" customHeight="1">
      <x:c r="A240" s="2" t="str">
        <x:v>S10</x:v>
      </x:c>
      <x:c r="B240" s="2" t="str">
        <x:v>S10-C09</x:v>
      </x:c>
      <x:c r="C240" s="2" t="str">
        <x:v>25272596</x:v>
      </x:c>
      <x:c r="D240" s="2" t="str">
        <x:v>Original</x:v>
      </x:c>
      <x:c r="E240" s="2" t="n">
        <x:v>1</x:v>
      </x:c>
      <x:c r="F240" s="26" t="n">
        <x:v>7000</x:v>
      </x:c>
      <x:c r="G240" s="27" t="n">
        <x:v>4</x:v>
      </x:c>
      <x:c r="H240" s="27" t="n">
        <x:v>1800</x:v>
      </x:c>
      <x:c r="I240" s="2" t="str">
        <x:v>D19</x:v>
      </x:c>
      <x:c r="J240" s="2" t="str">
        <x:v>Terraced House</x:v>
      </x:c>
      <x:c r="K240" s="28"/>
      <x:c r="L240" s="30" t="str">
        <x:v>Hard requirements pass. area 1,800 sqft, SGD 7,000/month. Reported space is relatively limited for this set; the primary preference remains weak.</x:v>
      </x:c>
      <x:c r="M240" s="31" t="str">
        <x:v>No</x:v>
      </x:c>
      <x:c r="N240" s="30" t="str"/>
      <x:c r="O240" s="30" t="str">
        <x:v>https://www.propertyguru.com.sg/listing/for-rent-lorong-7-realty-park-25272596</x:v>
      </x:c>
    </x:row>
    <x:row r="241" ht="52" customHeight="1">
      <x:c r="A241" s="2" t="str">
        <x:v>S10</x:v>
      </x:c>
      <x:c r="B241" s="2" t="str">
        <x:v>S10-C10</x:v>
      </x:c>
      <x:c r="C241" s="2" t="str">
        <x:v>500241538</x:v>
      </x:c>
      <x:c r="D241" s="2" t="str">
        <x:v>Original</x:v>
      </x:c>
      <x:c r="E241" s="2" t="str">
        <x:v>U</x:v>
      </x:c>
      <x:c r="F241" s="26" t="n">
        <x:v>2400</x:v>
      </x:c>
      <x:c r="G241" s="27"/>
      <x:c r="H241" s="27" t="n">
        <x:v>220</x:v>
      </x:c>
      <x:c r="I241" s="2" t="str">
        <x:v>D18</x:v>
      </x:c>
      <x:c r="J241" s="2" t="str">
        <x:v>Terraced House</x:v>
      </x:c>
      <x:c r="K241" s="28"/>
      <x:c r="L241" s="30" t="str">
        <x:v>No known hard failure. Cannot verify: reported bedrooms.</x:v>
      </x:c>
      <x:c r="M241" s="31" t="str">
        <x:v>No</x:v>
      </x:c>
      <x:c r="N241" s="30" t="str">
        <x:v>Reported bedrooms Unknown; required &gt;= 3.</x:v>
      </x:c>
      <x:c r="O241" s="30" t="str">
        <x:v>https://www.propertyguru.com.sg/listing/for-rent-coliwoo-resort-changi-500241538</x:v>
      </x:c>
    </x:row>
    <x:row r="242" ht="52" customHeight="1">
      <x:c r="A242" s="2" t="str">
        <x:v>S10</x:v>
      </x:c>
      <x:c r="B242" s="2" t="str">
        <x:v>S10-C11</x:v>
      </x:c>
      <x:c r="C242" s="2" t="str">
        <x:v>60236022</x:v>
      </x:c>
      <x:c r="D242" s="2" t="str">
        <x:v>Original</x:v>
      </x:c>
      <x:c r="E242" s="2" t="n">
        <x:v>0</x:v>
      </x:c>
      <x:c r="F242" s="26" t="n">
        <x:v>7200</x:v>
      </x:c>
      <x:c r="G242" s="27" t="n">
        <x:v>4</x:v>
      </x:c>
      <x:c r="H242" s="27" t="n">
        <x:v>3000</x:v>
      </x:c>
      <x:c r="I242" s="2" t="str">
        <x:v>D16</x:v>
      </x:c>
      <x:c r="J242" s="2" t="str">
        <x:v>Terraced House</x:v>
      </x:c>
      <x:c r="K242" s="28"/>
      <x:c r="L242" s="30" t="str">
        <x:v>Hard failure: Rent (SGD/month) 7,200; required &lt;= 7,000.</x:v>
      </x:c>
      <x:c r="M242" s="31" t="str">
        <x:v>No</x:v>
      </x:c>
      <x:c r="N242" s="30" t="str"/>
      <x:c r="O242" s="30" t="str">
        <x:v>https://www.propertyguru.com.sg/listing/for-rent-mera-terrace-60236022</x:v>
      </x:c>
    </x:row>
    <x:row r="243" ht="52" customHeight="1">
      <x:c r="A243" s="2" t="str">
        <x:v>S10</x:v>
      </x:c>
      <x:c r="B243" s="2" t="str">
        <x:v>S10-C12</x:v>
      </x:c>
      <x:c r="C243" s="2" t="str">
        <x:v>500012370</x:v>
      </x:c>
      <x:c r="D243" s="2" t="str">
        <x:v>Original</x:v>
      </x:c>
      <x:c r="E243" s="2" t="n">
        <x:v>1</x:v>
      </x:c>
      <x:c r="F243" s="26" t="n">
        <x:v>6600</x:v>
      </x:c>
      <x:c r="G243" s="27" t="n">
        <x:v>4</x:v>
      </x:c>
      <x:c r="H243" s="27" t="n">
        <x:v>2200</x:v>
      </x:c>
      <x:c r="I243" s="2" t="str">
        <x:v>D19</x:v>
      </x:c>
      <x:c r="J243" s="2" t="str">
        <x:v>Terraced House</x:v>
      </x:c>
      <x:c r="K243" s="28"/>
      <x:c r="L243" s="30" t="str">
        <x:v>Hard requirements pass. area 2,200 sqft, SGD 6,600/month. Reported space is relatively limited for this set; the primary preference remains weak.</x:v>
      </x:c>
      <x:c r="M243" s="31" t="str">
        <x:v>No</x:v>
      </x:c>
      <x:c r="N243" s="30" t="str"/>
      <x:c r="O243" s="30" t="str">
        <x:v>https://www.propertyguru.com.sg/listing/for-rent-landed-for-rent-7-mins-to-mrt-500012370</x:v>
      </x:c>
    </x:row>
    <x:row r="244" ht="52" customHeight="1">
      <x:c r="A244" s="2" t="str">
        <x:v>S10</x:v>
      </x:c>
      <x:c r="B244" s="2" t="str">
        <x:v>S10-C13</x:v>
      </x:c>
      <x:c r="C244" s="2" t="str">
        <x:v>500091209</x:v>
      </x:c>
      <x:c r="D244" s="2" t="str">
        <x:v>Original</x:v>
      </x:c>
      <x:c r="E244" s="2" t="n">
        <x:v>3</x:v>
      </x:c>
      <x:c r="F244" s="26" t="n">
        <x:v>6000</x:v>
      </x:c>
      <x:c r="G244" s="27" t="n">
        <x:v>5</x:v>
      </x:c>
      <x:c r="H244" s="27" t="n">
        <x:v>3950</x:v>
      </x:c>
      <x:c r="I244" s="2" t="str">
        <x:v>D28</x:v>
      </x:c>
      <x:c r="J244" s="2" t="str">
        <x:v>Semi-Detached House</x:v>
      </x:c>
      <x:c r="K244" s="28"/>
      <x:c r="L244" s="30" t="str">
        <x:v>Hard requirements pass. area 3,950 sqft, SGD 6,000/month. Among the strongest reported-space choices, consistent with the space-first preference.</x:v>
      </x:c>
      <x:c r="M244" s="31" t="str">
        <x:v>No</x:v>
      </x:c>
      <x:c r="N244" s="30" t="str"/>
      <x:c r="O244" s="30" t="str">
        <x:v>https://www.propertyguru.com.sg/listing/for-rent-semi-detached-house-for-rent-500091209</x:v>
      </x:c>
    </x:row>
    <x:row r="245" ht="52" customHeight="1">
      <x:c r="A245" s="2" t="str">
        <x:v>S10</x:v>
      </x:c>
      <x:c r="B245" s="2" t="str">
        <x:v>S10-C14</x:v>
      </x:c>
      <x:c r="C245" s="2" t="str">
        <x:v>20539327</x:v>
      </x:c>
      <x:c r="D245" s="2" t="str">
        <x:v>Original</x:v>
      </x:c>
      <x:c r="E245" s="2" t="n">
        <x:v>1</x:v>
      </x:c>
      <x:c r="F245" s="26" t="n">
        <x:v>3200</x:v>
      </x:c>
      <x:c r="G245" s="27" t="n">
        <x:v>3</x:v>
      </x:c>
      <x:c r="H245" s="27" t="n">
        <x:v>1200</x:v>
      </x:c>
      <x:c r="I245" s="2" t="str">
        <x:v>D27</x:v>
      </x:c>
      <x:c r="J245" s="2" t="str">
        <x:v>Semi-Detached House</x:v>
      </x:c>
      <x:c r="K245" s="28"/>
      <x:c r="L245" s="30" t="str">
        <x:v>Hard requirements pass. area 1,200 sqft, SGD 3,200/month. Reported space is relatively limited for this set; the primary preference remains weak.</x:v>
      </x:c>
      <x:c r="M245" s="31" t="str">
        <x:v>No</x:v>
      </x:c>
      <x:c r="N245" s="30" t="str"/>
      <x:c r="O245" s="30" t="str">
        <x:v>https://www.propertyguru.com.sg/listing/for-rent-sembawang-springs-estate-20539327</x:v>
      </x:c>
    </x:row>
    <x:row r="246" ht="52" customHeight="1">
      <x:c r="A246" s="2" t="str">
        <x:v>S10</x:v>
      </x:c>
      <x:c r="B246" s="2" t="str">
        <x:v>S10-C15</x:v>
      </x:c>
      <x:c r="C246" s="2" t="str">
        <x:v>500267452</x:v>
      </x:c>
      <x:c r="D246" s="2" t="str">
        <x:v>Original</x:v>
      </x:c>
      <x:c r="E246" s="2" t="n">
        <x:v>3</x:v>
      </x:c>
      <x:c r="F246" s="26" t="n">
        <x:v>6900</x:v>
      </x:c>
      <x:c r="G246" s="27" t="n">
        <x:v>4</x:v>
      </x:c>
      <x:c r="H246" s="27" t="n">
        <x:v>4000</x:v>
      </x:c>
      <x:c r="I246" s="2" t="str">
        <x:v>D17</x:v>
      </x:c>
      <x:c r="J246" s="2" t="str">
        <x:v>Semi-Detached House</x:v>
      </x:c>
      <x:c r="K246" s="28"/>
      <x:c r="L246" s="30" t="str">
        <x:v>Hard requirements pass. area 4,000 sqft, SGD 6,900/month. Among the strongest reported-space choices, consistent with the space-first preference.</x:v>
      </x:c>
      <x:c r="M246" s="31" t="str">
        <x:v>No</x:v>
      </x:c>
      <x:c r="N246" s="30" t="str"/>
      <x:c r="O246" s="30" t="str">
        <x:v>https://www.propertyguru.com.sg/listing/for-rent-clydescove-500267452</x:v>
      </x:c>
    </x:row>
    <x:row r="247" ht="52" customHeight="1">
      <x:c r="A247" s="2" t="str">
        <x:v>S10</x:v>
      </x:c>
      <x:c r="B247" s="2" t="str">
        <x:v>S10-C16</x:v>
      </x:c>
      <x:c r="C247" s="2" t="str">
        <x:v>24019669</x:v>
      </x:c>
      <x:c r="D247" s="2" t="str">
        <x:v>Original</x:v>
      </x:c>
      <x:c r="E247" s="2" t="n">
        <x:v>2</x:v>
      </x:c>
      <x:c r="F247" s="26" t="n">
        <x:v>7000</x:v>
      </x:c>
      <x:c r="G247" s="27" t="n">
        <x:v>5</x:v>
      </x:c>
      <x:c r="H247" s="27" t="n">
        <x:v>3800</x:v>
      </x:c>
      <x:c r="I247" s="2" t="str">
        <x:v>D26</x:v>
      </x:c>
      <x:c r="J247" s="2" t="str">
        <x:v>Semi-Detached House</x:v>
      </x:c>
      <x:c r="K247" s="28" t="n">
        <x:v>12927.79609421507</x:v>
      </x:c>
      <x:c r="L247" s="30" t="str">
        <x:v>Hard requirements pass. area 3,800 sqft, SGD 7,000/month. A meaningful space-and-rent trade-off; other options offer more space or greater savings.</x:v>
      </x:c>
      <x:c r="M247" s="31" t="str">
        <x:v>No</x:v>
      </x:c>
      <x:c r="N247" s="30" t="str"/>
      <x:c r="O247" s="30" t="str">
        <x:v>https://www.propertyguru.com.sg/listing/for-rent-springleaf-crescent-24019669</x:v>
      </x:c>
    </x:row>
    <x:row r="248" ht="52" customHeight="1">
      <x:c r="A248" s="2" t="str">
        <x:v>S10</x:v>
      </x:c>
      <x:c r="B248" s="2" t="str">
        <x:v>S10-C17</x:v>
      </x:c>
      <x:c r="C248" s="2" t="str">
        <x:v>500241966</x:v>
      </x:c>
      <x:c r="D248" s="2" t="str">
        <x:v>Original</x:v>
      </x:c>
      <x:c r="E248" s="2" t="n">
        <x:v>0</x:v>
      </x:c>
      <x:c r="F248" s="26" t="n">
        <x:v>4799</x:v>
      </x:c>
      <x:c r="G248" s="27" t="n">
        <x:v>2</x:v>
      </x:c>
      <x:c r="H248" s="27" t="n">
        <x:v>1600</x:v>
      </x:c>
      <x:c r="I248" s="2" t="str">
        <x:v>D22</x:v>
      </x:c>
      <x:c r="J248" s="2" t="str">
        <x:v>Semi-Detached House</x:v>
      </x:c>
      <x:c r="K248" s="28"/>
      <x:c r="L248" s="30" t="str">
        <x:v>Hard failure: Reported bedrooms 2; required &gt;= 3.</x:v>
      </x:c>
      <x:c r="M248" s="31" t="str">
        <x:v>No</x:v>
      </x:c>
      <x:c r="N248" s="30" t="str"/>
      <x:c r="O248" s="30" t="str">
        <x:v>https://www.propertyguru.com.sg/listing/for-rent-the-woods-500241966</x:v>
      </x:c>
    </x:row>
    <x:row r="249" ht="52" customHeight="1">
      <x:c r="A249" s="2" t="str">
        <x:v>S10</x:v>
      </x:c>
      <x:c r="B249" s="2" t="str">
        <x:v>S10-C18</x:v>
      </x:c>
      <x:c r="C249" s="2" t="str">
        <x:v>500285280</x:v>
      </x:c>
      <x:c r="D249" s="2" t="str">
        <x:v>Original</x:v>
      </x:c>
      <x:c r="E249" s="2" t="n">
        <x:v>2</x:v>
      </x:c>
      <x:c r="F249" s="26" t="n">
        <x:v>4000</x:v>
      </x:c>
      <x:c r="G249" s="27" t="n">
        <x:v>3</x:v>
      </x:c>
      <x:c r="H249" s="27" t="n">
        <x:v>2139</x:v>
      </x:c>
      <x:c r="I249" s="2" t="str">
        <x:v>D16</x:v>
      </x:c>
      <x:c r="J249" s="2" t="str">
        <x:v>Terraced House</x:v>
      </x:c>
      <x:c r="K249" s="28"/>
      <x:c r="L249" s="30" t="str">
        <x:v>Hard requirements pass. area 2,139 sqft, SGD 4,000/month. A meaningful space-and-rent trade-off; other options offer more space or greater savings.</x:v>
      </x:c>
      <x:c r="M249" s="31" t="str">
        <x:v>No</x:v>
      </x:c>
      <x:c r="N249" s="30" t="str"/>
      <x:c r="O249" s="30" t="str">
        <x:v>https://www.propertyguru.com.sg/listing/for-rent-jalan-pari-kikis-500285280</x:v>
      </x:c>
    </x:row>
    <x:row r="250" ht="52" customHeight="1">
      <x:c r="A250" s="2" t="str">
        <x:v>S10</x:v>
      </x:c>
      <x:c r="B250" s="2" t="str">
        <x:v>S10-C19</x:v>
      </x:c>
      <x:c r="C250" s="2" t="str">
        <x:v>500179180</x:v>
      </x:c>
      <x:c r="D250" s="2" t="str">
        <x:v>Original</x:v>
      </x:c>
      <x:c r="E250" s="2" t="n">
        <x:v>0</x:v>
      </x:c>
      <x:c r="F250" s="26" t="n">
        <x:v>7200</x:v>
      </x:c>
      <x:c r="G250" s="27" t="n">
        <x:v>3</x:v>
      </x:c>
      <x:c r="H250" s="27" t="n">
        <x:v>2756</x:v>
      </x:c>
      <x:c r="I250" s="2" t="str">
        <x:v>D28</x:v>
      </x:c>
      <x:c r="J250" s="2" t="str">
        <x:v>Terraced House</x:v>
      </x:c>
      <x:c r="K250" s="28"/>
      <x:c r="L250" s="30" t="str">
        <x:v>Hard failure: Rent (SGD/month) 7,200; required &lt;= 7,000.</x:v>
      </x:c>
      <x:c r="M250" s="31" t="str">
        <x:v>No</x:v>
      </x:c>
      <x:c r="N250" s="30" t="str"/>
      <x:c r="O250" s="30" t="str">
        <x:v>https://www.propertyguru.com.sg/listing/for-rent-alana-500179180</x:v>
      </x:c>
    </x:row>
    <x:row r="251" ht="52" customHeight="1">
      <x:c r="A251" s="2" t="str">
        <x:v>S10</x:v>
      </x:c>
      <x:c r="B251" s="2" t="str">
        <x:v>S10-C20</x:v>
      </x:c>
      <x:c r="C251" s="2" t="str">
        <x:v>500033395</x:v>
      </x:c>
      <x:c r="D251" s="2" t="str">
        <x:v>Original</x:v>
      </x:c>
      <x:c r="E251" s="2" t="n">
        <x:v>3</x:v>
      </x:c>
      <x:c r="F251" s="26" t="n">
        <x:v>6999</x:v>
      </x:c>
      <x:c r="G251" s="27" t="n">
        <x:v>3</x:v>
      </x:c>
      <x:c r="H251" s="27" t="n">
        <x:v>4188</x:v>
      </x:c>
      <x:c r="I251" s="2" t="str">
        <x:v>D19</x:v>
      </x:c>
      <x:c r="J251" s="2" t="str">
        <x:v>Semi-Detached House</x:v>
      </x:c>
      <x:c r="K251" s="28"/>
      <x:c r="L251" s="30" t="str">
        <x:v>Hard requirements pass. area 4,188 sqft, SGD 6,999/month. Among the strongest reported-space choices, consistent with the space-first preference.</x:v>
      </x:c>
      <x:c r="M251" s="31" t="str">
        <x:v>No</x:v>
      </x:c>
      <x:c r="N251" s="30" t="str"/>
      <x:c r="O251" s="30" t="str">
        <x:v>https://www.propertyguru.com.sg/listing/for-rent-serangoon-gardens-way-500033395</x:v>
      </x:c>
    </x:row>
    <x:row r="252" ht="52" customHeight="1">
      <x:c r="A252" s="2" t="str">
        <x:v>S10</x:v>
      </x:c>
      <x:c r="B252" s="2" t="str">
        <x:v>S10-C21</x:v>
      </x:c>
      <x:c r="C252" s="2" t="str">
        <x:v>500176648</x:v>
      </x:c>
      <x:c r="D252" s="2" t="str">
        <x:v>Original</x:v>
      </x:c>
      <x:c r="E252" s="2" t="n">
        <x:v>0</x:v>
      </x:c>
      <x:c r="F252" s="26" t="n">
        <x:v>3400</x:v>
      </x:c>
      <x:c r="G252" s="27" t="n">
        <x:v>2</x:v>
      </x:c>
      <x:c r="H252" s="27" t="n">
        <x:v>900</x:v>
      </x:c>
      <x:c r="I252" s="2" t="str">
        <x:v>D19</x:v>
      </x:c>
      <x:c r="J252" s="2" t="str">
        <x:v>Terraced House</x:v>
      </x:c>
      <x:c r="K252" s="28"/>
      <x:c r="L252" s="30" t="str">
        <x:v>Hard failure: Reported bedrooms 2; required &gt;= 3.</x:v>
      </x:c>
      <x:c r="M252" s="31" t="str">
        <x:v>No</x:v>
      </x:c>
      <x:c r="N252" s="30" t="str"/>
      <x:c r="O252" s="30" t="str">
        <x:v>https://www.propertyguru.com.sg/listing/for-rent-serangoon-garden-estate-500176648</x:v>
      </x:c>
    </x:row>
    <x:row r="253" ht="52" customHeight="1">
      <x:c r="A253" s="2" t="str">
        <x:v>S10</x:v>
      </x:c>
      <x:c r="B253" s="2" t="str">
        <x:v>S10-C22</x:v>
      </x:c>
      <x:c r="C253" s="2" t="str">
        <x:v>500236876</x:v>
      </x:c>
      <x:c r="D253" s="2" t="str">
        <x:v>Original</x:v>
      </x:c>
      <x:c r="E253" s="2" t="str">
        <x:v>U</x:v>
      </x:c>
      <x:c r="F253" s="26" t="n">
        <x:v>2300</x:v>
      </x:c>
      <x:c r="G253" s="27"/>
      <x:c r="H253" s="27" t="n">
        <x:v>400</x:v>
      </x:c>
      <x:c r="I253" s="2" t="str">
        <x:v>D18</x:v>
      </x:c>
      <x:c r="J253" s="2" t="str">
        <x:v>Terraced House</x:v>
      </x:c>
      <x:c r="K253" s="28"/>
      <x:c r="L253" s="30" t="str">
        <x:v>No known hard failure. Cannot verify: reported bedrooms.</x:v>
      </x:c>
      <x:c r="M253" s="31" t="str">
        <x:v>No</x:v>
      </x:c>
      <x:c r="N253" s="30" t="str">
        <x:v>Reported bedrooms Unknown; required &gt;= 3.</x:v>
      </x:c>
      <x:c r="O253" s="30" t="str">
        <x:v>https://www.propertyguru.com.sg/listing/for-rent-pasir-ris-studios-500236876</x:v>
      </x:c>
    </x:row>
    <x:row r="254" ht="52" customHeight="1">
      <x:c r="A254" s="2" t="str">
        <x:v>S10</x:v>
      </x:c>
      <x:c r="B254" s="2" t="str">
        <x:v>S10-C23</x:v>
      </x:c>
      <x:c r="C254" s="2" t="str">
        <x:v>500228379</x:v>
      </x:c>
      <x:c r="D254" s="2" t="str">
        <x:v>Original</x:v>
      </x:c>
      <x:c r="E254" s="2" t="n">
        <x:v>3</x:v>
      </x:c>
      <x:c r="F254" s="26" t="n">
        <x:v>6999</x:v>
      </x:c>
      <x:c r="G254" s="27" t="n">
        <x:v>6</x:v>
      </x:c>
      <x:c r="H254" s="27" t="n">
        <x:v>5000</x:v>
      </x:c>
      <x:c r="I254" s="2" t="str">
        <x:v>D19</x:v>
      </x:c>
      <x:c r="J254" s="2" t="str">
        <x:v>Semi-Detached House</x:v>
      </x:c>
      <x:c r="K254" s="28" t="n">
        <x:v>12727.17623497412</x:v>
      </x:c>
      <x:c r="L254" s="30" t="str">
        <x:v>Hard requirements pass. area 5,000 sqft, SGD 6,999/month. Among the strongest reported-space choices, consistent with the space-first preference.</x:v>
      </x:c>
      <x:c r="M254" s="31" t="str">
        <x:v>No</x:v>
      </x:c>
      <x:c r="N254" s="30" t="str"/>
      <x:c r="O254" s="30" t="str">
        <x:v>https://www.propertyguru.com.sg/listing/for-rent-tai-yuan-garden-500228379</x:v>
      </x:c>
    </x:row>
    <x:row r="255" ht="52" customHeight="1">
      <x:c r="A255" s="2" t="str">
        <x:v>S10</x:v>
      </x:c>
      <x:c r="B255" s="2" t="str">
        <x:v>S10-C24</x:v>
      </x:c>
      <x:c r="C255" s="2" t="str">
        <x:v>500241474</x:v>
      </x:c>
      <x:c r="D255" s="2" t="str">
        <x:v>Original</x:v>
      </x:c>
      <x:c r="E255" s="2" t="str">
        <x:v>U</x:v>
      </x:c>
      <x:c r="F255" s="26" t="n">
        <x:v>2650</x:v>
      </x:c>
      <x:c r="G255" s="27"/>
      <x:c r="H255" s="27" t="n">
        <x:v>240</x:v>
      </x:c>
      <x:c r="I255" s="2" t="str">
        <x:v>D18</x:v>
      </x:c>
      <x:c r="J255" s="2" t="str">
        <x:v>Terraced House</x:v>
      </x:c>
      <x:c r="K255" s="28"/>
      <x:c r="L255" s="30" t="str">
        <x:v>No known hard failure. Cannot verify: reported bedrooms.</x:v>
      </x:c>
      <x:c r="M255" s="31" t="str">
        <x:v>No</x:v>
      </x:c>
      <x:c r="N255" s="30" t="str">
        <x:v>Reported bedrooms Unknown; required &gt;= 3.</x:v>
      </x:c>
      <x:c r="O255" s="30" t="str">
        <x:v>https://www.propertyguru.com.sg/listing/for-rent-coliwoo-resort-changi-resort-chalet-studio-beach-view-500241474</x:v>
      </x:c>
    </x:row>
    <x:row r="256" ht="52" customHeight="1">
      <x:c r="A256" s="2" t="str">
        <x:v>S10</x:v>
      </x:c>
      <x:c r="B256" s="2" t="str">
        <x:v>S10-C25</x:v>
      </x:c>
      <x:c r="C256" s="2" t="str">
        <x:v>24872268</x:v>
      </x:c>
      <x:c r="D256" s="2" t="str">
        <x:v>Original</x:v>
      </x:c>
      <x:c r="E256" s="2" t="n">
        <x:v>2</x:v>
      </x:c>
      <x:c r="F256" s="26" t="n">
        <x:v>6500</x:v>
      </x:c>
      <x:c r="G256" s="27" t="n">
        <x:v>3</x:v>
      </x:c>
      <x:c r="H256" s="27" t="n">
        <x:v>2400</x:v>
      </x:c>
      <x:c r="I256" s="2" t="str">
        <x:v>D17</x:v>
      </x:c>
      <x:c r="J256" s="2" t="str">
        <x:v>Terraced House</x:v>
      </x:c>
      <x:c r="K256" s="28"/>
      <x:c r="L256" s="30" t="str">
        <x:v>Hard requirements pass. area 2,400 sqft, SGD 6,500/month. A meaningful space-and-rent trade-off; other options offer more space or greater savings.</x:v>
      </x:c>
      <x:c r="M256" s="31" t="str">
        <x:v>No</x:v>
      </x:c>
      <x:c r="N256" s="30" t="str"/>
      <x:c r="O256" s="30" t="str">
        <x:v>https://www.propertyguru.com.sg/listing/for-rent-toh-estate-24872268</x:v>
      </x:c>
    </x:row>
    <x:row r="257" ht="52" customHeight="1">
      <x:c r="A257" s="2" t="str">
        <x:v>S11</x:v>
      </x:c>
      <x:c r="B257" s="2" t="str">
        <x:v>S11-C01</x:v>
      </x:c>
      <x:c r="C257" s="2" t="str">
        <x:v>60140447</x:v>
      </x:c>
      <x:c r="D257" s="2" t="str">
        <x:v>Original</x:v>
      </x:c>
      <x:c r="E257" s="2" t="n">
        <x:v>0</x:v>
      </x:c>
      <x:c r="F257" s="26" t="n">
        <x:v>3200</x:v>
      </x:c>
      <x:c r="G257" s="27" t="n">
        <x:v>2</x:v>
      </x:c>
      <x:c r="H257" s="27" t="n">
        <x:v>650</x:v>
      </x:c>
      <x:c r="I257" s="2" t="str">
        <x:v>D03</x:v>
      </x:c>
      <x:c r="J257" s="2" t="str">
        <x:v>HDB Flat</x:v>
      </x:c>
      <x:c r="K257" s="28" t="n">
        <x:v>3005.5576189739004</x:v>
      </x:c>
      <x:c r="L257" s="30" t="str">
        <x:v>Hard failure: NUS straight-line distance (m) 3,005.56; required &lt;= 3,000.</x:v>
      </x:c>
      <x:c r="M257" s="31" t="str">
        <x:v>No</x:v>
      </x:c>
      <x:c r="N257" s="30" t="str"/>
      <x:c r="O257" s="30" t="str">
        <x:v>https://www.propertyguru.com.sg/listing/hdb-for-rent-171-stirling-road-60140447</x:v>
      </x:c>
    </x:row>
    <x:row r="258" ht="52" customHeight="1">
      <x:c r="A258" s="2" t="str">
        <x:v>S11</x:v>
      </x:c>
      <x:c r="B258" s="2" t="str">
        <x:v>S11-C02</x:v>
      </x:c>
      <x:c r="C258" s="2" t="str">
        <x:v>500199914</x:v>
      </x:c>
      <x:c r="D258" s="2" t="str">
        <x:v>Original</x:v>
      </x:c>
      <x:c r="E258" s="2" t="n">
        <x:v>0</x:v>
      </x:c>
      <x:c r="F258" s="26" t="n">
        <x:v>3530</x:v>
      </x:c>
      <x:c r="G258" s="27" t="n">
        <x:v>2</x:v>
      </x:c>
      <x:c r="H258" s="27" t="n">
        <x:v>775</x:v>
      </x:c>
      <x:c r="I258" s="2" t="str">
        <x:v>D19</x:v>
      </x:c>
      <x:c r="J258" s="2" t="str">
        <x:v>Condominium</x:v>
      </x:c>
      <x:c r="K258" s="28"/>
      <x:c r="L258" s="30" t="str">
        <x:v>Hard failure: Rent (SGD/month) 3,530; required &lt;= 3,500.</x:v>
      </x:c>
      <x:c r="M258" s="31" t="str">
        <x:v>No</x:v>
      </x:c>
      <x:c r="N258" s="30" t="str">
        <x:v>NUS straight-line distance (m) Unknown; required &lt;= 3,000.</x:v>
      </x:c>
      <x:c r="O258" s="30" t="str">
        <x:v>https://www.propertyguru.com.sg/listing/for-rent-a-treasure-trove-500199914</x:v>
      </x:c>
    </x:row>
    <x:row r="259" ht="52" customHeight="1">
      <x:c r="A259" s="2" t="str">
        <x:v>S11</x:v>
      </x:c>
      <x:c r="B259" s="2" t="str">
        <x:v>S11-C03</x:v>
      </x:c>
      <x:c r="C259" s="2" t="str">
        <x:v>24194570</x:v>
      </x:c>
      <x:c r="D259" s="2" t="str">
        <x:v>Original</x:v>
      </x:c>
      <x:c r="E259" s="2" t="n">
        <x:v>2</x:v>
      </x:c>
      <x:c r="F259" s="26" t="n">
        <x:v>3300</x:v>
      </x:c>
      <x:c r="G259" s="27" t="n">
        <x:v>2</x:v>
      </x:c>
      <x:c r="H259" s="27" t="n">
        <x:v>721</x:v>
      </x:c>
      <x:c r="I259" s="2" t="str">
        <x:v>D05</x:v>
      </x:c>
      <x:c r="J259" s="2" t="str">
        <x:v>HDB Flat</x:v>
      </x:c>
      <x:c r="K259" s="28" t="n">
        <x:v>1833.6815137407928</x:v>
      </x:c>
      <x:c r="L259" s="30" t="str">
        <x:v>Hard requirements pass. NUS 1,833.68 m straight-line, SGD 3,300/month. A moderate distance trade-off compared with the closest options.</x:v>
      </x:c>
      <x:c r="M259" s="31" t="str">
        <x:v>No</x:v>
      </x:c>
      <x:c r="N259" s="30" t="str"/>
      <x:c r="O259" s="30" t="str">
        <x:v>https://www.propertyguru.com.sg/listing/hdb-for-rent-729-clementi-west-street-2-24194570</x:v>
      </x:c>
    </x:row>
    <x:row r="260" ht="52" customHeight="1">
      <x:c r="A260" s="2" t="str">
        <x:v>S11</x:v>
      </x:c>
      <x:c r="B260" s="2" t="str">
        <x:v>S11-C04</x:v>
      </x:c>
      <x:c r="C260" s="2" t="str">
        <x:v>500286637</x:v>
      </x:c>
      <x:c r="D260" s="2" t="str">
        <x:v>Original</x:v>
      </x:c>
      <x:c r="E260" s="2" t="n">
        <x:v>1</x:v>
      </x:c>
      <x:c r="F260" s="26" t="n">
        <x:v>3200</x:v>
      </x:c>
      <x:c r="G260" s="27" t="n">
        <x:v>2</x:v>
      </x:c>
      <x:c r="H260" s="27" t="n">
        <x:v>732</x:v>
      </x:c>
      <x:c r="I260" s="2" t="str">
        <x:v>D05</x:v>
      </x:c>
      <x:c r="J260" s="2" t="str">
        <x:v>HDB Flat</x:v>
      </x:c>
      <x:c r="K260" s="28" t="n">
        <x:v>2746.393992007807</x:v>
      </x:c>
      <x:c r="L260" s="30" t="str">
        <x:v>Hard requirements pass. NUS 2,746.39 m straight-line, SGD 3,200/month. Within the hard radius, but near its outer part with limited rent advantage.</x:v>
      </x:c>
      <x:c r="M260" s="31" t="str">
        <x:v>No</x:v>
      </x:c>
      <x:c r="N260" s="30" t="str"/>
      <x:c r="O260" s="30" t="str">
        <x:v>https://www.propertyguru.com.sg/listing/hdb-for-rent-375-clementi-avenue-4-500286637</x:v>
      </x:c>
    </x:row>
    <x:row r="261" ht="52" customHeight="1">
      <x:c r="A261" s="2" t="str">
        <x:v>S11</x:v>
      </x:c>
      <x:c r="B261" s="2" t="str">
        <x:v>S11-C05</x:v>
      </x:c>
      <x:c r="C261" s="2" t="str">
        <x:v>20028481</x:v>
      </x:c>
      <x:c r="D261" s="2" t="str">
        <x:v>Original</x:v>
      </x:c>
      <x:c r="E261" s="2" t="n">
        <x:v>1</x:v>
      </x:c>
      <x:c r="F261" s="26" t="n">
        <x:v>3449</x:v>
      </x:c>
      <x:c r="G261" s="27" t="n">
        <x:v>2</x:v>
      </x:c>
      <x:c r="H261" s="27" t="n">
        <x:v>732</x:v>
      </x:c>
      <x:c r="I261" s="2" t="str">
        <x:v>D03</x:v>
      </x:c>
      <x:c r="J261" s="2" t="str">
        <x:v>HDB Flat</x:v>
      </x:c>
      <x:c r="K261" s="28" t="n">
        <x:v>2891.2163766723215</x:v>
      </x:c>
      <x:c r="L261" s="30" t="str">
        <x:v>Hard requirements pass. NUS 2,891.22 m straight-line, SGD 3,449/month. Within the hard radius, but near its outer part with limited rent advantage.</x:v>
      </x:c>
      <x:c r="M261" s="31" t="str">
        <x:v>No</x:v>
      </x:c>
      <x:c r="N261" s="30" t="str"/>
      <x:c r="O261" s="30" t="str">
        <x:v>https://www.propertyguru.com.sg/listing/hdb-for-rent-97-commonwealth-crescent-20028481</x:v>
      </x:c>
    </x:row>
    <x:row r="262" ht="52" customHeight="1">
      <x:c r="A262" s="2" t="str">
        <x:v>S11</x:v>
      </x:c>
      <x:c r="B262" s="2" t="str">
        <x:v>S11-C06</x:v>
      </x:c>
      <x:c r="C262" s="2" t="str">
        <x:v>20945749</x:v>
      </x:c>
      <x:c r="D262" s="2" t="str">
        <x:v>Original</x:v>
      </x:c>
      <x:c r="E262" s="2" t="n">
        <x:v>3</x:v>
      </x:c>
      <x:c r="F262" s="26" t="n">
        <x:v>3200</x:v>
      </x:c>
      <x:c r="G262" s="27" t="n">
        <x:v>2</x:v>
      </x:c>
      <x:c r="H262" s="27" t="n">
        <x:v>700</x:v>
      </x:c>
      <x:c r="I262" s="2" t="str">
        <x:v>D05</x:v>
      </x:c>
      <x:c r="J262" s="2" t="str">
        <x:v>HDB Flat</x:v>
      </x:c>
      <x:c r="K262" s="28" t="n">
        <x:v>960.6929142032941</x:v>
      </x:c>
      <x:c r="L262" s="30" t="str">
        <x:v>Hard requirements pass. NUS 960.69 m straight-line, SGD 3,200/month. Among the closer verified options, consistent with giving proximity priority.</x:v>
      </x:c>
      <x:c r="M262" s="31" t="str">
        <x:v>No</x:v>
      </x:c>
      <x:c r="N262" s="30" t="str"/>
      <x:c r="O262" s="30" t="str">
        <x:v>https://www.propertyguru.com.sg/listing/hdb-for-rent-1-dover-road-20945749</x:v>
      </x:c>
    </x:row>
    <x:row r="263" ht="52" customHeight="1">
      <x:c r="A263" s="2" t="str">
        <x:v>S11</x:v>
      </x:c>
      <x:c r="B263" s="2" t="str">
        <x:v>S11-C07</x:v>
      </x:c>
      <x:c r="C263" s="2" t="str">
        <x:v>21406855</x:v>
      </x:c>
      <x:c r="D263" s="2" t="str">
        <x:v>Original</x:v>
      </x:c>
      <x:c r="E263" s="2" t="n">
        <x:v>3</x:v>
      </x:c>
      <x:c r="F263" s="26" t="n">
        <x:v>3300</x:v>
      </x:c>
      <x:c r="G263" s="27" t="n">
        <x:v>3</x:v>
      </x:c>
      <x:c r="H263" s="27" t="n">
        <x:v>700</x:v>
      </x:c>
      <x:c r="I263" s="2" t="str">
        <x:v>D05</x:v>
      </x:c>
      <x:c r="J263" s="2" t="str">
        <x:v>HDB Flat</x:v>
      </x:c>
      <x:c r="K263" s="28" t="n">
        <x:v>1429.803255168625</x:v>
      </x:c>
      <x:c r="L263" s="30" t="str">
        <x:v>Hard requirements pass. NUS 1,429.8 m straight-line, SGD 3,300/month. Among the closer verified options, consistent with giving proximity priority.</x:v>
      </x:c>
      <x:c r="M263" s="31" t="str">
        <x:v>No</x:v>
      </x:c>
      <x:c r="N263" s="30" t="str"/>
      <x:c r="O263" s="30" t="str">
        <x:v>https://www.propertyguru.com.sg/listing/hdb-for-rent-21-dover-crescent-21406855</x:v>
      </x:c>
    </x:row>
    <x:row r="264" ht="52" customHeight="1">
      <x:c r="A264" s="2" t="str">
        <x:v>S11</x:v>
      </x:c>
      <x:c r="B264" s="2" t="str">
        <x:v>S11-C08</x:v>
      </x:c>
      <x:c r="C264" s="2" t="str">
        <x:v>25230424</x:v>
      </x:c>
      <x:c r="D264" s="2" t="str">
        <x:v>Original</x:v>
      </x:c>
      <x:c r="E264" s="2" t="str">
        <x:v>U</x:v>
      </x:c>
      <x:c r="F264" s="26" t="n">
        <x:v>3500</x:v>
      </x:c>
      <x:c r="G264" s="27" t="n">
        <x:v>2</x:v>
      </x:c>
      <x:c r="H264" s="27" t="n">
        <x:v>764</x:v>
      </x:c>
      <x:c r="I264" s="2" t="str">
        <x:v>D18</x:v>
      </x:c>
      <x:c r="J264" s="2" t="str">
        <x:v>Condominium</x:v>
      </x:c>
      <x:c r="K264" s="28"/>
      <x:c r="L264" s="30" t="str">
        <x:v>No known hard failure. Cannot verify: nus straight-line distance (m).</x:v>
      </x:c>
      <x:c r="M264" s="31" t="str">
        <x:v>No</x:v>
      </x:c>
      <x:c r="N264" s="30" t="str">
        <x:v>NUS straight-line distance (m) Unknown; required &lt;= 3,000.</x:v>
      </x:c>
      <x:c r="O264" s="30" t="str">
        <x:v>https://www.propertyguru.com.sg/listing/for-rent-nv-residences-25230424</x:v>
      </x:c>
    </x:row>
    <x:row r="265" ht="52" customHeight="1">
      <x:c r="A265" s="2" t="str">
        <x:v>S11</x:v>
      </x:c>
      <x:c r="B265" s="2" t="str">
        <x:v>S11-C09</x:v>
      </x:c>
      <x:c r="C265" s="2" t="str">
        <x:v>23927224</x:v>
      </x:c>
      <x:c r="D265" s="2" t="str">
        <x:v>Original</x:v>
      </x:c>
      <x:c r="E265" s="2" t="n">
        <x:v>3</x:v>
      </x:c>
      <x:c r="F265" s="26" t="n">
        <x:v>3300</x:v>
      </x:c>
      <x:c r="G265" s="27" t="n">
        <x:v>2</x:v>
      </x:c>
      <x:c r="H265" s="27" t="n">
        <x:v>797</x:v>
      </x:c>
      <x:c r="I265" s="2" t="str">
        <x:v>D05</x:v>
      </x:c>
      <x:c r="J265" s="2" t="str">
        <x:v>HDB Flat</x:v>
      </x:c>
      <x:c r="K265" s="28" t="n">
        <x:v>1386.2207344373014</x:v>
      </x:c>
      <x:c r="L265" s="30" t="str">
        <x:v>Hard requirements pass. NUS 1,386.22 m straight-line, SGD 3,300/month. Among the closer verified options, consistent with giving proximity priority.</x:v>
      </x:c>
      <x:c r="M265" s="31" t="str">
        <x:v>No</x:v>
      </x:c>
      <x:c r="N265" s="30" t="str"/>
      <x:c r="O265" s="30" t="str">
        <x:v>https://www.propertyguru.com.sg/listing/hdb-for-rent-610-clementi-west-street-1-23927224</x:v>
      </x:c>
    </x:row>
    <x:row r="266" ht="52" customHeight="1">
      <x:c r="A266" s="2" t="str">
        <x:v>S11</x:v>
      </x:c>
      <x:c r="B266" s="2" t="str">
        <x:v>S11-C10</x:v>
      </x:c>
      <x:c r="C266" s="2" t="str">
        <x:v>18601320</x:v>
      </x:c>
      <x:c r="D266" s="2" t="str">
        <x:v>Original</x:v>
      </x:c>
      <x:c r="E266" s="2" t="n">
        <x:v>1</x:v>
      </x:c>
      <x:c r="F266" s="26" t="n">
        <x:v>3300</x:v>
      </x:c>
      <x:c r="G266" s="27" t="n">
        <x:v>2</x:v>
      </x:c>
      <x:c r="H266" s="27" t="n">
        <x:v>635</x:v>
      </x:c>
      <x:c r="I266" s="2" t="str">
        <x:v>D03</x:v>
      </x:c>
      <x:c r="J266" s="2" t="str">
        <x:v>HDB Flat</x:v>
      </x:c>
      <x:c r="K266" s="28" t="n">
        <x:v>2945.1395557077512</x:v>
      </x:c>
      <x:c r="L266" s="30" t="str">
        <x:v>Hard requirements pass. NUS 2,945.14 m straight-line, SGD 3,300/month. Within the hard radius, but near its outer part with limited rent advantage.</x:v>
      </x:c>
      <x:c r="M266" s="31" t="str">
        <x:v>No</x:v>
      </x:c>
      <x:c r="N266" s="30" t="str"/>
      <x:c r="O266" s="30" t="str">
        <x:v>https://www.propertyguru.com.sg/listing/hdb-for-rent-100-commonwealth-crescent-18601320</x:v>
      </x:c>
    </x:row>
    <x:row r="267" ht="52" customHeight="1">
      <x:c r="A267" s="2" t="str">
        <x:v>S11</x:v>
      </x:c>
      <x:c r="B267" s="2" t="str">
        <x:v>S11-C11</x:v>
      </x:c>
      <x:c r="C267" s="2" t="str">
        <x:v>500188597</x:v>
      </x:c>
      <x:c r="D267" s="2" t="str">
        <x:v>Original</x:v>
      </x:c>
      <x:c r="E267" s="2" t="n">
        <x:v>1</x:v>
      </x:c>
      <x:c r="F267" s="26" t="n">
        <x:v>3500</x:v>
      </x:c>
      <x:c r="G267" s="27" t="n">
        <x:v>2</x:v>
      </x:c>
      <x:c r="H267" s="27" t="n">
        <x:v>721</x:v>
      </x:c>
      <x:c r="I267" s="2" t="str">
        <x:v>D05</x:v>
      </x:c>
      <x:c r="J267" s="2" t="str">
        <x:v>HDB Flat</x:v>
      </x:c>
      <x:c r="K267" s="28" t="n">
        <x:v>2672.191751699052</x:v>
      </x:c>
      <x:c r="L267" s="30" t="str">
        <x:v>Hard requirements pass. NUS 2,672.19 m straight-line, SGD 3,500/month. Within the hard radius, but near its outer part with limited rent advantage.</x:v>
      </x:c>
      <x:c r="M267" s="31" t="str">
        <x:v>No</x:v>
      </x:c>
      <x:c r="N267" s="30" t="str"/>
      <x:c r="O267" s="30" t="str">
        <x:v>https://www.propertyguru.com.sg/listing/hdb-for-rent-320-clementi-avenue-4-500188597</x:v>
      </x:c>
    </x:row>
    <x:row r="268" ht="52" customHeight="1">
      <x:c r="A268" s="2" t="str">
        <x:v>S11</x:v>
      </x:c>
      <x:c r="B268" s="2" t="str">
        <x:v>S11-C12</x:v>
      </x:c>
      <x:c r="C268" s="2" t="str">
        <x:v>500288250</x:v>
      </x:c>
      <x:c r="D268" s="2" t="str">
        <x:v>Original</x:v>
      </x:c>
      <x:c r="E268" s="2" t="n">
        <x:v>1</x:v>
      </x:c>
      <x:c r="F268" s="26" t="n">
        <x:v>3500</x:v>
      </x:c>
      <x:c r="G268" s="27" t="n">
        <x:v>2</x:v>
      </x:c>
      <x:c r="H268" s="27" t="n">
        <x:v>764</x:v>
      </x:c>
      <x:c r="I268" s="2" t="str">
        <x:v>D03</x:v>
      </x:c>
      <x:c r="J268" s="2" t="str">
        <x:v>HDB Flat</x:v>
      </x:c>
      <x:c r="K268" s="28" t="n">
        <x:v>2709.4598587005744</x:v>
      </x:c>
      <x:c r="L268" s="30" t="str">
        <x:v>Hard requirements pass. NUS 2,709.46 m straight-line, SGD 3,500/month. Within the hard radius, but near its outer part with limited rent advantage.</x:v>
      </x:c>
      <x:c r="M268" s="31" t="str">
        <x:v>No</x:v>
      </x:c>
      <x:c r="N268" s="30" t="str"/>
      <x:c r="O268" s="30" t="str">
        <x:v>https://www.propertyguru.com.sg/listing/hdb-for-rent-108-commonwealth-crescent-500288250</x:v>
      </x:c>
    </x:row>
    <x:row r="269" ht="52" customHeight="1">
      <x:c r="A269" s="2" t="str">
        <x:v>S11</x:v>
      </x:c>
      <x:c r="B269" s="2" t="str">
        <x:v>S11-C13</x:v>
      </x:c>
      <x:c r="C269" s="2" t="str">
        <x:v>60107518</x:v>
      </x:c>
      <x:c r="D269" s="2" t="str">
        <x:v>Original</x:v>
      </x:c>
      <x:c r="E269" s="2" t="n">
        <x:v>1</x:v>
      </x:c>
      <x:c r="F269" s="26" t="n">
        <x:v>3400</x:v>
      </x:c>
      <x:c r="G269" s="27" t="n">
        <x:v>2</x:v>
      </x:c>
      <x:c r="H269" s="27" t="n">
        <x:v>646</x:v>
      </x:c>
      <x:c r="I269" s="2" t="str">
        <x:v>D03</x:v>
      </x:c>
      <x:c r="J269" s="2" t="str">
        <x:v>HDB Flat</x:v>
      </x:c>
      <x:c r="K269" s="28" t="n">
        <x:v>2925.2530043211714</x:v>
      </x:c>
      <x:c r="L269" s="30" t="str">
        <x:v>Hard requirements pass. NUS 2,925.25 m straight-line, SGD 3,400/month. Within the hard radius, but near its outer part with limited rent advantage.</x:v>
      </x:c>
      <x:c r="M269" s="31" t="str">
        <x:v>No</x:v>
      </x:c>
      <x:c r="N269" s="30" t="str"/>
      <x:c r="O269" s="30" t="str">
        <x:v>https://www.propertyguru.com.sg/listing/hdb-for-rent-169-stirling-road-60107518</x:v>
      </x:c>
    </x:row>
    <x:row r="270" ht="52" customHeight="1">
      <x:c r="A270" s="2" t="str">
        <x:v>S11</x:v>
      </x:c>
      <x:c r="B270" s="2" t="str">
        <x:v>S11-C14</x:v>
      </x:c>
      <x:c r="C270" s="2" t="str">
        <x:v>24276169</x:v>
      </x:c>
      <x:c r="D270" s="2" t="str">
        <x:v>Original</x:v>
      </x:c>
      <x:c r="E270" s="2" t="n">
        <x:v>1</x:v>
      </x:c>
      <x:c r="F270" s="26" t="n">
        <x:v>3350</x:v>
      </x:c>
      <x:c r="G270" s="27" t="n">
        <x:v>2</x:v>
      </x:c>
      <x:c r="H270" s="27" t="n">
        <x:v>753</x:v>
      </x:c>
      <x:c r="I270" s="2" t="str">
        <x:v>D03</x:v>
      </x:c>
      <x:c r="J270" s="2" t="str">
        <x:v>HDB Flat</x:v>
      </x:c>
      <x:c r="K270" s="28" t="n">
        <x:v>2906.8861086881498</x:v>
      </x:c>
      <x:c r="L270" s="30" t="str">
        <x:v>Hard requirements pass. NUS 2,906.89 m straight-line, SGD 3,350/month. Within the hard radius, but near its outer part with limited rent advantage.</x:v>
      </x:c>
      <x:c r="M270" s="31" t="str">
        <x:v>No</x:v>
      </x:c>
      <x:c r="N270" s="30" t="str"/>
      <x:c r="O270" s="30" t="str">
        <x:v>https://www.propertyguru.com.sg/listing/hdb-for-rent-170-stirling-road-24276169</x:v>
      </x:c>
    </x:row>
    <x:row r="271" ht="52" customHeight="1">
      <x:c r="A271" s="2" t="str">
        <x:v>S11</x:v>
      </x:c>
      <x:c r="B271" s="2" t="str">
        <x:v>S11-C15</x:v>
      </x:c>
      <x:c r="C271" s="2" t="str">
        <x:v>500263852</x:v>
      </x:c>
      <x:c r="D271" s="2" t="str">
        <x:v>Original</x:v>
      </x:c>
      <x:c r="E271" s="2" t="n">
        <x:v>0</x:v>
      </x:c>
      <x:c r="F271" s="26" t="n">
        <x:v>3513</x:v>
      </x:c>
      <x:c r="G271" s="27" t="n">
        <x:v>2</x:v>
      </x:c>
      <x:c r="H271" s="27" t="n">
        <x:v>711</x:v>
      </x:c>
      <x:c r="I271" s="2" t="str">
        <x:v>D27</x:v>
      </x:c>
      <x:c r="J271" s="2" t="str">
        <x:v>Condominium</x:v>
      </x:c>
      <x:c r="K271" s="28"/>
      <x:c r="L271" s="30" t="str">
        <x:v>Hard failure: Rent (SGD/month) 3,513; required &lt;= 3,500.</x:v>
      </x:c>
      <x:c r="M271" s="31" t="str">
        <x:v>No</x:v>
      </x:c>
      <x:c r="N271" s="30" t="str">
        <x:v>NUS straight-line distance (m) Unknown; required &lt;= 3,000.</x:v>
      </x:c>
      <x:c r="O271" s="30" t="str">
        <x:v>https://www.propertyguru.com.sg/listing/for-rent-the-wisteria-500263852</x:v>
      </x:c>
    </x:row>
    <x:row r="272" ht="52" customHeight="1">
      <x:c r="A272" s="2" t="str">
        <x:v>S11</x:v>
      </x:c>
      <x:c r="B272" s="2" t="str">
        <x:v>S11-C16</x:v>
      </x:c>
      <x:c r="C272" s="2" t="str">
        <x:v>500249657</x:v>
      </x:c>
      <x:c r="D272" s="2" t="str">
        <x:v>Original</x:v>
      </x:c>
      <x:c r="E272" s="2" t="n">
        <x:v>1</x:v>
      </x:c>
      <x:c r="F272" s="26" t="n">
        <x:v>3100</x:v>
      </x:c>
      <x:c r="G272" s="27" t="n">
        <x:v>2</x:v>
      </x:c>
      <x:c r="H272" s="27" t="n">
        <x:v>732</x:v>
      </x:c>
      <x:c r="I272" s="2" t="str">
        <x:v>D05</x:v>
      </x:c>
      <x:c r="J272" s="2" t="str">
        <x:v>HDB Flat</x:v>
      </x:c>
      <x:c r="K272" s="28" t="n">
        <x:v>2802.8130076795196</x:v>
      </x:c>
      <x:c r="L272" s="30" t="str">
        <x:v>Hard requirements pass. NUS 2,802.81 m straight-line, SGD 3,100/month. Within the hard radius, but near its outer part with limited rent advantage.</x:v>
      </x:c>
      <x:c r="M272" s="31" t="str">
        <x:v>No</x:v>
      </x:c>
      <x:c r="N272" s="30" t="str"/>
      <x:c r="O272" s="30" t="str">
        <x:v>https://www.propertyguru.com.sg/listing/hdb-for-rent-374-clementi-avenue-4-500249657</x:v>
      </x:c>
    </x:row>
    <x:row r="273" ht="52" customHeight="1">
      <x:c r="A273" s="2" t="str">
        <x:v>S11</x:v>
      </x:c>
      <x:c r="B273" s="2" t="str">
        <x:v>S11-C17</x:v>
      </x:c>
      <x:c r="C273" s="2" t="str">
        <x:v>24048144</x:v>
      </x:c>
      <x:c r="D273" s="2" t="str">
        <x:v>Original</x:v>
      </x:c>
      <x:c r="E273" s="2" t="n">
        <x:v>1</x:v>
      </x:c>
      <x:c r="F273" s="26" t="n">
        <x:v>3500</x:v>
      </x:c>
      <x:c r="G273" s="27" t="n">
        <x:v>2</x:v>
      </x:c>
      <x:c r="H273" s="27" t="n">
        <x:v>742</x:v>
      </x:c>
      <x:c r="I273" s="2" t="str">
        <x:v>D03</x:v>
      </x:c>
      <x:c r="J273" s="2" t="str">
        <x:v>HDB Flat</x:v>
      </x:c>
      <x:c r="K273" s="28" t="n">
        <x:v>2940.268073586714</x:v>
      </x:c>
      <x:c r="L273" s="30" t="str">
        <x:v>Hard requirements pass. NUS 2,940.27 m straight-line, SGD 3,500/month. Within the hard radius, but near its outer part with limited rent advantage.</x:v>
      </x:c>
      <x:c r="M273" s="31" t="str">
        <x:v>No</x:v>
      </x:c>
      <x:c r="N273" s="30" t="str"/>
      <x:c r="O273" s="30" t="str">
        <x:v>https://www.propertyguru.com.sg/listing/hdb-for-rent-157-mei-ling-street-24048144</x:v>
      </x:c>
    </x:row>
    <x:row r="274" ht="52" customHeight="1">
      <x:c r="A274" s="2" t="str">
        <x:v>S11</x:v>
      </x:c>
      <x:c r="B274" s="2" t="str">
        <x:v>S11-C18</x:v>
      </x:c>
      <x:c r="C274" s="2" t="str">
        <x:v>500244667</x:v>
      </x:c>
      <x:c r="D274" s="2" t="str">
        <x:v>Original</x:v>
      </x:c>
      <x:c r="E274" s="2" t="str">
        <x:v>U</x:v>
      </x:c>
      <x:c r="F274" s="26" t="n">
        <x:v>3000</x:v>
      </x:c>
      <x:c r="G274" s="27" t="n">
        <x:v>1</x:v>
      </x:c>
      <x:c r="H274" s="27" t="n">
        <x:v>581</x:v>
      </x:c>
      <x:c r="I274" s="2" t="str">
        <x:v>D28</x:v>
      </x:c>
      <x:c r="J274" s="2" t="str">
        <x:v>Condominium</x:v>
      </x:c>
      <x:c r="K274" s="28"/>
      <x:c r="L274" s="30" t="str">
        <x:v>No known hard failure. Cannot verify: nus straight-line distance (m).</x:v>
      </x:c>
      <x:c r="M274" s="31" t="str">
        <x:v>No</x:v>
      </x:c>
      <x:c r="N274" s="30" t="str">
        <x:v>NUS straight-line distance (m) Unknown; required &lt;= 3,000.</x:v>
      </x:c>
      <x:c r="O274" s="30" t="str">
        <x:v>https://www.propertyguru.com.sg/listing/for-rent-seletar-park-residence-500244667</x:v>
      </x:c>
    </x:row>
    <x:row r="275" ht="52" customHeight="1">
      <x:c r="A275" s="2" t="str">
        <x:v>S11</x:v>
      </x:c>
      <x:c r="B275" s="2" t="str">
        <x:v>S11-C19</x:v>
      </x:c>
      <x:c r="C275" s="2" t="str">
        <x:v>500262756</x:v>
      </x:c>
      <x:c r="D275" s="2" t="str">
        <x:v>Original</x:v>
      </x:c>
      <x:c r="E275" s="2" t="n">
        <x:v>3</x:v>
      </x:c>
      <x:c r="F275" s="26" t="n">
        <x:v>3000</x:v>
      </x:c>
      <x:c r="G275" s="27" t="n">
        <x:v>2</x:v>
      </x:c>
      <x:c r="H275" s="27" t="n">
        <x:v>699</x:v>
      </x:c>
      <x:c r="I275" s="2" t="str">
        <x:v>D05</x:v>
      </x:c>
      <x:c r="J275" s="2" t="str">
        <x:v>HDB Flat</x:v>
      </x:c>
      <x:c r="K275" s="28" t="n">
        <x:v>971.6194119235158</x:v>
      </x:c>
      <x:c r="L275" s="30" t="str">
        <x:v>Hard requirements pass. NUS 971.62 m straight-line, SGD 3,000/month. Among the closer verified options, consistent with giving proximity priority.</x:v>
      </x:c>
      <x:c r="M275" s="31" t="str">
        <x:v>No</x:v>
      </x:c>
      <x:c r="N275" s="30" t="str"/>
      <x:c r="O275" s="30" t="str">
        <x:v>https://www.propertyguru.com.sg/listing/hdb-for-rent-2-dover-road-500262756</x:v>
      </x:c>
    </x:row>
    <x:row r="276" ht="52" customHeight="1">
      <x:c r="A276" s="2" t="str">
        <x:v>S11</x:v>
      </x:c>
      <x:c r="B276" s="2" t="str">
        <x:v>S11-C20</x:v>
      </x:c>
      <x:c r="C276" s="2" t="str">
        <x:v>500238613</x:v>
      </x:c>
      <x:c r="D276" s="2" t="str">
        <x:v>Original</x:v>
      </x:c>
      <x:c r="E276" s="2" t="n">
        <x:v>0</x:v>
      </x:c>
      <x:c r="F276" s="26" t="n">
        <x:v>1880</x:v>
      </x:c>
      <x:c r="G276" s="27" t="n">
        <x:v>0</x:v>
      </x:c>
      <x:c r="H276" s="27"/>
      <x:c r="I276" s="2" t="str">
        <x:v>D05</x:v>
      </x:c>
      <x:c r="J276" s="2" t="str">
        <x:v>HDB Flat</x:v>
      </x:c>
      <x:c r="K276" s="28" t="n">
        <x:v>2464.492464250617</x:v>
      </x:c>
      <x:c r="L276" s="30" t="str">
        <x:v>Hard failure: Reported bedrooms 0; required &gt;= 1.</x:v>
      </x:c>
      <x:c r="M276" s="31" t="str">
        <x:v>No</x:v>
      </x:c>
      <x:c r="N276" s="30" t="str"/>
      <x:c r="O276" s="30" t="str">
        <x:v>https://www.propertyguru.com.sg/listing/hdb-for-rent-510-west-coast-drive-500238613</x:v>
      </x:c>
    </x:row>
    <x:row r="277" ht="52" customHeight="1">
      <x:c r="A277" s="2" t="str">
        <x:v>S11</x:v>
      </x:c>
      <x:c r="B277" s="2" t="str">
        <x:v>S11-C21</x:v>
      </x:c>
      <x:c r="C277" s="2" t="str">
        <x:v>500285985</x:v>
      </x:c>
      <x:c r="D277" s="2" t="str">
        <x:v>Original</x:v>
      </x:c>
      <x:c r="E277" s="2" t="n">
        <x:v>2</x:v>
      </x:c>
      <x:c r="F277" s="26" t="n">
        <x:v>1400</x:v>
      </x:c>
      <x:c r="G277" s="27" t="n">
        <x:v>1</x:v>
      </x:c>
      <x:c r="H277" s="27" t="n">
        <x:v>1001</x:v>
      </x:c>
      <x:c r="I277" s="2" t="str">
        <x:v>D05</x:v>
      </x:c>
      <x:c r="J277" s="2" t="str">
        <x:v>HDB Flat</x:v>
      </x:c>
      <x:c r="K277" s="28" t="n">
        <x:v>2517.251762516317</x:v>
      </x:c>
      <x:c r="L277" s="30" t="str">
        <x:v>Hard requirements pass. NUS 2,517.25 m straight-line, SGD 1,400/month. Much lower rent offers a useful trade-off, but the distance is not among the closest.</x:v>
      </x:c>
      <x:c r="M277" s="31" t="str">
        <x:v>No</x:v>
      </x:c>
      <x:c r="N277" s="30" t="str"/>
      <x:c r="O277" s="30" t="str">
        <x:v>https://www.propertyguru.com.sg/listing/hdb-for-rent-441b-clementi-avenue-3-500285985</x:v>
      </x:c>
    </x:row>
    <x:row r="278" ht="52" customHeight="1">
      <x:c r="A278" s="2" t="str">
        <x:v>S11</x:v>
      </x:c>
      <x:c r="B278" s="2" t="str">
        <x:v>S11-C22</x:v>
      </x:c>
      <x:c r="C278" s="2" t="str">
        <x:v>500285705</x:v>
      </x:c>
      <x:c r="D278" s="2" t="str">
        <x:v>Original</x:v>
      </x:c>
      <x:c r="E278" s="2" t="n">
        <x:v>1</x:v>
      </x:c>
      <x:c r="F278" s="26" t="n">
        <x:v>3400</x:v>
      </x:c>
      <x:c r="G278" s="27" t="n">
        <x:v>2</x:v>
      </x:c>
      <x:c r="H278" s="27" t="n">
        <x:v>721</x:v>
      </x:c>
      <x:c r="I278" s="2" t="str">
        <x:v>D05</x:v>
      </x:c>
      <x:c r="J278" s="2" t="str">
        <x:v>HDB Flat</x:v>
      </x:c>
      <x:c r="K278" s="28" t="n">
        <x:v>2543.0018525334067</x:v>
      </x:c>
      <x:c r="L278" s="30" t="str">
        <x:v>Hard requirements pass. NUS 2,543 m straight-line, SGD 3,400/month. Within the hard radius, but near its outer part with limited rent advantage.</x:v>
      </x:c>
      <x:c r="M278" s="31" t="str">
        <x:v>No</x:v>
      </x:c>
      <x:c r="N278" s="30" t="str"/>
      <x:c r="O278" s="30" t="str">
        <x:v>https://www.propertyguru.com.sg/listing/hdb-for-rent-431-clementi-avenue-3-500285705</x:v>
      </x:c>
    </x:row>
    <x:row r="279" ht="52" customHeight="1">
      <x:c r="A279" s="2" t="str">
        <x:v>S11</x:v>
      </x:c>
      <x:c r="B279" s="2" t="str">
        <x:v>S11-C23</x:v>
      </x:c>
      <x:c r="C279" s="2" t="str">
        <x:v>25281989</x:v>
      </x:c>
      <x:c r="D279" s="2" t="str">
        <x:v>Original</x:v>
      </x:c>
      <x:c r="E279" s="2" t="n">
        <x:v>1</x:v>
      </x:c>
      <x:c r="F279" s="26" t="n">
        <x:v>3300</x:v>
      </x:c>
      <x:c r="G279" s="27" t="n">
        <x:v>2</x:v>
      </x:c>
      <x:c r="H279" s="27" t="n">
        <x:v>742</x:v>
      </x:c>
      <x:c r="I279" s="2" t="str">
        <x:v>D03</x:v>
      </x:c>
      <x:c r="J279" s="2" t="str">
        <x:v>HDB Flat</x:v>
      </x:c>
      <x:c r="K279" s="28" t="n">
        <x:v>2894.3625297237622</x:v>
      </x:c>
      <x:c r="L279" s="30" t="str">
        <x:v>Hard requirements pass. NUS 2,894.36 m straight-line, SGD 3,300/month. Within the hard radius, but near its outer part with limited rent advantage.</x:v>
      </x:c>
      <x:c r="M279" s="31" t="str">
        <x:v>No</x:v>
      </x:c>
      <x:c r="N279" s="30" t="str"/>
      <x:c r="O279" s="30" t="str">
        <x:v>https://www.propertyguru.com.sg/listing/hdb-for-rent-167-stirling-road-25281989</x:v>
      </x:c>
    </x:row>
    <x:row r="280" ht="52" customHeight="1">
      <x:c r="A280" s="2" t="str">
        <x:v>S11</x:v>
      </x:c>
      <x:c r="B280" s="2" t="str">
        <x:v>S11-C24</x:v>
      </x:c>
      <x:c r="C280" s="2" t="str">
        <x:v>500281459</x:v>
      </x:c>
      <x:c r="D280" s="2" t="str">
        <x:v>Original</x:v>
      </x:c>
      <x:c r="E280" s="2" t="n">
        <x:v>0</x:v>
      </x:c>
      <x:c r="F280" s="26" t="n">
        <x:v>1300</x:v>
      </x:c>
      <x:c r="G280" s="27" t="n">
        <x:v>0</x:v>
      </x:c>
      <x:c r="H280" s="27"/>
      <x:c r="I280" s="2" t="str">
        <x:v>D05</x:v>
      </x:c>
      <x:c r="J280" s="2" t="str">
        <x:v>HDB Flat</x:v>
      </x:c>
      <x:c r="K280" s="28" t="n">
        <x:v>1727.412124646319</x:v>
      </x:c>
      <x:c r="L280" s="30" t="str">
        <x:v>Hard failure: Reported bedrooms 0; required &gt;= 1.</x:v>
      </x:c>
      <x:c r="M280" s="31" t="str">
        <x:v>No</x:v>
      </x:c>
      <x:c r="N280" s="30" t="str"/>
      <x:c r="O280" s="30" t="str">
        <x:v>https://www.propertyguru.com.sg/listing/hdb-for-rent-421-clementi-avenue-1-500281459</x:v>
      </x:c>
    </x:row>
    <x:row r="281" ht="52" customHeight="1">
      <x:c r="A281" s="2" t="str">
        <x:v>S11</x:v>
      </x:c>
      <x:c r="B281" s="2" t="str">
        <x:v>S11-C25</x:v>
      </x:c>
      <x:c r="C281" s="2" t="str">
        <x:v>23808650</x:v>
      </x:c>
      <x:c r="D281" s="2" t="str">
        <x:v>Original</x:v>
      </x:c>
      <x:c r="E281" s="2" t="str">
        <x:v>U</x:v>
      </x:c>
      <x:c r="F281" s="26" t="n">
        <x:v>3500</x:v>
      </x:c>
      <x:c r="G281" s="27" t="n">
        <x:v>1</x:v>
      </x:c>
      <x:c r="H281" s="27" t="n">
        <x:v>420</x:v>
      </x:c>
      <x:c r="I281" s="2" t="str">
        <x:v>D02</x:v>
      </x:c>
      <x:c r="J281" s="2" t="str">
        <x:v>Apartment</x:v>
      </x:c>
      <x:c r="K281" s="28"/>
      <x:c r="L281" s="30" t="str">
        <x:v>No known hard failure. Cannot verify: nus straight-line distance (m).</x:v>
      </x:c>
      <x:c r="M281" s="31" t="str">
        <x:v>No</x:v>
      </x:c>
      <x:c r="N281" s="30" t="str">
        <x:v>NUS straight-line distance (m) Unknown; required &lt;= 3,000.</x:v>
      </x:c>
      <x:c r="O281" s="30" t="str">
        <x:v>https://www.propertyguru.com.sg/listing/for-rent-1-bedroom-apartment-telok-ayer-raffles-place-chinatown-mrt-23808650</x:v>
      </x:c>
    </x:row>
    <x:row r="282" ht="52" customHeight="1">
      <x:c r="A282" s="2" t="str">
        <x:v>S12</x:v>
      </x:c>
      <x:c r="B282" s="2" t="str">
        <x:v>S12-C01</x:v>
      </x:c>
      <x:c r="C282" s="2" t="str">
        <x:v>500287131</x:v>
      </x:c>
      <x:c r="D282" s="2" t="str">
        <x:v>Original</x:v>
      </x:c>
      <x:c r="E282" s="2" t="n">
        <x:v>1</x:v>
      </x:c>
      <x:c r="F282" s="26" t="n">
        <x:v>4200</x:v>
      </x:c>
      <x:c r="G282" s="27" t="n">
        <x:v>2</x:v>
      </x:c>
      <x:c r="H282" s="27" t="n">
        <x:v>646</x:v>
      </x:c>
      <x:c r="I282" s="2" t="str">
        <x:v>D05</x:v>
      </x:c>
      <x:c r="J282" s="2" t="str">
        <x:v>Condominium</x:v>
      </x:c>
      <x:c r="K282" s="28" t="n">
        <x:v>3807.4132333163902</x:v>
      </x:c>
      <x:c r="L282" s="30" t="str">
        <x:v>Hard requirements pass. area 646 sqft, SGD 4,200/month. The reported area misses the main size preference; distance is only a hard limit here.</x:v>
      </x:c>
      <x:c r="M282" s="31" t="str">
        <x:v>No</x:v>
      </x:c>
      <x:c r="N282" s="30" t="str"/>
      <x:c r="O282" s="30" t="str">
        <x:v>https://www.propertyguru.com.sg/listing/for-rent-parc-riviera-500287131</x:v>
      </x:c>
    </x:row>
    <x:row r="283" ht="52" customHeight="1">
      <x:c r="A283" s="2" t="str">
        <x:v>S12</x:v>
      </x:c>
      <x:c r="B283" s="2" t="str">
        <x:v>S12-C02</x:v>
      </x:c>
      <x:c r="C283" s="2" t="str">
        <x:v>500277448</x:v>
      </x:c>
      <x:c r="D283" s="2" t="str">
        <x:v>Original</x:v>
      </x:c>
      <x:c r="E283" s="2" t="n">
        <x:v>3</x:v>
      </x:c>
      <x:c r="F283" s="26" t="n">
        <x:v>3400</x:v>
      </x:c>
      <x:c r="G283" s="27" t="n">
        <x:v>3</x:v>
      </x:c>
      <x:c r="H283" s="27" t="n">
        <x:v>1208</x:v>
      </x:c>
      <x:c r="I283" s="2" t="str">
        <x:v>D04</x:v>
      </x:c>
      <x:c r="J283" s="2" t="str">
        <x:v>HDB Flat</x:v>
      </x:c>
      <x:c r="K283" s="28" t="n">
        <x:v>3660.789247837997</x:v>
      </x:c>
      <x:c r="L283" s="30" t="str">
        <x:v>Hard requirements pass. area 1,208 sqft, SGD 3,400/month. The preferred size is met with reasonable rent compared with other candidates.</x:v>
      </x:c>
      <x:c r="M283" s="31" t="str">
        <x:v>No</x:v>
      </x:c>
      <x:c r="N283" s="30" t="str"/>
      <x:c r="O283" s="30" t="str">
        <x:v>https://www.propertyguru.com.sg/listing/hdb-for-rent-114-depot-road-500277448</x:v>
      </x:c>
    </x:row>
    <x:row r="284" ht="52" customHeight="1">
      <x:c r="A284" s="2" t="str">
        <x:v>S12</x:v>
      </x:c>
      <x:c r="B284" s="2" t="str">
        <x:v>S12-C03</x:v>
      </x:c>
      <x:c r="C284" s="2" t="str">
        <x:v>500275187</x:v>
      </x:c>
      <x:c r="D284" s="2" t="str">
        <x:v>Original</x:v>
      </x:c>
      <x:c r="E284" s="2" t="n">
        <x:v>3</x:v>
      </x:c>
      <x:c r="F284" s="26" t="n">
        <x:v>3800</x:v>
      </x:c>
      <x:c r="G284" s="27" t="n">
        <x:v>3</x:v>
      </x:c>
      <x:c r="H284" s="27" t="n">
        <x:v>980</x:v>
      </x:c>
      <x:c r="I284" s="2" t="str">
        <x:v>D05</x:v>
      </x:c>
      <x:c r="J284" s="2" t="str">
        <x:v>HDB Flat</x:v>
      </x:c>
      <x:c r="K284" s="28" t="n">
        <x:v>2808.8096712841407</x:v>
      </x:c>
      <x:c r="L284" s="30" t="str">
        <x:v>Hard requirements pass. area 980 sqft, SGD 3,800/month. The preferred size is met with reasonable rent compared with other candidates.</x:v>
      </x:c>
      <x:c r="M284" s="31" t="str">
        <x:v>No</x:v>
      </x:c>
      <x:c r="N284" s="30" t="str"/>
      <x:c r="O284" s="30" t="str">
        <x:v>https://www.propertyguru.com.sg/listing/hdb-for-rent-315-clementi-avenue-4-500275187</x:v>
      </x:c>
    </x:row>
    <x:row r="285" ht="52" customHeight="1">
      <x:c r="A285" s="2" t="str">
        <x:v>S12</x:v>
      </x:c>
      <x:c r="B285" s="2" t="str">
        <x:v>S12-C04</x:v>
      </x:c>
      <x:c r="C285" s="2" t="str">
        <x:v>500283223</x:v>
      </x:c>
      <x:c r="D285" s="2" t="str">
        <x:v>Original</x:v>
      </x:c>
      <x:c r="E285" s="2" t="n">
        <x:v>0</x:v>
      </x:c>
      <x:c r="F285" s="26" t="n">
        <x:v>3500</x:v>
      </x:c>
      <x:c r="G285" s="27" t="n">
        <x:v>1</x:v>
      </x:c>
      <x:c r="H285" s="27" t="n">
        <x:v>1050</x:v>
      </x:c>
      <x:c r="I285" s="2" t="str">
        <x:v>D10</x:v>
      </x:c>
      <x:c r="J285" s="2" t="str">
        <x:v>Condominium</x:v>
      </x:c>
      <x:c r="K285" s="28" t="n">
        <x:v>2321.610921680536</x:v>
      </x:c>
      <x:c r="L285" s="30" t="str">
        <x:v>Hard failure: Reported bedrooms 1; required &gt;= 2.</x:v>
      </x:c>
      <x:c r="M285" s="31" t="str">
        <x:v>No</x:v>
      </x:c>
      <x:c r="N285" s="30" t="str"/>
      <x:c r="O285" s="30" t="str">
        <x:v>https://www.propertyguru.com.sg/listing/for-rent-ridgewood-condominium-500283223</x:v>
      </x:c>
    </x:row>
    <x:row r="286" ht="52" customHeight="1">
      <x:c r="A286" s="2" t="str">
        <x:v>S12</x:v>
      </x:c>
      <x:c r="B286" s="2" t="str">
        <x:v>S12-C05</x:v>
      </x:c>
      <x:c r="C286" s="2" t="str">
        <x:v>22257938</x:v>
      </x:c>
      <x:c r="D286" s="2" t="str">
        <x:v>Original</x:v>
      </x:c>
      <x:c r="E286" s="2" t="n">
        <x:v>2</x:v>
      </x:c>
      <x:c r="F286" s="26" t="n">
        <x:v>3400</x:v>
      </x:c>
      <x:c r="G286" s="27" t="n">
        <x:v>2</x:v>
      </x:c>
      <x:c r="H286" s="27" t="n">
        <x:v>800</x:v>
      </x:c>
      <x:c r="I286" s="2" t="str">
        <x:v>D05</x:v>
      </x:c>
      <x:c r="J286" s="2" t="str">
        <x:v>HDB Flat</x:v>
      </x:c>
      <x:c r="K286" s="28" t="n">
        <x:v>2471.2525900814303</x:v>
      </x:c>
      <x:c r="L286" s="30" t="str">
        <x:v>Hard requirements pass. area 800 sqft, SGD 3,400/month. A modest shortfall in the soft size target; still a usable trade-off, not a hard failure.</x:v>
      </x:c>
      <x:c r="M286" s="31" t="str">
        <x:v>No</x:v>
      </x:c>
      <x:c r="N286" s="30" t="str"/>
      <x:c r="O286" s="30" t="str">
        <x:v>https://www.propertyguru.com.sg/listing/hdb-for-rent-346-clementi-avenue-5-22257938</x:v>
      </x:c>
    </x:row>
    <x:row r="287" ht="52" customHeight="1">
      <x:c r="A287" s="2" t="str">
        <x:v>S12</x:v>
      </x:c>
      <x:c r="B287" s="2" t="str">
        <x:v>S12-C06</x:v>
      </x:c>
      <x:c r="C287" s="2" t="str">
        <x:v>500283054</x:v>
      </x:c>
      <x:c r="D287" s="2" t="str">
        <x:v>Original</x:v>
      </x:c>
      <x:c r="E287" s="2" t="str">
        <x:v>U</x:v>
      </x:c>
      <x:c r="F287" s="26" t="n">
        <x:v>3400</x:v>
      </x:c>
      <x:c r="G287" s="27" t="n">
        <x:v>2</x:v>
      </x:c>
      <x:c r="H287" s="27" t="n">
        <x:v>538</x:v>
      </x:c>
      <x:c r="I287" s="2" t="str">
        <x:v>D14</x:v>
      </x:c>
      <x:c r="J287" s="2" t="str">
        <x:v>Condominium</x:v>
      </x:c>
      <x:c r="K287" s="28"/>
      <x:c r="L287" s="30" t="str">
        <x:v>No known hard failure. Cannot verify: nus straight-line distance (m).</x:v>
      </x:c>
      <x:c r="M287" s="31" t="str">
        <x:v>No</x:v>
      </x:c>
      <x:c r="N287" s="30" t="str">
        <x:v>NUS straight-line distance (m) Unknown; required &lt;= 5,000.</x:v>
      </x:c>
      <x:c r="O287" s="30" t="str">
        <x:v>https://www.propertyguru.com.sg/listing/for-rent-guillemard-edge-500283054</x:v>
      </x:c>
    </x:row>
    <x:row r="288" ht="52" customHeight="1">
      <x:c r="A288" s="2" t="str">
        <x:v>S12</x:v>
      </x:c>
      <x:c r="B288" s="2" t="str">
        <x:v>S12-C07</x:v>
      </x:c>
      <x:c r="C288" s="2" t="str">
        <x:v>60107518</x:v>
      </x:c>
      <x:c r="D288" s="2" t="str">
        <x:v>Original</x:v>
      </x:c>
      <x:c r="E288" s="2" t="n">
        <x:v>1</x:v>
      </x:c>
      <x:c r="F288" s="26" t="n">
        <x:v>3400</x:v>
      </x:c>
      <x:c r="G288" s="27" t="n">
        <x:v>2</x:v>
      </x:c>
      <x:c r="H288" s="27" t="n">
        <x:v>646</x:v>
      </x:c>
      <x:c r="I288" s="2" t="str">
        <x:v>D03</x:v>
      </x:c>
      <x:c r="J288" s="2" t="str">
        <x:v>HDB Flat</x:v>
      </x:c>
      <x:c r="K288" s="28" t="n">
        <x:v>2925.2530043211714</x:v>
      </x:c>
      <x:c r="L288" s="30" t="str">
        <x:v>Hard requirements pass. area 646 sqft, SGD 3,400/month. The reported area misses the main size preference; distance is only a hard limit here.</x:v>
      </x:c>
      <x:c r="M288" s="31" t="str">
        <x:v>No</x:v>
      </x:c>
      <x:c r="N288" s="30" t="str"/>
      <x:c r="O288" s="30" t="str">
        <x:v>https://www.propertyguru.com.sg/listing/hdb-for-rent-169-stirling-road-60107518</x:v>
      </x:c>
    </x:row>
    <x:row r="289" ht="52" customHeight="1">
      <x:c r="A289" s="2" t="str">
        <x:v>S12</x:v>
      </x:c>
      <x:c r="B289" s="2" t="str">
        <x:v>S12-C08</x:v>
      </x:c>
      <x:c r="C289" s="2" t="str">
        <x:v>500277568</x:v>
      </x:c>
      <x:c r="D289" s="2" t="str">
        <x:v>Original</x:v>
      </x:c>
      <x:c r="E289" s="2" t="n">
        <x:v>2</x:v>
      </x:c>
      <x:c r="F289" s="26" t="n">
        <x:v>4400</x:v>
      </x:c>
      <x:c r="G289" s="27" t="n">
        <x:v>3</x:v>
      </x:c>
      <x:c r="H289" s="27" t="n">
        <x:v>1011</x:v>
      </x:c>
      <x:c r="I289" s="2" t="str">
        <x:v>D04</x:v>
      </x:c>
      <x:c r="J289" s="2" t="str">
        <x:v>HDB Flat</x:v>
      </x:c>
      <x:c r="K289" s="28" t="n">
        <x:v>4161.711958646001</x:v>
      </x:c>
      <x:c r="L289" s="30" t="str">
        <x:v>Hard requirements pass. area 1,011 sqft, SGD 4,400/month. The size preference is met, with rent close to the cap.</x:v>
      </x:c>
      <x:c r="M289" s="31" t="str">
        <x:v>No</x:v>
      </x:c>
      <x:c r="N289" s="30" t="str"/>
      <x:c r="O289" s="30" t="str">
        <x:v>https://www.propertyguru.com.sg/listing/hdb-for-rent-90a-telok-blangah-street-31-500277568</x:v>
      </x:c>
    </x:row>
    <x:row r="290" ht="52" customHeight="1">
      <x:c r="A290" s="2" t="str">
        <x:v>S12</x:v>
      </x:c>
      <x:c r="B290" s="2" t="str">
        <x:v>S12-C09</x:v>
      </x:c>
      <x:c r="C290" s="2" t="str">
        <x:v>21046537</x:v>
      </x:c>
      <x:c r="D290" s="2" t="str">
        <x:v>Original</x:v>
      </x:c>
      <x:c r="E290" s="2" t="n">
        <x:v>2</x:v>
      </x:c>
      <x:c r="F290" s="26" t="n">
        <x:v>3600</x:v>
      </x:c>
      <x:c r="G290" s="27" t="n">
        <x:v>2</x:v>
      </x:c>
      <x:c r="H290" s="27" t="n">
        <x:v>800</x:v>
      </x:c>
      <x:c r="I290" s="2" t="str">
        <x:v>D05</x:v>
      </x:c>
      <x:c r="J290" s="2" t="str">
        <x:v>HDB Flat</x:v>
      </x:c>
      <x:c r="K290" s="28" t="n">
        <x:v>971.6194119235158</x:v>
      </x:c>
      <x:c r="L290" s="30" t="str">
        <x:v>Hard requirements pass. area 800 sqft, SGD 3,600/month. A modest shortfall in the soft size target; still a usable trade-off, not a hard failure.</x:v>
      </x:c>
      <x:c r="M290" s="31" t="str">
        <x:v>No</x:v>
      </x:c>
      <x:c r="N290" s="30" t="str"/>
      <x:c r="O290" s="30" t="str">
        <x:v>https://www.propertyguru.com.sg/listing/hdb-for-rent-2-dover-road-21046537</x:v>
      </x:c>
    </x:row>
    <x:row r="291" ht="52" customHeight="1">
      <x:c r="A291" s="2" t="str">
        <x:v>S12</x:v>
      </x:c>
      <x:c r="B291" s="2" t="str">
        <x:v>S12-C10</x:v>
      </x:c>
      <x:c r="C291" s="2" t="str">
        <x:v>500266415</x:v>
      </x:c>
      <x:c r="D291" s="2" t="str">
        <x:v>Original</x:v>
      </x:c>
      <x:c r="E291" s="2" t="n">
        <x:v>3</x:v>
      </x:c>
      <x:c r="F291" s="26" t="n">
        <x:v>3300</x:v>
      </x:c>
      <x:c r="G291" s="27" t="n">
        <x:v>2</x:v>
      </x:c>
      <x:c r="H291" s="27" t="n">
        <x:v>980</x:v>
      </x:c>
      <x:c r="I291" s="2" t="str">
        <x:v>D05</x:v>
      </x:c>
      <x:c r="J291" s="2" t="str">
        <x:v>HDB Flat</x:v>
      </x:c>
      <x:c r="K291" s="28" t="n">
        <x:v>2458.9986606885805</x:v>
      </x:c>
      <x:c r="L291" s="30" t="str">
        <x:v>Hard requirements pass. area 980 sqft, SGD 3,300/month. The preferred size is met with reasonable rent compared with other candidates.</x:v>
      </x:c>
      <x:c r="M291" s="31" t="str">
        <x:v>No</x:v>
      </x:c>
      <x:c r="N291" s="30" t="str"/>
      <x:c r="O291" s="30" t="str">
        <x:v>https://www.propertyguru.com.sg/listing/hdb-for-rent-511-west-coast-drive-500266415</x:v>
      </x:c>
    </x:row>
    <x:row r="292" ht="52" customHeight="1">
      <x:c r="A292" s="2" t="str">
        <x:v>S12</x:v>
      </x:c>
      <x:c r="B292" s="2" t="str">
        <x:v>S12-C11</x:v>
      </x:c>
      <x:c r="C292" s="2" t="str">
        <x:v>500195960</x:v>
      </x:c>
      <x:c r="D292" s="2" t="str">
        <x:v>Original</x:v>
      </x:c>
      <x:c r="E292" s="2" t="n">
        <x:v>0</x:v>
      </x:c>
      <x:c r="F292" s="26" t="n">
        <x:v>4511</x:v>
      </x:c>
      <x:c r="G292" s="27" t="n">
        <x:v>2</x:v>
      </x:c>
      <x:c r="H292" s="27" t="n">
        <x:v>614</x:v>
      </x:c>
      <x:c r="I292" s="2" t="str">
        <x:v>D10</x:v>
      </x:c>
      <x:c r="J292" s="2" t="str">
        <x:v>Condominium</x:v>
      </x:c>
      <x:c r="K292" s="28"/>
      <x:c r="L292" s="30" t="str">
        <x:v>Hard failure: Rent (SGD/month) 4,511; required &lt;= 4,500.</x:v>
      </x:c>
      <x:c r="M292" s="31" t="str">
        <x:v>No</x:v>
      </x:c>
      <x:c r="N292" s="30" t="str">
        <x:v>NUS straight-line distance (m) Unknown; required &lt;= 5,000.</x:v>
      </x:c>
      <x:c r="O292" s="30" t="str">
        <x:v>https://www.propertyguru.com.sg/listing/for-rent-hyll-on-holland-500195960</x:v>
      </x:c>
    </x:row>
    <x:row r="293" ht="52" customHeight="1">
      <x:c r="A293" s="2" t="str">
        <x:v>S12</x:v>
      </x:c>
      <x:c r="B293" s="2" t="str">
        <x:v>S12-C12</x:v>
      </x:c>
      <x:c r="C293" s="2" t="str">
        <x:v>15366917</x:v>
      </x:c>
      <x:c r="D293" s="2" t="str">
        <x:v>Original</x:v>
      </x:c>
      <x:c r="E293" s="2" t="str">
        <x:v>U</x:v>
      </x:c>
      <x:c r="F293" s="26" t="n">
        <x:v>4300</x:v>
      </x:c>
      <x:c r="G293" s="27" t="n">
        <x:v>2</x:v>
      </x:c>
      <x:c r="H293" s="27" t="n">
        <x:v>936</x:v>
      </x:c>
      <x:c r="I293" s="2" t="str">
        <x:v>D16</x:v>
      </x:c>
      <x:c r="J293" s="2" t="str">
        <x:v>Condominium</x:v>
      </x:c>
      <x:c r="K293" s="28"/>
      <x:c r="L293" s="30" t="str">
        <x:v>No known hard failure. Cannot verify: nus straight-line distance (m).</x:v>
      </x:c>
      <x:c r="M293" s="31" t="str">
        <x:v>No</x:v>
      </x:c>
      <x:c r="N293" s="30" t="str">
        <x:v>NUS straight-line distance (m) Unknown; required &lt;= 5,000.</x:v>
      </x:c>
      <x:c r="O293" s="30" t="str">
        <x:v>https://www.propertyguru.com.sg/listing/for-rent-bayshore-park-15366917</x:v>
      </x:c>
    </x:row>
    <x:row r="294" ht="52" customHeight="1">
      <x:c r="A294" s="2" t="str">
        <x:v>S12</x:v>
      </x:c>
      <x:c r="B294" s="2" t="str">
        <x:v>S12-C13</x:v>
      </x:c>
      <x:c r="C294" s="2" t="str">
        <x:v>500232299</x:v>
      </x:c>
      <x:c r="D294" s="2" t="str">
        <x:v>Original</x:v>
      </x:c>
      <x:c r="E294" s="2" t="n">
        <x:v>0</x:v>
      </x:c>
      <x:c r="F294" s="26" t="n">
        <x:v>4504</x:v>
      </x:c>
      <x:c r="G294" s="27" t="n">
        <x:v>2</x:v>
      </x:c>
      <x:c r="H294" s="27" t="n">
        <x:v>803</x:v>
      </x:c>
      <x:c r="I294" s="2" t="str">
        <x:v>D15</x:v>
      </x:c>
      <x:c r="J294" s="2" t="str">
        <x:v>Condominium</x:v>
      </x:c>
      <x:c r="K294" s="28"/>
      <x:c r="L294" s="30" t="str">
        <x:v>Hard failure: Rent (SGD/month) 4,504; required &lt;= 4,500.</x:v>
      </x:c>
      <x:c r="M294" s="31" t="str">
        <x:v>No</x:v>
      </x:c>
      <x:c r="N294" s="30" t="str">
        <x:v>NUS straight-line distance (m) Unknown; required &lt;= 5,000.</x:v>
      </x:c>
      <x:c r="O294" s="30" t="str">
        <x:v>https://www.propertyguru.com.sg/listing/for-rent-weave-residences-east-coast-500232299</x:v>
      </x:c>
    </x:row>
    <x:row r="295" ht="52" customHeight="1">
      <x:c r="A295" s="2" t="str">
        <x:v>S12</x:v>
      </x:c>
      <x:c r="B295" s="2" t="str">
        <x:v>S12-C14</x:v>
      </x:c>
      <x:c r="C295" s="2" t="str">
        <x:v>24575359</x:v>
      </x:c>
      <x:c r="D295" s="2" t="str">
        <x:v>Original</x:v>
      </x:c>
      <x:c r="E295" s="2" t="n">
        <x:v>0</x:v>
      </x:c>
      <x:c r="F295" s="26" t="n">
        <x:v>3800</x:v>
      </x:c>
      <x:c r="G295" s="27" t="n">
        <x:v>3</x:v>
      </x:c>
      <x:c r="H295" s="27" t="n">
        <x:v>1238</x:v>
      </x:c>
      <x:c r="I295" s="2" t="str">
        <x:v>D22</x:v>
      </x:c>
      <x:c r="J295" s="2" t="str">
        <x:v>HDB Flat</x:v>
      </x:c>
      <x:c r="K295" s="28" t="n">
        <x:v>5027.575851802217</x:v>
      </x:c>
      <x:c r="L295" s="30" t="str">
        <x:v>Hard failure: NUS straight-line distance (m) 5,027.58; required &lt;= 5,000.</x:v>
      </x:c>
      <x:c r="M295" s="31" t="str">
        <x:v>No</x:v>
      </x:c>
      <x:c r="N295" s="30" t="str"/>
      <x:c r="O295" s="30" t="str">
        <x:v>https://www.propertyguru.com.sg/listing/hdb-for-rent-63-teban-gardens-road-24575359</x:v>
      </x:c>
    </x:row>
    <x:row r="296" ht="52" customHeight="1">
      <x:c r="A296" s="2" t="str">
        <x:v>S12</x:v>
      </x:c>
      <x:c r="B296" s="2" t="str">
        <x:v>S12-C15</x:v>
      </x:c>
      <x:c r="C296" s="2" t="str">
        <x:v>60155193</x:v>
      </x:c>
      <x:c r="D296" s="2" t="str">
        <x:v>Original</x:v>
      </x:c>
      <x:c r="E296" s="2" t="n">
        <x:v>1</x:v>
      </x:c>
      <x:c r="F296" s="26" t="n">
        <x:v>4200</x:v>
      </x:c>
      <x:c r="G296" s="27" t="n">
        <x:v>3</x:v>
      </x:c>
      <x:c r="H296" s="27" t="n">
        <x:v>803</x:v>
      </x:c>
      <x:c r="I296" s="2" t="str">
        <x:v>D05</x:v>
      </x:c>
      <x:c r="J296" s="2" t="str">
        <x:v>HDB Flat</x:v>
      </x:c>
      <x:c r="K296" s="28" t="n">
        <x:v>2464.9161483286493</x:v>
      </x:c>
      <x:c r="L296" s="30" t="str">
        <x:v>Hard requirements pass. area 803 sqft, SGD 4,200/month. The reported area misses the main size preference; distance is only a hard limit here.</x:v>
      </x:c>
      <x:c r="M296" s="31" t="str">
        <x:v>No</x:v>
      </x:c>
      <x:c r="N296" s="30" t="str"/>
      <x:c r="O296" s="30" t="str">
        <x:v>https://www.propertyguru.com.sg/listing/hdb-for-rent-429-clementi-avenue-3-60155193</x:v>
      </x:c>
    </x:row>
    <x:row r="297" ht="52" customHeight="1">
      <x:c r="A297" s="2" t="str">
        <x:v>S12</x:v>
      </x:c>
      <x:c r="B297" s="2" t="str">
        <x:v>S12-C16</x:v>
      </x:c>
      <x:c r="C297" s="2" t="str">
        <x:v>24981163</x:v>
      </x:c>
      <x:c r="D297" s="2" t="str">
        <x:v>Original</x:v>
      </x:c>
      <x:c r="E297" s="2" t="n">
        <x:v>3</x:v>
      </x:c>
      <x:c r="F297" s="26" t="n">
        <x:v>3800</x:v>
      </x:c>
      <x:c r="G297" s="27" t="n">
        <x:v>3</x:v>
      </x:c>
      <x:c r="H297" s="27" t="n">
        <x:v>1012</x:v>
      </x:c>
      <x:c r="I297" s="2" t="str">
        <x:v>D05</x:v>
      </x:c>
      <x:c r="J297" s="2" t="str">
        <x:v>HDB Flat</x:v>
      </x:c>
      <x:c r="K297" s="28" t="n">
        <x:v>2694.4217191512757</x:v>
      </x:c>
      <x:c r="L297" s="30" t="str">
        <x:v>Hard requirements pass. area 1,012 sqft, SGD 3,800/month. The preferred size is met with reasonable rent compared with other candidates.</x:v>
      </x:c>
      <x:c r="M297" s="31" t="str">
        <x:v>No</x:v>
      </x:c>
      <x:c r="N297" s="30" t="str"/>
      <x:c r="O297" s="30" t="str">
        <x:v>https://www.propertyguru.com.sg/listing/hdb-for-rent-381-clementi-avenue-5-24981163</x:v>
      </x:c>
    </x:row>
    <x:row r="298" ht="52" customHeight="1">
      <x:c r="A298" s="2" t="str">
        <x:v>S12</x:v>
      </x:c>
      <x:c r="B298" s="2" t="str">
        <x:v>S12-C17</x:v>
      </x:c>
      <x:c r="C298" s="2" t="str">
        <x:v>60004488</x:v>
      </x:c>
      <x:c r="D298" s="2" t="str">
        <x:v>Original</x:v>
      </x:c>
      <x:c r="E298" s="2" t="n">
        <x:v>2</x:v>
      </x:c>
      <x:c r="F298" s="26" t="n">
        <x:v>4200</x:v>
      </x:c>
      <x:c r="G298" s="27" t="n">
        <x:v>2</x:v>
      </x:c>
      <x:c r="H298" s="27" t="n">
        <x:v>861</x:v>
      </x:c>
      <x:c r="I298" s="2" t="str">
        <x:v>D05</x:v>
      </x:c>
      <x:c r="J298" s="2" t="str">
        <x:v>Condominium</x:v>
      </x:c>
      <x:c r="K298" s="28" t="n">
        <x:v>787.7480773146556</x:v>
      </x:c>
      <x:c r="L298" s="30" t="str">
        <x:v>Hard requirements pass. area 861 sqft, SGD 4,200/month. A modest shortfall in the soft size target; still a usable trade-off, not a hard failure.</x:v>
      </x:c>
      <x:c r="M298" s="31" t="str">
        <x:v>No</x:v>
      </x:c>
      <x:c r="N298" s="30" t="str"/>
      <x:c r="O298" s="30" t="str">
        <x:v>https://www.propertyguru.com.sg/listing/for-rent-murano-60004488</x:v>
      </x:c>
    </x:row>
    <x:row r="299" ht="52" customHeight="1">
      <x:c r="A299" s="2" t="str">
        <x:v>S12</x:v>
      </x:c>
      <x:c r="B299" s="2" t="str">
        <x:v>S12-C18</x:v>
      </x:c>
      <x:c r="C299" s="2" t="str">
        <x:v>500252038</x:v>
      </x:c>
      <x:c r="D299" s="2" t="str">
        <x:v>Original</x:v>
      </x:c>
      <x:c r="E299" s="2" t="n">
        <x:v>1</x:v>
      </x:c>
      <x:c r="F299" s="26" t="n">
        <x:v>4500</x:v>
      </x:c>
      <x:c r="G299" s="27" t="n">
        <x:v>2</x:v>
      </x:c>
      <x:c r="H299" s="27" t="n">
        <x:v>667</x:v>
      </x:c>
      <x:c r="I299" s="2" t="str">
        <x:v>D05</x:v>
      </x:c>
      <x:c r="J299" s="2" t="str">
        <x:v>Condominium</x:v>
      </x:c>
      <x:c r="K299" s="28" t="n">
        <x:v>1973.684297041878</x:v>
      </x:c>
      <x:c r="L299" s="30" t="str">
        <x:v>Hard requirements pass. area 667 sqft, SGD 4,500/month. The reported area misses the main size preference; distance is only a hard limit here.</x:v>
      </x:c>
      <x:c r="M299" s="31" t="str">
        <x:v>No</x:v>
      </x:c>
      <x:c r="N299" s="30" t="str"/>
      <x:c r="O299" s="30" t="str">
        <x:v>https://www.propertyguru.com.sg/listing/for-rent-normanton-park-500252038</x:v>
      </x:c>
    </x:row>
    <x:row r="300" ht="52" customHeight="1">
      <x:c r="A300" s="2" t="str">
        <x:v>S12</x:v>
      </x:c>
      <x:c r="B300" s="2" t="str">
        <x:v>S12-C19</x:v>
      </x:c>
      <x:c r="C300" s="2" t="str">
        <x:v>500276845</x:v>
      </x:c>
      <x:c r="D300" s="2" t="str">
        <x:v>Original</x:v>
      </x:c>
      <x:c r="E300" s="2" t="n">
        <x:v>1</x:v>
      </x:c>
      <x:c r="F300" s="26" t="n">
        <x:v>4200</x:v>
      </x:c>
      <x:c r="G300" s="27" t="n">
        <x:v>3</x:v>
      </x:c>
      <x:c r="H300" s="27" t="n">
        <x:v>700</x:v>
      </x:c>
      <x:c r="I300" s="2" t="str">
        <x:v>D03</x:v>
      </x:c>
      <x:c r="J300" s="2" t="str">
        <x:v>HDB Flat</x:v>
      </x:c>
      <x:c r="K300" s="28" t="n">
        <x:v>3635.8686345163965</x:v>
      </x:c>
      <x:c r="L300" s="30" t="str">
        <x:v>Hard requirements pass. area 700 sqft, SGD 4,200/month. The reported area misses the main size preference; distance is only a hard limit here.</x:v>
      </x:c>
      <x:c r="M300" s="31" t="str">
        <x:v>No</x:v>
      </x:c>
      <x:c r="N300" s="30" t="str"/>
      <x:c r="O300" s="30" t="str">
        <x:v>https://www.propertyguru.com.sg/listing/hdb-for-rent-37-jalan-rumah-tinggi-500276845</x:v>
      </x:c>
    </x:row>
    <x:row r="301" ht="52" customHeight="1">
      <x:c r="A301" s="2" t="str">
        <x:v>S12</x:v>
      </x:c>
      <x:c r="B301" s="2" t="str">
        <x:v>S12-C20</x:v>
      </x:c>
      <x:c r="C301" s="2" t="str">
        <x:v>500284281</x:v>
      </x:c>
      <x:c r="D301" s="2" t="str">
        <x:v>Original</x:v>
      </x:c>
      <x:c r="E301" s="2" t="str">
        <x:v>U</x:v>
      </x:c>
      <x:c r="F301" s="26" t="n">
        <x:v>3500</x:v>
      </x:c>
      <x:c r="G301" s="27" t="n">
        <x:v>2</x:v>
      </x:c>
      <x:c r="H301" s="27" t="n">
        <x:v>807</x:v>
      </x:c>
      <x:c r="I301" s="2" t="str">
        <x:v>D26</x:v>
      </x:c>
      <x:c r="J301" s="2" t="str">
        <x:v>Condominium</x:v>
      </x:c>
      <x:c r="K301" s="28"/>
      <x:c r="L301" s="30" t="str">
        <x:v>No known hard failure. Cannot verify: nus straight-line distance (m).</x:v>
      </x:c>
      <x:c r="M301" s="31" t="str">
        <x:v>No</x:v>
      </x:c>
      <x:c r="N301" s="30" t="str">
        <x:v>NUS straight-line distance (m) Unknown; required &lt;= 5,000.</x:v>
      </x:c>
      <x:c r="O301" s="30" t="str">
        <x:v>https://www.propertyguru.com.sg/listing/for-rent-bullion-park-500284281</x:v>
      </x:c>
    </x:row>
    <x:row r="302" ht="52" customHeight="1">
      <x:c r="A302" s="2" t="str">
        <x:v>S12</x:v>
      </x:c>
      <x:c r="B302" s="2" t="str">
        <x:v>S12-C21</x:v>
      </x:c>
      <x:c r="C302" s="2" t="str">
        <x:v>500262756</x:v>
      </x:c>
      <x:c r="D302" s="2" t="str">
        <x:v>Original</x:v>
      </x:c>
      <x:c r="E302" s="2" t="n">
        <x:v>1</x:v>
      </x:c>
      <x:c r="F302" s="26" t="n">
        <x:v>3000</x:v>
      </x:c>
      <x:c r="G302" s="27" t="n">
        <x:v>2</x:v>
      </x:c>
      <x:c r="H302" s="27" t="n">
        <x:v>699</x:v>
      </x:c>
      <x:c r="I302" s="2" t="str">
        <x:v>D05</x:v>
      </x:c>
      <x:c r="J302" s="2" t="str">
        <x:v>HDB Flat</x:v>
      </x:c>
      <x:c r="K302" s="28" t="n">
        <x:v>971.6194119235158</x:v>
      </x:c>
      <x:c r="L302" s="30" t="str">
        <x:v>Hard requirements pass. area 699 sqft, SGD 3,000/month. The reported area misses the main size preference; distance is only a hard limit here.</x:v>
      </x:c>
      <x:c r="M302" s="31" t="str">
        <x:v>No</x:v>
      </x:c>
      <x:c r="N302" s="30" t="str"/>
      <x:c r="O302" s="30" t="str">
        <x:v>https://www.propertyguru.com.sg/listing/hdb-for-rent-2-dover-road-500262756</x:v>
      </x:c>
    </x:row>
    <x:row r="303" ht="52" customHeight="1">
      <x:c r="A303" s="2" t="str">
        <x:v>S12</x:v>
      </x:c>
      <x:c r="B303" s="2" t="str">
        <x:v>S12-C22</x:v>
      </x:c>
      <x:c r="C303" s="2" t="str">
        <x:v>18689152</x:v>
      </x:c>
      <x:c r="D303" s="2" t="str">
        <x:v>Original</x:v>
      </x:c>
      <x:c r="E303" s="2" t="n">
        <x:v>3</x:v>
      </x:c>
      <x:c r="F303" s="26" t="n">
        <x:v>3350</x:v>
      </x:c>
      <x:c r="G303" s="27" t="n">
        <x:v>2</x:v>
      </x:c>
      <x:c r="H303" s="27" t="n">
        <x:v>969</x:v>
      </x:c>
      <x:c r="I303" s="2" t="str">
        <x:v>D05</x:v>
      </x:c>
      <x:c r="J303" s="2" t="str">
        <x:v>HDB Flat</x:v>
      </x:c>
      <x:c r="K303" s="28" t="n">
        <x:v>2447.2827690604304</x:v>
      </x:c>
      <x:c r="L303" s="30" t="str">
        <x:v>Hard requirements pass. area 969 sqft, SGD 3,350/month. The preferred size is met with reasonable rent compared with other candidates.</x:v>
      </x:c>
      <x:c r="M303" s="31" t="str">
        <x:v>No</x:v>
      </x:c>
      <x:c r="N303" s="30" t="str"/>
      <x:c r="O303" s="30" t="str">
        <x:v>https://www.propertyguru.com.sg/listing/hdb-for-rent-508-west-coast-drive-18689152</x:v>
      </x:c>
    </x:row>
    <x:row r="304" ht="52" customHeight="1">
      <x:c r="A304" s="2" t="str">
        <x:v>S12</x:v>
      </x:c>
      <x:c r="B304" s="2" t="str">
        <x:v>S12-C23</x:v>
      </x:c>
      <x:c r="C304" s="2" t="str">
        <x:v>500257944</x:v>
      </x:c>
      <x:c r="D304" s="2" t="str">
        <x:v>Original</x:v>
      </x:c>
      <x:c r="E304" s="2" t="n">
        <x:v>0</x:v>
      </x:c>
      <x:c r="F304" s="26" t="n">
        <x:v>4200</x:v>
      </x:c>
      <x:c r="G304" s="27" t="n">
        <x:v>1</x:v>
      </x:c>
      <x:c r="H304" s="27" t="n">
        <x:v>517</x:v>
      </x:c>
      <x:c r="I304" s="2" t="str">
        <x:v>D05</x:v>
      </x:c>
      <x:c r="J304" s="2" t="str">
        <x:v>Condominium</x:v>
      </x:c>
      <x:c r="K304" s="28" t="n">
        <x:v>1518.5729982264938</x:v>
      </x:c>
      <x:c r="L304" s="30" t="str">
        <x:v>Hard failure: Reported bedrooms 1; required &gt;= 2.</x:v>
      </x:c>
      <x:c r="M304" s="31" t="str">
        <x:v>No</x:v>
      </x:c>
      <x:c r="N304" s="30" t="str"/>
      <x:c r="O304" s="30" t="str">
        <x:v>https://www.propertyguru.com.sg/listing/for-rent-one-north-eden-500257944</x:v>
      </x:c>
    </x:row>
    <x:row r="305" ht="52" customHeight="1">
      <x:c r="A305" s="2" t="str">
        <x:v>S12</x:v>
      </x:c>
      <x:c r="B305" s="2" t="str">
        <x:v>S12-C24</x:v>
      </x:c>
      <x:c r="C305" s="2" t="str">
        <x:v>6995669</x:v>
      </x:c>
      <x:c r="D305" s="2" t="str">
        <x:v>Original</x:v>
      </x:c>
      <x:c r="E305" s="2" t="n">
        <x:v>1</x:v>
      </x:c>
      <x:c r="F305" s="26" t="n">
        <x:v>3500</x:v>
      </x:c>
      <x:c r="G305" s="27" t="n">
        <x:v>2</x:v>
      </x:c>
      <x:c r="H305" s="27" t="n">
        <x:v>706</x:v>
      </x:c>
      <x:c r="I305" s="2" t="str">
        <x:v>D05</x:v>
      </x:c>
      <x:c r="J305" s="2" t="str">
        <x:v>HDB Flat</x:v>
      </x:c>
      <x:c r="K305" s="28" t="n">
        <x:v>2473.5188274195716</x:v>
      </x:c>
      <x:c r="L305" s="30" t="str">
        <x:v>Hard requirements pass. area 706 sqft, SGD 3,500/month. The reported area misses the main size preference; distance is only a hard limit here.</x:v>
      </x:c>
      <x:c r="M305" s="31" t="str">
        <x:v>No</x:v>
      </x:c>
      <x:c r="N305" s="30" t="str"/>
      <x:c r="O305" s="30" t="str">
        <x:v>https://www.propertyguru.com.sg/listing/hdb-for-rent-509-west-coast-drive-6995669</x:v>
      </x:c>
    </x:row>
    <x:row r="306" ht="52" customHeight="1">
      <x:c r="A306" s="2" t="str">
        <x:v>S12</x:v>
      </x:c>
      <x:c r="B306" s="2" t="str">
        <x:v>S12-C25</x:v>
      </x:c>
      <x:c r="C306" s="2" t="str">
        <x:v>20945749</x:v>
      </x:c>
      <x:c r="D306" s="2" t="str">
        <x:v>Original</x:v>
      </x:c>
      <x:c r="E306" s="2" t="n">
        <x:v>1</x:v>
      </x:c>
      <x:c r="F306" s="26" t="n">
        <x:v>3200</x:v>
      </x:c>
      <x:c r="G306" s="27" t="n">
        <x:v>2</x:v>
      </x:c>
      <x:c r="H306" s="27" t="n">
        <x:v>700</x:v>
      </x:c>
      <x:c r="I306" s="2" t="str">
        <x:v>D05</x:v>
      </x:c>
      <x:c r="J306" s="2" t="str">
        <x:v>HDB Flat</x:v>
      </x:c>
      <x:c r="K306" s="28" t="n">
        <x:v>960.6929142032941</x:v>
      </x:c>
      <x:c r="L306" s="30" t="str">
        <x:v>Hard requirements pass. area 700 sqft, SGD 3,200/month. The reported area misses the main size preference; distance is only a hard limit here.</x:v>
      </x:c>
      <x:c r="M306" s="31" t="str">
        <x:v>No</x:v>
      </x:c>
      <x:c r="N306" s="30" t="str"/>
      <x:c r="O306" s="30" t="str">
        <x:v>https://www.propertyguru.com.sg/listing/hdb-for-rent-1-dover-road-20945749</x:v>
      </x:c>
    </x:row>
    <x:row r="307" ht="52" customHeight="1">
      <x:c r="A307" s="2" t="str">
        <x:v>S13</x:v>
      </x:c>
      <x:c r="B307" s="2" t="str">
        <x:v>S13-C01</x:v>
      </x:c>
      <x:c r="C307" s="2" t="str">
        <x:v>24866516</x:v>
      </x:c>
      <x:c r="D307" s="2" t="str">
        <x:v>Original</x:v>
      </x:c>
      <x:c r="E307" s="2" t="n">
        <x:v>2</x:v>
      </x:c>
      <x:c r="F307" s="26" t="n">
        <x:v>3000</x:v>
      </x:c>
      <x:c r="G307" s="27" t="n">
        <x:v>2</x:v>
      </x:c>
      <x:c r="H307" s="27" t="n">
        <x:v>700</x:v>
      </x:c>
      <x:c r="I307" s="2" t="str">
        <x:v>D10</x:v>
      </x:c>
      <x:c r="J307" s="2" t="str">
        <x:v>HDB Flat</x:v>
      </x:c>
      <x:c r="K307" s="28" t="n">
        <x:v>2146.023016219489</x:v>
      </x:c>
      <x:c r="L307" s="30" t="str">
        <x:v>Hard requirements pass. NUS 2,146.02 m straight-line, SGD 3,000/month. Relatively close, with a rent trade-off against cheaper near-campus choices.</x:v>
      </x:c>
      <x:c r="M307" s="31" t="str">
        <x:v>No</x:v>
      </x:c>
      <x:c r="N307" s="30" t="str"/>
      <x:c r="O307" s="30" t="str">
        <x:v>https://www.propertyguru.com.sg/listing/hdb-for-rent-6-ghim-moh-road-24866516</x:v>
      </x:c>
    </x:row>
    <x:row r="308" ht="52" customHeight="1">
      <x:c r="A308" s="2" t="str">
        <x:v>S13</x:v>
      </x:c>
      <x:c r="B308" s="2" t="str">
        <x:v>S13-C02</x:v>
      </x:c>
      <x:c r="C308" s="2" t="str">
        <x:v>21026007</x:v>
      </x:c>
      <x:c r="D308" s="2" t="str">
        <x:v>Original</x:v>
      </x:c>
      <x:c r="E308" s="2" t="n">
        <x:v>1</x:v>
      </x:c>
      <x:c r="F308" s="26" t="n">
        <x:v>450</x:v>
      </x:c>
      <x:c r="G308" s="27" t="n">
        <x:v>3</x:v>
      </x:c>
      <x:c r="H308" s="27" t="n">
        <x:v>100</x:v>
      </x:c>
      <x:c r="I308" s="2" t="str">
        <x:v>D25</x:v>
      </x:c>
      <x:c r="J308" s="2" t="str">
        <x:v>HDB Flat</x:v>
      </x:c>
      <x:c r="K308" s="28" t="n">
        <x:v>16744.33025757308</x:v>
      </x:c>
      <x:c r="L308" s="30" t="str">
        <x:v>Hard requirements pass. NUS 16,744.33 m straight-line, SGD 450/month. The long straight-line distance weakens the primary preference, despite any rent savings.</x:v>
      </x:c>
      <x:c r="M308" s="31" t="str">
        <x:v>Yes</x:v>
      </x:c>
      <x:c r="N308" s="30" t="str">
        <x:v>At least 2 reported bedrooms with &lt;200 sqft; verify room/whole-unit scope and units.</x:v>
      </x:c>
      <x:c r="O308" s="30" t="str">
        <x:v>https://www.propertyguru.com.sg/listing/hdb-for-rent-764a-woodlands-circle-21026007</x:v>
      </x:c>
    </x:row>
    <x:row r="309" ht="52" customHeight="1">
      <x:c r="A309" s="2" t="str">
        <x:v>S13</x:v>
      </x:c>
      <x:c r="B309" s="2" t="str">
        <x:v>S13-C03</x:v>
      </x:c>
      <x:c r="C309" s="2" t="str">
        <x:v>500226876</x:v>
      </x:c>
      <x:c r="D309" s="2" t="str">
        <x:v>Original</x:v>
      </x:c>
      <x:c r="E309" s="2" t="n">
        <x:v>3</x:v>
      </x:c>
      <x:c r="F309" s="26" t="n">
        <x:v>1100</x:v>
      </x:c>
      <x:c r="G309" s="27" t="n">
        <x:v>1</x:v>
      </x:c>
      <x:c r="H309" s="27" t="n">
        <x:v>118</x:v>
      </x:c>
      <x:c r="I309" s="2" t="str">
        <x:v>D10</x:v>
      </x:c>
      <x:c r="J309" s="2" t="str">
        <x:v>HDB Flat</x:v>
      </x:c>
      <x:c r="K309" s="28" t="n">
        <x:v>2212.1666126829746</x:v>
      </x:c>
      <x:c r="L309" s="30" t="str">
        <x:v>Hard requirements pass. NUS 2,212.17 m straight-line, SGD 1,100/month. Relatively close to NUS with lower rent than the near-campus options at the cap.</x:v>
      </x:c>
      <x:c r="M309" s="31" t="str">
        <x:v>No</x:v>
      </x:c>
      <x:c r="N309" s="30" t="str"/>
      <x:c r="O309" s="30" t="str">
        <x:v>https://www.propertyguru.com.sg/listing/hdb-for-rent-8-holland-avenue-500226876</x:v>
      </x:c>
    </x:row>
    <x:row r="310" ht="52" customHeight="1">
      <x:c r="A310" s="2" t="str">
        <x:v>S13</x:v>
      </x:c>
      <x:c r="B310" s="2" t="str">
        <x:v>S13-C04</x:v>
      </x:c>
      <x:c r="C310" s="2" t="str">
        <x:v>20617351</x:v>
      </x:c>
      <x:c r="D310" s="2" t="str">
        <x:v>Original</x:v>
      </x:c>
      <x:c r="E310" s="2" t="n">
        <x:v>2</x:v>
      </x:c>
      <x:c r="F310" s="26" t="n">
        <x:v>3000</x:v>
      </x:c>
      <x:c r="G310" s="27" t="n">
        <x:v>2</x:v>
      </x:c>
      <x:c r="H310" s="27" t="n">
        <x:v>700</x:v>
      </x:c>
      <x:c r="I310" s="2" t="str">
        <x:v>D05</x:v>
      </x:c>
      <x:c r="J310" s="2" t="str">
        <x:v>HDB Flat</x:v>
      </x:c>
      <x:c r="K310" s="28" t="n">
        <x:v>2082.804536225351</x:v>
      </x:c>
      <x:c r="L310" s="30" t="str">
        <x:v>Hard requirements pass. NUS 2,082.8 m straight-line, SGD 3,000/month. Relatively close, with a rent trade-off against cheaper near-campus choices.</x:v>
      </x:c>
      <x:c r="M310" s="31" t="str">
        <x:v>No</x:v>
      </x:c>
      <x:c r="N310" s="30" t="str"/>
      <x:c r="O310" s="30" t="str">
        <x:v>https://www.propertyguru.com.sg/listing/hdb-for-rent-354-clementi-avenue-2-20617351</x:v>
      </x:c>
    </x:row>
    <x:row r="311" ht="52" customHeight="1">
      <x:c r="A311" s="2" t="str">
        <x:v>S13</x:v>
      </x:c>
      <x:c r="B311" s="2" t="str">
        <x:v>S13-C05</x:v>
      </x:c>
      <x:c r="C311" s="2" t="str">
        <x:v>500262756</x:v>
      </x:c>
      <x:c r="D311" s="2" t="str">
        <x:v>Original</x:v>
      </x:c>
      <x:c r="E311" s="2" t="n">
        <x:v>3</x:v>
      </x:c>
      <x:c r="F311" s="26" t="n">
        <x:v>3000</x:v>
      </x:c>
      <x:c r="G311" s="27" t="n">
        <x:v>2</x:v>
      </x:c>
      <x:c r="H311" s="27" t="n">
        <x:v>699</x:v>
      </x:c>
      <x:c r="I311" s="2" t="str">
        <x:v>D05</x:v>
      </x:c>
      <x:c r="J311" s="2" t="str">
        <x:v>HDB Flat</x:v>
      </x:c>
      <x:c r="K311" s="28" t="n">
        <x:v>971.6194119235158</x:v>
      </x:c>
      <x:c r="L311" s="30" t="str">
        <x:v>Hard requirements pass. NUS 971.62 m straight-line, SGD 3,000/month. The closest verified option in this set; the high rent is the proximity-first trade-off.</x:v>
      </x:c>
      <x:c r="M311" s="31" t="str">
        <x:v>No</x:v>
      </x:c>
      <x:c r="N311" s="30" t="str"/>
      <x:c r="O311" s="30" t="str">
        <x:v>https://www.propertyguru.com.sg/listing/hdb-for-rent-2-dover-road-500262756</x:v>
      </x:c>
    </x:row>
    <x:row r="312" ht="52" customHeight="1">
      <x:c r="A312" s="2" t="str">
        <x:v>S13</x:v>
      </x:c>
      <x:c r="B312" s="2" t="str">
        <x:v>S13-C06</x:v>
      </x:c>
      <x:c r="C312" s="2" t="str">
        <x:v>24124291</x:v>
      </x:c>
      <x:c r="D312" s="2" t="str">
        <x:v>Original</x:v>
      </x:c>
      <x:c r="E312" s="2" t="n">
        <x:v>1</x:v>
      </x:c>
      <x:c r="F312" s="26" t="n">
        <x:v>2850</x:v>
      </x:c>
      <x:c r="G312" s="27" t="n">
        <x:v>1</x:v>
      </x:c>
      <x:c r="H312" s="27" t="n">
        <x:v>409</x:v>
      </x:c>
      <x:c r="I312" s="2" t="str">
        <x:v>D14</x:v>
      </x:c>
      <x:c r="J312" s="2" t="str">
        <x:v>Condominium</x:v>
      </x:c>
      <x:c r="K312" s="28"/>
      <x:c r="L312" s="30" t="str">
        <x:v>Hard requirements pass. NUS Unknown m straight-line, SGD 2,850/month. The primary proximity preference cannot be verified; missing soft evidence is not a hard failure.</x:v>
      </x:c>
      <x:c r="M312" s="31" t="str">
        <x:v>No</x:v>
      </x:c>
      <x:c r="N312" s="30" t="str">
        <x:v>Soft evidence missing: nus straight-line distance (m).</x:v>
      </x:c>
      <x:c r="O312" s="30" t="str">
        <x:v>https://www.propertyguru.com.sg/listing/for-rent-prime-residence-24124291</x:v>
      </x:c>
    </x:row>
    <x:row r="313" ht="52" customHeight="1">
      <x:c r="A313" s="2" t="str">
        <x:v>S13</x:v>
      </x:c>
      <x:c r="B313" s="2" t="str">
        <x:v>S13-C07</x:v>
      </x:c>
      <x:c r="C313" s="2" t="str">
        <x:v>23839651</x:v>
      </x:c>
      <x:c r="D313" s="2" t="str">
        <x:v>Original</x:v>
      </x:c>
      <x:c r="E313" s="2" t="n">
        <x:v>3</x:v>
      </x:c>
      <x:c r="F313" s="26" t="n">
        <x:v>1450</x:v>
      </x:c>
      <x:c r="G313" s="27" t="n">
        <x:v>1</x:v>
      </x:c>
      <x:c r="H313" s="27" t="n">
        <x:v>721</x:v>
      </x:c>
      <x:c r="I313" s="2" t="str">
        <x:v>D05</x:v>
      </x:c>
      <x:c r="J313" s="2" t="str">
        <x:v>HDB Flat</x:v>
      </x:c>
      <x:c r="K313" s="28" t="n">
        <x:v>2206.2104936862142</x:v>
      </x:c>
      <x:c r="L313" s="30" t="str">
        <x:v>Hard requirements pass. NUS 2,206.21 m straight-line, SGD 1,450/month. Relatively close to NUS with lower rent than the near-campus options at the cap.</x:v>
      </x:c>
      <x:c r="M313" s="31" t="str">
        <x:v>No</x:v>
      </x:c>
      <x:c r="N313" s="30" t="str"/>
      <x:c r="O313" s="30" t="str">
        <x:v>https://www.propertyguru.com.sg/listing/hdb-for-rent-701-west-coast-road-23839651</x:v>
      </x:c>
    </x:row>
    <x:row r="314" ht="52" customHeight="1">
      <x:c r="A314" s="2" t="str">
        <x:v>S13</x:v>
      </x:c>
      <x:c r="B314" s="2" t="str">
        <x:v>S13-C08</x:v>
      </x:c>
      <x:c r="C314" s="2" t="str">
        <x:v>25280744</x:v>
      </x:c>
      <x:c r="D314" s="2" t="str">
        <x:v>Original</x:v>
      </x:c>
      <x:c r="E314" s="2" t="n">
        <x:v>0</x:v>
      </x:c>
      <x:c r="F314" s="26" t="n">
        <x:v>3050</x:v>
      </x:c>
      <x:c r="G314" s="27" t="n">
        <x:v>1</x:v>
      </x:c>
      <x:c r="H314" s="27" t="n">
        <x:v>494</x:v>
      </x:c>
      <x:c r="I314" s="2" t="str">
        <x:v>D18</x:v>
      </x:c>
      <x:c r="J314" s="2" t="str">
        <x:v>Condominium</x:v>
      </x:c>
      <x:c r="K314" s="28"/>
      <x:c r="L314" s="30" t="str">
        <x:v>Hard failure: Rent (SGD/month) 3,050; required &lt;= 3,000.</x:v>
      </x:c>
      <x:c r="M314" s="31" t="str">
        <x:v>No</x:v>
      </x:c>
      <x:c r="N314" s="30" t="str">
        <x:v>Soft evidence missing: nus straight-line distance (m).</x:v>
      </x:c>
      <x:c r="O314" s="30" t="str">
        <x:v>https://www.propertyguru.com.sg/listing/for-rent-the-alps-residences-25280744</x:v>
      </x:c>
    </x:row>
    <x:row r="315" ht="52" customHeight="1">
      <x:c r="A315" s="2" t="str">
        <x:v>S13</x:v>
      </x:c>
      <x:c r="B315" s="2" t="str">
        <x:v>S13-C09</x:v>
      </x:c>
      <x:c r="C315" s="2" t="str">
        <x:v>25301156</x:v>
      </x:c>
      <x:c r="D315" s="2" t="str">
        <x:v>Original</x:v>
      </x:c>
      <x:c r="E315" s="2" t="n">
        <x:v>0</x:v>
      </x:c>
      <x:c r="F315" s="26" t="n">
        <x:v>3050</x:v>
      </x:c>
      <x:c r="G315" s="27" t="n">
        <x:v>1</x:v>
      </x:c>
      <x:c r="H315" s="27" t="n">
        <x:v>495</x:v>
      </x:c>
      <x:c r="I315" s="2" t="str">
        <x:v>D18</x:v>
      </x:c>
      <x:c r="J315" s="2" t="str">
        <x:v>Condominium</x:v>
      </x:c>
      <x:c r="K315" s="28"/>
      <x:c r="L315" s="30" t="str">
        <x:v>Hard failure: Rent (SGD/month) 3,050; required &lt;= 3,000.</x:v>
      </x:c>
      <x:c r="M315" s="31" t="str">
        <x:v>No</x:v>
      </x:c>
      <x:c r="N315" s="30" t="str">
        <x:v>Soft evidence missing: nus straight-line distance (m).</x:v>
      </x:c>
      <x:c r="O315" s="30" t="str">
        <x:v>https://www.propertyguru.com.sg/listing/for-rent-the-alps-residences-25301156</x:v>
      </x:c>
    </x:row>
    <x:row r="316" ht="52" customHeight="1">
      <x:c r="A316" s="2" t="str">
        <x:v>S13</x:v>
      </x:c>
      <x:c r="B316" s="2" t="str">
        <x:v>S13-C10</x:v>
      </x:c>
      <x:c r="C316" s="2" t="str">
        <x:v>500040526</x:v>
      </x:c>
      <x:c r="D316" s="2" t="str">
        <x:v>Original</x:v>
      </x:c>
      <x:c r="E316" s="2" t="str">
        <x:v>U</x:v>
      </x:c>
      <x:c r="F316" s="26" t="n">
        <x:v>2500</x:v>
      </x:c>
      <x:c r="G316" s="27"/>
      <x:c r="H316" s="27" t="n">
        <x:v>209</x:v>
      </x:c>
      <x:c r="I316" s="2" t="str">
        <x:v>D09</x:v>
      </x:c>
      <x:c r="J316" s="2" t="str">
        <x:v>Apartment</x:v>
      </x:c>
      <x:c r="K316" s="28"/>
      <x:c r="L316" s="30" t="str">
        <x:v>No known hard failure. Cannot verify: reported bedrooms.</x:v>
      </x:c>
      <x:c r="M316" s="31" t="str">
        <x:v>No</x:v>
      </x:c>
      <x:c r="N316" s="30" t="str">
        <x:v>Reported bedrooms Unknown; required &gt;= 1. Soft evidence missing: nus straight-line distance (m).</x:v>
      </x:c>
      <x:c r="O316" s="30" t="str">
        <x:v>https://www.propertyguru.com.sg/listing/for-rent-336-river-valley-500040526</x:v>
      </x:c>
    </x:row>
    <x:row r="317" ht="52" customHeight="1">
      <x:c r="A317" s="2" t="str">
        <x:v>S13</x:v>
      </x:c>
      <x:c r="B317" s="2" t="str">
        <x:v>S13-C11</x:v>
      </x:c>
      <x:c r="C317" s="2" t="str">
        <x:v>500271126</x:v>
      </x:c>
      <x:c r="D317" s="2" t="str">
        <x:v>Original</x:v>
      </x:c>
      <x:c r="E317" s="2" t="n">
        <x:v>1</x:v>
      </x:c>
      <x:c r="F317" s="26" t="n">
        <x:v>1100</x:v>
      </x:c>
      <x:c r="G317" s="27" t="n">
        <x:v>1</x:v>
      </x:c>
      <x:c r="H317" s="27" t="n">
        <x:v>107</x:v>
      </x:c>
      <x:c r="I317" s="2" t="str">
        <x:v>D12</x:v>
      </x:c>
      <x:c r="J317" s="2" t="str">
        <x:v>HDB Flat</x:v>
      </x:c>
      <x:c r="K317" s="28" t="n">
        <x:v>9474.465439875728</x:v>
      </x:c>
      <x:c r="L317" s="30" t="str">
        <x:v>Hard requirements pass. NUS 9,474.47 m straight-line, SGD 1,100/month. The long straight-line distance weakens the primary preference, despite any rent savings.</x:v>
      </x:c>
      <x:c r="M317" s="31" t="str">
        <x:v>No</x:v>
      </x:c>
      <x:c r="N317" s="30" t="str"/>
      <x:c r="O317" s="30" t="str">
        <x:v>https://www.propertyguru.com.sg/listing/hdb-for-rent-10a-bendemeer-light-500271126</x:v>
      </x:c>
    </x:row>
    <x:row r="318" ht="52" customHeight="1">
      <x:c r="A318" s="2" t="str">
        <x:v>S13</x:v>
      </x:c>
      <x:c r="B318" s="2" t="str">
        <x:v>S13-C12</x:v>
      </x:c>
      <x:c r="C318" s="2" t="str">
        <x:v>23368920</x:v>
      </x:c>
      <x:c r="D318" s="2" t="str">
        <x:v>Original</x:v>
      </x:c>
      <x:c r="E318" s="2" t="n">
        <x:v>3</x:v>
      </x:c>
      <x:c r="F318" s="26" t="n">
        <x:v>1300</x:v>
      </x:c>
      <x:c r="G318" s="27" t="n">
        <x:v>1</x:v>
      </x:c>
      <x:c r="H318" s="27" t="n">
        <x:v>102</x:v>
      </x:c>
      <x:c r="I318" s="2" t="str">
        <x:v>D10</x:v>
      </x:c>
      <x:c r="J318" s="2" t="str">
        <x:v>HDB Flat</x:v>
      </x:c>
      <x:c r="K318" s="28" t="n">
        <x:v>2263.816840589892</x:v>
      </x:c>
      <x:c r="L318" s="30" t="str">
        <x:v>Hard requirements pass. NUS 2,263.82 m straight-line, SGD 1,300/month. Relatively close to NUS with lower rent than the near-campus options at the cap.</x:v>
      </x:c>
      <x:c r="M318" s="31" t="str">
        <x:v>No</x:v>
      </x:c>
      <x:c r="N318" s="30" t="str"/>
      <x:c r="O318" s="30" t="str">
        <x:v>https://www.propertyguru.com.sg/listing/hdb-for-rent-18d-holland-drive-23368920</x:v>
      </x:c>
    </x:row>
    <x:row r="319" ht="52" customHeight="1">
      <x:c r="A319" s="2" t="str">
        <x:v>S13</x:v>
      </x:c>
      <x:c r="B319" s="2" t="str">
        <x:v>S13-C13</x:v>
      </x:c>
      <x:c r="C319" s="2" t="str">
        <x:v>500259227</x:v>
      </x:c>
      <x:c r="D319" s="2" t="str">
        <x:v>Original</x:v>
      </x:c>
      <x:c r="E319" s="2" t="n">
        <x:v>2</x:v>
      </x:c>
      <x:c r="F319" s="26" t="n">
        <x:v>3000</x:v>
      </x:c>
      <x:c r="G319" s="27" t="n">
        <x:v>2</x:v>
      </x:c>
      <x:c r="H319" s="27" t="n">
        <x:v>743</x:v>
      </x:c>
      <x:c r="I319" s="2" t="str">
        <x:v>D03</x:v>
      </x:c>
      <x:c r="J319" s="2" t="str">
        <x:v>HDB Flat</x:v>
      </x:c>
      <x:c r="K319" s="28" t="n">
        <x:v>2658.9679524030066</x:v>
      </x:c>
      <x:c r="L319" s="30" t="str">
        <x:v>Hard requirements pass. NUS 2,658.97 m straight-line, SGD 3,000/month. Relatively close, with a rent trade-off against cheaper near-campus choices.</x:v>
      </x:c>
      <x:c r="M319" s="31" t="str">
        <x:v>No</x:v>
      </x:c>
      <x:c r="N319" s="30" t="str"/>
      <x:c r="O319" s="30" t="str">
        <x:v>https://www.propertyguru.com.sg/listing/hdb-for-rent-89-commonwealth-drive-500259227</x:v>
      </x:c>
    </x:row>
    <x:row r="320" ht="52" customHeight="1">
      <x:c r="A320" s="2" t="str">
        <x:v>S13</x:v>
      </x:c>
      <x:c r="B320" s="2" t="str">
        <x:v>S13-C14</x:v>
      </x:c>
      <x:c r="C320" s="2" t="str">
        <x:v>500283865</x:v>
      </x:c>
      <x:c r="D320" s="2" t="str">
        <x:v>Original</x:v>
      </x:c>
      <x:c r="E320" s="2" t="n">
        <x:v>0</x:v>
      </x:c>
      <x:c r="F320" s="26" t="n">
        <x:v>3050</x:v>
      </x:c>
      <x:c r="G320" s="27" t="n">
        <x:v>1</x:v>
      </x:c>
      <x:c r="H320" s="27" t="n">
        <x:v>506</x:v>
      </x:c>
      <x:c r="I320" s="2" t="str">
        <x:v>D19</x:v>
      </x:c>
      <x:c r="J320" s="2" t="str">
        <x:v>HDB Flat</x:v>
      </x:c>
      <x:c r="K320" s="28" t="n">
        <x:v>15345.784211293674</x:v>
      </x:c>
      <x:c r="L320" s="30" t="str">
        <x:v>Hard failure: Rent (SGD/month) 3,050; required &lt;= 3,000.</x:v>
      </x:c>
      <x:c r="M320" s="31" t="str">
        <x:v>No</x:v>
      </x:c>
      <x:c r="N320" s="30" t="str"/>
      <x:c r="O320" s="30" t="str">
        <x:v>https://www.propertyguru.com.sg/listing/hdb-for-rent-993a-buangkok-link-500283865</x:v>
      </x:c>
    </x:row>
    <x:row r="321" ht="52" customHeight="1">
      <x:c r="A321" s="2" t="str">
        <x:v>S13</x:v>
      </x:c>
      <x:c r="B321" s="2" t="str">
        <x:v>S13-C15</x:v>
      </x:c>
      <x:c r="C321" s="2" t="str">
        <x:v>60204777</x:v>
      </x:c>
      <x:c r="D321" s="2" t="str">
        <x:v>Original</x:v>
      </x:c>
      <x:c r="E321" s="2" t="n">
        <x:v>0</x:v>
      </x:c>
      <x:c r="F321" s="26" t="n">
        <x:v>1449</x:v>
      </x:c>
      <x:c r="G321" s="27" t="n">
        <x:v>0</x:v>
      </x:c>
      <x:c r="H321" s="27"/>
      <x:c r="I321" s="2" t="str">
        <x:v>D01</x:v>
      </x:c>
      <x:c r="J321" s="2" t="str">
        <x:v>Condominium</x:v>
      </x:c>
      <x:c r="K321" s="28"/>
      <x:c r="L321" s="30" t="str">
        <x:v>Hard failure: Reported bedrooms 0; required &gt;= 1.</x:v>
      </x:c>
      <x:c r="M321" s="31" t="str">
        <x:v>No</x:v>
      </x:c>
      <x:c r="N321" s="30" t="str">
        <x:v>Soft evidence missing: nus straight-line distance (m).</x:v>
      </x:c>
      <x:c r="O321" s="30" t="str">
        <x:v>https://www.propertyguru.com.sg/listing/for-rent-emerald-garden-60204777</x:v>
      </x:c>
    </x:row>
    <x:row r="322" ht="52" customHeight="1">
      <x:c r="A322" s="2" t="str">
        <x:v>S13</x:v>
      </x:c>
      <x:c r="B322" s="2" t="str">
        <x:v>S13-C16</x:v>
      </x:c>
      <x:c r="C322" s="2" t="str">
        <x:v>500272523</x:v>
      </x:c>
      <x:c r="D322" s="2" t="str">
        <x:v>Original</x:v>
      </x:c>
      <x:c r="E322" s="2" t="str">
        <x:v>U</x:v>
      </x:c>
      <x:c r="F322" s="26" t="n">
        <x:v>2800</x:v>
      </x:c>
      <x:c r="G322" s="27"/>
      <x:c r="H322" s="27" t="n">
        <x:v>280</x:v>
      </x:c>
      <x:c r="I322" s="2" t="str">
        <x:v>D15</x:v>
      </x:c>
      <x:c r="J322" s="2" t="str">
        <x:v>Condominium</x:v>
      </x:c>
      <x:c r="K322" s="28"/>
      <x:c r="L322" s="30" t="str">
        <x:v>No known hard failure. Cannot verify: reported bedrooms.</x:v>
      </x:c>
      <x:c r="M322" s="31" t="str">
        <x:v>No</x:v>
      </x:c>
      <x:c r="N322" s="30" t="str">
        <x:v>Reported bedrooms Unknown; required &gt;= 1. Soft evidence missing: nus straight-line distance (m).</x:v>
      </x:c>
      <x:c r="O322" s="30" t="str">
        <x:v>https://www.propertyguru.com.sg/listing/for-rent-grand-dunman-500272523</x:v>
      </x:c>
    </x:row>
    <x:row r="323" ht="52" customHeight="1">
      <x:c r="A323" s="2" t="str">
        <x:v>S13</x:v>
      </x:c>
      <x:c r="B323" s="2" t="str">
        <x:v>S13-C17</x:v>
      </x:c>
      <x:c r="C323" s="2" t="str">
        <x:v>500273063</x:v>
      </x:c>
      <x:c r="D323" s="2" t="str">
        <x:v>Original</x:v>
      </x:c>
      <x:c r="E323" s="2" t="n">
        <x:v>1</x:v>
      </x:c>
      <x:c r="F323" s="26" t="n">
        <x:v>1200</x:v>
      </x:c>
      <x:c r="G323" s="27" t="n">
        <x:v>1</x:v>
      </x:c>
      <x:c r="H323" s="27" t="n">
        <x:v>107</x:v>
      </x:c>
      <x:c r="I323" s="2" t="str">
        <x:v>D12</x:v>
      </x:c>
      <x:c r="J323" s="2" t="str">
        <x:v>HDB Flat</x:v>
      </x:c>
      <x:c r="K323" s="28" t="n">
        <x:v>9903.986414805386</x:v>
      </x:c>
      <x:c r="L323" s="30" t="str">
        <x:v>Hard requirements pass. NUS 9,903.99 m straight-line, SGD 1,200/month. The long straight-line distance weakens the primary preference, despite any rent savings.</x:v>
      </x:c>
      <x:c r="M323" s="31" t="str">
        <x:v>No</x:v>
      </x:c>
      <x:c r="N323" s="30" t="str"/>
      <x:c r="O323" s="30" t="str">
        <x:v>https://www.propertyguru.com.sg/listing/hdb-for-rent-26a-saint-george-s-lane-500273063</x:v>
      </x:c>
    </x:row>
    <x:row r="324" ht="52" customHeight="1">
      <x:c r="A324" s="2" t="str">
        <x:v>S13</x:v>
      </x:c>
      <x:c r="B324" s="2" t="str">
        <x:v>S13-C18</x:v>
      </x:c>
      <x:c r="C324" s="2" t="str">
        <x:v>25005309</x:v>
      </x:c>
      <x:c r="D324" s="2" t="str">
        <x:v>Original</x:v>
      </x:c>
      <x:c r="E324" s="2" t="n">
        <x:v>1</x:v>
      </x:c>
      <x:c r="F324" s="26" t="n">
        <x:v>2500</x:v>
      </x:c>
      <x:c r="G324" s="27" t="n">
        <x:v>1</x:v>
      </x:c>
      <x:c r="H324" s="27" t="n">
        <x:v>450</x:v>
      </x:c>
      <x:c r="I324" s="2" t="str">
        <x:v>D27</x:v>
      </x:c>
      <x:c r="J324" s="2" t="str">
        <x:v>Condominium</x:v>
      </x:c>
      <x:c r="K324" s="28" t="n">
        <x:v>15606.492009405247</x:v>
      </x:c>
      <x:c r="L324" s="30" t="str">
        <x:v>Hard requirements pass. NUS 15,606.49 m straight-line, SGD 2,500/month. The long straight-line distance weakens the primary preference, despite any rent savings.</x:v>
      </x:c>
      <x:c r="M324" s="31" t="str">
        <x:v>No</x:v>
      </x:c>
      <x:c r="N324" s="30" t="str"/>
      <x:c r="O324" s="30" t="str">
        <x:v>https://www.propertyguru.com.sg/listing/for-rent-skies-miltonia-25005309</x:v>
      </x:c>
    </x:row>
    <x:row r="325" ht="52" customHeight="1">
      <x:c r="A325" s="2" t="str">
        <x:v>S13</x:v>
      </x:c>
      <x:c r="B325" s="2" t="str">
        <x:v>S13-C19</x:v>
      </x:c>
      <x:c r="C325" s="2" t="str">
        <x:v>500285316</x:v>
      </x:c>
      <x:c r="D325" s="2" t="str">
        <x:v>Original</x:v>
      </x:c>
      <x:c r="E325" s="2" t="n">
        <x:v>1</x:v>
      </x:c>
      <x:c r="F325" s="26" t="n">
        <x:v>500</x:v>
      </x:c>
      <x:c r="G325" s="27" t="n">
        <x:v>1</x:v>
      </x:c>
      <x:c r="H325" s="27" t="n">
        <x:v>90</x:v>
      </x:c>
      <x:c r="I325" s="2" t="str">
        <x:v>D25</x:v>
      </x:c>
      <x:c r="J325" s="2" t="str">
        <x:v>HDB Flat</x:v>
      </x:c>
      <x:c r="K325" s="28" t="n">
        <x:v>16476.837741642907</x:v>
      </x:c>
      <x:c r="L325" s="30" t="str">
        <x:v>Hard requirements pass. NUS 16,476.84 m straight-line, SGD 500/month. The long straight-line distance weakens the primary preference, despite any rent savings.</x:v>
      </x:c>
      <x:c r="M325" s="31" t="str">
        <x:v>No</x:v>
      </x:c>
      <x:c r="N325" s="30" t="str"/>
      <x:c r="O325" s="30" t="str">
        <x:v>https://www.propertyguru.com.sg/listing/hdb-for-rent-728-woodlands-circle-500285316</x:v>
      </x:c>
    </x:row>
    <x:row r="326" ht="52" customHeight="1">
      <x:c r="A326" s="2" t="str">
        <x:v>S13</x:v>
      </x:c>
      <x:c r="B326" s="2" t="str">
        <x:v>S13-C20</x:v>
      </x:c>
      <x:c r="C326" s="2" t="str">
        <x:v>500211232</x:v>
      </x:c>
      <x:c r="D326" s="2" t="str">
        <x:v>Original</x:v>
      </x:c>
      <x:c r="E326" s="2" t="n">
        <x:v>1</x:v>
      </x:c>
      <x:c r="F326" s="26" t="n">
        <x:v>550</x:v>
      </x:c>
      <x:c r="G326" s="27" t="n">
        <x:v>1</x:v>
      </x:c>
      <x:c r="H326" s="27"/>
      <x:c r="I326" s="2" t="str">
        <x:v>D20</x:v>
      </x:c>
      <x:c r="J326" s="2" t="str">
        <x:v>HDB Flat</x:v>
      </x:c>
      <x:c r="K326" s="28" t="n">
        <x:v>11680.977408890318</x:v>
      </x:c>
      <x:c r="L326" s="30" t="str">
        <x:v>Hard requirements pass. NUS 11,680.98 m straight-line, SGD 550/month. The long straight-line distance weakens the primary preference, despite any rent savings.</x:v>
      </x:c>
      <x:c r="M326" s="31" t="str">
        <x:v>No</x:v>
      </x:c>
      <x:c r="N326" s="30" t="str"/>
      <x:c r="O326" s="30" t="str">
        <x:v>https://www.propertyguru.com.sg/listing/hdb-for-rent-629-ang-mo-kio-avenue-4-500211232</x:v>
      </x:c>
    </x:row>
    <x:row r="327" ht="52" customHeight="1">
      <x:c r="A327" s="2" t="str">
        <x:v>S13</x:v>
      </x:c>
      <x:c r="B327" s="2" t="str">
        <x:v>S13-C21</x:v>
      </x:c>
      <x:c r="C327" s="2" t="str">
        <x:v>23810434</x:v>
      </x:c>
      <x:c r="D327" s="2" t="str">
        <x:v>Original</x:v>
      </x:c>
      <x:c r="E327" s="2" t="n">
        <x:v>1</x:v>
      </x:c>
      <x:c r="F327" s="26" t="n">
        <x:v>2950</x:v>
      </x:c>
      <x:c r="G327" s="27" t="n">
        <x:v>2</x:v>
      </x:c>
      <x:c r="H327" s="27" t="n">
        <x:v>456</x:v>
      </x:c>
      <x:c r="I327" s="2" t="str">
        <x:v>D08</x:v>
      </x:c>
      <x:c r="J327" s="2" t="str">
        <x:v>Apartment</x:v>
      </x:c>
      <x:c r="K327" s="28"/>
      <x:c r="L327" s="30" t="str">
        <x:v>Hard requirements pass. NUS Unknown m straight-line, SGD 2,950/month. The primary proximity preference cannot be verified; missing soft evidence is not a hard failure.</x:v>
      </x:c>
      <x:c r="M327" s="31" t="str">
        <x:v>No</x:v>
      </x:c>
      <x:c r="N327" s="30" t="str">
        <x:v>Soft evidence missing: nus straight-line distance (m).</x:v>
      </x:c>
      <x:c r="O327" s="30" t="str">
        <x:v>https://www.propertyguru.com.sg/listing/for-rent-jalan-besar-plaza-23810434</x:v>
      </x:c>
    </x:row>
    <x:row r="328" ht="52" customHeight="1">
      <x:c r="A328" s="2" t="str">
        <x:v>S13</x:v>
      </x:c>
      <x:c r="B328" s="2" t="str">
        <x:v>S13-C22</x:v>
      </x:c>
      <x:c r="C328" s="2" t="str">
        <x:v>21644298</x:v>
      </x:c>
      <x:c r="D328" s="2" t="str">
        <x:v>Original</x:v>
      </x:c>
      <x:c r="E328" s="2" t="n">
        <x:v>1</x:v>
      </x:c>
      <x:c r="F328" s="26" t="n">
        <x:v>500</x:v>
      </x:c>
      <x:c r="G328" s="27" t="n">
        <x:v>1</x:v>
      </x:c>
      <x:c r="H328" s="27" t="n">
        <x:v>215</x:v>
      </x:c>
      <x:c r="I328" s="2" t="str">
        <x:v>D25</x:v>
      </x:c>
      <x:c r="J328" s="2" t="str">
        <x:v>HDB Flat</x:v>
      </x:c>
      <x:c r="K328" s="28" t="n">
        <x:v>15836.672596953475</x:v>
      </x:c>
      <x:c r="L328" s="30" t="str">
        <x:v>Hard requirements pass. NUS 15,836.67 m straight-line, SGD 500/month. The long straight-line distance weakens the primary preference, despite any rent savings.</x:v>
      </x:c>
      <x:c r="M328" s="31" t="str">
        <x:v>No</x:v>
      </x:c>
      <x:c r="N328" s="30" t="str"/>
      <x:c r="O328" s="30" t="str">
        <x:v>https://www.propertyguru.com.sg/listing/hdb-for-rent-605-woodlands-drive-42-21644298</x:v>
      </x:c>
    </x:row>
    <x:row r="329" ht="52" customHeight="1">
      <x:c r="A329" s="2" t="str">
        <x:v>S13</x:v>
      </x:c>
      <x:c r="B329" s="2" t="str">
        <x:v>S13-C23</x:v>
      </x:c>
      <x:c r="C329" s="2" t="str">
        <x:v>500068015</x:v>
      </x:c>
      <x:c r="D329" s="2" t="str">
        <x:v>Original</x:v>
      </x:c>
      <x:c r="E329" s="2" t="str">
        <x:v>U</x:v>
      </x:c>
      <x:c r="F329" s="26" t="n">
        <x:v>2300</x:v>
      </x:c>
      <x:c r="G329" s="27"/>
      <x:c r="H329" s="27" t="n">
        <x:v>100</x:v>
      </x:c>
      <x:c r="I329" s="2" t="str">
        <x:v>D07</x:v>
      </x:c>
      <x:c r="J329" s="2" t="str">
        <x:v>Apartment</x:v>
      </x:c>
      <x:c r="K329" s="28"/>
      <x:c r="L329" s="30" t="str">
        <x:v>No known hard failure. Cannot verify: reported bedrooms.</x:v>
      </x:c>
      <x:c r="M329" s="31" t="str">
        <x:v>No</x:v>
      </x:c>
      <x:c r="N329" s="30" t="str">
        <x:v>Reported bedrooms Unknown; required &gt;= 1. Soft evidence missing: nus straight-line distance (m).</x:v>
      </x:c>
      <x:c r="O329" s="30" t="str">
        <x:v>https://www.propertyguru.com.sg/listing/for-rent-coliwoo-midtown-near-smu-kaplan-bugis-area-500068015</x:v>
      </x:c>
    </x:row>
    <x:row r="330" ht="52" customHeight="1">
      <x:c r="A330" s="2" t="str">
        <x:v>S13</x:v>
      </x:c>
      <x:c r="B330" s="2" t="str">
        <x:v>S13-C24</x:v>
      </x:c>
      <x:c r="C330" s="2" t="str">
        <x:v>500215736</x:v>
      </x:c>
      <x:c r="D330" s="2" t="str">
        <x:v>Original</x:v>
      </x:c>
      <x:c r="E330" s="2" t="n">
        <x:v>3</x:v>
      </x:c>
      <x:c r="F330" s="26" t="n">
        <x:v>1450</x:v>
      </x:c>
      <x:c r="G330" s="27" t="n">
        <x:v>1</x:v>
      </x:c>
      <x:c r="H330" s="27" t="n">
        <x:v>721</x:v>
      </x:c>
      <x:c r="I330" s="2" t="str">
        <x:v>D05</x:v>
      </x:c>
      <x:c r="J330" s="2" t="str">
        <x:v>HDB Flat</x:v>
      </x:c>
      <x:c r="K330" s="28" t="n">
        <x:v>2206.2104936862142</x:v>
      </x:c>
      <x:c r="L330" s="30" t="str">
        <x:v>Hard requirements pass. NUS 2,206.21 m straight-line, SGD 1,450/month. Relatively close to NUS with lower rent than the near-campus options at the cap.</x:v>
      </x:c>
      <x:c r="M330" s="31" t="str">
        <x:v>No</x:v>
      </x:c>
      <x:c r="N330" s="30" t="str"/>
      <x:c r="O330" s="30" t="str">
        <x:v>https://www.propertyguru.com.sg/listing/hdb-for-rent-701-west-coast-road-500215736</x:v>
      </x:c>
    </x:row>
    <x:row r="331" ht="52" customHeight="1">
      <x:c r="A331" s="2" t="str">
        <x:v>S13</x:v>
      </x:c>
      <x:c r="B331" s="2" t="str">
        <x:v>S13-C25</x:v>
      </x:c>
      <x:c r="C331" s="2" t="str">
        <x:v>500021477</x:v>
      </x:c>
      <x:c r="D331" s="2" t="str">
        <x:v>Original</x:v>
      </x:c>
      <x:c r="E331" s="2" t="n">
        <x:v>0</x:v>
      </x:c>
      <x:c r="F331" s="26" t="n">
        <x:v>1350</x:v>
      </x:c>
      <x:c r="G331" s="27" t="n">
        <x:v>0</x:v>
      </x:c>
      <x:c r="H331" s="27"/>
      <x:c r="I331" s="2" t="str">
        <x:v>D03</x:v>
      </x:c>
      <x:c r="J331" s="2" t="str">
        <x:v>HDB Flat</x:v>
      </x:c>
      <x:c r="K331" s="28" t="n">
        <x:v>3068.16397765829</x:v>
      </x:c>
      <x:c r="L331" s="30" t="str">
        <x:v>Hard failure: Reported bedrooms 0; required &gt;= 1.</x:v>
      </x:c>
      <x:c r="M331" s="31" t="str">
        <x:v>No</x:v>
      </x:c>
      <x:c r="N331" s="30" t="str"/>
      <x:c r="O331" s="30" t="str">
        <x:v>https://www.propertyguru.com.sg/listing/hdb-for-rent-125-bukit-merah-lane-1-500021477</x:v>
      </x:c>
    </x:row>
    <x:row r="332" ht="52" customHeight="1">
      <x:c r="A332" s="2" t="str">
        <x:v>S14</x:v>
      </x:c>
      <x:c r="B332" s="2" t="str">
        <x:v>S14-C01</x:v>
      </x:c>
      <x:c r="C332" s="2" t="str">
        <x:v>23368920</x:v>
      </x:c>
      <x:c r="D332" s="2" t="str">
        <x:v>Original</x:v>
      </x:c>
      <x:c r="E332" s="2" t="n">
        <x:v>3</x:v>
      </x:c>
      <x:c r="F332" s="26" t="n">
        <x:v>1300</x:v>
      </x:c>
      <x:c r="G332" s="27" t="n">
        <x:v>1</x:v>
      </x:c>
      <x:c r="H332" s="27" t="n">
        <x:v>102</x:v>
      </x:c>
      <x:c r="I332" s="2" t="str">
        <x:v>D10</x:v>
      </x:c>
      <x:c r="J332" s="2" t="str">
        <x:v>HDB Flat</x:v>
      </x:c>
      <x:c r="K332" s="28" t="n">
        <x:v>2263.816840589892</x:v>
      </x:c>
      <x:c r="L332" s="30" t="str">
        <x:v>Hard requirements pass. SGD 1,300/month, NUS 2,263.82 m straight-line. Good rent savings together with a relatively short verified NUS distance.</x:v>
      </x:c>
      <x:c r="M332" s="31" t="str">
        <x:v>No</x:v>
      </x:c>
      <x:c r="N332" s="30" t="str"/>
      <x:c r="O332" s="30" t="str">
        <x:v>https://www.propertyguru.com.sg/listing/hdb-for-rent-18d-holland-drive-23368920</x:v>
      </x:c>
    </x:row>
    <x:row r="333" ht="52" customHeight="1">
      <x:c r="A333" s="2" t="str">
        <x:v>S14</x:v>
      </x:c>
      <x:c r="B333" s="2" t="str">
        <x:v>S14-C02</x:v>
      </x:c>
      <x:c r="C333" s="2" t="str">
        <x:v>500285316</x:v>
      </x:c>
      <x:c r="D333" s="2" t="str">
        <x:v>Original</x:v>
      </x:c>
      <x:c r="E333" s="2" t="n">
        <x:v>2</x:v>
      </x:c>
      <x:c r="F333" s="26" t="n">
        <x:v>500</x:v>
      </x:c>
      <x:c r="G333" s="27" t="n">
        <x:v>1</x:v>
      </x:c>
      <x:c r="H333" s="27" t="n">
        <x:v>90</x:v>
      </x:c>
      <x:c r="I333" s="2" t="str">
        <x:v>D25</x:v>
      </x:c>
      <x:c r="J333" s="2" t="str">
        <x:v>HDB Flat</x:v>
      </x:c>
      <x:c r="K333" s="28" t="n">
        <x:v>16476.837741642907</x:v>
      </x:c>
      <x:c r="L333" s="30" t="str">
        <x:v>Hard requirements pass. SGD 500/month, NUS 16,476.84 m straight-line. Strong rent savings support the primary preference, with a substantial distance trade-off.</x:v>
      </x:c>
      <x:c r="M333" s="31" t="str">
        <x:v>No</x:v>
      </x:c>
      <x:c r="N333" s="30" t="str"/>
      <x:c r="O333" s="30" t="str">
        <x:v>https://www.propertyguru.com.sg/listing/hdb-for-rent-728-woodlands-circle-500285316</x:v>
      </x:c>
    </x:row>
    <x:row r="334" ht="52" customHeight="1">
      <x:c r="A334" s="2" t="str">
        <x:v>S14</x:v>
      </x:c>
      <x:c r="B334" s="2" t="str">
        <x:v>S14-C03</x:v>
      </x:c>
      <x:c r="C334" s="2" t="str">
        <x:v>25280744</x:v>
      </x:c>
      <x:c r="D334" s="2" t="str">
        <x:v>Original</x:v>
      </x:c>
      <x:c r="E334" s="2" t="n">
        <x:v>0</x:v>
      </x:c>
      <x:c r="F334" s="26" t="n">
        <x:v>3050</x:v>
      </x:c>
      <x:c r="G334" s="27" t="n">
        <x:v>1</x:v>
      </x:c>
      <x:c r="H334" s="27" t="n">
        <x:v>494</x:v>
      </x:c>
      <x:c r="I334" s="2" t="str">
        <x:v>D18</x:v>
      </x:c>
      <x:c r="J334" s="2" t="str">
        <x:v>Condominium</x:v>
      </x:c>
      <x:c r="K334" s="28"/>
      <x:c r="L334" s="30" t="str">
        <x:v>Hard failure: Rent (SGD/month) 3,050; required &lt;= 3,000.</x:v>
      </x:c>
      <x:c r="M334" s="31" t="str">
        <x:v>No</x:v>
      </x:c>
      <x:c r="N334" s="30" t="str">
        <x:v>Soft evidence missing: nus straight-line distance (m).</x:v>
      </x:c>
      <x:c r="O334" s="30" t="str">
        <x:v>https://www.propertyguru.com.sg/listing/for-rent-the-alps-residences-25280744</x:v>
      </x:c>
    </x:row>
    <x:row r="335" ht="52" customHeight="1">
      <x:c r="A335" s="2" t="str">
        <x:v>S14</x:v>
      </x:c>
      <x:c r="B335" s="2" t="str">
        <x:v>S14-C04</x:v>
      </x:c>
      <x:c r="C335" s="2" t="str">
        <x:v>23810434</x:v>
      </x:c>
      <x:c r="D335" s="2" t="str">
        <x:v>Original</x:v>
      </x:c>
      <x:c r="E335" s="2" t="n">
        <x:v>1</x:v>
      </x:c>
      <x:c r="F335" s="26" t="n">
        <x:v>2950</x:v>
      </x:c>
      <x:c r="G335" s="27" t="n">
        <x:v>2</x:v>
      </x:c>
      <x:c r="H335" s="27" t="n">
        <x:v>456</x:v>
      </x:c>
      <x:c r="I335" s="2" t="str">
        <x:v>D08</x:v>
      </x:c>
      <x:c r="J335" s="2" t="str">
        <x:v>Apartment</x:v>
      </x:c>
      <x:c r="K335" s="28"/>
      <x:c r="L335" s="30" t="str">
        <x:v>Hard requirements pass. SGD 2,950/month, NUS Unknown m straight-line. Rent is toward the expensive end of this pool; closeness alone does not fulfil the price-first preference.</x:v>
      </x:c>
      <x:c r="M335" s="31" t="str">
        <x:v>No</x:v>
      </x:c>
      <x:c r="N335" s="30" t="str">
        <x:v>Soft evidence missing: nus straight-line distance (m).</x:v>
      </x:c>
      <x:c r="O335" s="30" t="str">
        <x:v>https://www.propertyguru.com.sg/listing/for-rent-jalan-besar-plaza-23810434</x:v>
      </x:c>
    </x:row>
    <x:row r="336" ht="52" customHeight="1">
      <x:c r="A336" s="2" t="str">
        <x:v>S14</x:v>
      </x:c>
      <x:c r="B336" s="2" t="str">
        <x:v>S14-C05</x:v>
      </x:c>
      <x:c r="C336" s="2" t="str">
        <x:v>500068015</x:v>
      </x:c>
      <x:c r="D336" s="2" t="str">
        <x:v>Original</x:v>
      </x:c>
      <x:c r="E336" s="2" t="str">
        <x:v>U</x:v>
      </x:c>
      <x:c r="F336" s="26" t="n">
        <x:v>2300</x:v>
      </x:c>
      <x:c r="G336" s="27"/>
      <x:c r="H336" s="27" t="n">
        <x:v>100</x:v>
      </x:c>
      <x:c r="I336" s="2" t="str">
        <x:v>D07</x:v>
      </x:c>
      <x:c r="J336" s="2" t="str">
        <x:v>Apartment</x:v>
      </x:c>
      <x:c r="K336" s="28"/>
      <x:c r="L336" s="30" t="str">
        <x:v>No known hard failure. Cannot verify: reported bedrooms.</x:v>
      </x:c>
      <x:c r="M336" s="31" t="str">
        <x:v>No</x:v>
      </x:c>
      <x:c r="N336" s="30" t="str">
        <x:v>Reported bedrooms Unknown; required &gt;= 1. Soft evidence missing: nus straight-line distance (m).</x:v>
      </x:c>
      <x:c r="O336" s="30" t="str">
        <x:v>https://www.propertyguru.com.sg/listing/for-rent-coliwoo-midtown-near-smu-kaplan-bugis-area-500068015</x:v>
      </x:c>
    </x:row>
    <x:row r="337" ht="52" customHeight="1">
      <x:c r="A337" s="2" t="str">
        <x:v>S14</x:v>
      </x:c>
      <x:c r="B337" s="2" t="str">
        <x:v>S14-C06</x:v>
      </x:c>
      <x:c r="C337" s="2" t="str">
        <x:v>20617351</x:v>
      </x:c>
      <x:c r="D337" s="2" t="str">
        <x:v>Original</x:v>
      </x:c>
      <x:c r="E337" s="2" t="n">
        <x:v>1</x:v>
      </x:c>
      <x:c r="F337" s="26" t="n">
        <x:v>3000</x:v>
      </x:c>
      <x:c r="G337" s="27" t="n">
        <x:v>2</x:v>
      </x:c>
      <x:c r="H337" s="27" t="n">
        <x:v>700</x:v>
      </x:c>
      <x:c r="I337" s="2" t="str">
        <x:v>D05</x:v>
      </x:c>
      <x:c r="J337" s="2" t="str">
        <x:v>HDB Flat</x:v>
      </x:c>
      <x:c r="K337" s="28" t="n">
        <x:v>2082.804536225351</x:v>
      </x:c>
      <x:c r="L337" s="30" t="str">
        <x:v>Hard requirements pass. SGD 3,000/month, NUS 2,082.8 m straight-line. Rent is toward the expensive end of this pool; closeness alone does not fulfil the price-first preference.</x:v>
      </x:c>
      <x:c r="M337" s="31" t="str">
        <x:v>No</x:v>
      </x:c>
      <x:c r="N337" s="30" t="str"/>
      <x:c r="O337" s="30" t="str">
        <x:v>https://www.propertyguru.com.sg/listing/hdb-for-rent-354-clementi-avenue-2-20617351</x:v>
      </x:c>
    </x:row>
    <x:row r="338" ht="52" customHeight="1">
      <x:c r="A338" s="2" t="str">
        <x:v>S14</x:v>
      </x:c>
      <x:c r="B338" s="2" t="str">
        <x:v>S14-C07</x:v>
      </x:c>
      <x:c r="C338" s="2" t="str">
        <x:v>500021477</x:v>
      </x:c>
      <x:c r="D338" s="2" t="str">
        <x:v>Original</x:v>
      </x:c>
      <x:c r="E338" s="2" t="n">
        <x:v>0</x:v>
      </x:c>
      <x:c r="F338" s="26" t="n">
        <x:v>1350</x:v>
      </x:c>
      <x:c r="G338" s="27" t="n">
        <x:v>0</x:v>
      </x:c>
      <x:c r="H338" s="27"/>
      <x:c r="I338" s="2" t="str">
        <x:v>D03</x:v>
      </x:c>
      <x:c r="J338" s="2" t="str">
        <x:v>HDB Flat</x:v>
      </x:c>
      <x:c r="K338" s="28" t="n">
        <x:v>3068.16397765829</x:v>
      </x:c>
      <x:c r="L338" s="30" t="str">
        <x:v>Hard failure: Reported bedrooms 0; required &gt;= 1.</x:v>
      </x:c>
      <x:c r="M338" s="31" t="str">
        <x:v>No</x:v>
      </x:c>
      <x:c r="N338" s="30" t="str"/>
      <x:c r="O338" s="30" t="str">
        <x:v>https://www.propertyguru.com.sg/listing/hdb-for-rent-125-bukit-merah-lane-1-500021477</x:v>
      </x:c>
    </x:row>
    <x:row r="339" ht="52" customHeight="1">
      <x:c r="A339" s="2" t="str">
        <x:v>S14</x:v>
      </x:c>
      <x:c r="B339" s="2" t="str">
        <x:v>S14-C08</x:v>
      </x:c>
      <x:c r="C339" s="2" t="str">
        <x:v>500211232</x:v>
      </x:c>
      <x:c r="D339" s="2" t="str">
        <x:v>Original</x:v>
      </x:c>
      <x:c r="E339" s="2" t="n">
        <x:v>2</x:v>
      </x:c>
      <x:c r="F339" s="26" t="n">
        <x:v>550</x:v>
      </x:c>
      <x:c r="G339" s="27" t="n">
        <x:v>1</x:v>
      </x:c>
      <x:c r="H339" s="27"/>
      <x:c r="I339" s="2" t="str">
        <x:v>D20</x:v>
      </x:c>
      <x:c r="J339" s="2" t="str">
        <x:v>HDB Flat</x:v>
      </x:c>
      <x:c r="K339" s="28" t="n">
        <x:v>11680.977408890318</x:v>
      </x:c>
      <x:c r="L339" s="30" t="str">
        <x:v>Hard requirements pass. SGD 550/month, NUS 11,680.98 m straight-line. Strong rent savings support the primary preference, with a substantial distance trade-off.</x:v>
      </x:c>
      <x:c r="M339" s="31" t="str">
        <x:v>No</x:v>
      </x:c>
      <x:c r="N339" s="30" t="str"/>
      <x:c r="O339" s="30" t="str">
        <x:v>https://www.propertyguru.com.sg/listing/hdb-for-rent-629-ang-mo-kio-avenue-4-500211232</x:v>
      </x:c>
    </x:row>
    <x:row r="340" ht="52" customHeight="1">
      <x:c r="A340" s="2" t="str">
        <x:v>S14</x:v>
      </x:c>
      <x:c r="B340" s="2" t="str">
        <x:v>S14-C09</x:v>
      </x:c>
      <x:c r="C340" s="2" t="str">
        <x:v>500226876</x:v>
      </x:c>
      <x:c r="D340" s="2" t="str">
        <x:v>Original</x:v>
      </x:c>
      <x:c r="E340" s="2" t="n">
        <x:v>3</x:v>
      </x:c>
      <x:c r="F340" s="26" t="n">
        <x:v>1100</x:v>
      </x:c>
      <x:c r="G340" s="27" t="n">
        <x:v>1</x:v>
      </x:c>
      <x:c r="H340" s="27" t="n">
        <x:v>118</x:v>
      </x:c>
      <x:c r="I340" s="2" t="str">
        <x:v>D10</x:v>
      </x:c>
      <x:c r="J340" s="2" t="str">
        <x:v>HDB Flat</x:v>
      </x:c>
      <x:c r="K340" s="28" t="n">
        <x:v>2212.1666126829746</x:v>
      </x:c>
      <x:c r="L340" s="30" t="str">
        <x:v>Hard requirements pass. SGD 1,100/month, NUS 2,212.17 m straight-line. Good rent savings together with a relatively short verified NUS distance.</x:v>
      </x:c>
      <x:c r="M340" s="31" t="str">
        <x:v>No</x:v>
      </x:c>
      <x:c r="N340" s="30" t="str"/>
      <x:c r="O340" s="30" t="str">
        <x:v>https://www.propertyguru.com.sg/listing/hdb-for-rent-8-holland-avenue-500226876</x:v>
      </x:c>
    </x:row>
    <x:row r="341" ht="52" customHeight="1">
      <x:c r="A341" s="2" t="str">
        <x:v>S14</x:v>
      </x:c>
      <x:c r="B341" s="2" t="str">
        <x:v>S14-C10</x:v>
      </x:c>
      <x:c r="C341" s="2" t="str">
        <x:v>24866516</x:v>
      </x:c>
      <x:c r="D341" s="2" t="str">
        <x:v>Original</x:v>
      </x:c>
      <x:c r="E341" s="2" t="n">
        <x:v>1</x:v>
      </x:c>
      <x:c r="F341" s="26" t="n">
        <x:v>3000</x:v>
      </x:c>
      <x:c r="G341" s="27" t="n">
        <x:v>2</x:v>
      </x:c>
      <x:c r="H341" s="27" t="n">
        <x:v>700</x:v>
      </x:c>
      <x:c r="I341" s="2" t="str">
        <x:v>D10</x:v>
      </x:c>
      <x:c r="J341" s="2" t="str">
        <x:v>HDB Flat</x:v>
      </x:c>
      <x:c r="K341" s="28" t="n">
        <x:v>2146.023016219489</x:v>
      </x:c>
      <x:c r="L341" s="30" t="str">
        <x:v>Hard requirements pass. SGD 3,000/month, NUS 2,146.02 m straight-line. Rent is toward the expensive end of this pool; closeness alone does not fulfil the price-first preference.</x:v>
      </x:c>
      <x:c r="M341" s="31" t="str">
        <x:v>No</x:v>
      </x:c>
      <x:c r="N341" s="30" t="str"/>
      <x:c r="O341" s="30" t="str">
        <x:v>https://www.propertyguru.com.sg/listing/hdb-for-rent-6-ghim-moh-road-24866516</x:v>
      </x:c>
    </x:row>
    <x:row r="342" ht="52" customHeight="1">
      <x:c r="A342" s="2" t="str">
        <x:v>S14</x:v>
      </x:c>
      <x:c r="B342" s="2" t="str">
        <x:v>S14-C11</x:v>
      </x:c>
      <x:c r="C342" s="2" t="str">
        <x:v>23839651</x:v>
      </x:c>
      <x:c r="D342" s="2" t="str">
        <x:v>Original</x:v>
      </x:c>
      <x:c r="E342" s="2" t="n">
        <x:v>3</x:v>
      </x:c>
      <x:c r="F342" s="26" t="n">
        <x:v>1450</x:v>
      </x:c>
      <x:c r="G342" s="27" t="n">
        <x:v>1</x:v>
      </x:c>
      <x:c r="H342" s="27" t="n">
        <x:v>721</x:v>
      </x:c>
      <x:c r="I342" s="2" t="str">
        <x:v>D05</x:v>
      </x:c>
      <x:c r="J342" s="2" t="str">
        <x:v>HDB Flat</x:v>
      </x:c>
      <x:c r="K342" s="28" t="n">
        <x:v>2206.2104936862142</x:v>
      </x:c>
      <x:c r="L342" s="30" t="str">
        <x:v>Hard requirements pass. SGD 1,450/month, NUS 2,206.21 m straight-line. Good rent savings together with a relatively short verified NUS distance.</x:v>
      </x:c>
      <x:c r="M342" s="31" t="str">
        <x:v>No</x:v>
      </x:c>
      <x:c r="N342" s="30" t="str"/>
      <x:c r="O342" s="30" t="str">
        <x:v>https://www.propertyguru.com.sg/listing/hdb-for-rent-701-west-coast-road-23839651</x:v>
      </x:c>
    </x:row>
    <x:row r="343" ht="52" customHeight="1">
      <x:c r="A343" s="2" t="str">
        <x:v>S14</x:v>
      </x:c>
      <x:c r="B343" s="2" t="str">
        <x:v>S14-C12</x:v>
      </x:c>
      <x:c r="C343" s="2" t="str">
        <x:v>24124291</x:v>
      </x:c>
      <x:c r="D343" s="2" t="str">
        <x:v>Original</x:v>
      </x:c>
      <x:c r="E343" s="2" t="n">
        <x:v>1</x:v>
      </x:c>
      <x:c r="F343" s="26" t="n">
        <x:v>2850</x:v>
      </x:c>
      <x:c r="G343" s="27" t="n">
        <x:v>1</x:v>
      </x:c>
      <x:c r="H343" s="27" t="n">
        <x:v>409</x:v>
      </x:c>
      <x:c r="I343" s="2" t="str">
        <x:v>D14</x:v>
      </x:c>
      <x:c r="J343" s="2" t="str">
        <x:v>Condominium</x:v>
      </x:c>
      <x:c r="K343" s="28"/>
      <x:c r="L343" s="30" t="str">
        <x:v>Hard requirements pass. SGD 2,850/month, NUS Unknown m straight-line. Rent is toward the expensive end of this pool; closeness alone does not fulfil the price-first preference.</x:v>
      </x:c>
      <x:c r="M343" s="31" t="str">
        <x:v>No</x:v>
      </x:c>
      <x:c r="N343" s="30" t="str">
        <x:v>Soft evidence missing: nus straight-line distance (m).</x:v>
      </x:c>
      <x:c r="O343" s="30" t="str">
        <x:v>https://www.propertyguru.com.sg/listing/for-rent-prime-residence-24124291</x:v>
      </x:c>
    </x:row>
    <x:row r="344" ht="52" customHeight="1">
      <x:c r="A344" s="2" t="str">
        <x:v>S14</x:v>
      </x:c>
      <x:c r="B344" s="2" t="str">
        <x:v>S14-C13</x:v>
      </x:c>
      <x:c r="C344" s="2" t="str">
        <x:v>500262756</x:v>
      </x:c>
      <x:c r="D344" s="2" t="str">
        <x:v>Original</x:v>
      </x:c>
      <x:c r="E344" s="2" t="n">
        <x:v>1</x:v>
      </x:c>
      <x:c r="F344" s="26" t="n">
        <x:v>3000</x:v>
      </x:c>
      <x:c r="G344" s="27" t="n">
        <x:v>2</x:v>
      </x:c>
      <x:c r="H344" s="27" t="n">
        <x:v>699</x:v>
      </x:c>
      <x:c r="I344" s="2" t="str">
        <x:v>D05</x:v>
      </x:c>
      <x:c r="J344" s="2" t="str">
        <x:v>HDB Flat</x:v>
      </x:c>
      <x:c r="K344" s="28" t="n">
        <x:v>971.6194119235158</x:v>
      </x:c>
      <x:c r="L344" s="30" t="str">
        <x:v>Hard requirements pass. SGD 3,000/month, NUS 971.62 m straight-line. Rent is toward the expensive end of this pool; closeness alone does not fulfil the price-first preference.</x:v>
      </x:c>
      <x:c r="M344" s="31" t="str">
        <x:v>No</x:v>
      </x:c>
      <x:c r="N344" s="30" t="str"/>
      <x:c r="O344" s="30" t="str">
        <x:v>https://www.propertyguru.com.sg/listing/hdb-for-rent-2-dover-road-500262756</x:v>
      </x:c>
    </x:row>
    <x:row r="345" ht="52" customHeight="1">
      <x:c r="A345" s="2" t="str">
        <x:v>S14</x:v>
      </x:c>
      <x:c r="B345" s="2" t="str">
        <x:v>S14-C14</x:v>
      </x:c>
      <x:c r="C345" s="2" t="str">
        <x:v>500271126</x:v>
      </x:c>
      <x:c r="D345" s="2" t="str">
        <x:v>Original</x:v>
      </x:c>
      <x:c r="E345" s="2" t="n">
        <x:v>2</x:v>
      </x:c>
      <x:c r="F345" s="26" t="n">
        <x:v>1100</x:v>
      </x:c>
      <x:c r="G345" s="27" t="n">
        <x:v>1</x:v>
      </x:c>
      <x:c r="H345" s="27" t="n">
        <x:v>107</x:v>
      </x:c>
      <x:c r="I345" s="2" t="str">
        <x:v>D12</x:v>
      </x:c>
      <x:c r="J345" s="2" t="str">
        <x:v>HDB Flat</x:v>
      </x:c>
      <x:c r="K345" s="28" t="n">
        <x:v>9474.465439875728</x:v>
      </x:c>
      <x:c r="L345" s="30" t="str">
        <x:v>Hard requirements pass. SGD 1,100/month, NUS 9,474.47 m straight-line. Strong rent savings support the primary preference, with a substantial distance trade-off.</x:v>
      </x:c>
      <x:c r="M345" s="31" t="str">
        <x:v>No</x:v>
      </x:c>
      <x:c r="N345" s="30" t="str"/>
      <x:c r="O345" s="30" t="str">
        <x:v>https://www.propertyguru.com.sg/listing/hdb-for-rent-10a-bendemeer-light-500271126</x:v>
      </x:c>
    </x:row>
    <x:row r="346" ht="52" customHeight="1">
      <x:c r="A346" s="2" t="str">
        <x:v>S14</x:v>
      </x:c>
      <x:c r="B346" s="2" t="str">
        <x:v>S14-C15</x:v>
      </x:c>
      <x:c r="C346" s="2" t="str">
        <x:v>500259227</x:v>
      </x:c>
      <x:c r="D346" s="2" t="str">
        <x:v>Original</x:v>
      </x:c>
      <x:c r="E346" s="2" t="n">
        <x:v>1</x:v>
      </x:c>
      <x:c r="F346" s="26" t="n">
        <x:v>3000</x:v>
      </x:c>
      <x:c r="G346" s="27" t="n">
        <x:v>2</x:v>
      </x:c>
      <x:c r="H346" s="27" t="n">
        <x:v>743</x:v>
      </x:c>
      <x:c r="I346" s="2" t="str">
        <x:v>D03</x:v>
      </x:c>
      <x:c r="J346" s="2" t="str">
        <x:v>HDB Flat</x:v>
      </x:c>
      <x:c r="K346" s="28" t="n">
        <x:v>2658.9679524030066</x:v>
      </x:c>
      <x:c r="L346" s="30" t="str">
        <x:v>Hard requirements pass. SGD 3,000/month, NUS 2,658.97 m straight-line. Rent is toward the expensive end of this pool; closeness alone does not fulfil the price-first preference.</x:v>
      </x:c>
      <x:c r="M346" s="31" t="str">
        <x:v>No</x:v>
      </x:c>
      <x:c r="N346" s="30" t="str"/>
      <x:c r="O346" s="30" t="str">
        <x:v>https://www.propertyguru.com.sg/listing/hdb-for-rent-89-commonwealth-drive-500259227</x:v>
      </x:c>
    </x:row>
    <x:row r="347" ht="52" customHeight="1">
      <x:c r="A347" s="2" t="str">
        <x:v>S14</x:v>
      </x:c>
      <x:c r="B347" s="2" t="str">
        <x:v>S14-C16</x:v>
      </x:c>
      <x:c r="C347" s="2" t="str">
        <x:v>21644298</x:v>
      </x:c>
      <x:c r="D347" s="2" t="str">
        <x:v>Original</x:v>
      </x:c>
      <x:c r="E347" s="2" t="n">
        <x:v>2</x:v>
      </x:c>
      <x:c r="F347" s="26" t="n">
        <x:v>500</x:v>
      </x:c>
      <x:c r="G347" s="27" t="n">
        <x:v>1</x:v>
      </x:c>
      <x:c r="H347" s="27" t="n">
        <x:v>215</x:v>
      </x:c>
      <x:c r="I347" s="2" t="str">
        <x:v>D25</x:v>
      </x:c>
      <x:c r="J347" s="2" t="str">
        <x:v>HDB Flat</x:v>
      </x:c>
      <x:c r="K347" s="28" t="n">
        <x:v>15836.672596953475</x:v>
      </x:c>
      <x:c r="L347" s="30" t="str">
        <x:v>Hard requirements pass. SGD 500/month, NUS 15,836.67 m straight-line. Strong rent savings support the primary preference, with a substantial distance trade-off.</x:v>
      </x:c>
      <x:c r="M347" s="31" t="str">
        <x:v>No</x:v>
      </x:c>
      <x:c r="N347" s="30" t="str"/>
      <x:c r="O347" s="30" t="str">
        <x:v>https://www.propertyguru.com.sg/listing/hdb-for-rent-605-woodlands-drive-42-21644298</x:v>
      </x:c>
    </x:row>
    <x:row r="348" ht="52" customHeight="1">
      <x:c r="A348" s="2" t="str">
        <x:v>S14</x:v>
      </x:c>
      <x:c r="B348" s="2" t="str">
        <x:v>S14-C17</x:v>
      </x:c>
      <x:c r="C348" s="2" t="str">
        <x:v>500272523</x:v>
      </x:c>
      <x:c r="D348" s="2" t="str">
        <x:v>Original</x:v>
      </x:c>
      <x:c r="E348" s="2" t="str">
        <x:v>U</x:v>
      </x:c>
      <x:c r="F348" s="26" t="n">
        <x:v>2800</x:v>
      </x:c>
      <x:c r="G348" s="27"/>
      <x:c r="H348" s="27" t="n">
        <x:v>280</x:v>
      </x:c>
      <x:c r="I348" s="2" t="str">
        <x:v>D15</x:v>
      </x:c>
      <x:c r="J348" s="2" t="str">
        <x:v>Condominium</x:v>
      </x:c>
      <x:c r="K348" s="28"/>
      <x:c r="L348" s="30" t="str">
        <x:v>No known hard failure. Cannot verify: reported bedrooms.</x:v>
      </x:c>
      <x:c r="M348" s="31" t="str">
        <x:v>No</x:v>
      </x:c>
      <x:c r="N348" s="30" t="str">
        <x:v>Reported bedrooms Unknown; required &gt;= 1. Soft evidence missing: nus straight-line distance (m).</x:v>
      </x:c>
      <x:c r="O348" s="30" t="str">
        <x:v>https://www.propertyguru.com.sg/listing/for-rent-grand-dunman-500272523</x:v>
      </x:c>
    </x:row>
    <x:row r="349" ht="52" customHeight="1">
      <x:c r="A349" s="2" t="str">
        <x:v>S14</x:v>
      </x:c>
      <x:c r="B349" s="2" t="str">
        <x:v>S14-C18</x:v>
      </x:c>
      <x:c r="C349" s="2" t="str">
        <x:v>500273063</x:v>
      </x:c>
      <x:c r="D349" s="2" t="str">
        <x:v>Original</x:v>
      </x:c>
      <x:c r="E349" s="2" t="n">
        <x:v>2</x:v>
      </x:c>
      <x:c r="F349" s="26" t="n">
        <x:v>1200</x:v>
      </x:c>
      <x:c r="G349" s="27" t="n">
        <x:v>1</x:v>
      </x:c>
      <x:c r="H349" s="27" t="n">
        <x:v>107</x:v>
      </x:c>
      <x:c r="I349" s="2" t="str">
        <x:v>D12</x:v>
      </x:c>
      <x:c r="J349" s="2" t="str">
        <x:v>HDB Flat</x:v>
      </x:c>
      <x:c r="K349" s="28" t="n">
        <x:v>9903.986414805386</x:v>
      </x:c>
      <x:c r="L349" s="30" t="str">
        <x:v>Hard requirements pass. SGD 1,200/month, NUS 9,903.99 m straight-line. Strong rent savings support the primary preference, with a substantial distance trade-off.</x:v>
      </x:c>
      <x:c r="M349" s="31" t="str">
        <x:v>No</x:v>
      </x:c>
      <x:c r="N349" s="30" t="str"/>
      <x:c r="O349" s="30" t="str">
        <x:v>https://www.propertyguru.com.sg/listing/hdb-for-rent-26a-saint-george-s-lane-500273063</x:v>
      </x:c>
    </x:row>
    <x:row r="350" ht="52" customHeight="1">
      <x:c r="A350" s="2" t="str">
        <x:v>S14</x:v>
      </x:c>
      <x:c r="B350" s="2" t="str">
        <x:v>S14-C19</x:v>
      </x:c>
      <x:c r="C350" s="2" t="str">
        <x:v>21026007</x:v>
      </x:c>
      <x:c r="D350" s="2" t="str">
        <x:v>Original</x:v>
      </x:c>
      <x:c r="E350" s="2" t="n">
        <x:v>2</x:v>
      </x:c>
      <x:c r="F350" s="26" t="n">
        <x:v>450</x:v>
      </x:c>
      <x:c r="G350" s="27" t="n">
        <x:v>3</x:v>
      </x:c>
      <x:c r="H350" s="27" t="n">
        <x:v>100</x:v>
      </x:c>
      <x:c r="I350" s="2" t="str">
        <x:v>D25</x:v>
      </x:c>
      <x:c r="J350" s="2" t="str">
        <x:v>HDB Flat</x:v>
      </x:c>
      <x:c r="K350" s="28" t="n">
        <x:v>16744.33025757308</x:v>
      </x:c>
      <x:c r="L350" s="30" t="str">
        <x:v>Hard requirements pass. SGD 450/month, NUS 16,744.33 m straight-line. Strong rent savings support the primary preference, with a substantial distance trade-off.</x:v>
      </x:c>
      <x:c r="M350" s="31" t="str">
        <x:v>Yes</x:v>
      </x:c>
      <x:c r="N350" s="30" t="str">
        <x:v>At least 2 reported bedrooms with &lt;200 sqft; verify room/whole-unit scope and units.</x:v>
      </x:c>
      <x:c r="O350" s="30" t="str">
        <x:v>https://www.propertyguru.com.sg/listing/hdb-for-rent-764a-woodlands-circle-21026007</x:v>
      </x:c>
    </x:row>
    <x:row r="351" ht="52" customHeight="1">
      <x:c r="A351" s="2" t="str">
        <x:v>S14</x:v>
      </x:c>
      <x:c r="B351" s="2" t="str">
        <x:v>S14-C20</x:v>
      </x:c>
      <x:c r="C351" s="2" t="str">
        <x:v>60204777</x:v>
      </x:c>
      <x:c r="D351" s="2" t="str">
        <x:v>Original</x:v>
      </x:c>
      <x:c r="E351" s="2" t="n">
        <x:v>0</x:v>
      </x:c>
      <x:c r="F351" s="26" t="n">
        <x:v>1449</x:v>
      </x:c>
      <x:c r="G351" s="27" t="n">
        <x:v>0</x:v>
      </x:c>
      <x:c r="H351" s="27"/>
      <x:c r="I351" s="2" t="str">
        <x:v>D01</x:v>
      </x:c>
      <x:c r="J351" s="2" t="str">
        <x:v>Condominium</x:v>
      </x:c>
      <x:c r="K351" s="28"/>
      <x:c r="L351" s="30" t="str">
        <x:v>Hard failure: Reported bedrooms 0; required &gt;= 1.</x:v>
      </x:c>
      <x:c r="M351" s="31" t="str">
        <x:v>No</x:v>
      </x:c>
      <x:c r="N351" s="30" t="str">
        <x:v>Soft evidence missing: nus straight-line distance (m).</x:v>
      </x:c>
      <x:c r="O351" s="30" t="str">
        <x:v>https://www.propertyguru.com.sg/listing/for-rent-emerald-garden-60204777</x:v>
      </x:c>
    </x:row>
    <x:row r="352" ht="52" customHeight="1">
      <x:c r="A352" s="2" t="str">
        <x:v>S14</x:v>
      </x:c>
      <x:c r="B352" s="2" t="str">
        <x:v>S14-C21</x:v>
      </x:c>
      <x:c r="C352" s="2" t="str">
        <x:v>500283865</x:v>
      </x:c>
      <x:c r="D352" s="2" t="str">
        <x:v>Original</x:v>
      </x:c>
      <x:c r="E352" s="2" t="n">
        <x:v>0</x:v>
      </x:c>
      <x:c r="F352" s="26" t="n">
        <x:v>3050</x:v>
      </x:c>
      <x:c r="G352" s="27" t="n">
        <x:v>1</x:v>
      </x:c>
      <x:c r="H352" s="27" t="n">
        <x:v>506</x:v>
      </x:c>
      <x:c r="I352" s="2" t="str">
        <x:v>D19</x:v>
      </x:c>
      <x:c r="J352" s="2" t="str">
        <x:v>HDB Flat</x:v>
      </x:c>
      <x:c r="K352" s="28" t="n">
        <x:v>15345.784211293674</x:v>
      </x:c>
      <x:c r="L352" s="30" t="str">
        <x:v>Hard failure: Rent (SGD/month) 3,050; required &lt;= 3,000.</x:v>
      </x:c>
      <x:c r="M352" s="31" t="str">
        <x:v>No</x:v>
      </x:c>
      <x:c r="N352" s="30" t="str"/>
      <x:c r="O352" s="30" t="str">
        <x:v>https://www.propertyguru.com.sg/listing/hdb-for-rent-993a-buangkok-link-500283865</x:v>
      </x:c>
    </x:row>
    <x:row r="353" ht="52" customHeight="1">
      <x:c r="A353" s="2" t="str">
        <x:v>S14</x:v>
      </x:c>
      <x:c r="B353" s="2" t="str">
        <x:v>S14-C22</x:v>
      </x:c>
      <x:c r="C353" s="2" t="str">
        <x:v>25005309</x:v>
      </x:c>
      <x:c r="D353" s="2" t="str">
        <x:v>Original</x:v>
      </x:c>
      <x:c r="E353" s="2" t="n">
        <x:v>1</x:v>
      </x:c>
      <x:c r="F353" s="26" t="n">
        <x:v>2500</x:v>
      </x:c>
      <x:c r="G353" s="27" t="n">
        <x:v>1</x:v>
      </x:c>
      <x:c r="H353" s="27" t="n">
        <x:v>450</x:v>
      </x:c>
      <x:c r="I353" s="2" t="str">
        <x:v>D27</x:v>
      </x:c>
      <x:c r="J353" s="2" t="str">
        <x:v>Condominium</x:v>
      </x:c>
      <x:c r="K353" s="28" t="n">
        <x:v>15606.492009405247</x:v>
      </x:c>
      <x:c r="L353" s="30" t="str">
        <x:v>Hard requirements pass. SGD 2,500/month, NUS 15,606.49 m straight-line. Rent is toward the expensive end of this pool; closeness alone does not fulfil the price-first preference.</x:v>
      </x:c>
      <x:c r="M353" s="31" t="str">
        <x:v>No</x:v>
      </x:c>
      <x:c r="N353" s="30" t="str"/>
      <x:c r="O353" s="30" t="str">
        <x:v>https://www.propertyguru.com.sg/listing/for-rent-skies-miltonia-25005309</x:v>
      </x:c>
    </x:row>
    <x:row r="354" ht="52" customHeight="1">
      <x:c r="A354" s="2" t="str">
        <x:v>S14</x:v>
      </x:c>
      <x:c r="B354" s="2" t="str">
        <x:v>S14-C23</x:v>
      </x:c>
      <x:c r="C354" s="2" t="str">
        <x:v>500215736</x:v>
      </x:c>
      <x:c r="D354" s="2" t="str">
        <x:v>Original</x:v>
      </x:c>
      <x:c r="E354" s="2" t="n">
        <x:v>3</x:v>
      </x:c>
      <x:c r="F354" s="26" t="n">
        <x:v>1450</x:v>
      </x:c>
      <x:c r="G354" s="27" t="n">
        <x:v>1</x:v>
      </x:c>
      <x:c r="H354" s="27" t="n">
        <x:v>721</x:v>
      </x:c>
      <x:c r="I354" s="2" t="str">
        <x:v>D05</x:v>
      </x:c>
      <x:c r="J354" s="2" t="str">
        <x:v>HDB Flat</x:v>
      </x:c>
      <x:c r="K354" s="28" t="n">
        <x:v>2206.2104936862142</x:v>
      </x:c>
      <x:c r="L354" s="30" t="str">
        <x:v>Hard requirements pass. SGD 1,450/month, NUS 2,206.21 m straight-line. Good rent savings together with a relatively short verified NUS distance.</x:v>
      </x:c>
      <x:c r="M354" s="31" t="str">
        <x:v>No</x:v>
      </x:c>
      <x:c r="N354" s="30" t="str"/>
      <x:c r="O354" s="30" t="str">
        <x:v>https://www.propertyguru.com.sg/listing/hdb-for-rent-701-west-coast-road-500215736</x:v>
      </x:c>
    </x:row>
    <x:row r="355" ht="52" customHeight="1">
      <x:c r="A355" s="2" t="str">
        <x:v>S14</x:v>
      </x:c>
      <x:c r="B355" s="2" t="str">
        <x:v>S14-C24</x:v>
      </x:c>
      <x:c r="C355" s="2" t="str">
        <x:v>500040526</x:v>
      </x:c>
      <x:c r="D355" s="2" t="str">
        <x:v>Original</x:v>
      </x:c>
      <x:c r="E355" s="2" t="str">
        <x:v>U</x:v>
      </x:c>
      <x:c r="F355" s="26" t="n">
        <x:v>2500</x:v>
      </x:c>
      <x:c r="G355" s="27"/>
      <x:c r="H355" s="27" t="n">
        <x:v>209</x:v>
      </x:c>
      <x:c r="I355" s="2" t="str">
        <x:v>D09</x:v>
      </x:c>
      <x:c r="J355" s="2" t="str">
        <x:v>Apartment</x:v>
      </x:c>
      <x:c r="K355" s="28"/>
      <x:c r="L355" s="30" t="str">
        <x:v>No known hard failure. Cannot verify: reported bedrooms.</x:v>
      </x:c>
      <x:c r="M355" s="31" t="str">
        <x:v>No</x:v>
      </x:c>
      <x:c r="N355" s="30" t="str">
        <x:v>Reported bedrooms Unknown; required &gt;= 1. Soft evidence missing: nus straight-line distance (m).</x:v>
      </x:c>
      <x:c r="O355" s="30" t="str">
        <x:v>https://www.propertyguru.com.sg/listing/for-rent-336-river-valley-500040526</x:v>
      </x:c>
    </x:row>
    <x:row r="356" ht="52" customHeight="1">
      <x:c r="A356" s="2" t="str">
        <x:v>S14</x:v>
      </x:c>
      <x:c r="B356" s="2" t="str">
        <x:v>S14-C25</x:v>
      </x:c>
      <x:c r="C356" s="2" t="str">
        <x:v>25301156</x:v>
      </x:c>
      <x:c r="D356" s="2" t="str">
        <x:v>Original</x:v>
      </x:c>
      <x:c r="E356" s="2" t="n">
        <x:v>0</x:v>
      </x:c>
      <x:c r="F356" s="26" t="n">
        <x:v>3050</x:v>
      </x:c>
      <x:c r="G356" s="27" t="n">
        <x:v>1</x:v>
      </x:c>
      <x:c r="H356" s="27" t="n">
        <x:v>495</x:v>
      </x:c>
      <x:c r="I356" s="2" t="str">
        <x:v>D18</x:v>
      </x:c>
      <x:c r="J356" s="2" t="str">
        <x:v>Condominium</x:v>
      </x:c>
      <x:c r="K356" s="28"/>
      <x:c r="L356" s="30" t="str">
        <x:v>Hard failure: Rent (SGD/month) 3,050; required &lt;= 3,000.</x:v>
      </x:c>
      <x:c r="M356" s="31" t="str">
        <x:v>No</x:v>
      </x:c>
      <x:c r="N356" s="30" t="str">
        <x:v>Soft evidence missing: nus straight-line distance (m).</x:v>
      </x:c>
      <x:c r="O356" s="30" t="str">
        <x:v>https://www.propertyguru.com.sg/listing/for-rent-the-alps-residences-25301156</x:v>
      </x:c>
    </x:row>
    <x:row r="357" ht="52" customHeight="1">
      <x:c r="A357" s="2" t="str">
        <x:v>S15</x:v>
      </x:c>
      <x:c r="B357" s="2" t="str">
        <x:v>S15-C01</x:v>
      </x:c>
      <x:c r="C357" s="2" t="str">
        <x:v>500027180</x:v>
      </x:c>
      <x:c r="D357" s="2" t="str">
        <x:v>Original</x:v>
      </x:c>
      <x:c r="E357" s="2" t="n">
        <x:v>1</x:v>
      </x:c>
      <x:c r="F357" s="26" t="n">
        <x:v>4499</x:v>
      </x:c>
      <x:c r="G357" s="27" t="n">
        <x:v>3</x:v>
      </x:c>
      <x:c r="H357" s="27" t="n">
        <x:v>1152</x:v>
      </x:c>
      <x:c r="I357" s="2" t="str">
        <x:v>D19</x:v>
      </x:c>
      <x:c r="J357" s="2" t="str">
        <x:v>Condominium</x:v>
      </x:c>
      <x:c r="K357" s="28" t="n">
        <x:v>14189.024687730223</x:v>
      </x:c>
      <x:c r="L357" s="30" t="str">
        <x:v>Hard requirements pass. D19, area 1,152 sqft. The primary D05 preference is unmet; additional space does not replace it.</x:v>
      </x:c>
      <x:c r="M357" s="31" t="str">
        <x:v>No</x:v>
      </x:c>
      <x:c r="N357" s="30" t="str"/>
      <x:c r="O357" s="30" t="str">
        <x:v>https://www.propertyguru.com.sg/listing/for-rent-regentville-500027180</x:v>
      </x:c>
    </x:row>
    <x:row r="358" ht="52" customHeight="1">
      <x:c r="A358" s="2" t="str">
        <x:v>S15</x:v>
      </x:c>
      <x:c r="B358" s="2" t="str">
        <x:v>S15-C02</x:v>
      </x:c>
      <x:c r="C358" s="2" t="str">
        <x:v>500253637</x:v>
      </x:c>
      <x:c r="D358" s="2" t="str">
        <x:v>Original</x:v>
      </x:c>
      <x:c r="E358" s="2" t="n">
        <x:v>1</x:v>
      </x:c>
      <x:c r="F358" s="26" t="n">
        <x:v>4300</x:v>
      </x:c>
      <x:c r="G358" s="27" t="n">
        <x:v>3</x:v>
      </x:c>
      <x:c r="H358" s="27" t="n">
        <x:v>1560</x:v>
      </x:c>
      <x:c r="I358" s="2" t="str">
        <x:v>D18</x:v>
      </x:c>
      <x:c r="J358" s="2" t="str">
        <x:v>HDB Flat</x:v>
      </x:c>
      <x:c r="K358" s="28" t="n">
        <x:v>19615.354219341418</x:v>
      </x:c>
      <x:c r="L358" s="30" t="str">
        <x:v>Hard requirements pass. D18, area 1,560 sqft. The primary D05 preference is unmet; additional space does not replace it.</x:v>
      </x:c>
      <x:c r="M358" s="31" t="str">
        <x:v>No</x:v>
      </x:c>
      <x:c r="N358" s="30" t="str"/>
      <x:c r="O358" s="30" t="str">
        <x:v>https://www.propertyguru.com.sg/listing/hdb-for-rent-156-tampines-street-12-500253637</x:v>
      </x:c>
    </x:row>
    <x:row r="359" ht="52" customHeight="1">
      <x:c r="A359" s="2" t="str">
        <x:v>S15</x:v>
      </x:c>
      <x:c r="B359" s="2" t="str">
        <x:v>S15-C03</x:v>
      </x:c>
      <x:c r="C359" s="2" t="str">
        <x:v>25135809</x:v>
      </x:c>
      <x:c r="D359" s="2" t="str">
        <x:v>Original</x:v>
      </x:c>
      <x:c r="E359" s="2" t="n">
        <x:v>0</x:v>
      </x:c>
      <x:c r="F359" s="26" t="n">
        <x:v>5087</x:v>
      </x:c>
      <x:c r="G359" s="27" t="n">
        <x:v>2</x:v>
      </x:c>
      <x:c r="H359" s="27" t="n">
        <x:v>826</x:v>
      </x:c>
      <x:c r="I359" s="2" t="str">
        <x:v>D14</x:v>
      </x:c>
      <x:c r="J359" s="2" t="str">
        <x:v>Condominium</x:v>
      </x:c>
      <x:c r="K359" s="28"/>
      <x:c r="L359" s="30" t="str">
        <x:v>Hard failure: Rent (SGD/month) 5,087; required &lt;= 5,000.</x:v>
      </x:c>
      <x:c r="M359" s="31" t="str">
        <x:v>No</x:v>
      </x:c>
      <x:c r="N359" s="30" t="str"/>
      <x:c r="O359" s="30" t="str">
        <x:v>https://www.propertyguru.com.sg/listing/for-rent-lotus-at-paya-lebar-25135809</x:v>
      </x:c>
    </x:row>
    <x:row r="360" ht="52" customHeight="1">
      <x:c r="A360" s="2" t="str">
        <x:v>S15</x:v>
      </x:c>
      <x:c r="B360" s="2" t="str">
        <x:v>S15-C04</x:v>
      </x:c>
      <x:c r="C360" s="2" t="str">
        <x:v>500281545</x:v>
      </x:c>
      <x:c r="D360" s="2" t="str">
        <x:v>Original</x:v>
      </x:c>
      <x:c r="E360" s="2" t="n">
        <x:v>1</x:v>
      </x:c>
      <x:c r="F360" s="26" t="n">
        <x:v>700</x:v>
      </x:c>
      <x:c r="G360" s="27" t="n">
        <x:v>3</x:v>
      </x:c>
      <x:c r="H360" s="27" t="n">
        <x:v>904</x:v>
      </x:c>
      <x:c r="I360" s="2" t="str">
        <x:v>D18</x:v>
      </x:c>
      <x:c r="J360" s="2" t="str">
        <x:v>HDB Flat</x:v>
      </x:c>
      <x:c r="K360" s="28" t="n">
        <x:v>18577.203300588288</x:v>
      </x:c>
      <x:c r="L360" s="30" t="str">
        <x:v>Hard requirements pass. D18, area 904 sqft. The primary D05 preference is unmet; additional space does not replace it.</x:v>
      </x:c>
      <x:c r="M360" s="31" t="str">
        <x:v>No</x:v>
      </x:c>
      <x:c r="N360" s="30" t="str"/>
      <x:c r="O360" s="30" t="str">
        <x:v>https://www.propertyguru.com.sg/listing/hdb-for-rent-832-tampines-street-82-500281545</x:v>
      </x:c>
    </x:row>
    <x:row r="361" ht="52" customHeight="1">
      <x:c r="A361" s="2" t="str">
        <x:v>S15</x:v>
      </x:c>
      <x:c r="B361" s="2" t="str">
        <x:v>S15-C05</x:v>
      </x:c>
      <x:c r="C361" s="2" t="str">
        <x:v>25179005</x:v>
      </x:c>
      <x:c r="D361" s="2" t="str">
        <x:v>Original</x:v>
      </x:c>
      <x:c r="E361" s="2" t="str">
        <x:v>U</x:v>
      </x:c>
      <x:c r="F361" s="26" t="n">
        <x:v>2600</x:v>
      </x:c>
      <x:c r="G361" s="27"/>
      <x:c r="H361" s="27" t="n">
        <x:v>400</x:v>
      </x:c>
      <x:c r="I361" s="2" t="str">
        <x:v>D27</x:v>
      </x:c>
      <x:c r="J361" s="2" t="str">
        <x:v>Condominium</x:v>
      </x:c>
      <x:c r="K361" s="28"/>
      <x:c r="L361" s="30" t="str">
        <x:v>No known hard failure. Cannot verify: reported bedrooms.</x:v>
      </x:c>
      <x:c r="M361" s="31" t="str">
        <x:v>No</x:v>
      </x:c>
      <x:c r="N361" s="30" t="str">
        <x:v>Reported bedrooms Unknown; required &gt;= 2.</x:v>
      </x:c>
      <x:c r="O361" s="30" t="str">
        <x:v>https://www.propertyguru.com.sg/listing/for-rent-eight-courtyards-25179005</x:v>
      </x:c>
    </x:row>
    <x:row r="362" ht="52" customHeight="1">
      <x:c r="A362" s="2" t="str">
        <x:v>S15</x:v>
      </x:c>
      <x:c r="B362" s="2" t="str">
        <x:v>S15-C06</x:v>
      </x:c>
      <x:c r="C362" s="2" t="str">
        <x:v>12885293</x:v>
      </x:c>
      <x:c r="D362" s="2" t="str">
        <x:v>Original</x:v>
      </x:c>
      <x:c r="E362" s="2" t="n">
        <x:v>3</x:v>
      </x:c>
      <x:c r="F362" s="26" t="n">
        <x:v>4000</x:v>
      </x:c>
      <x:c r="G362" s="27" t="n">
        <x:v>2</x:v>
      </x:c>
      <x:c r="H362" s="27" t="n">
        <x:v>1000</x:v>
      </x:c>
      <x:c r="I362" s="2" t="str">
        <x:v>D05</x:v>
      </x:c>
      <x:c r="J362" s="2" t="str">
        <x:v>HDB Flat</x:v>
      </x:c>
      <x:c r="K362" s="28" t="n">
        <x:v>1379.529538544706</x:v>
      </x:c>
      <x:c r="L362" s="30" t="str">
        <x:v>Hard requirements pass. D05, area 1,000 sqft. Both D05 and the 1,000-sqft preference are met.</x:v>
      </x:c>
      <x:c r="M362" s="31" t="str">
        <x:v>No</x:v>
      </x:c>
      <x:c r="N362" s="30" t="str"/>
      <x:c r="O362" s="30" t="str">
        <x:v>https://www.propertyguru.com.sg/listing/hdb-for-rent-17-dover-crescent-12885293</x:v>
      </x:c>
    </x:row>
    <x:row r="363" ht="52" customHeight="1">
      <x:c r="A363" s="2" t="str">
        <x:v>S15</x:v>
      </x:c>
      <x:c r="B363" s="2" t="str">
        <x:v>S15-C07</x:v>
      </x:c>
      <x:c r="C363" s="2" t="str">
        <x:v>24808155</x:v>
      </x:c>
      <x:c r="D363" s="2" t="str">
        <x:v>Original</x:v>
      </x:c>
      <x:c r="E363" s="2" t="n">
        <x:v>1</x:v>
      </x:c>
      <x:c r="F363" s="26" t="n">
        <x:v>3850</x:v>
      </x:c>
      <x:c r="G363" s="27" t="n">
        <x:v>2</x:v>
      </x:c>
      <x:c r="H363" s="27" t="n">
        <x:v>710</x:v>
      </x:c>
      <x:c r="I363" s="2" t="str">
        <x:v>D23</x:v>
      </x:c>
      <x:c r="J363" s="2" t="str">
        <x:v>Condominium</x:v>
      </x:c>
      <x:c r="K363" s="28"/>
      <x:c r="L363" s="30" t="str">
        <x:v>Hard requirements pass. D23, area 710 sqft. The primary D05 preference is unmet; additional space does not replace it.</x:v>
      </x:c>
      <x:c r="M363" s="31" t="str">
        <x:v>No</x:v>
      </x:c>
      <x:c r="N363" s="30" t="str"/>
      <x:c r="O363" s="30" t="str">
        <x:v>https://www.propertyguru.com.sg/listing/for-rent-dairy-farm-residences-24808155</x:v>
      </x:c>
    </x:row>
    <x:row r="364" ht="52" customHeight="1">
      <x:c r="A364" s="2" t="str">
        <x:v>S15</x:v>
      </x:c>
      <x:c r="B364" s="2" t="str">
        <x:v>S15-C08</x:v>
      </x:c>
      <x:c r="C364" s="2" t="str">
        <x:v>25544801</x:v>
      </x:c>
      <x:c r="D364" s="2" t="str">
        <x:v>Original</x:v>
      </x:c>
      <x:c r="E364" s="2" t="n">
        <x:v>1</x:v>
      </x:c>
      <x:c r="F364" s="26" t="n">
        <x:v>950</x:v>
      </x:c>
      <x:c r="G364" s="27" t="n">
        <x:v>7</x:v>
      </x:c>
      <x:c r="H364" s="27" t="n">
        <x:v>100</x:v>
      </x:c>
      <x:c r="I364" s="2" t="str">
        <x:v>D16</x:v>
      </x:c>
      <x:c r="J364" s="2" t="str">
        <x:v>Condominium</x:v>
      </x:c>
      <x:c r="K364" s="28"/>
      <x:c r="L364" s="30" t="str">
        <x:v>Hard requirements pass. D16, area 100 sqft. The primary D05 preference is unmet; additional space does not replace it.</x:v>
      </x:c>
      <x:c r="M364" s="31" t="str">
        <x:v>Yes</x:v>
      </x:c>
      <x:c r="N364" s="30" t="str">
        <x:v>At least 2 reported bedrooms with &lt;200 sqft; verify room/whole-unit scope and units.</x:v>
      </x:c>
      <x:c r="O364" s="30" t="str">
        <x:v>https://www.propertyguru.com.sg/listing/for-rent-the-bayshore-25544801</x:v>
      </x:c>
    </x:row>
    <x:row r="365" ht="52" customHeight="1">
      <x:c r="A365" s="2" t="str">
        <x:v>S15</x:v>
      </x:c>
      <x:c r="B365" s="2" t="str">
        <x:v>S15-C09</x:v>
      </x:c>
      <x:c r="C365" s="2" t="str">
        <x:v>500276083</x:v>
      </x:c>
      <x:c r="D365" s="2" t="str">
        <x:v>Original</x:v>
      </x:c>
      <x:c r="E365" s="2" t="n">
        <x:v>1</x:v>
      </x:c>
      <x:c r="F365" s="26" t="n">
        <x:v>3900</x:v>
      </x:c>
      <x:c r="G365" s="27" t="n">
        <x:v>2</x:v>
      </x:c>
      <x:c r="H365" s="27" t="n">
        <x:v>947</x:v>
      </x:c>
      <x:c r="I365" s="2" t="str">
        <x:v>D16</x:v>
      </x:c>
      <x:c r="J365" s="2" t="str">
        <x:v>Condominium</x:v>
      </x:c>
      <x:c r="K365" s="28"/>
      <x:c r="L365" s="30" t="str">
        <x:v>Hard requirements pass. D16, area 947 sqft. The primary D05 preference is unmet; additional space does not replace it.</x:v>
      </x:c>
      <x:c r="M365" s="31" t="str">
        <x:v>No</x:v>
      </x:c>
      <x:c r="N365" s="30" t="str"/>
      <x:c r="O365" s="30" t="str">
        <x:v>https://www.propertyguru.com.sg/listing/for-rent-the-bayshore-500276083</x:v>
      </x:c>
    </x:row>
    <x:row r="366" ht="52" customHeight="1">
      <x:c r="A366" s="2" t="str">
        <x:v>S15</x:v>
      </x:c>
      <x:c r="B366" s="2" t="str">
        <x:v>S15-C10</x:v>
      </x:c>
      <x:c r="C366" s="2" t="str">
        <x:v>18074957</x:v>
      </x:c>
      <x:c r="D366" s="2" t="str">
        <x:v>Original</x:v>
      </x:c>
      <x:c r="E366" s="2" t="n">
        <x:v>3</x:v>
      </x:c>
      <x:c r="F366" s="26" t="n">
        <x:v>4500</x:v>
      </x:c>
      <x:c r="G366" s="27" t="n">
        <x:v>3</x:v>
      </x:c>
      <x:c r="H366" s="27" t="n">
        <x:v>1000</x:v>
      </x:c>
      <x:c r="I366" s="2" t="str">
        <x:v>D05</x:v>
      </x:c>
      <x:c r="J366" s="2" t="str">
        <x:v>HDB Flat</x:v>
      </x:c>
      <x:c r="K366" s="28" t="n">
        <x:v>2100.9385127916753</x:v>
      </x:c>
      <x:c r="L366" s="30" t="str">
        <x:v>Hard requirements pass. D05, area 1,000 sqft. Both D05 and the 1,000-sqft preference are met.</x:v>
      </x:c>
      <x:c r="M366" s="31" t="str">
        <x:v>No</x:v>
      </x:c>
      <x:c r="N366" s="30" t="str"/>
      <x:c r="O366" s="30" t="str">
        <x:v>https://www.propertyguru.com.sg/listing/hdb-for-rent-456-clementi-avenue-3-18074957</x:v>
      </x:c>
    </x:row>
    <x:row r="367" ht="52" customHeight="1">
      <x:c r="A367" s="2" t="str">
        <x:v>S15</x:v>
      </x:c>
      <x:c r="B367" s="2" t="str">
        <x:v>S15-C11</x:v>
      </x:c>
      <x:c r="C367" s="2" t="str">
        <x:v>500265661</x:v>
      </x:c>
      <x:c r="D367" s="2" t="str">
        <x:v>Original</x:v>
      </x:c>
      <x:c r="E367" s="2" t="n">
        <x:v>0</x:v>
      </x:c>
      <x:c r="F367" s="26" t="n">
        <x:v>4000</x:v>
      </x:c>
      <x:c r="G367" s="27" t="n">
        <x:v>1</x:v>
      </x:c>
      <x:c r="H367" s="27" t="n">
        <x:v>538</x:v>
      </x:c>
      <x:c r="I367" s="2" t="str">
        <x:v>D21</x:v>
      </x:c>
      <x:c r="J367" s="2" t="str">
        <x:v>Condominium</x:v>
      </x:c>
      <x:c r="K367" s="28"/>
      <x:c r="L367" s="30" t="str">
        <x:v>Hard failure: Reported bedrooms 1; required &gt;= 2.</x:v>
      </x:c>
      <x:c r="M367" s="31" t="str">
        <x:v>No</x:v>
      </x:c>
      <x:c r="N367" s="30" t="str"/>
      <x:c r="O367" s="30" t="str">
        <x:v>https://www.propertyguru.com.sg/listing/for-rent-pinetree-hill-500265661</x:v>
      </x:c>
    </x:row>
    <x:row r="368" ht="52" customHeight="1">
      <x:c r="A368" s="2" t="str">
        <x:v>S15</x:v>
      </x:c>
      <x:c r="B368" s="2" t="str">
        <x:v>S15-C12</x:v>
      </x:c>
      <x:c r="C368" s="2" t="str">
        <x:v>500272100</x:v>
      </x:c>
      <x:c r="D368" s="2" t="str">
        <x:v>Original</x:v>
      </x:c>
      <x:c r="E368" s="2" t="n">
        <x:v>0</x:v>
      </x:c>
      <x:c r="F368" s="26" t="n">
        <x:v>5001</x:v>
      </x:c>
      <x:c r="G368" s="27" t="n">
        <x:v>2</x:v>
      </x:c>
      <x:c r="H368" s="27" t="n">
        <x:v>667</x:v>
      </x:c>
      <x:c r="I368" s="2" t="str">
        <x:v>D15</x:v>
      </x:c>
      <x:c r="J368" s="2" t="str">
        <x:v>Condominium</x:v>
      </x:c>
      <x:c r="K368" s="28"/>
      <x:c r="L368" s="30" t="str">
        <x:v>Hard failure: Rent (SGD/month) 5,001; required &lt;= 5,000.</x:v>
      </x:c>
      <x:c r="M368" s="31" t="str">
        <x:v>No</x:v>
      </x:c>
      <x:c r="N368" s="30" t="str"/>
      <x:c r="O368" s="30" t="str">
        <x:v>https://www.propertyguru.com.sg/listing/for-rent-grand-dunman-500272100</x:v>
      </x:c>
    </x:row>
    <x:row r="369" ht="52" customHeight="1">
      <x:c r="A369" s="2" t="str">
        <x:v>S15</x:v>
      </x:c>
      <x:c r="B369" s="2" t="str">
        <x:v>S15-C13</x:v>
      </x:c>
      <x:c r="C369" s="2" t="str">
        <x:v>25299240</x:v>
      </x:c>
      <x:c r="D369" s="2" t="str">
        <x:v>Original</x:v>
      </x:c>
      <x:c r="E369" s="2" t="n">
        <x:v>3</x:v>
      </x:c>
      <x:c r="F369" s="26" t="n">
        <x:v>5000</x:v>
      </x:c>
      <x:c r="G369" s="27" t="n">
        <x:v>2</x:v>
      </x:c>
      <x:c r="H369" s="27" t="n">
        <x:v>1184</x:v>
      </x:c>
      <x:c r="I369" s="2" t="str">
        <x:v>D05</x:v>
      </x:c>
      <x:c r="J369" s="2" t="str">
        <x:v>Condominium</x:v>
      </x:c>
      <x:c r="K369" s="28"/>
      <x:c r="L369" s="30" t="str">
        <x:v>Hard requirements pass. D05, area 1,184 sqft. Both D05 and the 1,000-sqft preference are met.</x:v>
      </x:c>
      <x:c r="M369" s="31" t="str">
        <x:v>No</x:v>
      </x:c>
      <x:c r="N369" s="30" t="str"/>
      <x:c r="O369" s="30" t="str">
        <x:v>https://www.propertyguru.com.sg/listing/for-rent-clementiwoods-condominium-25299240</x:v>
      </x:c>
    </x:row>
    <x:row r="370" ht="52" customHeight="1">
      <x:c r="A370" s="2" t="str">
        <x:v>S15</x:v>
      </x:c>
      <x:c r="B370" s="2" t="str">
        <x:v>S15-C14</x:v>
      </x:c>
      <x:c r="C370" s="2" t="str">
        <x:v>500232123</x:v>
      </x:c>
      <x:c r="D370" s="2" t="str">
        <x:v>Original</x:v>
      </x:c>
      <x:c r="E370" s="2" t="n">
        <x:v>0</x:v>
      </x:c>
      <x:c r="F370" s="26" t="n">
        <x:v>1550</x:v>
      </x:c>
      <x:c r="G370" s="27" t="n">
        <x:v>1</x:v>
      </x:c>
      <x:c r="H370" s="27" t="n">
        <x:v>200</x:v>
      </x:c>
      <x:c r="I370" s="2" t="str">
        <x:v>D09</x:v>
      </x:c>
      <x:c r="J370" s="2" t="str">
        <x:v>Apartment</x:v>
      </x:c>
      <x:c r="K370" s="28"/>
      <x:c r="L370" s="30" t="str">
        <x:v>Hard failure: Reported bedrooms 1; required &gt;= 2.</x:v>
      </x:c>
      <x:c r="M370" s="31" t="str">
        <x:v>No</x:v>
      </x:c>
      <x:c r="N370" s="30" t="str"/>
      <x:c r="O370" s="30" t="str">
        <x:v>https://www.propertyguru.com.sg/listing/for-rent-280-river-valley-road-500232123</x:v>
      </x:c>
    </x:row>
    <x:row r="371" ht="52" customHeight="1">
      <x:c r="A371" s="2" t="str">
        <x:v>S15</x:v>
      </x:c>
      <x:c r="B371" s="2" t="str">
        <x:v>S15-C15</x:v>
      </x:c>
      <x:c r="C371" s="2" t="str">
        <x:v>500272940</x:v>
      </x:c>
      <x:c r="D371" s="2" t="str">
        <x:v>Original</x:v>
      </x:c>
      <x:c r="E371" s="2" t="n">
        <x:v>0</x:v>
      </x:c>
      <x:c r="F371" s="26" t="n">
        <x:v>5050</x:v>
      </x:c>
      <x:c r="G371" s="27" t="n">
        <x:v>3</x:v>
      </x:c>
      <x:c r="H371" s="27" t="n">
        <x:v>1151</x:v>
      </x:c>
      <x:c r="I371" s="2" t="str">
        <x:v>D13</x:v>
      </x:c>
      <x:c r="J371" s="2" t="str">
        <x:v>Condominium</x:v>
      </x:c>
      <x:c r="K371" s="28" t="n">
        <x:v>12773.734980436948</x:v>
      </x:c>
      <x:c r="L371" s="30" t="str">
        <x:v>Hard failure: Rent (SGD/month) 5,050; required &lt;= 5,000.</x:v>
      </x:c>
      <x:c r="M371" s="31" t="str">
        <x:v>No</x:v>
      </x:c>
      <x:c r="N371" s="30" t="str"/>
      <x:c r="O371" s="30" t="str">
        <x:v>https://www.propertyguru.com.sg/listing/for-rent-sky-green-500272940</x:v>
      </x:c>
    </x:row>
    <x:row r="372" ht="52" customHeight="1">
      <x:c r="A372" s="2" t="str">
        <x:v>S15</x:v>
      </x:c>
      <x:c r="B372" s="2" t="str">
        <x:v>S15-C16</x:v>
      </x:c>
      <x:c r="C372" s="2" t="str">
        <x:v>500286637</x:v>
      </x:c>
      <x:c r="D372" s="2" t="str">
        <x:v>Original</x:v>
      </x:c>
      <x:c r="E372" s="2" t="n">
        <x:v>2</x:v>
      </x:c>
      <x:c r="F372" s="26" t="n">
        <x:v>3200</x:v>
      </x:c>
      <x:c r="G372" s="27" t="n">
        <x:v>2</x:v>
      </x:c>
      <x:c r="H372" s="27" t="n">
        <x:v>732</x:v>
      </x:c>
      <x:c r="I372" s="2" t="str">
        <x:v>D05</x:v>
      </x:c>
      <x:c r="J372" s="2" t="str">
        <x:v>HDB Flat</x:v>
      </x:c>
      <x:c r="K372" s="28" t="n">
        <x:v>2746.393992007807</x:v>
      </x:c>
      <x:c r="L372" s="30" t="str">
        <x:v>Hard requirements pass. D05, area 732 sqft. D05 is met, with a shortfall in the secondary size preference.</x:v>
      </x:c>
      <x:c r="M372" s="31" t="str">
        <x:v>No</x:v>
      </x:c>
      <x:c r="N372" s="30" t="str"/>
      <x:c r="O372" s="30" t="str">
        <x:v>https://www.propertyguru.com.sg/listing/hdb-for-rent-375-clementi-avenue-4-500286637</x:v>
      </x:c>
    </x:row>
    <x:row r="373" ht="52" customHeight="1">
      <x:c r="A373" s="2" t="str">
        <x:v>S15</x:v>
      </x:c>
      <x:c r="B373" s="2" t="str">
        <x:v>S15-C17</x:v>
      </x:c>
      <x:c r="C373" s="2" t="str">
        <x:v>500267180</x:v>
      </x:c>
      <x:c r="D373" s="2" t="str">
        <x:v>Original</x:v>
      </x:c>
      <x:c r="E373" s="2" t="str">
        <x:v>U</x:v>
      </x:c>
      <x:c r="F373" s="26" t="n">
        <x:v>3000</x:v>
      </x:c>
      <x:c r="G373" s="27"/>
      <x:c r="H373" s="27" t="n">
        <x:v>520</x:v>
      </x:c>
      <x:c r="I373" s="2" t="str">
        <x:v>D14</x:v>
      </x:c>
      <x:c r="J373" s="2" t="str">
        <x:v>Apartment</x:v>
      </x:c>
      <x:c r="K373" s="28"/>
      <x:c r="L373" s="30" t="str">
        <x:v>No known hard failure. Cannot verify: reported bedrooms.</x:v>
      </x:c>
      <x:c r="M373" s="31" t="str">
        <x:v>No</x:v>
      </x:c>
      <x:c r="N373" s="30" t="str">
        <x:v>Reported bedrooms Unknown; required &gt;= 2.</x:v>
      </x:c>
      <x:c r="O373" s="30" t="str">
        <x:v>https://www.propertyguru.com.sg/listing/for-rent-the-edelweiss-residences-500267180</x:v>
      </x:c>
    </x:row>
    <x:row r="374" ht="52" customHeight="1">
      <x:c r="A374" s="2" t="str">
        <x:v>S15</x:v>
      </x:c>
      <x:c r="B374" s="2" t="str">
        <x:v>S15-C18</x:v>
      </x:c>
      <x:c r="C374" s="2" t="str">
        <x:v>23822395</x:v>
      </x:c>
      <x:c r="D374" s="2" t="str">
        <x:v>Original</x:v>
      </x:c>
      <x:c r="E374" s="2" t="n">
        <x:v>1</x:v>
      </x:c>
      <x:c r="F374" s="26" t="n">
        <x:v>3300</x:v>
      </x:c>
      <x:c r="G374" s="27" t="n">
        <x:v>2</x:v>
      </x:c>
      <x:c r="H374" s="27" t="n">
        <x:v>753</x:v>
      </x:c>
      <x:c r="I374" s="2" t="str">
        <x:v>D14</x:v>
      </x:c>
      <x:c r="J374" s="2" t="str">
        <x:v>HDB Flat</x:v>
      </x:c>
      <x:c r="K374" s="28" t="n">
        <x:v>10462.667693613508</x:v>
      </x:c>
      <x:c r="L374" s="30" t="str">
        <x:v>Hard requirements pass. D14, area 753 sqft. The primary D05 preference is unmet; additional space does not replace it.</x:v>
      </x:c>
      <x:c r="M374" s="31" t="str">
        <x:v>No</x:v>
      </x:c>
      <x:c r="N374" s="30" t="str"/>
      <x:c r="O374" s="30" t="str">
        <x:v>https://www.propertyguru.com.sg/listing/hdb-for-rent-8a-upper-boon-keng-road-23822395</x:v>
      </x:c>
    </x:row>
    <x:row r="375" ht="52" customHeight="1">
      <x:c r="A375" s="2" t="str">
        <x:v>S15</x:v>
      </x:c>
      <x:c r="B375" s="2" t="str">
        <x:v>S15-C19</x:v>
      </x:c>
      <x:c r="C375" s="2" t="str">
        <x:v>22773305</x:v>
      </x:c>
      <x:c r="D375" s="2" t="str">
        <x:v>Original</x:v>
      </x:c>
      <x:c r="E375" s="2" t="n">
        <x:v>3</x:v>
      </x:c>
      <x:c r="F375" s="26" t="n">
        <x:v>4500</x:v>
      </x:c>
      <x:c r="G375" s="27" t="n">
        <x:v>3</x:v>
      </x:c>
      <x:c r="H375" s="27" t="n">
        <x:v>1259</x:v>
      </x:c>
      <x:c r="I375" s="2" t="str">
        <x:v>D05</x:v>
      </x:c>
      <x:c r="J375" s="2" t="str">
        <x:v>HDB Flat</x:v>
      </x:c>
      <x:c r="K375" s="28" t="n">
        <x:v>2195.8110630638394</x:v>
      </x:c>
      <x:c r="L375" s="30" t="str">
        <x:v>Hard requirements pass. D05, area 1,259 sqft. Both D05 and the 1,000-sqft preference are met.</x:v>
      </x:c>
      <x:c r="M375" s="31" t="str">
        <x:v>No</x:v>
      </x:c>
      <x:c r="N375" s="30" t="str"/>
      <x:c r="O375" s="30" t="str">
        <x:v>https://www.propertyguru.com.sg/listing/hdb-for-rent-355-clementi-avenue-2-22773305</x:v>
      </x:c>
    </x:row>
    <x:row r="376" ht="52" customHeight="1">
      <x:c r="A376" s="2" t="str">
        <x:v>S15</x:v>
      </x:c>
      <x:c r="B376" s="2" t="str">
        <x:v>S15-C20</x:v>
      </x:c>
      <x:c r="C376" s="2" t="str">
        <x:v>21026007</x:v>
      </x:c>
      <x:c r="D376" s="2" t="str">
        <x:v>Original</x:v>
      </x:c>
      <x:c r="E376" s="2" t="n">
        <x:v>1</x:v>
      </x:c>
      <x:c r="F376" s="26" t="n">
        <x:v>450</x:v>
      </x:c>
      <x:c r="G376" s="27" t="n">
        <x:v>3</x:v>
      </x:c>
      <x:c r="H376" s="27" t="n">
        <x:v>100</x:v>
      </x:c>
      <x:c r="I376" s="2" t="str">
        <x:v>D25</x:v>
      </x:c>
      <x:c r="J376" s="2" t="str">
        <x:v>HDB Flat</x:v>
      </x:c>
      <x:c r="K376" s="28" t="n">
        <x:v>16744.33025757308</x:v>
      </x:c>
      <x:c r="L376" s="30" t="str">
        <x:v>Hard requirements pass. D25, area 100 sqft. The primary D05 preference is unmet; additional space does not replace it.</x:v>
      </x:c>
      <x:c r="M376" s="31" t="str">
        <x:v>Yes</x:v>
      </x:c>
      <x:c r="N376" s="30" t="str">
        <x:v>At least 2 reported bedrooms with &lt;200 sqft; verify room/whole-unit scope and units.</x:v>
      </x:c>
      <x:c r="O376" s="30" t="str">
        <x:v>https://www.propertyguru.com.sg/listing/hdb-for-rent-764a-woodlands-circle-21026007</x:v>
      </x:c>
    </x:row>
    <x:row r="377" ht="52" customHeight="1">
      <x:c r="A377" s="2" t="str">
        <x:v>S15</x:v>
      </x:c>
      <x:c r="B377" s="2" t="str">
        <x:v>S15-C21</x:v>
      </x:c>
      <x:c r="C377" s="2" t="str">
        <x:v>20369392</x:v>
      </x:c>
      <x:c r="D377" s="2" t="str">
        <x:v>Original</x:v>
      </x:c>
      <x:c r="E377" s="2" t="n">
        <x:v>3</x:v>
      </x:c>
      <x:c r="F377" s="26" t="n">
        <x:v>4400</x:v>
      </x:c>
      <x:c r="G377" s="27" t="n">
        <x:v>3</x:v>
      </x:c>
      <x:c r="H377" s="27" t="n">
        <x:v>1259</x:v>
      </x:c>
      <x:c r="I377" s="2" t="str">
        <x:v>D05</x:v>
      </x:c>
      <x:c r="J377" s="2" t="str">
        <x:v>HDB Flat</x:v>
      </x:c>
      <x:c r="K377" s="28" t="n">
        <x:v>2133.672696096081</x:v>
      </x:c>
      <x:c r="L377" s="30" t="str">
        <x:v>Hard requirements pass. D05, area 1,259 sqft. Both D05 and the 1,000-sqft preference are met.</x:v>
      </x:c>
      <x:c r="M377" s="31" t="str">
        <x:v>No</x:v>
      </x:c>
      <x:c r="N377" s="30" t="str"/>
      <x:c r="O377" s="30" t="str">
        <x:v>https://www.propertyguru.com.sg/listing/hdb-for-rent-356-clementi-avenue-2-20369392</x:v>
      </x:c>
    </x:row>
    <x:row r="378" ht="52" customHeight="1">
      <x:c r="A378" s="2" t="str">
        <x:v>S15</x:v>
      </x:c>
      <x:c r="B378" s="2" t="str">
        <x:v>S15-C22</x:v>
      </x:c>
      <x:c r="C378" s="2" t="str">
        <x:v>20355486</x:v>
      </x:c>
      <x:c r="D378" s="2" t="str">
        <x:v>Original</x:v>
      </x:c>
      <x:c r="E378" s="2" t="str">
        <x:v>U</x:v>
      </x:c>
      <x:c r="F378" s="26" t="n">
        <x:v>1500</x:v>
      </x:c>
      <x:c r="G378" s="27"/>
      <x:c r="H378" s="27" t="n">
        <x:v>200</x:v>
      </x:c>
      <x:c r="I378" s="2" t="str">
        <x:v>D19</x:v>
      </x:c>
      <x:c r="J378" s="2" t="str">
        <x:v>Terraced House</x:v>
      </x:c>
      <x:c r="K378" s="28" t="n">
        <x:v>13310.810153577555</x:v>
      </x:c>
      <x:c r="L378" s="30" t="str">
        <x:v>No known hard failure. Cannot verify: reported bedrooms.</x:v>
      </x:c>
      <x:c r="M378" s="31" t="str">
        <x:v>No</x:v>
      </x:c>
      <x:c r="N378" s="30" t="str">
        <x:v>Reported bedrooms Unknown; required &gt;= 2.</x:v>
      </x:c>
      <x:c r="O378" s="30" t="str">
        <x:v>https://www.propertyguru.com.sg/listing/for-rent-chuan-hoe-ave-20355486</x:v>
      </x:c>
    </x:row>
    <x:row r="379" ht="52" customHeight="1">
      <x:c r="A379" s="2" t="str">
        <x:v>S15</x:v>
      </x:c>
      <x:c r="B379" s="2" t="str">
        <x:v>S15-C23</x:v>
      </x:c>
      <x:c r="C379" s="2" t="str">
        <x:v>19221832</x:v>
      </x:c>
      <x:c r="D379" s="2" t="str">
        <x:v>Original</x:v>
      </x:c>
      <x:c r="E379" s="2" t="n">
        <x:v>3</x:v>
      </x:c>
      <x:c r="F379" s="26" t="n">
        <x:v>4200</x:v>
      </x:c>
      <x:c r="G379" s="27" t="n">
        <x:v>3</x:v>
      </x:c>
      <x:c r="H379" s="27" t="n">
        <x:v>1184</x:v>
      </x:c>
      <x:c r="I379" s="2" t="str">
        <x:v>D05</x:v>
      </x:c>
      <x:c r="J379" s="2" t="str">
        <x:v>HDB Flat</x:v>
      </x:c>
      <x:c r="K379" s="28" t="n">
        <x:v>2068.207356208767</x:v>
      </x:c>
      <x:c r="L379" s="30" t="str">
        <x:v>Hard requirements pass. D05, area 1,184 sqft. Both D05 and the 1,000-sqft preference are met.</x:v>
      </x:c>
      <x:c r="M379" s="31" t="str">
        <x:v>No</x:v>
      </x:c>
      <x:c r="N379" s="30" t="str"/>
      <x:c r="O379" s="30" t="str">
        <x:v>https://www.propertyguru.com.sg/listing/hdb-for-rent-458-clementi-avenue-3-19221832</x:v>
      </x:c>
    </x:row>
    <x:row r="380" ht="52" customHeight="1">
      <x:c r="A380" s="2" t="str">
        <x:v>S15</x:v>
      </x:c>
      <x:c r="B380" s="2" t="str">
        <x:v>S15-C24</x:v>
      </x:c>
      <x:c r="C380" s="2" t="str">
        <x:v>24465175</x:v>
      </x:c>
      <x:c r="D380" s="2" t="str">
        <x:v>Original</x:v>
      </x:c>
      <x:c r="E380" s="2" t="n">
        <x:v>2</x:v>
      </x:c>
      <x:c r="F380" s="26" t="n">
        <x:v>4700</x:v>
      </x:c>
      <x:c r="G380" s="27" t="n">
        <x:v>2</x:v>
      </x:c>
      <x:c r="H380" s="27" t="n">
        <x:v>980</x:v>
      </x:c>
      <x:c r="I380" s="2" t="str">
        <x:v>D05</x:v>
      </x:c>
      <x:c r="J380" s="2" t="str">
        <x:v>Condominium</x:v>
      </x:c>
      <x:c r="K380" s="28"/>
      <x:c r="L380" s="30" t="str">
        <x:v>Hard requirements pass. D05, area 980 sqft. D05 is met, with a shortfall in the secondary size preference.</x:v>
      </x:c>
      <x:c r="M380" s="31" t="str">
        <x:v>No</x:v>
      </x:c>
      <x:c r="N380" s="30" t="str"/>
      <x:c r="O380" s="30" t="str">
        <x:v>https://www.propertyguru.com.sg/listing/for-rent-the-parc-condominium-24465175</x:v>
      </x:c>
    </x:row>
    <x:row r="381" ht="52" customHeight="1">
      <x:c r="A381" s="2" t="str">
        <x:v>S15</x:v>
      </x:c>
      <x:c r="B381" s="2" t="str">
        <x:v>S15-C25</x:v>
      </x:c>
      <x:c r="C381" s="2" t="str">
        <x:v>60023928</x:v>
      </x:c>
      <x:c r="D381" s="2" t="str">
        <x:v>Original</x:v>
      </x:c>
      <x:c r="E381" s="2" t="n">
        <x:v>1</x:v>
      </x:c>
      <x:c r="F381" s="26" t="n">
        <x:v>800</x:v>
      </x:c>
      <x:c r="G381" s="27" t="n">
        <x:v>2</x:v>
      </x:c>
      <x:c r="H381" s="27" t="n">
        <x:v>120</x:v>
      </x:c>
      <x:c r="I381" s="2" t="str">
        <x:v>D27</x:v>
      </x:c>
      <x:c r="J381" s="2" t="str">
        <x:v>HDB Flat</x:v>
      </x:c>
      <x:c r="K381" s="28" t="n">
        <x:v>16336.918172271477</x:v>
      </x:c>
      <x:c r="L381" s="30" t="str">
        <x:v>Hard requirements pass. D27, area 120 sqft. The primary D05 preference is unmet; additional space does not replace it.</x:v>
      </x:c>
      <x:c r="M381" s="31" t="str">
        <x:v>Yes</x:v>
      </x:c>
      <x:c r="N381" s="30" t="str">
        <x:v>At least 2 reported bedrooms with &lt;200 sqft; verify room/whole-unit scope and units.</x:v>
      </x:c>
      <x:c r="O381" s="30" t="str">
        <x:v>https://www.propertyguru.com.sg/listing/hdb-for-rent-203-yishun-street-21-60023928</x:v>
      </x:c>
    </x:row>
    <x:row r="382" ht="52" customHeight="1">
      <x:c r="A382" s="2" t="str">
        <x:v>S16</x:v>
      </x:c>
      <x:c r="B382" s="2" t="str">
        <x:v>S16-C01</x:v>
      </x:c>
      <x:c r="C382" s="2" t="str">
        <x:v>25179005</x:v>
      </x:c>
      <x:c r="D382" s="2" t="str">
        <x:v>Original</x:v>
      </x:c>
      <x:c r="E382" s="2" t="str">
        <x:v>U</x:v>
      </x:c>
      <x:c r="F382" s="26" t="n">
        <x:v>2600</x:v>
      </x:c>
      <x:c r="G382" s="27"/>
      <x:c r="H382" s="27" t="n">
        <x:v>400</x:v>
      </x:c>
      <x:c r="I382" s="2" t="str">
        <x:v>D27</x:v>
      </x:c>
      <x:c r="J382" s="2" t="str">
        <x:v>Condominium</x:v>
      </x:c>
      <x:c r="K382" s="28"/>
      <x:c r="L382" s="30" t="str">
        <x:v>No known hard failure. Cannot verify: reported bedrooms.</x:v>
      </x:c>
      <x:c r="M382" s="31" t="str">
        <x:v>No</x:v>
      </x:c>
      <x:c r="N382" s="30" t="str">
        <x:v>Reported bedrooms Unknown; required &gt;= 2.</x:v>
      </x:c>
      <x:c r="O382" s="30" t="str">
        <x:v>https://www.propertyguru.com.sg/listing/for-rent-eight-courtyards-25179005</x:v>
      </x:c>
    </x:row>
    <x:row r="383" ht="52" customHeight="1">
      <x:c r="A383" s="2" t="str">
        <x:v>S16</x:v>
      </x:c>
      <x:c r="B383" s="2" t="str">
        <x:v>S16-C02</x:v>
      </x:c>
      <x:c r="C383" s="2" t="str">
        <x:v>500253637</x:v>
      </x:c>
      <x:c r="D383" s="2" t="str">
        <x:v>Original</x:v>
      </x:c>
      <x:c r="E383" s="2" t="n">
        <x:v>2</x:v>
      </x:c>
      <x:c r="F383" s="26" t="n">
        <x:v>4300</x:v>
      </x:c>
      <x:c r="G383" s="27" t="n">
        <x:v>3</x:v>
      </x:c>
      <x:c r="H383" s="27" t="n">
        <x:v>1560</x:v>
      </x:c>
      <x:c r="I383" s="2" t="str">
        <x:v>D18</x:v>
      </x:c>
      <x:c r="J383" s="2" t="str">
        <x:v>HDB Flat</x:v>
      </x:c>
      <x:c r="K383" s="28" t="n">
        <x:v>19615.354219341418</x:v>
      </x:c>
      <x:c r="L383" s="30" t="str">
        <x:v>Hard requirements pass. area 1,560 sqft, D18. The primary size preference is met, with a trade-off outside D05.</x:v>
      </x:c>
      <x:c r="M383" s="31" t="str">
        <x:v>No</x:v>
      </x:c>
      <x:c r="N383" s="30" t="str"/>
      <x:c r="O383" s="30" t="str">
        <x:v>https://www.propertyguru.com.sg/listing/hdb-for-rent-156-tampines-street-12-500253637</x:v>
      </x:c>
    </x:row>
    <x:row r="384" ht="52" customHeight="1">
      <x:c r="A384" s="2" t="str">
        <x:v>S16</x:v>
      </x:c>
      <x:c r="B384" s="2" t="str">
        <x:v>S16-C03</x:v>
      </x:c>
      <x:c r="C384" s="2" t="str">
        <x:v>18074957</x:v>
      </x:c>
      <x:c r="D384" s="2" t="str">
        <x:v>Original</x:v>
      </x:c>
      <x:c r="E384" s="2" t="n">
        <x:v>3</x:v>
      </x:c>
      <x:c r="F384" s="26" t="n">
        <x:v>4500</x:v>
      </x:c>
      <x:c r="G384" s="27" t="n">
        <x:v>3</x:v>
      </x:c>
      <x:c r="H384" s="27" t="n">
        <x:v>1000</x:v>
      </x:c>
      <x:c r="I384" s="2" t="str">
        <x:v>D05</x:v>
      </x:c>
      <x:c r="J384" s="2" t="str">
        <x:v>HDB Flat</x:v>
      </x:c>
      <x:c r="K384" s="28" t="n">
        <x:v>2100.9385127916753</x:v>
      </x:c>
      <x:c r="L384" s="30" t="str">
        <x:v>Hard requirements pass. area 1,000 sqft, D05. Both the primary 1,000-sqft preference and D05 are met.</x:v>
      </x:c>
      <x:c r="M384" s="31" t="str">
        <x:v>No</x:v>
      </x:c>
      <x:c r="N384" s="30" t="str"/>
      <x:c r="O384" s="30" t="str">
        <x:v>https://www.propertyguru.com.sg/listing/hdb-for-rent-456-clementi-avenue-3-18074957</x:v>
      </x:c>
    </x:row>
    <x:row r="385" ht="52" customHeight="1">
      <x:c r="A385" s="2" t="str">
        <x:v>S16</x:v>
      </x:c>
      <x:c r="B385" s="2" t="str">
        <x:v>S16-C04</x:v>
      </x:c>
      <x:c r="C385" s="2" t="str">
        <x:v>500286637</x:v>
      </x:c>
      <x:c r="D385" s="2" t="str">
        <x:v>Original</x:v>
      </x:c>
      <x:c r="E385" s="2" t="n">
        <x:v>1</x:v>
      </x:c>
      <x:c r="F385" s="26" t="n">
        <x:v>3200</x:v>
      </x:c>
      <x:c r="G385" s="27" t="n">
        <x:v>2</x:v>
      </x:c>
      <x:c r="H385" s="27" t="n">
        <x:v>732</x:v>
      </x:c>
      <x:c r="I385" s="2" t="str">
        <x:v>D05</x:v>
      </x:c>
      <x:c r="J385" s="2" t="str">
        <x:v>HDB Flat</x:v>
      </x:c>
      <x:c r="K385" s="28" t="n">
        <x:v>2746.393992007807</x:v>
      </x:c>
      <x:c r="L385" s="30" t="str">
        <x:v>Hard requirements pass. area 732 sqft, D05. The primary size target is unmet; D05 alone, where present, does not replace the space preference.</x:v>
      </x:c>
      <x:c r="M385" s="31" t="str">
        <x:v>No</x:v>
      </x:c>
      <x:c r="N385" s="30" t="str"/>
      <x:c r="O385" s="30" t="str">
        <x:v>https://www.propertyguru.com.sg/listing/hdb-for-rent-375-clementi-avenue-4-500286637</x:v>
      </x:c>
    </x:row>
    <x:row r="386" ht="52" customHeight="1">
      <x:c r="A386" s="2" t="str">
        <x:v>S16</x:v>
      </x:c>
      <x:c r="B386" s="2" t="str">
        <x:v>S16-C05</x:v>
      </x:c>
      <x:c r="C386" s="2" t="str">
        <x:v>23822395</x:v>
      </x:c>
      <x:c r="D386" s="2" t="str">
        <x:v>Original</x:v>
      </x:c>
      <x:c r="E386" s="2" t="n">
        <x:v>1</x:v>
      </x:c>
      <x:c r="F386" s="26" t="n">
        <x:v>3300</x:v>
      </x:c>
      <x:c r="G386" s="27" t="n">
        <x:v>2</x:v>
      </x:c>
      <x:c r="H386" s="27" t="n">
        <x:v>753</x:v>
      </x:c>
      <x:c r="I386" s="2" t="str">
        <x:v>D14</x:v>
      </x:c>
      <x:c r="J386" s="2" t="str">
        <x:v>HDB Flat</x:v>
      </x:c>
      <x:c r="K386" s="28" t="n">
        <x:v>10462.667693613508</x:v>
      </x:c>
      <x:c r="L386" s="30" t="str">
        <x:v>Hard requirements pass. area 753 sqft, D14. The primary size target is unmet; D05 alone, where present, does not replace the space preference.</x:v>
      </x:c>
      <x:c r="M386" s="31" t="str">
        <x:v>No</x:v>
      </x:c>
      <x:c r="N386" s="30" t="str"/>
      <x:c r="O386" s="30" t="str">
        <x:v>https://www.propertyguru.com.sg/listing/hdb-for-rent-8a-upper-boon-keng-road-23822395</x:v>
      </x:c>
    </x:row>
    <x:row r="387" ht="52" customHeight="1">
      <x:c r="A387" s="2" t="str">
        <x:v>S16</x:v>
      </x:c>
      <x:c r="B387" s="2" t="str">
        <x:v>S16-C06</x:v>
      </x:c>
      <x:c r="C387" s="2" t="str">
        <x:v>500272100</x:v>
      </x:c>
      <x:c r="D387" s="2" t="str">
        <x:v>Original</x:v>
      </x:c>
      <x:c r="E387" s="2" t="n">
        <x:v>0</x:v>
      </x:c>
      <x:c r="F387" s="26" t="n">
        <x:v>5001</x:v>
      </x:c>
      <x:c r="G387" s="27" t="n">
        <x:v>2</x:v>
      </x:c>
      <x:c r="H387" s="27" t="n">
        <x:v>667</x:v>
      </x:c>
      <x:c r="I387" s="2" t="str">
        <x:v>D15</x:v>
      </x:c>
      <x:c r="J387" s="2" t="str">
        <x:v>Condominium</x:v>
      </x:c>
      <x:c r="K387" s="28"/>
      <x:c r="L387" s="30" t="str">
        <x:v>Hard failure: Rent (SGD/month) 5,001; required &lt;= 5,000.</x:v>
      </x:c>
      <x:c r="M387" s="31" t="str">
        <x:v>No</x:v>
      </x:c>
      <x:c r="N387" s="30" t="str"/>
      <x:c r="O387" s="30" t="str">
        <x:v>https://www.propertyguru.com.sg/listing/for-rent-grand-dunman-500272100</x:v>
      </x:c>
    </x:row>
    <x:row r="388" ht="52" customHeight="1">
      <x:c r="A388" s="2" t="str">
        <x:v>S16</x:v>
      </x:c>
      <x:c r="B388" s="2" t="str">
        <x:v>S16-C07</x:v>
      </x:c>
      <x:c r="C388" s="2" t="str">
        <x:v>20369392</x:v>
      </x:c>
      <x:c r="D388" s="2" t="str">
        <x:v>Original</x:v>
      </x:c>
      <x:c r="E388" s="2" t="n">
        <x:v>3</x:v>
      </x:c>
      <x:c r="F388" s="26" t="n">
        <x:v>4400</x:v>
      </x:c>
      <x:c r="G388" s="27" t="n">
        <x:v>3</x:v>
      </x:c>
      <x:c r="H388" s="27" t="n">
        <x:v>1259</x:v>
      </x:c>
      <x:c r="I388" s="2" t="str">
        <x:v>D05</x:v>
      </x:c>
      <x:c r="J388" s="2" t="str">
        <x:v>HDB Flat</x:v>
      </x:c>
      <x:c r="K388" s="28" t="n">
        <x:v>2133.672696096081</x:v>
      </x:c>
      <x:c r="L388" s="30" t="str">
        <x:v>Hard requirements pass. area 1,259 sqft, D05. Both the primary 1,000-sqft preference and D05 are met.</x:v>
      </x:c>
      <x:c r="M388" s="31" t="str">
        <x:v>No</x:v>
      </x:c>
      <x:c r="N388" s="30" t="str"/>
      <x:c r="O388" s="30" t="str">
        <x:v>https://www.propertyguru.com.sg/listing/hdb-for-rent-356-clementi-avenue-2-20369392</x:v>
      </x:c>
    </x:row>
    <x:row r="389" ht="52" customHeight="1">
      <x:c r="A389" s="2" t="str">
        <x:v>S16</x:v>
      </x:c>
      <x:c r="B389" s="2" t="str">
        <x:v>S16-C08</x:v>
      </x:c>
      <x:c r="C389" s="2" t="str">
        <x:v>12885293</x:v>
      </x:c>
      <x:c r="D389" s="2" t="str">
        <x:v>Original</x:v>
      </x:c>
      <x:c r="E389" s="2" t="n">
        <x:v>3</x:v>
      </x:c>
      <x:c r="F389" s="26" t="n">
        <x:v>4000</x:v>
      </x:c>
      <x:c r="G389" s="27" t="n">
        <x:v>2</x:v>
      </x:c>
      <x:c r="H389" s="27" t="n">
        <x:v>1000</x:v>
      </x:c>
      <x:c r="I389" s="2" t="str">
        <x:v>D05</x:v>
      </x:c>
      <x:c r="J389" s="2" t="str">
        <x:v>HDB Flat</x:v>
      </x:c>
      <x:c r="K389" s="28" t="n">
        <x:v>1379.529538544706</x:v>
      </x:c>
      <x:c r="L389" s="30" t="str">
        <x:v>Hard requirements pass. area 1,000 sqft, D05. Both the primary 1,000-sqft preference and D05 are met.</x:v>
      </x:c>
      <x:c r="M389" s="31" t="str">
        <x:v>No</x:v>
      </x:c>
      <x:c r="N389" s="30" t="str"/>
      <x:c r="O389" s="30" t="str">
        <x:v>https://www.propertyguru.com.sg/listing/hdb-for-rent-17-dover-crescent-12885293</x:v>
      </x:c>
    </x:row>
    <x:row r="390" ht="52" customHeight="1">
      <x:c r="A390" s="2" t="str">
        <x:v>S16</x:v>
      </x:c>
      <x:c r="B390" s="2" t="str">
        <x:v>S16-C09</x:v>
      </x:c>
      <x:c r="C390" s="2" t="str">
        <x:v>21026007</x:v>
      </x:c>
      <x:c r="D390" s="2" t="str">
        <x:v>Original</x:v>
      </x:c>
      <x:c r="E390" s="2" t="n">
        <x:v>1</x:v>
      </x:c>
      <x:c r="F390" s="26" t="n">
        <x:v>450</x:v>
      </x:c>
      <x:c r="G390" s="27" t="n">
        <x:v>3</x:v>
      </x:c>
      <x:c r="H390" s="27" t="n">
        <x:v>100</x:v>
      </x:c>
      <x:c r="I390" s="2" t="str">
        <x:v>D25</x:v>
      </x:c>
      <x:c r="J390" s="2" t="str">
        <x:v>HDB Flat</x:v>
      </x:c>
      <x:c r="K390" s="28" t="n">
        <x:v>16744.33025757308</x:v>
      </x:c>
      <x:c r="L390" s="30" t="str">
        <x:v>Hard requirements pass. area 100 sqft, D25. The primary size target is unmet; D05 alone, where present, does not replace the space preference.</x:v>
      </x:c>
      <x:c r="M390" s="31" t="str">
        <x:v>Yes</x:v>
      </x:c>
      <x:c r="N390" s="30" t="str">
        <x:v>At least 2 reported bedrooms with &lt;200 sqft; verify room/whole-unit scope and units.</x:v>
      </x:c>
      <x:c r="O390" s="30" t="str">
        <x:v>https://www.propertyguru.com.sg/listing/hdb-for-rent-764a-woodlands-circle-21026007</x:v>
      </x:c>
    </x:row>
    <x:row r="391" ht="52" customHeight="1">
      <x:c r="A391" s="2" t="str">
        <x:v>S16</x:v>
      </x:c>
      <x:c r="B391" s="2" t="str">
        <x:v>S16-C10</x:v>
      </x:c>
      <x:c r="C391" s="2" t="str">
        <x:v>500267180</x:v>
      </x:c>
      <x:c r="D391" s="2" t="str">
        <x:v>Original</x:v>
      </x:c>
      <x:c r="E391" s="2" t="str">
        <x:v>U</x:v>
      </x:c>
      <x:c r="F391" s="26" t="n">
        <x:v>3000</x:v>
      </x:c>
      <x:c r="G391" s="27"/>
      <x:c r="H391" s="27" t="n">
        <x:v>520</x:v>
      </x:c>
      <x:c r="I391" s="2" t="str">
        <x:v>D14</x:v>
      </x:c>
      <x:c r="J391" s="2" t="str">
        <x:v>Apartment</x:v>
      </x:c>
      <x:c r="K391" s="28"/>
      <x:c r="L391" s="30" t="str">
        <x:v>No known hard failure. Cannot verify: reported bedrooms.</x:v>
      </x:c>
      <x:c r="M391" s="31" t="str">
        <x:v>No</x:v>
      </x:c>
      <x:c r="N391" s="30" t="str">
        <x:v>Reported bedrooms Unknown; required &gt;= 2.</x:v>
      </x:c>
      <x:c r="O391" s="30" t="str">
        <x:v>https://www.propertyguru.com.sg/listing/for-rent-the-edelweiss-residences-500267180</x:v>
      </x:c>
    </x:row>
    <x:row r="392" ht="52" customHeight="1">
      <x:c r="A392" s="2" t="str">
        <x:v>S16</x:v>
      </x:c>
      <x:c r="B392" s="2" t="str">
        <x:v>S16-C11</x:v>
      </x:c>
      <x:c r="C392" s="2" t="str">
        <x:v>25135809</x:v>
      </x:c>
      <x:c r="D392" s="2" t="str">
        <x:v>Original</x:v>
      </x:c>
      <x:c r="E392" s="2" t="n">
        <x:v>0</x:v>
      </x:c>
      <x:c r="F392" s="26" t="n">
        <x:v>5087</x:v>
      </x:c>
      <x:c r="G392" s="27" t="n">
        <x:v>2</x:v>
      </x:c>
      <x:c r="H392" s="27" t="n">
        <x:v>826</x:v>
      </x:c>
      <x:c r="I392" s="2" t="str">
        <x:v>D14</x:v>
      </x:c>
      <x:c r="J392" s="2" t="str">
        <x:v>Condominium</x:v>
      </x:c>
      <x:c r="K392" s="28"/>
      <x:c r="L392" s="30" t="str">
        <x:v>Hard failure: Rent (SGD/month) 5,087; required &lt;= 5,000.</x:v>
      </x:c>
      <x:c r="M392" s="31" t="str">
        <x:v>No</x:v>
      </x:c>
      <x:c r="N392" s="30" t="str"/>
      <x:c r="O392" s="30" t="str">
        <x:v>https://www.propertyguru.com.sg/listing/for-rent-lotus-at-paya-lebar-25135809</x:v>
      </x:c>
    </x:row>
    <x:row r="393" ht="52" customHeight="1">
      <x:c r="A393" s="2" t="str">
        <x:v>S16</x:v>
      </x:c>
      <x:c r="B393" s="2" t="str">
        <x:v>S16-C12</x:v>
      </x:c>
      <x:c r="C393" s="2" t="str">
        <x:v>500265661</x:v>
      </x:c>
      <x:c r="D393" s="2" t="str">
        <x:v>Original</x:v>
      </x:c>
      <x:c r="E393" s="2" t="n">
        <x:v>0</x:v>
      </x:c>
      <x:c r="F393" s="26" t="n">
        <x:v>4000</x:v>
      </x:c>
      <x:c r="G393" s="27" t="n">
        <x:v>1</x:v>
      </x:c>
      <x:c r="H393" s="27" t="n">
        <x:v>538</x:v>
      </x:c>
      <x:c r="I393" s="2" t="str">
        <x:v>D21</x:v>
      </x:c>
      <x:c r="J393" s="2" t="str">
        <x:v>Condominium</x:v>
      </x:c>
      <x:c r="K393" s="28"/>
      <x:c r="L393" s="30" t="str">
        <x:v>Hard failure: Reported bedrooms 1; required &gt;= 2.</x:v>
      </x:c>
      <x:c r="M393" s="31" t="str">
        <x:v>No</x:v>
      </x:c>
      <x:c r="N393" s="30" t="str"/>
      <x:c r="O393" s="30" t="str">
        <x:v>https://www.propertyguru.com.sg/listing/for-rent-pinetree-hill-500265661</x:v>
      </x:c>
    </x:row>
    <x:row r="394" ht="52" customHeight="1">
      <x:c r="A394" s="2" t="str">
        <x:v>S16</x:v>
      </x:c>
      <x:c r="B394" s="2" t="str">
        <x:v>S16-C13</x:v>
      </x:c>
      <x:c r="C394" s="2" t="str">
        <x:v>500281545</x:v>
      </x:c>
      <x:c r="D394" s="2" t="str">
        <x:v>Original</x:v>
      </x:c>
      <x:c r="E394" s="2" t="n">
        <x:v>1</x:v>
      </x:c>
      <x:c r="F394" s="26" t="n">
        <x:v>700</x:v>
      </x:c>
      <x:c r="G394" s="27" t="n">
        <x:v>3</x:v>
      </x:c>
      <x:c r="H394" s="27" t="n">
        <x:v>904</x:v>
      </x:c>
      <x:c r="I394" s="2" t="str">
        <x:v>D18</x:v>
      </x:c>
      <x:c r="J394" s="2" t="str">
        <x:v>HDB Flat</x:v>
      </x:c>
      <x:c r="K394" s="28" t="n">
        <x:v>18577.203300588288</x:v>
      </x:c>
      <x:c r="L394" s="30" t="str">
        <x:v>Hard requirements pass. area 904 sqft, D18. The primary size target is unmet; D05 alone, where present, does not replace the space preference.</x:v>
      </x:c>
      <x:c r="M394" s="31" t="str">
        <x:v>No</x:v>
      </x:c>
      <x:c r="N394" s="30" t="str"/>
      <x:c r="O394" s="30" t="str">
        <x:v>https://www.propertyguru.com.sg/listing/hdb-for-rent-832-tampines-street-82-500281545</x:v>
      </x:c>
    </x:row>
    <x:row r="395" ht="52" customHeight="1">
      <x:c r="A395" s="2" t="str">
        <x:v>S16</x:v>
      </x:c>
      <x:c r="B395" s="2" t="str">
        <x:v>S16-C14</x:v>
      </x:c>
      <x:c r="C395" s="2" t="str">
        <x:v>19221832</x:v>
      </x:c>
      <x:c r="D395" s="2" t="str">
        <x:v>Original</x:v>
      </x:c>
      <x:c r="E395" s="2" t="n">
        <x:v>3</x:v>
      </x:c>
      <x:c r="F395" s="26" t="n">
        <x:v>4200</x:v>
      </x:c>
      <x:c r="G395" s="27" t="n">
        <x:v>3</x:v>
      </x:c>
      <x:c r="H395" s="27" t="n">
        <x:v>1184</x:v>
      </x:c>
      <x:c r="I395" s="2" t="str">
        <x:v>D05</x:v>
      </x:c>
      <x:c r="J395" s="2" t="str">
        <x:v>HDB Flat</x:v>
      </x:c>
      <x:c r="K395" s="28" t="n">
        <x:v>2068.207356208767</x:v>
      </x:c>
      <x:c r="L395" s="30" t="str">
        <x:v>Hard requirements pass. area 1,184 sqft, D05. Both the primary 1,000-sqft preference and D05 are met.</x:v>
      </x:c>
      <x:c r="M395" s="31" t="str">
        <x:v>No</x:v>
      </x:c>
      <x:c r="N395" s="30" t="str"/>
      <x:c r="O395" s="30" t="str">
        <x:v>https://www.propertyguru.com.sg/listing/hdb-for-rent-458-clementi-avenue-3-19221832</x:v>
      </x:c>
    </x:row>
    <x:row r="396" ht="52" customHeight="1">
      <x:c r="A396" s="2" t="str">
        <x:v>S16</x:v>
      </x:c>
      <x:c r="B396" s="2" t="str">
        <x:v>S16-C15</x:v>
      </x:c>
      <x:c r="C396" s="2" t="str">
        <x:v>60023928</x:v>
      </x:c>
      <x:c r="D396" s="2" t="str">
        <x:v>Original</x:v>
      </x:c>
      <x:c r="E396" s="2" t="n">
        <x:v>1</x:v>
      </x:c>
      <x:c r="F396" s="26" t="n">
        <x:v>800</x:v>
      </x:c>
      <x:c r="G396" s="27" t="n">
        <x:v>2</x:v>
      </x:c>
      <x:c r="H396" s="27" t="n">
        <x:v>120</x:v>
      </x:c>
      <x:c r="I396" s="2" t="str">
        <x:v>D27</x:v>
      </x:c>
      <x:c r="J396" s="2" t="str">
        <x:v>HDB Flat</x:v>
      </x:c>
      <x:c r="K396" s="28" t="n">
        <x:v>16336.918172271477</x:v>
      </x:c>
      <x:c r="L396" s="30" t="str">
        <x:v>Hard requirements pass. area 120 sqft, D27. The primary size target is unmet; D05 alone, where present, does not replace the space preference.</x:v>
      </x:c>
      <x:c r="M396" s="31" t="str">
        <x:v>Yes</x:v>
      </x:c>
      <x:c r="N396" s="30" t="str">
        <x:v>At least 2 reported bedrooms with &lt;200 sqft; verify room/whole-unit scope and units.</x:v>
      </x:c>
      <x:c r="O396" s="30" t="str">
        <x:v>https://www.propertyguru.com.sg/listing/hdb-for-rent-203-yishun-street-21-60023928</x:v>
      </x:c>
    </x:row>
    <x:row r="397" ht="52" customHeight="1">
      <x:c r="A397" s="2" t="str">
        <x:v>S16</x:v>
      </x:c>
      <x:c r="B397" s="2" t="str">
        <x:v>S16-C16</x:v>
      </x:c>
      <x:c r="C397" s="2" t="str">
        <x:v>25299240</x:v>
      </x:c>
      <x:c r="D397" s="2" t="str">
        <x:v>Original</x:v>
      </x:c>
      <x:c r="E397" s="2" t="n">
        <x:v>3</x:v>
      </x:c>
      <x:c r="F397" s="26" t="n">
        <x:v>5000</x:v>
      </x:c>
      <x:c r="G397" s="27" t="n">
        <x:v>2</x:v>
      </x:c>
      <x:c r="H397" s="27" t="n">
        <x:v>1184</x:v>
      </x:c>
      <x:c r="I397" s="2" t="str">
        <x:v>D05</x:v>
      </x:c>
      <x:c r="J397" s="2" t="str">
        <x:v>Condominium</x:v>
      </x:c>
      <x:c r="K397" s="28"/>
      <x:c r="L397" s="30" t="str">
        <x:v>Hard requirements pass. area 1,184 sqft, D05. Both the primary 1,000-sqft preference and D05 are met.</x:v>
      </x:c>
      <x:c r="M397" s="31" t="str">
        <x:v>No</x:v>
      </x:c>
      <x:c r="N397" s="30" t="str"/>
      <x:c r="O397" s="30" t="str">
        <x:v>https://www.propertyguru.com.sg/listing/for-rent-clementiwoods-condominium-25299240</x:v>
      </x:c>
    </x:row>
    <x:row r="398" ht="52" customHeight="1">
      <x:c r="A398" s="2" t="str">
        <x:v>S16</x:v>
      </x:c>
      <x:c r="B398" s="2" t="str">
        <x:v>S16-C17</x:v>
      </x:c>
      <x:c r="C398" s="2" t="str">
        <x:v>22773305</x:v>
      </x:c>
      <x:c r="D398" s="2" t="str">
        <x:v>Original</x:v>
      </x:c>
      <x:c r="E398" s="2" t="n">
        <x:v>3</x:v>
      </x:c>
      <x:c r="F398" s="26" t="n">
        <x:v>4500</x:v>
      </x:c>
      <x:c r="G398" s="27" t="n">
        <x:v>3</x:v>
      </x:c>
      <x:c r="H398" s="27" t="n">
        <x:v>1259</x:v>
      </x:c>
      <x:c r="I398" s="2" t="str">
        <x:v>D05</x:v>
      </x:c>
      <x:c r="J398" s="2" t="str">
        <x:v>HDB Flat</x:v>
      </x:c>
      <x:c r="K398" s="28" t="n">
        <x:v>2195.8110630638394</x:v>
      </x:c>
      <x:c r="L398" s="30" t="str">
        <x:v>Hard requirements pass. area 1,259 sqft, D05. Both the primary 1,000-sqft preference and D05 are met.</x:v>
      </x:c>
      <x:c r="M398" s="31" t="str">
        <x:v>No</x:v>
      </x:c>
      <x:c r="N398" s="30" t="str"/>
      <x:c r="O398" s="30" t="str">
        <x:v>https://www.propertyguru.com.sg/listing/hdb-for-rent-355-clementi-avenue-2-22773305</x:v>
      </x:c>
    </x:row>
    <x:row r="399" ht="52" customHeight="1">
      <x:c r="A399" s="2" t="str">
        <x:v>S16</x:v>
      </x:c>
      <x:c r="B399" s="2" t="str">
        <x:v>S16-C18</x:v>
      </x:c>
      <x:c r="C399" s="2" t="str">
        <x:v>500232123</x:v>
      </x:c>
      <x:c r="D399" s="2" t="str">
        <x:v>Original</x:v>
      </x:c>
      <x:c r="E399" s="2" t="n">
        <x:v>0</x:v>
      </x:c>
      <x:c r="F399" s="26" t="n">
        <x:v>1550</x:v>
      </x:c>
      <x:c r="G399" s="27" t="n">
        <x:v>1</x:v>
      </x:c>
      <x:c r="H399" s="27" t="n">
        <x:v>200</x:v>
      </x:c>
      <x:c r="I399" s="2" t="str">
        <x:v>D09</x:v>
      </x:c>
      <x:c r="J399" s="2" t="str">
        <x:v>Apartment</x:v>
      </x:c>
      <x:c r="K399" s="28"/>
      <x:c r="L399" s="30" t="str">
        <x:v>Hard failure: Reported bedrooms 1; required &gt;= 2.</x:v>
      </x:c>
      <x:c r="M399" s="31" t="str">
        <x:v>No</x:v>
      </x:c>
      <x:c r="N399" s="30" t="str"/>
      <x:c r="O399" s="30" t="str">
        <x:v>https://www.propertyguru.com.sg/listing/for-rent-280-river-valley-road-500232123</x:v>
      </x:c>
    </x:row>
    <x:row r="400" ht="52" customHeight="1">
      <x:c r="A400" s="2" t="str">
        <x:v>S16</x:v>
      </x:c>
      <x:c r="B400" s="2" t="str">
        <x:v>S16-C19</x:v>
      </x:c>
      <x:c r="C400" s="2" t="str">
        <x:v>24808155</x:v>
      </x:c>
      <x:c r="D400" s="2" t="str">
        <x:v>Original</x:v>
      </x:c>
      <x:c r="E400" s="2" t="n">
        <x:v>1</x:v>
      </x:c>
      <x:c r="F400" s="26" t="n">
        <x:v>3850</x:v>
      </x:c>
      <x:c r="G400" s="27" t="n">
        <x:v>2</x:v>
      </x:c>
      <x:c r="H400" s="27" t="n">
        <x:v>710</x:v>
      </x:c>
      <x:c r="I400" s="2" t="str">
        <x:v>D23</x:v>
      </x:c>
      <x:c r="J400" s="2" t="str">
        <x:v>Condominium</x:v>
      </x:c>
      <x:c r="K400" s="28"/>
      <x:c r="L400" s="30" t="str">
        <x:v>Hard requirements pass. area 710 sqft, D23. The primary size target is unmet; D05 alone, where present, does not replace the space preference.</x:v>
      </x:c>
      <x:c r="M400" s="31" t="str">
        <x:v>No</x:v>
      </x:c>
      <x:c r="N400" s="30" t="str"/>
      <x:c r="O400" s="30" t="str">
        <x:v>https://www.propertyguru.com.sg/listing/for-rent-dairy-farm-residences-24808155</x:v>
      </x:c>
    </x:row>
    <x:row r="401" ht="52" customHeight="1">
      <x:c r="A401" s="2" t="str">
        <x:v>S16</x:v>
      </x:c>
      <x:c r="B401" s="2" t="str">
        <x:v>S16-C20</x:v>
      </x:c>
      <x:c r="C401" s="2" t="str">
        <x:v>20355486</x:v>
      </x:c>
      <x:c r="D401" s="2" t="str">
        <x:v>Original</x:v>
      </x:c>
      <x:c r="E401" s="2" t="str">
        <x:v>U</x:v>
      </x:c>
      <x:c r="F401" s="26" t="n">
        <x:v>1500</x:v>
      </x:c>
      <x:c r="G401" s="27"/>
      <x:c r="H401" s="27" t="n">
        <x:v>200</x:v>
      </x:c>
      <x:c r="I401" s="2" t="str">
        <x:v>D19</x:v>
      </x:c>
      <x:c r="J401" s="2" t="str">
        <x:v>Terraced House</x:v>
      </x:c>
      <x:c r="K401" s="28" t="n">
        <x:v>13310.810153577555</x:v>
      </x:c>
      <x:c r="L401" s="30" t="str">
        <x:v>No known hard failure. Cannot verify: reported bedrooms.</x:v>
      </x:c>
      <x:c r="M401" s="31" t="str">
        <x:v>No</x:v>
      </x:c>
      <x:c r="N401" s="30" t="str">
        <x:v>Reported bedrooms Unknown; required &gt;= 2.</x:v>
      </x:c>
      <x:c r="O401" s="30" t="str">
        <x:v>https://www.propertyguru.com.sg/listing/for-rent-chuan-hoe-ave-20355486</x:v>
      </x:c>
    </x:row>
    <x:row r="402" ht="52" customHeight="1">
      <x:c r="A402" s="2" t="str">
        <x:v>S16</x:v>
      </x:c>
      <x:c r="B402" s="2" t="str">
        <x:v>S16-C21</x:v>
      </x:c>
      <x:c r="C402" s="2" t="str">
        <x:v>500276083</x:v>
      </x:c>
      <x:c r="D402" s="2" t="str">
        <x:v>Original</x:v>
      </x:c>
      <x:c r="E402" s="2" t="n">
        <x:v>1</x:v>
      </x:c>
      <x:c r="F402" s="26" t="n">
        <x:v>3900</x:v>
      </x:c>
      <x:c r="G402" s="27" t="n">
        <x:v>2</x:v>
      </x:c>
      <x:c r="H402" s="27" t="n">
        <x:v>947</x:v>
      </x:c>
      <x:c r="I402" s="2" t="str">
        <x:v>D16</x:v>
      </x:c>
      <x:c r="J402" s="2" t="str">
        <x:v>Condominium</x:v>
      </x:c>
      <x:c r="K402" s="28"/>
      <x:c r="L402" s="30" t="str">
        <x:v>Hard requirements pass. area 947 sqft, D16. The primary size target is unmet; D05 alone, where present, does not replace the space preference.</x:v>
      </x:c>
      <x:c r="M402" s="31" t="str">
        <x:v>No</x:v>
      </x:c>
      <x:c r="N402" s="30" t="str"/>
      <x:c r="O402" s="30" t="str">
        <x:v>https://www.propertyguru.com.sg/listing/for-rent-the-bayshore-500276083</x:v>
      </x:c>
    </x:row>
    <x:row r="403" ht="52" customHeight="1">
      <x:c r="A403" s="2" t="str">
        <x:v>S16</x:v>
      </x:c>
      <x:c r="B403" s="2" t="str">
        <x:v>S16-C22</x:v>
      </x:c>
      <x:c r="C403" s="2" t="str">
        <x:v>24465175</x:v>
      </x:c>
      <x:c r="D403" s="2" t="str">
        <x:v>Original</x:v>
      </x:c>
      <x:c r="E403" s="2" t="n">
        <x:v>2</x:v>
      </x:c>
      <x:c r="F403" s="26" t="n">
        <x:v>4700</x:v>
      </x:c>
      <x:c r="G403" s="27" t="n">
        <x:v>2</x:v>
      </x:c>
      <x:c r="H403" s="27" t="n">
        <x:v>980</x:v>
      </x:c>
      <x:c r="I403" s="2" t="str">
        <x:v>D05</x:v>
      </x:c>
      <x:c r="J403" s="2" t="str">
        <x:v>Condominium</x:v>
      </x:c>
      <x:c r="K403" s="28"/>
      <x:c r="L403" s="30" t="str">
        <x:v>Hard requirements pass. area 980 sqft, D05. The area is very close to the soft target and D05 is met.</x:v>
      </x:c>
      <x:c r="M403" s="31" t="str">
        <x:v>No</x:v>
      </x:c>
      <x:c r="N403" s="30" t="str"/>
      <x:c r="O403" s="30" t="str">
        <x:v>https://www.propertyguru.com.sg/listing/for-rent-the-parc-condominium-24465175</x:v>
      </x:c>
    </x:row>
    <x:row r="404" ht="52" customHeight="1">
      <x:c r="A404" s="2" t="str">
        <x:v>S16</x:v>
      </x:c>
      <x:c r="B404" s="2" t="str">
        <x:v>S16-C23</x:v>
      </x:c>
      <x:c r="C404" s="2" t="str">
        <x:v>25544801</x:v>
      </x:c>
      <x:c r="D404" s="2" t="str">
        <x:v>Original</x:v>
      </x:c>
      <x:c r="E404" s="2" t="n">
        <x:v>1</x:v>
      </x:c>
      <x:c r="F404" s="26" t="n">
        <x:v>950</x:v>
      </x:c>
      <x:c r="G404" s="27" t="n">
        <x:v>7</x:v>
      </x:c>
      <x:c r="H404" s="27" t="n">
        <x:v>100</x:v>
      </x:c>
      <x:c r="I404" s="2" t="str">
        <x:v>D16</x:v>
      </x:c>
      <x:c r="J404" s="2" t="str">
        <x:v>Condominium</x:v>
      </x:c>
      <x:c r="K404" s="28"/>
      <x:c r="L404" s="30" t="str">
        <x:v>Hard requirements pass. area 100 sqft, D16. The primary size target is unmet; D05 alone, where present, does not replace the space preference.</x:v>
      </x:c>
      <x:c r="M404" s="31" t="str">
        <x:v>Yes</x:v>
      </x:c>
      <x:c r="N404" s="30" t="str">
        <x:v>At least 2 reported bedrooms with &lt;200 sqft; verify room/whole-unit scope and units.</x:v>
      </x:c>
      <x:c r="O404" s="30" t="str">
        <x:v>https://www.propertyguru.com.sg/listing/for-rent-the-bayshore-25544801</x:v>
      </x:c>
    </x:row>
    <x:row r="405" ht="52" customHeight="1">
      <x:c r="A405" s="2" t="str">
        <x:v>S16</x:v>
      </x:c>
      <x:c r="B405" s="2" t="str">
        <x:v>S16-C24</x:v>
      </x:c>
      <x:c r="C405" s="2" t="str">
        <x:v>500027180</x:v>
      </x:c>
      <x:c r="D405" s="2" t="str">
        <x:v>Original</x:v>
      </x:c>
      <x:c r="E405" s="2" t="n">
        <x:v>2</x:v>
      </x:c>
      <x:c r="F405" s="26" t="n">
        <x:v>4499</x:v>
      </x:c>
      <x:c r="G405" s="27" t="n">
        <x:v>3</x:v>
      </x:c>
      <x:c r="H405" s="27" t="n">
        <x:v>1152</x:v>
      </x:c>
      <x:c r="I405" s="2" t="str">
        <x:v>D19</x:v>
      </x:c>
      <x:c r="J405" s="2" t="str">
        <x:v>Condominium</x:v>
      </x:c>
      <x:c r="K405" s="28" t="n">
        <x:v>14189.024687730223</x:v>
      </x:c>
      <x:c r="L405" s="30" t="str">
        <x:v>Hard requirements pass. area 1,152 sqft, D19. The primary size preference is met, with a trade-off outside D05.</x:v>
      </x:c>
      <x:c r="M405" s="31" t="str">
        <x:v>No</x:v>
      </x:c>
      <x:c r="N405" s="30" t="str"/>
      <x:c r="O405" s="30" t="str">
        <x:v>https://www.propertyguru.com.sg/listing/for-rent-regentville-500027180</x:v>
      </x:c>
    </x:row>
    <x:row r="406" ht="52" customHeight="1">
      <x:c r="A406" s="2" t="str">
        <x:v>S16</x:v>
      </x:c>
      <x:c r="B406" s="2" t="str">
        <x:v>S16-C25</x:v>
      </x:c>
      <x:c r="C406" s="2" t="str">
        <x:v>500272940</x:v>
      </x:c>
      <x:c r="D406" s="2" t="str">
        <x:v>Original</x:v>
      </x:c>
      <x:c r="E406" s="2" t="n">
        <x:v>0</x:v>
      </x:c>
      <x:c r="F406" s="26" t="n">
        <x:v>5050</x:v>
      </x:c>
      <x:c r="G406" s="27" t="n">
        <x:v>3</x:v>
      </x:c>
      <x:c r="H406" s="27" t="n">
        <x:v>1151</x:v>
      </x:c>
      <x:c r="I406" s="2" t="str">
        <x:v>D13</x:v>
      </x:c>
      <x:c r="J406" s="2" t="str">
        <x:v>Condominium</x:v>
      </x:c>
      <x:c r="K406" s="28" t="n">
        <x:v>12773.734980436948</x:v>
      </x:c>
      <x:c r="L406" s="30" t="str">
        <x:v>Hard failure: Rent (SGD/month) 5,050; required &lt;= 5,000.</x:v>
      </x:c>
      <x:c r="M406" s="31" t="str">
        <x:v>No</x:v>
      </x:c>
      <x:c r="N406" s="30" t="str"/>
      <x:c r="O406" s="30" t="str">
        <x:v>https://www.propertyguru.com.sg/listing/for-rent-sky-green-500272940</x:v>
      </x:c>
    </x:row>
    <x:row r="407" ht="52" customHeight="1">
      <x:c r="A407" s="2" t="str">
        <x:v>S17</x:v>
      </x:c>
      <x:c r="B407" s="2" t="str">
        <x:v>S17-C01</x:v>
      </x:c>
      <x:c r="C407" s="2" t="str">
        <x:v>24205038</x:v>
      </x:c>
      <x:c r="D407" s="2" t="str">
        <x:v>Original</x:v>
      </x:c>
      <x:c r="E407" s="2" t="n">
        <x:v>0</x:v>
      </x:c>
      <x:c r="F407" s="26" t="n">
        <x:v>1590</x:v>
      </x:c>
      <x:c r="G407" s="27" t="n">
        <x:v>1</x:v>
      </x:c>
      <x:c r="H407" s="27" t="n">
        <x:v>150</x:v>
      </x:c>
      <x:c r="I407" s="2" t="str">
        <x:v>D05</x:v>
      </x:c>
      <x:c r="J407" s="2" t="str">
        <x:v>Terraced House</x:v>
      </x:c>
      <x:c r="K407" s="28"/>
      <x:c r="L407" s="30" t="str">
        <x:v>Hard failure: Reported bedrooms 1; required &gt;= 2.</x:v>
      </x:c>
      <x:c r="M407" s="31" t="str">
        <x:v>No</x:v>
      </x:c>
      <x:c r="N407" s="30" t="str"/>
      <x:c r="O407" s="30" t="str">
        <x:v>https://www.propertyguru.com.sg/listing/for-rent-west-coast-drive-24205038</x:v>
      </x:c>
    </x:row>
    <x:row r="408" ht="52" customHeight="1">
      <x:c r="A408" s="2" t="str">
        <x:v>S17</x:v>
      </x:c>
      <x:c r="B408" s="2" t="str">
        <x:v>S17-C02</x:v>
      </x:c>
      <x:c r="C408" s="2" t="str">
        <x:v>500256005</x:v>
      </x:c>
      <x:c r="D408" s="2" t="str">
        <x:v>Original</x:v>
      </x:c>
      <x:c r="E408" s="2" t="n">
        <x:v>0</x:v>
      </x:c>
      <x:c r="F408" s="26" t="n">
        <x:v>3100</x:v>
      </x:c>
      <x:c r="G408" s="27" t="n">
        <x:v>2</x:v>
      </x:c>
      <x:c r="H408" s="27" t="n">
        <x:v>67</x:v>
      </x:c>
      <x:c r="I408" s="2" t="str">
        <x:v>D05</x:v>
      </x:c>
      <x:c r="J408" s="2" t="str">
        <x:v>HDB Flat</x:v>
      </x:c>
      <x:c r="K408" s="28" t="n">
        <x:v>2229.2543901230597</x:v>
      </x:c>
      <x:c r="L408" s="30" t="str">
        <x:v>Hard failure: Rent (SGD/month) 3,100; required &lt;= 3,000.</x:v>
      </x:c>
      <x:c r="M408" s="31" t="str">
        <x:v>Yes</x:v>
      </x:c>
      <x:c r="N408" s="30" t="str">
        <x:v>At least 2 reported bedrooms with &lt;200 sqft; verify room/whole-unit scope and units.</x:v>
      </x:c>
      <x:c r="O408" s="30" t="str">
        <x:v>https://www.propertyguru.com.sg/listing/hdb-for-rent-351-clementi-avenue-2-500256005</x:v>
      </x:c>
    </x:row>
    <x:row r="409" ht="52" customHeight="1">
      <x:c r="A409" s="2" t="str">
        <x:v>S17</x:v>
      </x:c>
      <x:c r="B409" s="2" t="str">
        <x:v>S17-C03</x:v>
      </x:c>
      <x:c r="C409" s="2" t="str">
        <x:v>23839651</x:v>
      </x:c>
      <x:c r="D409" s="2" t="str">
        <x:v>Original</x:v>
      </x:c>
      <x:c r="E409" s="2" t="n">
        <x:v>0</x:v>
      </x:c>
      <x:c r="F409" s="26" t="n">
        <x:v>1450</x:v>
      </x:c>
      <x:c r="G409" s="27" t="n">
        <x:v>1</x:v>
      </x:c>
      <x:c r="H409" s="27" t="n">
        <x:v>721</x:v>
      </x:c>
      <x:c r="I409" s="2" t="str">
        <x:v>D05</x:v>
      </x:c>
      <x:c r="J409" s="2" t="str">
        <x:v>HDB Flat</x:v>
      </x:c>
      <x:c r="K409" s="28" t="n">
        <x:v>2206.2104936862142</x:v>
      </x:c>
      <x:c r="L409" s="30" t="str">
        <x:v>Hard failure: Reported bedrooms 1; required &gt;= 2.</x:v>
      </x:c>
      <x:c r="M409" s="31" t="str">
        <x:v>No</x:v>
      </x:c>
      <x:c r="N409" s="30" t="str"/>
      <x:c r="O409" s="30" t="str">
        <x:v>https://www.propertyguru.com.sg/listing/hdb-for-rent-701-west-coast-road-23839651</x:v>
      </x:c>
    </x:row>
    <x:row r="410" ht="52" customHeight="1">
      <x:c r="A410" s="2" t="str">
        <x:v>S17</x:v>
      </x:c>
      <x:c r="B410" s="2" t="str">
        <x:v>S17-C04</x:v>
      </x:c>
      <x:c r="C410" s="2" t="str">
        <x:v>20205305</x:v>
      </x:c>
      <x:c r="D410" s="2" t="str">
        <x:v>Original</x:v>
      </x:c>
      <x:c r="E410" s="2" t="n">
        <x:v>0</x:v>
      </x:c>
      <x:c r="F410" s="26" t="n">
        <x:v>3200</x:v>
      </x:c>
      <x:c r="G410" s="27" t="n">
        <x:v>2</x:v>
      </x:c>
      <x:c r="H410" s="27" t="n">
        <x:v>721</x:v>
      </x:c>
      <x:c r="I410" s="2" t="str">
        <x:v>D05</x:v>
      </x:c>
      <x:c r="J410" s="2" t="str">
        <x:v>HDB Flat</x:v>
      </x:c>
      <x:c r="K410" s="28" t="n">
        <x:v>2643.575331483797</x:v>
      </x:c>
      <x:c r="L410" s="30" t="str">
        <x:v>Hard failure: Rent (SGD/month) 3,200; required &lt;= 3,000.</x:v>
      </x:c>
      <x:c r="M410" s="31" t="str">
        <x:v>No</x:v>
      </x:c>
      <x:c r="N410" s="30" t="str"/>
      <x:c r="O410" s="30" t="str">
        <x:v>https://www.propertyguru.com.sg/listing/hdb-for-rent-379-clementi-avenue-5-20205305</x:v>
      </x:c>
    </x:row>
    <x:row r="411" ht="52" customHeight="1">
      <x:c r="A411" s="2" t="str">
        <x:v>S17</x:v>
      </x:c>
      <x:c r="B411" s="2" t="str">
        <x:v>S17-C05</x:v>
      </x:c>
      <x:c r="C411" s="2" t="str">
        <x:v>25608818</x:v>
      </x:c>
      <x:c r="D411" s="2" t="str">
        <x:v>Original</x:v>
      </x:c>
      <x:c r="E411" s="2" t="n">
        <x:v>0</x:v>
      </x:c>
      <x:c r="F411" s="26" t="n">
        <x:v>1800</x:v>
      </x:c>
      <x:c r="G411" s="27" t="n">
        <x:v>1</x:v>
      </x:c>
      <x:c r="H411" s="27" t="n">
        <x:v>200</x:v>
      </x:c>
      <x:c r="I411" s="2" t="str">
        <x:v>D05</x:v>
      </x:c>
      <x:c r="J411" s="2" t="str">
        <x:v>Corner Terrace</x:v>
      </x:c>
      <x:c r="K411" s="28"/>
      <x:c r="L411" s="30" t="str">
        <x:v>Hard failure: Reported bedrooms 1; required &gt;= 2.</x:v>
      </x:c>
      <x:c r="M411" s="31" t="str">
        <x:v>No</x:v>
      </x:c>
      <x:c r="N411" s="30" t="str"/>
      <x:c r="O411" s="30" t="str">
        <x:v>https://www.propertyguru.com.sg/listing/for-rent-170-pasir-panjang-road-25608818</x:v>
      </x:c>
    </x:row>
    <x:row r="412" ht="52" customHeight="1">
      <x:c r="A412" s="2" t="str">
        <x:v>S17</x:v>
      </x:c>
      <x:c r="B412" s="2" t="str">
        <x:v>S17-C06</x:v>
      </x:c>
      <x:c r="C412" s="2" t="str">
        <x:v>500173631</x:v>
      </x:c>
      <x:c r="D412" s="2" t="str">
        <x:v>Original</x:v>
      </x:c>
      <x:c r="E412" s="2" t="n">
        <x:v>0</x:v>
      </x:c>
      <x:c r="F412" s="26" t="n">
        <x:v>3000</x:v>
      </x:c>
      <x:c r="G412" s="27" t="n">
        <x:v>2</x:v>
      </x:c>
      <x:c r="H412" s="27" t="n">
        <x:v>645</x:v>
      </x:c>
      <x:c r="I412" s="2" t="str">
        <x:v>D12</x:v>
      </x:c>
      <x:c r="J412" s="2" t="str">
        <x:v>HDB Flat</x:v>
      </x:c>
      <x:c r="K412" s="28" t="n">
        <x:v>9321.585144057863</x:v>
      </x:c>
      <x:c r="L412" s="30" t="str">
        <x:v>Hard failure: District D12; required = D05.</x:v>
      </x:c>
      <x:c r="M412" s="31" t="str">
        <x:v>No</x:v>
      </x:c>
      <x:c r="N412" s="30" t="str"/>
      <x:c r="O412" s="30" t="str">
        <x:v>https://www.propertyguru.com.sg/listing/hdb-for-rent-94-lorong-4-toa-payoh-500173631</x:v>
      </x:c>
    </x:row>
    <x:row r="413" ht="52" customHeight="1">
      <x:c r="A413" s="2" t="str">
        <x:v>S17</x:v>
      </x:c>
      <x:c r="B413" s="2" t="str">
        <x:v>S17-C07</x:v>
      </x:c>
      <x:c r="C413" s="2" t="str">
        <x:v>20160391</x:v>
      </x:c>
      <x:c r="D413" s="2" t="str">
        <x:v>Original</x:v>
      </x:c>
      <x:c r="E413" s="2" t="n">
        <x:v>0</x:v>
      </x:c>
      <x:c r="F413" s="26" t="n">
        <x:v>2800</x:v>
      </x:c>
      <x:c r="G413" s="27" t="n">
        <x:v>2</x:v>
      </x:c>
      <x:c r="H413" s="27" t="n">
        <x:v>731</x:v>
      </x:c>
      <x:c r="I413" s="2" t="str">
        <x:v>D20</x:v>
      </x:c>
      <x:c r="J413" s="2" t="str">
        <x:v>HDB Flat</x:v>
      </x:c>
      <x:c r="K413" s="28" t="n">
        <x:v>9723.505899037966</x:v>
      </x:c>
      <x:c r="L413" s="30" t="str">
        <x:v>Hard failure: District D20; required = D05.</x:v>
      </x:c>
      <x:c r="M413" s="31" t="str">
        <x:v>No</x:v>
      </x:c>
      <x:c r="N413" s="30" t="str"/>
      <x:c r="O413" s="30" t="str">
        <x:v>https://www.propertyguru.com.sg/listing/hdb-for-rent-22-sin-ming-road-20160391</x:v>
      </x:c>
    </x:row>
    <x:row r="414" ht="52" customHeight="1">
      <x:c r="A414" s="2" t="str">
        <x:v>S17</x:v>
      </x:c>
      <x:c r="B414" s="2" t="str">
        <x:v>S17-C08</x:v>
      </x:c>
      <x:c r="C414" s="2" t="str">
        <x:v>25283210</x:v>
      </x:c>
      <x:c r="D414" s="2" t="str">
        <x:v>Original</x:v>
      </x:c>
      <x:c r="E414" s="2" t="n">
        <x:v>0</x:v>
      </x:c>
      <x:c r="F414" s="26" t="n">
        <x:v>1200</x:v>
      </x:c>
      <x:c r="G414" s="27" t="n">
        <x:v>1</x:v>
      </x:c>
      <x:c r="H414" s="27" t="n">
        <x:v>200</x:v>
      </x:c>
      <x:c r="I414" s="2" t="str">
        <x:v>D05</x:v>
      </x:c>
      <x:c r="J414" s="2" t="str">
        <x:v>Condominium</x:v>
      </x:c>
      <x:c r="K414" s="28"/>
      <x:c r="L414" s="30" t="str">
        <x:v>Hard failure: Reported bedrooms 1; required &gt;= 2.</x:v>
      </x:c>
      <x:c r="M414" s="31" t="str">
        <x:v>No</x:v>
      </x:c>
      <x:c r="N414" s="30" t="str"/>
      <x:c r="O414" s="30" t="str">
        <x:v>https://www.propertyguru.com.sg/listing/for-rent-heritage-view-25283210</x:v>
      </x:c>
    </x:row>
    <x:row r="415" ht="52" customHeight="1">
      <x:c r="A415" s="2" t="str">
        <x:v>S17</x:v>
      </x:c>
      <x:c r="B415" s="2" t="str">
        <x:v>S17-C09</x:v>
      </x:c>
      <x:c r="C415" s="2" t="str">
        <x:v>20617351</x:v>
      </x:c>
      <x:c r="D415" s="2" t="str">
        <x:v>Original</x:v>
      </x:c>
      <x:c r="E415" s="2" t="n">
        <x:v>3</x:v>
      </x:c>
      <x:c r="F415" s="26" t="n">
        <x:v>3000</x:v>
      </x:c>
      <x:c r="G415" s="27" t="n">
        <x:v>2</x:v>
      </x:c>
      <x:c r="H415" s="27" t="n">
        <x:v>700</x:v>
      </x:c>
      <x:c r="I415" s="2" t="str">
        <x:v>D05</x:v>
      </x:c>
      <x:c r="J415" s="2" t="str">
        <x:v>HDB Flat</x:v>
      </x:c>
      <x:c r="K415" s="28" t="n">
        <x:v>2082.804536225351</x:v>
      </x:c>
      <x:c r="L415" s="30" t="str">
        <x:v>Hard requirements pass. area 700 sqft. Only three supplied candidates pass the final hard requirements. Their 699-721 sqft areas are close enough to share a strong-fit grade.</x:v>
      </x:c>
      <x:c r="M415" s="31" t="str">
        <x:v>No</x:v>
      </x:c>
      <x:c r="N415" s="30" t="str"/>
      <x:c r="O415" s="30" t="str">
        <x:v>https://www.propertyguru.com.sg/listing/hdb-for-rent-354-clementi-avenue-2-20617351</x:v>
      </x:c>
    </x:row>
    <x:row r="416" ht="52" customHeight="1">
      <x:c r="A416" s="2" t="str">
        <x:v>S17</x:v>
      </x:c>
      <x:c r="B416" s="2" t="str">
        <x:v>S17-C10</x:v>
      </x:c>
      <x:c r="C416" s="2" t="str">
        <x:v>60027306</x:v>
      </x:c>
      <x:c r="D416" s="2" t="str">
        <x:v>Original</x:v>
      </x:c>
      <x:c r="E416" s="2" t="str">
        <x:v>U</x:v>
      </x:c>
      <x:c r="F416" s="26" t="n">
        <x:v>2000</x:v>
      </x:c>
      <x:c r="G416" s="27"/>
      <x:c r="H416" s="27" t="n">
        <x:v>250</x:v>
      </x:c>
      <x:c r="I416" s="2" t="str">
        <x:v>D05</x:v>
      </x:c>
      <x:c r="J416" s="2" t="str">
        <x:v>Apartment</x:v>
      </x:c>
      <x:c r="K416" s="28"/>
      <x:c r="L416" s="30" t="str">
        <x:v>No known hard failure. Cannot verify: reported bedrooms.</x:v>
      </x:c>
      <x:c r="M416" s="31" t="str">
        <x:v>No</x:v>
      </x:c>
      <x:c r="N416" s="30" t="str">
        <x:v>Reported bedrooms Unknown; required &gt;= 2.</x:v>
      </x:c>
      <x:c r="O416" s="30" t="str">
        <x:v>https://www.propertyguru.com.sg/listing/for-rent-pasir-panjang-road-60027306</x:v>
      </x:c>
    </x:row>
    <x:row r="417" ht="52" customHeight="1">
      <x:c r="A417" s="2" t="str">
        <x:v>S17</x:v>
      </x:c>
      <x:c r="B417" s="2" t="str">
        <x:v>S17-C11</x:v>
      </x:c>
      <x:c r="C417" s="2" t="str">
        <x:v>500249657</x:v>
      </x:c>
      <x:c r="D417" s="2" t="str">
        <x:v>Original</x:v>
      </x:c>
      <x:c r="E417" s="2" t="n">
        <x:v>0</x:v>
      </x:c>
      <x:c r="F417" s="26" t="n">
        <x:v>3100</x:v>
      </x:c>
      <x:c r="G417" s="27" t="n">
        <x:v>2</x:v>
      </x:c>
      <x:c r="H417" s="27" t="n">
        <x:v>732</x:v>
      </x:c>
      <x:c r="I417" s="2" t="str">
        <x:v>D05</x:v>
      </x:c>
      <x:c r="J417" s="2" t="str">
        <x:v>HDB Flat</x:v>
      </x:c>
      <x:c r="K417" s="28" t="n">
        <x:v>2802.8130076795196</x:v>
      </x:c>
      <x:c r="L417" s="30" t="str">
        <x:v>Hard failure: Rent (SGD/month) 3,100; required &lt;= 3,000.</x:v>
      </x:c>
      <x:c r="M417" s="31" t="str">
        <x:v>No</x:v>
      </x:c>
      <x:c r="N417" s="30" t="str"/>
      <x:c r="O417" s="30" t="str">
        <x:v>https://www.propertyguru.com.sg/listing/hdb-for-rent-374-clementi-avenue-4-500249657</x:v>
      </x:c>
    </x:row>
    <x:row r="418" ht="52" customHeight="1">
      <x:c r="A418" s="2" t="str">
        <x:v>S17</x:v>
      </x:c>
      <x:c r="B418" s="2" t="str">
        <x:v>S17-C12</x:v>
      </x:c>
      <x:c r="C418" s="2" t="str">
        <x:v>24009806</x:v>
      </x:c>
      <x:c r="D418" s="2" t="str">
        <x:v>Original</x:v>
      </x:c>
      <x:c r="E418" s="2" t="n">
        <x:v>0</x:v>
      </x:c>
      <x:c r="F418" s="26" t="n">
        <x:v>2400</x:v>
      </x:c>
      <x:c r="G418" s="27" t="n">
        <x:v>1</x:v>
      </x:c>
      <x:c r="H418" s="27" t="n">
        <x:v>250</x:v>
      </x:c>
      <x:c r="I418" s="2" t="str">
        <x:v>D05</x:v>
      </x:c>
      <x:c r="J418" s="2" t="str">
        <x:v>Semi-Detached House</x:v>
      </x:c>
      <x:c r="K418" s="28"/>
      <x:c r="L418" s="30" t="str">
        <x:v>Hard failure: Reported bedrooms 1; required &gt;= 2.</x:v>
      </x:c>
      <x:c r="M418" s="31" t="str">
        <x:v>No</x:v>
      </x:c>
      <x:c r="N418" s="30" t="str"/>
      <x:c r="O418" s="30" t="str">
        <x:v>https://www.propertyguru.com.sg/listing/for-rent-west-coast-24009806</x:v>
      </x:c>
    </x:row>
    <x:row r="419" ht="52" customHeight="1">
      <x:c r="A419" s="2" t="str">
        <x:v>S17</x:v>
      </x:c>
      <x:c r="B419" s="2" t="str">
        <x:v>S17-C13</x:v>
      </x:c>
      <x:c r="C419" s="2" t="str">
        <x:v>500286637</x:v>
      </x:c>
      <x:c r="D419" s="2" t="str">
        <x:v>Original</x:v>
      </x:c>
      <x:c r="E419" s="2" t="n">
        <x:v>0</x:v>
      </x:c>
      <x:c r="F419" s="26" t="n">
        <x:v>3200</x:v>
      </x:c>
      <x:c r="G419" s="27" t="n">
        <x:v>2</x:v>
      </x:c>
      <x:c r="H419" s="27" t="n">
        <x:v>732</x:v>
      </x:c>
      <x:c r="I419" s="2" t="str">
        <x:v>D05</x:v>
      </x:c>
      <x:c r="J419" s="2" t="str">
        <x:v>HDB Flat</x:v>
      </x:c>
      <x:c r="K419" s="28" t="n">
        <x:v>2746.393992007807</x:v>
      </x:c>
      <x:c r="L419" s="30" t="str">
        <x:v>Hard failure: Rent (SGD/month) 3,200; required &lt;= 3,000.</x:v>
      </x:c>
      <x:c r="M419" s="31" t="str">
        <x:v>No</x:v>
      </x:c>
      <x:c r="N419" s="30" t="str"/>
      <x:c r="O419" s="30" t="str">
        <x:v>https://www.propertyguru.com.sg/listing/hdb-for-rent-375-clementi-avenue-4-500286637</x:v>
      </x:c>
    </x:row>
    <x:row r="420" ht="52" customHeight="1">
      <x:c r="A420" s="2" t="str">
        <x:v>S17</x:v>
      </x:c>
      <x:c r="B420" s="2" t="str">
        <x:v>S17-C14</x:v>
      </x:c>
      <x:c r="C420" s="2" t="str">
        <x:v>500186462</x:v>
      </x:c>
      <x:c r="D420" s="2" t="str">
        <x:v>Original</x:v>
      </x:c>
      <x:c r="E420" s="2" t="str">
        <x:v>U</x:v>
      </x:c>
      <x:c r="F420" s="26" t="n">
        <x:v>2800</x:v>
      </x:c>
      <x:c r="G420" s="27"/>
      <x:c r="H420" s="27" t="n">
        <x:v>120</x:v>
      </x:c>
      <x:c r="I420" s="2" t="str">
        <x:v>D05</x:v>
      </x:c>
      <x:c r="J420" s="2" t="str">
        <x:v>Apartment</x:v>
      </x:c>
      <x:c r="K420" s="28"/>
      <x:c r="L420" s="30" t="str">
        <x:v>No known hard failure. Cannot verify: reported bedrooms.</x:v>
      </x:c>
      <x:c r="M420" s="31" t="str">
        <x:v>No</x:v>
      </x:c>
      <x:c r="N420" s="30" t="str">
        <x:v>Reported bedrooms Unknown; required &gt;= 2.</x:v>
      </x:c>
      <x:c r="O420" s="30" t="str">
        <x:v>https://www.propertyguru.com.sg/listing/for-rent-lyf-one-north-singapore-80-nepal-park-singapore-139409-500186462</x:v>
      </x:c>
    </x:row>
    <x:row r="421" ht="52" customHeight="1">
      <x:c r="A421" s="2" t="str">
        <x:v>S17</x:v>
      </x:c>
      <x:c r="B421" s="2" t="str">
        <x:v>S17-C15</x:v>
      </x:c>
      <x:c r="C421" s="2" t="str">
        <x:v>25338956</x:v>
      </x:c>
      <x:c r="D421" s="2" t="str">
        <x:v>Original</x:v>
      </x:c>
      <x:c r="E421" s="2" t="n">
        <x:v>0</x:v>
      </x:c>
      <x:c r="F421" s="26" t="n">
        <x:v>3000</x:v>
      </x:c>
      <x:c r="G421" s="27" t="n">
        <x:v>2</x:v>
      </x:c>
      <x:c r="H421" s="27" t="n">
        <x:v>463</x:v>
      </x:c>
      <x:c r="I421" s="2" t="str">
        <x:v>D14</x:v>
      </x:c>
      <x:c r="J421" s="2" t="str">
        <x:v>Condominium</x:v>
      </x:c>
      <x:c r="K421" s="28" t="n">
        <x:v>12148.024309082895</x:v>
      </x:c>
      <x:c r="L421" s="30" t="str">
        <x:v>Hard failure: District D14; required = D05.</x:v>
      </x:c>
      <x:c r="M421" s="31" t="str">
        <x:v>No</x:v>
      </x:c>
      <x:c r="N421" s="30" t="str"/>
      <x:c r="O421" s="30" t="str">
        <x:v>https://www.propertyguru.com.sg/listing/for-rent-la-brisa-25338956</x:v>
      </x:c>
    </x:row>
    <x:row r="422" ht="52" customHeight="1">
      <x:c r="A422" s="2" t="str">
        <x:v>S17</x:v>
      </x:c>
      <x:c r="B422" s="2" t="str">
        <x:v>S17-C16</x:v>
      </x:c>
      <x:c r="C422" s="2" t="str">
        <x:v>25375523</x:v>
      </x:c>
      <x:c r="D422" s="2" t="str">
        <x:v>Original</x:v>
      </x:c>
      <x:c r="E422" s="2" t="n">
        <x:v>0</x:v>
      </x:c>
      <x:c r="F422" s="26" t="n">
        <x:v>2750</x:v>
      </x:c>
      <x:c r="G422" s="27" t="n">
        <x:v>2</x:v>
      </x:c>
      <x:c r="H422" s="27" t="n">
        <x:v>700</x:v>
      </x:c>
      <x:c r="I422" s="2" t="str">
        <x:v>D25</x:v>
      </x:c>
      <x:c r="J422" s="2" t="str">
        <x:v>HDB Flat</x:v>
      </x:c>
      <x:c r="K422" s="28" t="n">
        <x:v>15473.576013973221</x:v>
      </x:c>
      <x:c r="L422" s="30" t="str">
        <x:v>Hard failure: District D25; required = D05.</x:v>
      </x:c>
      <x:c r="M422" s="31" t="str">
        <x:v>No</x:v>
      </x:c>
      <x:c r="N422" s="30" t="str"/>
      <x:c r="O422" s="30" t="str">
        <x:v>https://www.propertyguru.com.sg/listing/hdb-for-rent-151-woodlands-street-13-25375523</x:v>
      </x:c>
    </x:row>
    <x:row r="423" ht="52" customHeight="1">
      <x:c r="A423" s="2" t="str">
        <x:v>S17</x:v>
      </x:c>
      <x:c r="B423" s="2" t="str">
        <x:v>S17-C17</x:v>
      </x:c>
      <x:c r="C423" s="2" t="str">
        <x:v>24863047</x:v>
      </x:c>
      <x:c r="D423" s="2" t="str">
        <x:v>Original</x:v>
      </x:c>
      <x:c r="E423" s="2" t="n">
        <x:v>0</x:v>
      </x:c>
      <x:c r="F423" s="26" t="n">
        <x:v>3000</x:v>
      </x:c>
      <x:c r="G423" s="27" t="n">
        <x:v>1</x:v>
      </x:c>
      <x:c r="H423" s="27" t="n">
        <x:v>180</x:v>
      </x:c>
      <x:c r="I423" s="2" t="str">
        <x:v>D05</x:v>
      </x:c>
      <x:c r="J423" s="2" t="str">
        <x:v>Apartment</x:v>
      </x:c>
      <x:c r="K423" s="28"/>
      <x:c r="L423" s="30" t="str">
        <x:v>Hard failure: Reported bedrooms 1; required &gt;= 2.</x:v>
      </x:c>
      <x:c r="M423" s="31" t="str">
        <x:v>No</x:v>
      </x:c>
      <x:c r="N423" s="30" t="str"/>
      <x:c r="O423" s="30" t="str">
        <x:v>https://www.propertyguru.com.sg/listing/for-rent-coliwoo-pasir-panjang-walking-distance-to-nus-24863047</x:v>
      </x:c>
    </x:row>
    <x:row r="424" ht="52" customHeight="1">
      <x:c r="A424" s="2" t="str">
        <x:v>S17</x:v>
      </x:c>
      <x:c r="B424" s="2" t="str">
        <x:v>S17-C18</x:v>
      </x:c>
      <x:c r="C424" s="2" t="str">
        <x:v>25376394</x:v>
      </x:c>
      <x:c r="D424" s="2" t="str">
        <x:v>Original</x:v>
      </x:c>
      <x:c r="E424" s="2" t="n">
        <x:v>0</x:v>
      </x:c>
      <x:c r="F424" s="26" t="n">
        <x:v>3000</x:v>
      </x:c>
      <x:c r="G424" s="27" t="n">
        <x:v>2</x:v>
      </x:c>
      <x:c r="H424" s="27" t="n">
        <x:v>818</x:v>
      </x:c>
      <x:c r="I424" s="2" t="str">
        <x:v>D18</x:v>
      </x:c>
      <x:c r="J424" s="2" t="str">
        <x:v>HDB Flat</x:v>
      </x:c>
      <x:c r="K424" s="28" t="n">
        <x:v>19965.18721519581</x:v>
      </x:c>
      <x:c r="L424" s="30" t="str">
        <x:v>Hard failure: District D18; required = D05.</x:v>
      </x:c>
      <x:c r="M424" s="31" t="str">
        <x:v>No</x:v>
      </x:c>
      <x:c r="N424" s="30" t="str"/>
      <x:c r="O424" s="30" t="str">
        <x:v>https://www.propertyguru.com.sg/listing/hdb-for-rent-406-tampines-street-41-25376394</x:v>
      </x:c>
    </x:row>
    <x:row r="425" ht="52" customHeight="1">
      <x:c r="A425" s="2" t="str">
        <x:v>S17</x:v>
      </x:c>
      <x:c r="B425" s="2" t="str">
        <x:v>S17-C19</x:v>
      </x:c>
      <x:c r="C425" s="2" t="str">
        <x:v>500262756</x:v>
      </x:c>
      <x:c r="D425" s="2" t="str">
        <x:v>Original</x:v>
      </x:c>
      <x:c r="E425" s="2" t="n">
        <x:v>3</x:v>
      </x:c>
      <x:c r="F425" s="26" t="n">
        <x:v>3000</x:v>
      </x:c>
      <x:c r="G425" s="27" t="n">
        <x:v>2</x:v>
      </x:c>
      <x:c r="H425" s="27" t="n">
        <x:v>699</x:v>
      </x:c>
      <x:c r="I425" s="2" t="str">
        <x:v>D05</x:v>
      </x:c>
      <x:c r="J425" s="2" t="str">
        <x:v>HDB Flat</x:v>
      </x:c>
      <x:c r="K425" s="28" t="n">
        <x:v>971.6194119235158</x:v>
      </x:c>
      <x:c r="L425" s="30" t="str">
        <x:v>Hard requirements pass. area 699 sqft. Only three supplied candidates pass the final hard requirements. Their 699-721 sqft areas are close enough to share a strong-fit grade.</x:v>
      </x:c>
      <x:c r="M425" s="31" t="str">
        <x:v>No</x:v>
      </x:c>
      <x:c r="N425" s="30" t="str"/>
      <x:c r="O425" s="30" t="str">
        <x:v>https://www.propertyguru.com.sg/listing/hdb-for-rent-2-dover-road-500262756</x:v>
      </x:c>
    </x:row>
    <x:row r="426" ht="52" customHeight="1">
      <x:c r="A426" s="2" t="str">
        <x:v>S17</x:v>
      </x:c>
      <x:c r="B426" s="2" t="str">
        <x:v>S17-C20</x:v>
      </x:c>
      <x:c r="C426" s="2" t="str">
        <x:v>500133785</x:v>
      </x:c>
      <x:c r="D426" s="2" t="str">
        <x:v>Original</x:v>
      </x:c>
      <x:c r="E426" s="2" t="n">
        <x:v>0</x:v>
      </x:c>
      <x:c r="F426" s="26" t="n">
        <x:v>3200</x:v>
      </x:c>
      <x:c r="G426" s="27" t="n">
        <x:v>2</x:v>
      </x:c>
      <x:c r="H426" s="27" t="n">
        <x:v>721</x:v>
      </x:c>
      <x:c r="I426" s="2" t="str">
        <x:v>D05</x:v>
      </x:c>
      <x:c r="J426" s="2" t="str">
        <x:v>HDB Flat</x:v>
      </x:c>
      <x:c r="K426" s="28" t="n">
        <x:v>2229.2543901230597</x:v>
      </x:c>
      <x:c r="L426" s="30" t="str">
        <x:v>Hard failure: Rent (SGD/month) 3,200; required &lt;= 3,000.</x:v>
      </x:c>
      <x:c r="M426" s="31" t="str">
        <x:v>No</x:v>
      </x:c>
      <x:c r="N426" s="30" t="str"/>
      <x:c r="O426" s="30" t="str">
        <x:v>https://www.propertyguru.com.sg/listing/hdb-for-rent-351-clementi-avenue-2-500133785</x:v>
      </x:c>
    </x:row>
    <x:row r="427" ht="52" customHeight="1">
      <x:c r="A427" s="2" t="str">
        <x:v>S17</x:v>
      </x:c>
      <x:c r="B427" s="2" t="str">
        <x:v>S17-C21</x:v>
      </x:c>
      <x:c r="C427" s="2" t="str">
        <x:v>500267173</x:v>
      </x:c>
      <x:c r="D427" s="2" t="str">
        <x:v>Original</x:v>
      </x:c>
      <x:c r="E427" s="2" t="n">
        <x:v>3</x:v>
      </x:c>
      <x:c r="F427" s="26" t="n">
        <x:v>3000</x:v>
      </x:c>
      <x:c r="G427" s="27" t="n">
        <x:v>2</x:v>
      </x:c>
      <x:c r="H427" s="27" t="n">
        <x:v>721</x:v>
      </x:c>
      <x:c r="I427" s="2" t="str">
        <x:v>D05</x:v>
      </x:c>
      <x:c r="J427" s="2" t="str">
        <x:v>HDB Flat</x:v>
      </x:c>
      <x:c r="K427" s="28" t="n">
        <x:v>3061.439034005761</x:v>
      </x:c>
      <x:c r="L427" s="30" t="str">
        <x:v>Hard requirements pass. area 721 sqft. Only three supplied candidates pass the final hard requirements. Their 699-721 sqft areas are close enough to share a strong-fit grade.</x:v>
      </x:c>
      <x:c r="M427" s="31" t="str">
        <x:v>No</x:v>
      </x:c>
      <x:c r="N427" s="30" t="str"/>
      <x:c r="O427" s="30" t="str">
        <x:v>https://www.propertyguru.com.sg/listing/hdb-for-rent-306-clementi-avenue-4-500267173</x:v>
      </x:c>
    </x:row>
    <x:row r="428" ht="52" customHeight="1">
      <x:c r="A428" s="2" t="str">
        <x:v>S17</x:v>
      </x:c>
      <x:c r="B428" s="2" t="str">
        <x:v>S17-C22</x:v>
      </x:c>
      <x:c r="C428" s="2" t="str">
        <x:v>60126094</x:v>
      </x:c>
      <x:c r="D428" s="2" t="str">
        <x:v>Original</x:v>
      </x:c>
      <x:c r="E428" s="2" t="n">
        <x:v>0</x:v>
      </x:c>
      <x:c r="F428" s="26" t="n">
        <x:v>3100</x:v>
      </x:c>
      <x:c r="G428" s="27" t="n">
        <x:v>2</x:v>
      </x:c>
      <x:c r="H428" s="27" t="n">
        <x:v>721</x:v>
      </x:c>
      <x:c r="I428" s="2" t="str">
        <x:v>D05</x:v>
      </x:c>
      <x:c r="J428" s="2" t="str">
        <x:v>HDB Flat</x:v>
      </x:c>
      <x:c r="K428" s="28" t="n">
        <x:v>2765.2313087182683</x:v>
      </x:c>
      <x:c r="L428" s="30" t="str">
        <x:v>Hard failure: Rent (SGD/month) 3,100; required &lt;= 3,000.</x:v>
      </x:c>
      <x:c r="M428" s="31" t="str">
        <x:v>No</x:v>
      </x:c>
      <x:c r="N428" s="30" t="str"/>
      <x:c r="O428" s="30" t="str">
        <x:v>https://www.propertyguru.com.sg/listing/hdb-for-rent-339-clementi-avenue-5-60126094</x:v>
      </x:c>
    </x:row>
    <x:row r="429" ht="52" customHeight="1">
      <x:c r="A429" s="2" t="str">
        <x:v>S17</x:v>
      </x:c>
      <x:c r="B429" s="2" t="str">
        <x:v>S17-C23</x:v>
      </x:c>
      <x:c r="C429" s="2" t="str">
        <x:v>60100685</x:v>
      </x:c>
      <x:c r="D429" s="2" t="str">
        <x:v>Original</x:v>
      </x:c>
      <x:c r="E429" s="2" t="str">
        <x:v>U</x:v>
      </x:c>
      <x:c r="F429" s="26" t="n">
        <x:v>2800</x:v>
      </x:c>
      <x:c r="G429" s="27"/>
      <x:c r="H429" s="27" t="n">
        <x:v>300</x:v>
      </x:c>
      <x:c r="I429" s="2" t="str">
        <x:v>D05</x:v>
      </x:c>
      <x:c r="J429" s="2" t="str">
        <x:v>Terraced House</x:v>
      </x:c>
      <x:c r="K429" s="28"/>
      <x:c r="L429" s="30" t="str">
        <x:v>No known hard failure. Cannot verify: reported bedrooms.</x:v>
      </x:c>
      <x:c r="M429" s="31" t="str">
        <x:v>No</x:v>
      </x:c>
      <x:c r="N429" s="30" t="str">
        <x:v>Reported bedrooms Unknown; required &gt;= 2.</x:v>
      </x:c>
      <x:c r="O429" s="30" t="str">
        <x:v>https://www.propertyguru.com.sg/listing/for-rent-406f-pasir-panjang-road-60100685</x:v>
      </x:c>
    </x:row>
    <x:row r="430" ht="52" customHeight="1">
      <x:c r="A430" s="2" t="str">
        <x:v>S17</x:v>
      </x:c>
      <x:c r="B430" s="2" t="str">
        <x:v>S17-C24</x:v>
      </x:c>
      <x:c r="C430" s="2" t="str">
        <x:v>25300986</x:v>
      </x:c>
      <x:c r="D430" s="2" t="str">
        <x:v>Original</x:v>
      </x:c>
      <x:c r="E430" s="2" t="n">
        <x:v>0</x:v>
      </x:c>
      <x:c r="F430" s="26" t="n">
        <x:v>3200</x:v>
      </x:c>
      <x:c r="G430" s="27" t="n">
        <x:v>2</x:v>
      </x:c>
      <x:c r="H430" s="27" t="n">
        <x:v>721</x:v>
      </x:c>
      <x:c r="I430" s="2" t="str">
        <x:v>D05</x:v>
      </x:c>
      <x:c r="J430" s="2" t="str">
        <x:v>HDB Flat</x:v>
      </x:c>
      <x:c r="K430" s="28" t="n">
        <x:v>2082.804536225351</x:v>
      </x:c>
      <x:c r="L430" s="30" t="str">
        <x:v>Hard failure: Rent (SGD/month) 3,200; required &lt;= 3,000.</x:v>
      </x:c>
      <x:c r="M430" s="31" t="str">
        <x:v>No</x:v>
      </x:c>
      <x:c r="N430" s="30" t="str"/>
      <x:c r="O430" s="30" t="str">
        <x:v>https://www.propertyguru.com.sg/listing/hdb-for-rent-354-clementi-avenue-2-25300986</x:v>
      </x:c>
    </x:row>
    <x:row r="431" ht="52" customHeight="1">
      <x:c r="A431" s="2" t="str">
        <x:v>S17</x:v>
      </x:c>
      <x:c r="B431" s="2" t="str">
        <x:v>S17-C25</x:v>
      </x:c>
      <x:c r="C431" s="2" t="str">
        <x:v>500262073</x:v>
      </x:c>
      <x:c r="D431" s="2" t="str">
        <x:v>Original</x:v>
      </x:c>
      <x:c r="E431" s="2" t="n">
        <x:v>0</x:v>
      </x:c>
      <x:c r="F431" s="26" t="n">
        <x:v>3000</x:v>
      </x:c>
      <x:c r="G431" s="27" t="n">
        <x:v>2</x:v>
      </x:c>
      <x:c r="H431" s="27" t="n">
        <x:v>570</x:v>
      </x:c>
      <x:c r="I431" s="2" t="str">
        <x:v>D13</x:v>
      </x:c>
      <x:c r="J431" s="2" t="str">
        <x:v>HDB Flat</x:v>
      </x:c>
      <x:c r="K431" s="28" t="n">
        <x:v>12576.585822956125</x:v>
      </x:c>
      <x:c r="L431" s="30" t="str">
        <x:v>Hard failure: District D13; required = D05.</x:v>
      </x:c>
      <x:c r="M431" s="31" t="str">
        <x:v>No</x:v>
      </x:c>
      <x:c r="N431" s="30" t="str"/>
      <x:c r="O431" s="30" t="str">
        <x:v>https://www.propertyguru.com.sg/listing/hdb-for-rent-38-circuit-road-500262073</x:v>
      </x:c>
    </x:row>
    <x:row r="432" ht="52" customHeight="1">
      <x:c r="A432" s="2" t="str">
        <x:v>S18</x:v>
      </x:c>
      <x:c r="B432" s="2" t="str">
        <x:v>S18-C01</x:v>
      </x:c>
      <x:c r="C432" s="2" t="str">
        <x:v>500265489</x:v>
      </x:c>
      <x:c r="D432" s="2" t="str">
        <x:v>Original</x:v>
      </x:c>
      <x:c r="E432" s="2" t="n">
        <x:v>1</x:v>
      </x:c>
      <x:c r="F432" s="26" t="n">
        <x:v>2850</x:v>
      </x:c>
      <x:c r="G432" s="27" t="n">
        <x:v>2</x:v>
      </x:c>
      <x:c r="H432" s="27" t="n">
        <x:v>785</x:v>
      </x:c>
      <x:c r="I432" s="2" t="str">
        <x:v>D23</x:v>
      </x:c>
      <x:c r="J432" s="2" t="str">
        <x:v>HDB Flat</x:v>
      </x:c>
      <x:c r="K432" s="28" t="n">
        <x:v>9229.884803591467</x:v>
      </x:c>
      <x:c r="L432" s="30" t="str">
        <x:v>Hard requirements pass. SGD 2,850/month. Rent is near the cap and well above the lower-rent alternatives; D05 receives no retained preference.</x:v>
      </x:c>
      <x:c r="M432" s="31" t="str">
        <x:v>No</x:v>
      </x:c>
      <x:c r="N432" s="30" t="str"/>
      <x:c r="O432" s="30" t="str">
        <x:v>https://www.propertyguru.com.sg/listing/hdb-for-rent-104-gangsa-road-500265489</x:v>
      </x:c>
    </x:row>
    <x:row r="433" ht="52" customHeight="1">
      <x:c r="A433" s="2" t="str">
        <x:v>S18</x:v>
      </x:c>
      <x:c r="B433" s="2" t="str">
        <x:v>S18-C02</x:v>
      </x:c>
      <x:c r="C433" s="2" t="str">
        <x:v>25323296</x:v>
      </x:c>
      <x:c r="D433" s="2" t="str">
        <x:v>Original</x:v>
      </x:c>
      <x:c r="E433" s="2" t="n">
        <x:v>0</x:v>
      </x:c>
      <x:c r="F433" s="26" t="n">
        <x:v>3050</x:v>
      </x:c>
      <x:c r="G433" s="27" t="n">
        <x:v>2</x:v>
      </x:c>
      <x:c r="H433" s="27" t="n">
        <x:v>710</x:v>
      </x:c>
      <x:c r="I433" s="2" t="str">
        <x:v>D19</x:v>
      </x:c>
      <x:c r="J433" s="2" t="str">
        <x:v>Condominium</x:v>
      </x:c>
      <x:c r="K433" s="28"/>
      <x:c r="L433" s="30" t="str">
        <x:v>Hard failure: Rent (SGD/month) 3,050; required &lt;= 3,000.</x:v>
      </x:c>
      <x:c r="M433" s="31" t="str">
        <x:v>No</x:v>
      </x:c>
      <x:c r="N433" s="30" t="str"/>
      <x:c r="O433" s="30" t="str">
        <x:v>https://www.propertyguru.com.sg/listing/for-rent-boathouse-residences-25323296</x:v>
      </x:c>
    </x:row>
    <x:row r="434" ht="52" customHeight="1">
      <x:c r="A434" s="2" t="str">
        <x:v>S18</x:v>
      </x:c>
      <x:c r="B434" s="2" t="str">
        <x:v>S18-C03</x:v>
      </x:c>
      <x:c r="C434" s="2" t="str">
        <x:v>500287027</x:v>
      </x:c>
      <x:c r="D434" s="2" t="str">
        <x:v>Original</x:v>
      </x:c>
      <x:c r="E434" s="2" t="n">
        <x:v>1</x:v>
      </x:c>
      <x:c r="F434" s="26" t="n">
        <x:v>3000</x:v>
      </x:c>
      <x:c r="G434" s="27" t="n">
        <x:v>2</x:v>
      </x:c>
      <x:c r="H434" s="27" t="n">
        <x:v>730</x:v>
      </x:c>
      <x:c r="I434" s="2" t="str">
        <x:v>D16</x:v>
      </x:c>
      <x:c r="J434" s="2" t="str">
        <x:v>HDB Flat</x:v>
      </x:c>
      <x:c r="K434" s="28" t="n">
        <x:v>16716.92566733155</x:v>
      </x:c>
      <x:c r="L434" s="30" t="str">
        <x:v>Hard requirements pass. SGD 3,000/month. Rent is near the cap and well above the lower-rent alternatives; D05 receives no retained preference.</x:v>
      </x:c>
      <x:c r="M434" s="31" t="str">
        <x:v>No</x:v>
      </x:c>
      <x:c r="N434" s="30" t="str"/>
      <x:c r="O434" s="30" t="str">
        <x:v>https://www.propertyguru.com.sg/listing/hdb-for-rent-45-chai-chee-street-500287027</x:v>
      </x:c>
    </x:row>
    <x:row r="435" ht="52" customHeight="1">
      <x:c r="A435" s="2" t="str">
        <x:v>S18</x:v>
      </x:c>
      <x:c r="B435" s="2" t="str">
        <x:v>S18-C04</x:v>
      </x:c>
      <x:c r="C435" s="2" t="str">
        <x:v>500158855</x:v>
      </x:c>
      <x:c r="D435" s="2" t="str">
        <x:v>Original</x:v>
      </x:c>
      <x:c r="E435" s="2" t="str">
        <x:v>U</x:v>
      </x:c>
      <x:c r="F435" s="26" t="n">
        <x:v>2200</x:v>
      </x:c>
      <x:c r="G435" s="27"/>
      <x:c r="H435" s="27" t="n">
        <x:v>150</x:v>
      </x:c>
      <x:c r="I435" s="2" t="str">
        <x:v>D09</x:v>
      </x:c>
      <x:c r="J435" s="2" t="str">
        <x:v>Apartment</x:v>
      </x:c>
      <x:c r="K435" s="28" t="n">
        <x:v>7852.035680221891</x:v>
      </x:c>
      <x:c r="L435" s="30" t="str">
        <x:v>No known hard failure. Cannot verify: reported bedrooms.</x:v>
      </x:c>
      <x:c r="M435" s="31" t="str">
        <x:v>No</x:v>
      </x:c>
      <x:c r="N435" s="30" t="str">
        <x:v>Reported bedrooms Unknown; required &gt;= 2.</x:v>
      </x:c>
      <x:c r="O435" s="30" t="str">
        <x:v>https://www.propertyguru.com.sg/listing/for-rent-mackenzie-138-500158855</x:v>
      </x:c>
    </x:row>
    <x:row r="436" ht="52" customHeight="1">
      <x:c r="A436" s="2" t="str">
        <x:v>S18</x:v>
      </x:c>
      <x:c r="B436" s="2" t="str">
        <x:v>S18-C05</x:v>
      </x:c>
      <x:c r="C436" s="2" t="str">
        <x:v>500235539</x:v>
      </x:c>
      <x:c r="D436" s="2" t="str">
        <x:v>Original</x:v>
      </x:c>
      <x:c r="E436" s="2" t="n">
        <x:v>1</x:v>
      </x:c>
      <x:c r="F436" s="26" t="n">
        <x:v>3000</x:v>
      </x:c>
      <x:c r="G436" s="27" t="n">
        <x:v>2</x:v>
      </x:c>
      <x:c r="H436" s="27" t="n">
        <x:v>699</x:v>
      </x:c>
      <x:c r="I436" s="2" t="str">
        <x:v>D12</x:v>
      </x:c>
      <x:c r="J436" s="2" t="str">
        <x:v>HDB Flat</x:v>
      </x:c>
      <x:c r="K436" s="28" t="n">
        <x:v>9507.366614280505</x:v>
      </x:c>
      <x:c r="L436" s="30" t="str">
        <x:v>Hard requirements pass. SGD 3,000/month. Rent is near the cap and well above the lower-rent alternatives; D05 receives no retained preference.</x:v>
      </x:c>
      <x:c r="M436" s="31" t="str">
        <x:v>No</x:v>
      </x:c>
      <x:c r="N436" s="30" t="str"/>
      <x:c r="O436" s="30" t="str">
        <x:v>https://www.propertyguru.com.sg/listing/hdb-for-rent-75-whampoa-drive-500235539</x:v>
      </x:c>
    </x:row>
    <x:row r="437" ht="52" customHeight="1">
      <x:c r="A437" s="2" t="str">
        <x:v>S18</x:v>
      </x:c>
      <x:c r="B437" s="2" t="str">
        <x:v>S18-C06</x:v>
      </x:c>
      <x:c r="C437" s="2" t="str">
        <x:v>25369981</x:v>
      </x:c>
      <x:c r="D437" s="2" t="str">
        <x:v>Original</x:v>
      </x:c>
      <x:c r="E437" s="2" t="str">
        <x:v>U</x:v>
      </x:c>
      <x:c r="F437" s="26" t="n">
        <x:v>2100</x:v>
      </x:c>
      <x:c r="G437" s="27"/>
      <x:c r="H437" s="27" t="n">
        <x:v>230</x:v>
      </x:c>
      <x:c r="I437" s="2" t="str">
        <x:v>D28</x:v>
      </x:c>
      <x:c r="J437" s="2" t="str">
        <x:v>Executive Condominium</x:v>
      </x:c>
      <x:c r="K437" s="28"/>
      <x:c r="L437" s="30" t="str">
        <x:v>No known hard failure. Cannot verify: reported bedrooms.</x:v>
      </x:c>
      <x:c r="M437" s="31" t="str">
        <x:v>No</x:v>
      </x:c>
      <x:c r="N437" s="30" t="str">
        <x:v>Reported bedrooms Unknown; required &gt;= 2.</x:v>
      </x:c>
      <x:c r="O437" s="30" t="str">
        <x:v>https://www.propertyguru.com.sg/listing/for-rent-the-topiary-25369981</x:v>
      </x:c>
    </x:row>
    <x:row r="438" ht="52" customHeight="1">
      <x:c r="A438" s="2" t="str">
        <x:v>S18</x:v>
      </x:c>
      <x:c r="B438" s="2" t="str">
        <x:v>S18-C07</x:v>
      </x:c>
      <x:c r="C438" s="2" t="str">
        <x:v>500281716</x:v>
      </x:c>
      <x:c r="D438" s="2" t="str">
        <x:v>Original</x:v>
      </x:c>
      <x:c r="E438" s="2" t="n">
        <x:v>1</x:v>
      </x:c>
      <x:c r="F438" s="26" t="n">
        <x:v>2850</x:v>
      </x:c>
      <x:c r="G438" s="27" t="n">
        <x:v>2</x:v>
      </x:c>
      <x:c r="H438" s="27" t="n">
        <x:v>721</x:v>
      </x:c>
      <x:c r="I438" s="2" t="str">
        <x:v>D14</x:v>
      </x:c>
      <x:c r="J438" s="2" t="str">
        <x:v>HDB Flat</x:v>
      </x:c>
      <x:c r="K438" s="28" t="n">
        <x:v>12255.00542423052</x:v>
      </x:c>
      <x:c r="L438" s="30" t="str">
        <x:v>Hard requirements pass. SGD 2,850/month. Rent is near the cap and well above the lower-rent alternatives; D05 receives no retained preference.</x:v>
      </x:c>
      <x:c r="M438" s="31" t="str">
        <x:v>No</x:v>
      </x:c>
      <x:c r="N438" s="30" t="str"/>
      <x:c r="O438" s="30" t="str">
        <x:v>https://www.propertyguru.com.sg/listing/hdb-for-rent-112-aljunied-crescent-500281716</x:v>
      </x:c>
    </x:row>
    <x:row r="439" ht="52" customHeight="1">
      <x:c r="A439" s="2" t="str">
        <x:v>S18</x:v>
      </x:c>
      <x:c r="B439" s="2" t="str">
        <x:v>S18-C08</x:v>
      </x:c>
      <x:c r="C439" s="2" t="str">
        <x:v>24123060</x:v>
      </x:c>
      <x:c r="D439" s="2" t="str">
        <x:v>Original</x:v>
      </x:c>
      <x:c r="E439" s="2" t="n">
        <x:v>1</x:v>
      </x:c>
      <x:c r="F439" s="26" t="n">
        <x:v>2800</x:v>
      </x:c>
      <x:c r="G439" s="27" t="n">
        <x:v>2</x:v>
      </x:c>
      <x:c r="H439" s="27" t="n">
        <x:v>721</x:v>
      </x:c>
      <x:c r="I439" s="2" t="str">
        <x:v>D19</x:v>
      </x:c>
      <x:c r="J439" s="2" t="str">
        <x:v>HDB Flat</x:v>
      </x:c>
      <x:c r="K439" s="28" t="n">
        <x:v>18145.600766603286</x:v>
      </x:c>
      <x:c r="L439" s="30" t="str">
        <x:v>Hard requirements pass. SGD 2,800/month. Rent is near the cap and well above the lower-rent alternatives; D05 receives no retained preference.</x:v>
      </x:c>
      <x:c r="M439" s="31" t="str">
        <x:v>No</x:v>
      </x:c>
      <x:c r="N439" s="30" t="str"/>
      <x:c r="O439" s="30" t="str">
        <x:v>https://www.propertyguru.com.sg/listing/hdb-for-rent-120b-punggol-edge-24123060</x:v>
      </x:c>
    </x:row>
    <x:row r="440" ht="52" customHeight="1">
      <x:c r="A440" s="2" t="str">
        <x:v>S18</x:v>
      </x:c>
      <x:c r="B440" s="2" t="str">
        <x:v>S18-C09</x:v>
      </x:c>
      <x:c r="C440" s="2" t="str">
        <x:v>21026007</x:v>
      </x:c>
      <x:c r="D440" s="2" t="str">
        <x:v>Original</x:v>
      </x:c>
      <x:c r="E440" s="2" t="n">
        <x:v>3</x:v>
      </x:c>
      <x:c r="F440" s="26" t="n">
        <x:v>450</x:v>
      </x:c>
      <x:c r="G440" s="27" t="n">
        <x:v>3</x:v>
      </x:c>
      <x:c r="H440" s="27" t="n">
        <x:v>100</x:v>
      </x:c>
      <x:c r="I440" s="2" t="str">
        <x:v>D25</x:v>
      </x:c>
      <x:c r="J440" s="2" t="str">
        <x:v>HDB Flat</x:v>
      </x:c>
      <x:c r="K440" s="28" t="n">
        <x:v>16744.33025757308</x:v>
      </x:c>
      <x:c r="L440" s="30" t="str">
        <x:v>Hard requirements pass. SGD 450/month. Among the lowest reported rents after the district requirement is removed.</x:v>
      </x:c>
      <x:c r="M440" s="31" t="str">
        <x:v>Yes</x:v>
      </x:c>
      <x:c r="N440" s="30" t="str">
        <x:v>At least 2 reported bedrooms with &lt;200 sqft; verify room/whole-unit scope and units.</x:v>
      </x:c>
      <x:c r="O440" s="30" t="str">
        <x:v>https://www.propertyguru.com.sg/listing/hdb-for-rent-764a-woodlands-circle-21026007</x:v>
      </x:c>
    </x:row>
    <x:row r="441" ht="52" customHeight="1">
      <x:c r="A441" s="2" t="str">
        <x:v>S18</x:v>
      </x:c>
      <x:c r="B441" s="2" t="str">
        <x:v>S18-C10</x:v>
      </x:c>
      <x:c r="C441" s="2" t="str">
        <x:v>500260526</x:v>
      </x:c>
      <x:c r="D441" s="2" t="str">
        <x:v>Original</x:v>
      </x:c>
      <x:c r="E441" s="2" t="n">
        <x:v>0</x:v>
      </x:c>
      <x:c r="F441" s="26" t="n">
        <x:v>2600</x:v>
      </x:c>
      <x:c r="G441" s="27" t="n">
        <x:v>1</x:v>
      </x:c>
      <x:c r="H441" s="27" t="n">
        <x:v>366</x:v>
      </x:c>
      <x:c r="I441" s="2" t="str">
        <x:v>D08</x:v>
      </x:c>
      <x:c r="J441" s="2" t="str">
        <x:v>Apartment</x:v>
      </x:c>
      <x:c r="K441" s="28"/>
      <x:c r="L441" s="30" t="str">
        <x:v>Hard failure: Reported bedrooms 1; required &gt;= 2.</x:v>
      </x:c>
      <x:c r="M441" s="31" t="str">
        <x:v>No</x:v>
      </x:c>
      <x:c r="N441" s="30" t="str"/>
      <x:c r="O441" s="30" t="str">
        <x:v>https://www.propertyguru.com.sg/listing/for-rent-city-loft-500260526</x:v>
      </x:c>
    </x:row>
    <x:row r="442" ht="52" customHeight="1">
      <x:c r="A442" s="2" t="str">
        <x:v>S18</x:v>
      </x:c>
      <x:c r="B442" s="2" t="str">
        <x:v>S18-C11</x:v>
      </x:c>
      <x:c r="C442" s="2" t="str">
        <x:v>500271412</x:v>
      </x:c>
      <x:c r="D442" s="2" t="str">
        <x:v>Original</x:v>
      </x:c>
      <x:c r="E442" s="2" t="n">
        <x:v>1</x:v>
      </x:c>
      <x:c r="F442" s="26" t="n">
        <x:v>3000</x:v>
      </x:c>
      <x:c r="G442" s="27" t="n">
        <x:v>2</x:v>
      </x:c>
      <x:c r="H442" s="27" t="n">
        <x:v>700</x:v>
      </x:c>
      <x:c r="I442" s="2" t="str">
        <x:v>D19</x:v>
      </x:c>
      <x:c r="J442" s="2" t="str">
        <x:v>HDB Flat</x:v>
      </x:c>
      <x:c r="K442" s="28" t="n">
        <x:v>11881.342312139306</x:v>
      </x:c>
      <x:c r="L442" s="30" t="str">
        <x:v>Hard requirements pass. SGD 3,000/month. Rent is near the cap and well above the lower-rent alternatives; D05 receives no retained preference.</x:v>
      </x:c>
      <x:c r="M442" s="31" t="str">
        <x:v>No</x:v>
      </x:c>
      <x:c r="N442" s="30" t="str"/>
      <x:c r="O442" s="30" t="str">
        <x:v>https://www.propertyguru.com.sg/listing/hdb-for-rent-306-serangoon-avenue-2-500271412</x:v>
      </x:c>
    </x:row>
    <x:row r="443" ht="52" customHeight="1">
      <x:c r="A443" s="2" t="str">
        <x:v>S18</x:v>
      </x:c>
      <x:c r="B443" s="2" t="str">
        <x:v>S18-C12</x:v>
      </x:c>
      <x:c r="C443" s="2" t="str">
        <x:v>24252348</x:v>
      </x:c>
      <x:c r="D443" s="2" t="str">
        <x:v>Original</x:v>
      </x:c>
      <x:c r="E443" s="2" t="n">
        <x:v>1</x:v>
      </x:c>
      <x:c r="F443" s="26" t="n">
        <x:v>3000</x:v>
      </x:c>
      <x:c r="G443" s="27" t="n">
        <x:v>2</x:v>
      </x:c>
      <x:c r="H443" s="27" t="n">
        <x:v>635</x:v>
      </x:c>
      <x:c r="I443" s="2" t="str">
        <x:v>D16</x:v>
      </x:c>
      <x:c r="J443" s="2" t="str">
        <x:v>HDB Flat</x:v>
      </x:c>
      <x:c r="K443" s="28" t="n">
        <x:v>18640.9879418037</x:v>
      </x:c>
      <x:c r="L443" s="30" t="str">
        <x:v>Hard requirements pass. SGD 3,000/month. Rent is near the cap and well above the lower-rent alternatives; D05 receives no retained preference.</x:v>
      </x:c>
      <x:c r="M443" s="31" t="str">
        <x:v>No</x:v>
      </x:c>
      <x:c r="N443" s="30" t="str"/>
      <x:c r="O443" s="30" t="str">
        <x:v>https://www.propertyguru.com.sg/listing/hdb-for-rent-74-bedok-north-road-24252348</x:v>
      </x:c>
    </x:row>
    <x:row r="444" ht="52" customHeight="1">
      <x:c r="A444" s="2" t="str">
        <x:v>S18</x:v>
      </x:c>
      <x:c r="B444" s="2" t="str">
        <x:v>S18-C13</x:v>
      </x:c>
      <x:c r="C444" s="2" t="str">
        <x:v>25544801</x:v>
      </x:c>
      <x:c r="D444" s="2" t="str">
        <x:v>Original</x:v>
      </x:c>
      <x:c r="E444" s="2" t="n">
        <x:v>3</x:v>
      </x:c>
      <x:c r="F444" s="26" t="n">
        <x:v>950</x:v>
      </x:c>
      <x:c r="G444" s="27" t="n">
        <x:v>7</x:v>
      </x:c>
      <x:c r="H444" s="27" t="n">
        <x:v>100</x:v>
      </x:c>
      <x:c r="I444" s="2" t="str">
        <x:v>D16</x:v>
      </x:c>
      <x:c r="J444" s="2" t="str">
        <x:v>Condominium</x:v>
      </x:c>
      <x:c r="K444" s="28"/>
      <x:c r="L444" s="30" t="str">
        <x:v>Hard requirements pass. SGD 950/month. Among the lowest reported rents after the district requirement is removed.</x:v>
      </x:c>
      <x:c r="M444" s="31" t="str">
        <x:v>Yes</x:v>
      </x:c>
      <x:c r="N444" s="30" t="str">
        <x:v>At least 2 reported bedrooms with &lt;200 sqft; verify room/whole-unit scope and units.</x:v>
      </x:c>
      <x:c r="O444" s="30" t="str">
        <x:v>https://www.propertyguru.com.sg/listing/for-rent-the-bayshore-25544801</x:v>
      </x:c>
    </x:row>
    <x:row r="445" ht="52" customHeight="1">
      <x:c r="A445" s="2" t="str">
        <x:v>S18</x:v>
      </x:c>
      <x:c r="B445" s="2" t="str">
        <x:v>S18-C14</x:v>
      </x:c>
      <x:c r="C445" s="2" t="str">
        <x:v>20160391</x:v>
      </x:c>
      <x:c r="D445" s="2" t="str">
        <x:v>Original</x:v>
      </x:c>
      <x:c r="E445" s="2" t="n">
        <x:v>1</x:v>
      </x:c>
      <x:c r="F445" s="26" t="n">
        <x:v>2800</x:v>
      </x:c>
      <x:c r="G445" s="27" t="n">
        <x:v>2</x:v>
      </x:c>
      <x:c r="H445" s="27" t="n">
        <x:v>731</x:v>
      </x:c>
      <x:c r="I445" s="2" t="str">
        <x:v>D20</x:v>
      </x:c>
      <x:c r="J445" s="2" t="str">
        <x:v>HDB Flat</x:v>
      </x:c>
      <x:c r="K445" s="28" t="n">
        <x:v>9723.505899037966</x:v>
      </x:c>
      <x:c r="L445" s="30" t="str">
        <x:v>Hard requirements pass. SGD 2,800/month. Rent is near the cap and well above the lower-rent alternatives; D05 receives no retained preference.</x:v>
      </x:c>
      <x:c r="M445" s="31" t="str">
        <x:v>No</x:v>
      </x:c>
      <x:c r="N445" s="30" t="str"/>
      <x:c r="O445" s="30" t="str">
        <x:v>https://www.propertyguru.com.sg/listing/hdb-for-rent-22-sin-ming-road-20160391</x:v>
      </x:c>
    </x:row>
    <x:row r="446" ht="52" customHeight="1">
      <x:c r="A446" s="2" t="str">
        <x:v>S18</x:v>
      </x:c>
      <x:c r="B446" s="2" t="str">
        <x:v>S18-C15</x:v>
      </x:c>
      <x:c r="C446" s="2" t="str">
        <x:v>24588512</x:v>
      </x:c>
      <x:c r="D446" s="2" t="str">
        <x:v>Original</x:v>
      </x:c>
      <x:c r="E446" s="2" t="n">
        <x:v>1</x:v>
      </x:c>
      <x:c r="F446" s="26" t="n">
        <x:v>3000</x:v>
      </x:c>
      <x:c r="G446" s="27" t="n">
        <x:v>2</x:v>
      </x:c>
      <x:c r="H446" s="27" t="n">
        <x:v>500</x:v>
      </x:c>
      <x:c r="I446" s="2" t="str">
        <x:v>D16</x:v>
      </x:c>
      <x:c r="J446" s="2" t="str">
        <x:v>Condominium</x:v>
      </x:c>
      <x:c r="K446" s="28"/>
      <x:c r="L446" s="30" t="str">
        <x:v>Hard requirements pass. SGD 3,000/month. Rent is near the cap and well above the lower-rent alternatives; D05 receives no retained preference.</x:v>
      </x:c>
      <x:c r="M446" s="31" t="str">
        <x:v>No</x:v>
      </x:c>
      <x:c r="N446" s="30" t="str"/>
      <x:c r="O446" s="30" t="str">
        <x:v>https://www.propertyguru.com.sg/listing/for-rent-bayshore-park-24588512</x:v>
      </x:c>
    </x:row>
    <x:row r="447" ht="52" customHeight="1">
      <x:c r="A447" s="2" t="str">
        <x:v>S18</x:v>
      </x:c>
      <x:c r="B447" s="2" t="str">
        <x:v>S18-C16</x:v>
      </x:c>
      <x:c r="C447" s="2" t="str">
        <x:v>60023928</x:v>
      </x:c>
      <x:c r="D447" s="2" t="str">
        <x:v>Original</x:v>
      </x:c>
      <x:c r="E447" s="2" t="n">
        <x:v>3</x:v>
      </x:c>
      <x:c r="F447" s="26" t="n">
        <x:v>800</x:v>
      </x:c>
      <x:c r="G447" s="27" t="n">
        <x:v>2</x:v>
      </x:c>
      <x:c r="H447" s="27" t="n">
        <x:v>120</x:v>
      </x:c>
      <x:c r="I447" s="2" t="str">
        <x:v>D27</x:v>
      </x:c>
      <x:c r="J447" s="2" t="str">
        <x:v>HDB Flat</x:v>
      </x:c>
      <x:c r="K447" s="28" t="n">
        <x:v>16336.918172271477</x:v>
      </x:c>
      <x:c r="L447" s="30" t="str">
        <x:v>Hard requirements pass. SGD 800/month. Among the lowest reported rents after the district requirement is removed.</x:v>
      </x:c>
      <x:c r="M447" s="31" t="str">
        <x:v>Yes</x:v>
      </x:c>
      <x:c r="N447" s="30" t="str">
        <x:v>At least 2 reported bedrooms with &lt;200 sqft; verify room/whole-unit scope and units.</x:v>
      </x:c>
      <x:c r="O447" s="30" t="str">
        <x:v>https://www.propertyguru.com.sg/listing/hdb-for-rent-203-yishun-street-21-60023928</x:v>
      </x:c>
    </x:row>
    <x:row r="448" ht="52" customHeight="1">
      <x:c r="A448" s="2" t="str">
        <x:v>S18</x:v>
      </x:c>
      <x:c r="B448" s="2" t="str">
        <x:v>S18-C17</x:v>
      </x:c>
      <x:c r="C448" s="2" t="str">
        <x:v>500065106</x:v>
      </x:c>
      <x:c r="D448" s="2" t="str">
        <x:v>Original</x:v>
      </x:c>
      <x:c r="E448" s="2" t="str">
        <x:v>U</x:v>
      </x:c>
      <x:c r="F448" s="26" t="n">
        <x:v>2400</x:v>
      </x:c>
      <x:c r="G448" s="27"/>
      <x:c r="H448" s="27" t="n">
        <x:v>200</x:v>
      </x:c>
      <x:c r="I448" s="2" t="str">
        <x:v>D07</x:v>
      </x:c>
      <x:c r="J448" s="2" t="str">
        <x:v>Apartment</x:v>
      </x:c>
      <x:c r="K448" s="28"/>
      <x:c r="L448" s="30" t="str">
        <x:v>No known hard failure. Cannot verify: reported bedrooms.</x:v>
      </x:c>
      <x:c r="M448" s="31" t="str">
        <x:v>No</x:v>
      </x:c>
      <x:c r="N448" s="30" t="str">
        <x:v>Reported bedrooms Unknown; required &gt;= 2.</x:v>
      </x:c>
      <x:c r="O448" s="30" t="str">
        <x:v>https://www.propertyguru.com.sg/listing/for-rent-coliwoo-midtown-500065106</x:v>
      </x:c>
    </x:row>
    <x:row r="449" ht="52" customHeight="1">
      <x:c r="A449" s="2" t="str">
        <x:v>S18</x:v>
      </x:c>
      <x:c r="B449" s="2" t="str">
        <x:v>S18-C18</x:v>
      </x:c>
      <x:c r="C449" s="2" t="str">
        <x:v>500262978</x:v>
      </x:c>
      <x:c r="D449" s="2" t="str">
        <x:v>Original</x:v>
      </x:c>
      <x:c r="E449" s="2" t="n">
        <x:v>1</x:v>
      </x:c>
      <x:c r="F449" s="26" t="n">
        <x:v>3000</x:v>
      </x:c>
      <x:c r="G449" s="27" t="n">
        <x:v>2</x:v>
      </x:c>
      <x:c r="H449" s="27" t="n">
        <x:v>68</x:v>
      </x:c>
      <x:c r="I449" s="2" t="str">
        <x:v>D23</x:v>
      </x:c>
      <x:c r="J449" s="2" t="str">
        <x:v>HDB Flat</x:v>
      </x:c>
      <x:c r="K449" s="28" t="n">
        <x:v>10186.202519824854</x:v>
      </x:c>
      <x:c r="L449" s="30" t="str">
        <x:v>Hard requirements pass. SGD 3,000/month. Rent is near the cap and well above the lower-rent alternatives; D05 receives no retained preference.</x:v>
      </x:c>
      <x:c r="M449" s="31" t="str">
        <x:v>Yes</x:v>
      </x:c>
      <x:c r="N449" s="30" t="str">
        <x:v>At least 2 reported bedrooms with &lt;200 sqft; verify room/whole-unit scope and units.</x:v>
      </x:c>
      <x:c r="O449" s="30" t="str">
        <x:v>https://www.propertyguru.com.sg/listing/hdb-for-rent-459-segar-road-500262978</x:v>
      </x:c>
    </x:row>
    <x:row r="450" ht="52" customHeight="1">
      <x:c r="A450" s="2" t="str">
        <x:v>S18</x:v>
      </x:c>
      <x:c r="B450" s="2" t="str">
        <x:v>S18-C19</x:v>
      </x:c>
      <x:c r="C450" s="2" t="str">
        <x:v>500056552</x:v>
      </x:c>
      <x:c r="D450" s="2" t="str">
        <x:v>Original</x:v>
      </x:c>
      <x:c r="E450" s="2" t="n">
        <x:v>0</x:v>
      </x:c>
      <x:c r="F450" s="26" t="n">
        <x:v>2500</x:v>
      </x:c>
      <x:c r="G450" s="27" t="n">
        <x:v>1</x:v>
      </x:c>
      <x:c r="H450" s="27" t="n">
        <x:v>500</x:v>
      </x:c>
      <x:c r="I450" s="2" t="str">
        <x:v>D18</x:v>
      </x:c>
      <x:c r="J450" s="2" t="str">
        <x:v>HDB Flat</x:v>
      </x:c>
      <x:c r="K450" s="28" t="n">
        <x:v>20911.77034652975</x:v>
      </x:c>
      <x:c r="L450" s="30" t="str">
        <x:v>Hard failure: Reported bedrooms 1; required &gt;= 2.</x:v>
      </x:c>
      <x:c r="M450" s="31" t="str">
        <x:v>No</x:v>
      </x:c>
      <x:c r="N450" s="30" t="str"/>
      <x:c r="O450" s="30" t="str">
        <x:v>https://www.propertyguru.com.sg/listing/hdb-for-rent-480-tampines-street-44-500056552</x:v>
      </x:c>
    </x:row>
    <x:row r="451" ht="52" customHeight="1">
      <x:c r="A451" s="2" t="str">
        <x:v>S18</x:v>
      </x:c>
      <x:c r="B451" s="2" t="str">
        <x:v>S18-C20</x:v>
      </x:c>
      <x:c r="C451" s="2" t="str">
        <x:v>500245773</x:v>
      </x:c>
      <x:c r="D451" s="2" t="str">
        <x:v>Original</x:v>
      </x:c>
      <x:c r="E451" s="2" t="n">
        <x:v>0</x:v>
      </x:c>
      <x:c r="F451" s="26" t="n">
        <x:v>3100</x:v>
      </x:c>
      <x:c r="G451" s="27" t="n">
        <x:v>2</x:v>
      </x:c>
      <x:c r="H451" s="27" t="n">
        <x:v>634</x:v>
      </x:c>
      <x:c r="I451" s="2" t="str">
        <x:v>D10</x:v>
      </x:c>
      <x:c r="J451" s="2" t="str">
        <x:v>HDB Flat</x:v>
      </x:c>
      <x:c r="K451" s="28" t="n">
        <x:v>2212.1666126829746</x:v>
      </x:c>
      <x:c r="L451" s="30" t="str">
        <x:v>Hard failure: Rent (SGD/month) 3,100; required &lt;= 3,000.</x:v>
      </x:c>
      <x:c r="M451" s="31" t="str">
        <x:v>No</x:v>
      </x:c>
      <x:c r="N451" s="30" t="str"/>
      <x:c r="O451" s="30" t="str">
        <x:v>https://www.propertyguru.com.sg/listing/hdb-for-rent-8-holland-avenue-500245773</x:v>
      </x:c>
    </x:row>
    <x:row r="452" ht="52" customHeight="1">
      <x:c r="A452" s="2" t="str">
        <x:v>S18</x:v>
      </x:c>
      <x:c r="B452" s="2" t="str">
        <x:v>S18-C21</x:v>
      </x:c>
      <x:c r="C452" s="2" t="str">
        <x:v>500281545</x:v>
      </x:c>
      <x:c r="D452" s="2" t="str">
        <x:v>Original</x:v>
      </x:c>
      <x:c r="E452" s="2" t="n">
        <x:v>3</x:v>
      </x:c>
      <x:c r="F452" s="26" t="n">
        <x:v>700</x:v>
      </x:c>
      <x:c r="G452" s="27" t="n">
        <x:v>3</x:v>
      </x:c>
      <x:c r="H452" s="27" t="n">
        <x:v>904</x:v>
      </x:c>
      <x:c r="I452" s="2" t="str">
        <x:v>D18</x:v>
      </x:c>
      <x:c r="J452" s="2" t="str">
        <x:v>HDB Flat</x:v>
      </x:c>
      <x:c r="K452" s="28" t="n">
        <x:v>18577.203300588288</x:v>
      </x:c>
      <x:c r="L452" s="30" t="str">
        <x:v>Hard requirements pass. SGD 700/month. Among the lowest reported rents after the district requirement is removed.</x:v>
      </x:c>
      <x:c r="M452" s="31" t="str">
        <x:v>No</x:v>
      </x:c>
      <x:c r="N452" s="30" t="str"/>
      <x:c r="O452" s="30" t="str">
        <x:v>https://www.propertyguru.com.sg/listing/hdb-for-rent-832-tampines-street-82-500281545</x:v>
      </x:c>
    </x:row>
    <x:row r="453" ht="52" customHeight="1">
      <x:c r="A453" s="2" t="str">
        <x:v>S18</x:v>
      </x:c>
      <x:c r="B453" s="2" t="str">
        <x:v>S18-C22</x:v>
      </x:c>
      <x:c r="C453" s="2" t="str">
        <x:v>25274593</x:v>
      </x:c>
      <x:c r="D453" s="2" t="str">
        <x:v>Original</x:v>
      </x:c>
      <x:c r="E453" s="2" t="n">
        <x:v>1</x:v>
      </x:c>
      <x:c r="F453" s="26" t="n">
        <x:v>2900</x:v>
      </x:c>
      <x:c r="G453" s="27" t="n">
        <x:v>2</x:v>
      </x:c>
      <x:c r="H453" s="27" t="n">
        <x:v>860</x:v>
      </x:c>
      <x:c r="I453" s="2" t="str">
        <x:v>D19</x:v>
      </x:c>
      <x:c r="J453" s="2" t="str">
        <x:v>HDB Flat</x:v>
      </x:c>
      <x:c r="K453" s="28" t="n">
        <x:v>18106.861809122194</x:v>
      </x:c>
      <x:c r="L453" s="30" t="str">
        <x:v>Hard requirements pass. SGD 2,900/month. Rent is near the cap and well above the lower-rent alternatives; D05 receives no retained preference.</x:v>
      </x:c>
      <x:c r="M453" s="31" t="str">
        <x:v>No</x:v>
      </x:c>
      <x:c r="N453" s="30" t="str"/>
      <x:c r="O453" s="30" t="str">
        <x:v>https://www.propertyguru.com.sg/listing/hdb-for-rent-178d-rivervale-crescent-25274593</x:v>
      </x:c>
    </x:row>
    <x:row r="454" ht="52" customHeight="1">
      <x:c r="A454" s="2" t="str">
        <x:v>S18</x:v>
      </x:c>
      <x:c r="B454" s="2" t="str">
        <x:v>S18-C23</x:v>
      </x:c>
      <x:c r="C454" s="2" t="str">
        <x:v>24434237</x:v>
      </x:c>
      <x:c r="D454" s="2" t="str">
        <x:v>Original</x:v>
      </x:c>
      <x:c r="E454" s="2" t="n">
        <x:v>1</x:v>
      </x:c>
      <x:c r="F454" s="26" t="n">
        <x:v>3000</x:v>
      </x:c>
      <x:c r="G454" s="27" t="n">
        <x:v>2</x:v>
      </x:c>
      <x:c r="H454" s="27" t="n">
        <x:v>797</x:v>
      </x:c>
      <x:c r="I454" s="2" t="str">
        <x:v>D22</x:v>
      </x:c>
      <x:c r="J454" s="2" t="str">
        <x:v>HDB Flat</x:v>
      </x:c>
      <x:c r="K454" s="28" t="n">
        <x:v>4774.553700469621</x:v>
      </x:c>
      <x:c r="L454" s="30" t="str">
        <x:v>Hard requirements pass. SGD 3,000/month. Rent is near the cap and well above the lower-rent alternatives; D05 receives no retained preference.</x:v>
      </x:c>
      <x:c r="M454" s="31" t="str">
        <x:v>No</x:v>
      </x:c>
      <x:c r="N454" s="30" t="str"/>
      <x:c r="O454" s="30" t="str">
        <x:v>https://www.propertyguru.com.sg/listing/hdb-for-rent-33-teban-gardens-road-24434237</x:v>
      </x:c>
    </x:row>
    <x:row r="455" ht="52" customHeight="1">
      <x:c r="A455" s="2" t="str">
        <x:v>S18</x:v>
      </x:c>
      <x:c r="B455" s="2" t="str">
        <x:v>S18-C24</x:v>
      </x:c>
      <x:c r="C455" s="2" t="str">
        <x:v>500280500</x:v>
      </x:c>
      <x:c r="D455" s="2" t="str">
        <x:v>Original</x:v>
      </x:c>
      <x:c r="E455" s="2" t="n">
        <x:v>1</x:v>
      </x:c>
      <x:c r="F455" s="26" t="n">
        <x:v>3000</x:v>
      </x:c>
      <x:c r="G455" s="27" t="n">
        <x:v>2</x:v>
      </x:c>
      <x:c r="H455" s="27" t="n">
        <x:v>710</x:v>
      </x:c>
      <x:c r="I455" s="2" t="str">
        <x:v>D14</x:v>
      </x:c>
      <x:c r="J455" s="2" t="str">
        <x:v>Condominium</x:v>
      </x:c>
      <x:c r="K455" s="28"/>
      <x:c r="L455" s="30" t="str">
        <x:v>Hard requirements pass. SGD 3,000/month. Rent is near the cap and well above the lower-rent alternatives; D05 receives no retained preference.</x:v>
      </x:c>
      <x:c r="M455" s="31" t="str">
        <x:v>No</x:v>
      </x:c>
      <x:c r="N455" s="30" t="str"/>
      <x:c r="O455" s="30" t="str">
        <x:v>https://www.propertyguru.com.sg/listing/for-rent-loft-33-geylang-500280500</x:v>
      </x:c>
    </x:row>
    <x:row r="456" ht="52" customHeight="1">
      <x:c r="A456" s="2" t="str">
        <x:v>S18</x:v>
      </x:c>
      <x:c r="B456" s="2" t="str">
        <x:v>S18-C25</x:v>
      </x:c>
      <x:c r="C456" s="2" t="str">
        <x:v>500256005</x:v>
      </x:c>
      <x:c r="D456" s="2" t="str">
        <x:v>Original</x:v>
      </x:c>
      <x:c r="E456" s="2" t="n">
        <x:v>0</x:v>
      </x:c>
      <x:c r="F456" s="26" t="n">
        <x:v>3100</x:v>
      </x:c>
      <x:c r="G456" s="27" t="n">
        <x:v>2</x:v>
      </x:c>
      <x:c r="H456" s="27" t="n">
        <x:v>67</x:v>
      </x:c>
      <x:c r="I456" s="2" t="str">
        <x:v>D05</x:v>
      </x:c>
      <x:c r="J456" s="2" t="str">
        <x:v>HDB Flat</x:v>
      </x:c>
      <x:c r="K456" s="28" t="n">
        <x:v>2229.2543901230597</x:v>
      </x:c>
      <x:c r="L456" s="30" t="str">
        <x:v>Hard failure: Rent (SGD/month) 3,100; required &lt;= 3,000.</x:v>
      </x:c>
      <x:c r="M456" s="31" t="str">
        <x:v>Yes</x:v>
      </x:c>
      <x:c r="N456" s="30" t="str">
        <x:v>At least 2 reported bedrooms with &lt;200 sqft; verify room/whole-unit scope and units.</x:v>
      </x:c>
      <x:c r="O456" s="30" t="str">
        <x:v>https://www.propertyguru.com.sg/listing/hdb-for-rent-351-clementi-avenue-2-500256005</x:v>
      </x:c>
    </x:row>
    <x:row r="457" ht="52" customHeight="1">
      <x:c r="A457" s="2" t="str">
        <x:v>S19</x:v>
      </x:c>
      <x:c r="B457" s="2" t="str">
        <x:v>S19-C01</x:v>
      </x:c>
      <x:c r="C457" s="2" t="str">
        <x:v>500199914</x:v>
      </x:c>
      <x:c r="D457" s="2" t="str">
        <x:v>Original</x:v>
      </x:c>
      <x:c r="E457" s="2" t="n">
        <x:v>0</x:v>
      </x:c>
      <x:c r="F457" s="26" t="n">
        <x:v>3530</x:v>
      </x:c>
      <x:c r="G457" s="27" t="n">
        <x:v>2</x:v>
      </x:c>
      <x:c r="H457" s="27" t="n">
        <x:v>775</x:v>
      </x:c>
      <x:c r="I457" s="2" t="str">
        <x:v>D19</x:v>
      </x:c>
      <x:c r="J457" s="2" t="str">
        <x:v>Condominium</x:v>
      </x:c>
      <x:c r="K457" s="28"/>
      <x:c r="L457" s="30" t="str">
        <x:v>Hard failure: Rent (SGD/month) 3,530; required &lt;= 3,500.</x:v>
      </x:c>
      <x:c r="M457" s="31" t="str">
        <x:v>No</x:v>
      </x:c>
      <x:c r="N457" s="30" t="str">
        <x:v>Furnishing Unknown; required = fully furnished. Lease duration (months) Unknown; required = 6.</x:v>
      </x:c>
      <x:c r="O457" s="30" t="str">
        <x:v>https://www.propertyguru.com.sg/listing/for-rent-a-treasure-trove-500199914</x:v>
      </x:c>
    </x:row>
    <x:row r="458" ht="52" customHeight="1">
      <x:c r="A458" s="2" t="str">
        <x:v>S19</x:v>
      </x:c>
      <x:c r="B458" s="2" t="str">
        <x:v>S19-C02</x:v>
      </x:c>
      <x:c r="C458" s="2" t="str">
        <x:v>24866516</x:v>
      </x:c>
      <x:c r="D458" s="2" t="str">
        <x:v>Original</x:v>
      </x:c>
      <x:c r="E458" s="2" t="str">
        <x:v>U</x:v>
      </x:c>
      <x:c r="F458" s="26" t="n">
        <x:v>3000</x:v>
      </x:c>
      <x:c r="G458" s="27" t="n">
        <x:v>2</x:v>
      </x:c>
      <x:c r="H458" s="27" t="n">
        <x:v>700</x:v>
      </x:c>
      <x:c r="I458" s="2" t="str">
        <x:v>D10</x:v>
      </x:c>
      <x:c r="J458" s="2" t="str">
        <x:v>HDB Flat</x:v>
      </x:c>
      <x:c r="K458" s="28" t="n">
        <x:v>2146.023016219489</x:v>
      </x:c>
      <x:c r="L458" s="30" t="str">
        <x:v>No known hard failure. Cannot verify: furnishing, lease duration (months).</x:v>
      </x:c>
      <x:c r="M458" s="31" t="str">
        <x:v>No</x:v>
      </x:c>
      <x:c r="N458" s="30" t="str">
        <x:v>Furnishing Unknown; required = fully furnished. Lease duration (months) Unknown; required = 6.</x:v>
      </x:c>
      <x:c r="O458" s="30" t="str">
        <x:v>https://www.propertyguru.com.sg/listing/hdb-for-rent-6-ghim-moh-road-24866516</x:v>
      </x:c>
    </x:row>
    <x:row r="459" ht="52" customHeight="1">
      <x:c r="A459" s="2" t="str">
        <x:v>S19</x:v>
      </x:c>
      <x:c r="B459" s="2" t="str">
        <x:v>S19-C03</x:v>
      </x:c>
      <x:c r="C459" s="2" t="str">
        <x:v>500255660</x:v>
      </x:c>
      <x:c r="D459" s="2" t="str">
        <x:v>Original</x:v>
      </x:c>
      <x:c r="E459" s="2" t="str">
        <x:v>U</x:v>
      </x:c>
      <x:c r="F459" s="26" t="n">
        <x:v>3500</x:v>
      </x:c>
      <x:c r="G459" s="27" t="n">
        <x:v>2</x:v>
      </x:c>
      <x:c r="H459" s="27" t="n">
        <x:v>689</x:v>
      </x:c>
      <x:c r="I459" s="2" t="str">
        <x:v>D20</x:v>
      </x:c>
      <x:c r="J459" s="2" t="str">
        <x:v>HDB Flat</x:v>
      </x:c>
      <x:c r="K459" s="28" t="n">
        <x:v>9785.370212106542</x:v>
      </x:c>
      <x:c r="L459" s="30" t="str">
        <x:v>No known hard failure. Cannot verify: furnishing, lease duration (months).</x:v>
      </x:c>
      <x:c r="M459" s="31" t="str">
        <x:v>No</x:v>
      </x:c>
      <x:c r="N459" s="30" t="str">
        <x:v>Furnishing Unknown; required = fully furnished. Lease duration (months) Unknown; required = 6.</x:v>
      </x:c>
      <x:c r="O459" s="30" t="str">
        <x:v>https://www.propertyguru.com.sg/listing/hdb-for-rent-407-sin-ming-avenue-500255660</x:v>
      </x:c>
    </x:row>
    <x:row r="460" ht="52" customHeight="1">
      <x:c r="A460" s="2" t="str">
        <x:v>S19</x:v>
      </x:c>
      <x:c r="B460" s="2" t="str">
        <x:v>S19-C04</x:v>
      </x:c>
      <x:c r="C460" s="2" t="str">
        <x:v>500274301</x:v>
      </x:c>
      <x:c r="D460" s="2" t="str">
        <x:v>Original</x:v>
      </x:c>
      <x:c r="E460" s="2" t="str">
        <x:v>U</x:v>
      </x:c>
      <x:c r="F460" s="26" t="n">
        <x:v>2200</x:v>
      </x:c>
      <x:c r="G460" s="27" t="n">
        <x:v>2</x:v>
      </x:c>
      <x:c r="H460" s="27" t="n">
        <x:v>700</x:v>
      </x:c>
      <x:c r="I460" s="2" t="str">
        <x:v>D27</x:v>
      </x:c>
      <x:c r="J460" s="2" t="str">
        <x:v>HDB Flat</x:v>
      </x:c>
      <x:c r="K460" s="28" t="n">
        <x:v>16904.8320926275</x:v>
      </x:c>
      <x:c r="L460" s="30" t="str">
        <x:v>No known hard failure. Cannot verify: furnishing, lease duration (months).</x:v>
      </x:c>
      <x:c r="M460" s="31" t="str">
        <x:v>No</x:v>
      </x:c>
      <x:c r="N460" s="30" t="str">
        <x:v>Furnishing Unknown; required = fully furnished. Lease duration (months) Unknown; required = 6.</x:v>
      </x:c>
      <x:c r="O460" s="30" t="str">
        <x:v>https://www.propertyguru.com.sg/listing/hdb-for-rent-478a-yishun-street-44-500274301</x:v>
      </x:c>
    </x:row>
    <x:row r="461" ht="52" customHeight="1">
      <x:c r="A461" s="2" t="str">
        <x:v>S19</x:v>
      </x:c>
      <x:c r="B461" s="2" t="str">
        <x:v>S19-C05</x:v>
      </x:c>
      <x:c r="C461" s="2" t="str">
        <x:v>500274442</x:v>
      </x:c>
      <x:c r="D461" s="2" t="str">
        <x:v>Original</x:v>
      </x:c>
      <x:c r="E461" s="2" t="n">
        <x:v>0</x:v>
      </x:c>
      <x:c r="F461" s="26" t="n">
        <x:v>3531</x:v>
      </x:c>
      <x:c r="G461" s="27" t="n">
        <x:v>2</x:v>
      </x:c>
      <x:c r="H461" s="27" t="n">
        <x:v>711</x:v>
      </x:c>
      <x:c r="I461" s="2" t="str">
        <x:v>D27</x:v>
      </x:c>
      <x:c r="J461" s="2" t="str">
        <x:v>Condominium</x:v>
      </x:c>
      <x:c r="K461" s="28" t="n">
        <x:v>15276.423771133483</x:v>
      </x:c>
      <x:c r="L461" s="30" t="str">
        <x:v>Hard failure: Rent (SGD/month) 3,531; required &lt;= 3,500.</x:v>
      </x:c>
      <x:c r="M461" s="31" t="str">
        <x:v>No</x:v>
      </x:c>
      <x:c r="N461" s="30" t="str">
        <x:v>Furnishing Unknown; required = fully furnished. Lease duration (months) Unknown; required = 6.</x:v>
      </x:c>
      <x:c r="O461" s="30" t="str">
        <x:v>https://www.propertyguru.com.sg/listing/for-rent-the-wisteria-500274442</x:v>
      </x:c>
    </x:row>
    <x:row r="462" ht="52" customHeight="1">
      <x:c r="A462" s="2" t="str">
        <x:v>S19</x:v>
      </x:c>
      <x:c r="B462" s="2" t="str">
        <x:v>S19-C06</x:v>
      </x:c>
      <x:c r="C462" s="2" t="str">
        <x:v>25325382</x:v>
      </x:c>
      <x:c r="D462" s="2" t="str">
        <x:v>Original</x:v>
      </x:c>
      <x:c r="E462" s="2" t="str">
        <x:v>U</x:v>
      </x:c>
      <x:c r="F462" s="26" t="n">
        <x:v>3500</x:v>
      </x:c>
      <x:c r="G462" s="27" t="n">
        <x:v>3</x:v>
      </x:c>
      <x:c r="H462" s="27" t="n">
        <x:v>1001</x:v>
      </x:c>
      <x:c r="I462" s="2" t="str">
        <x:v>D28</x:v>
      </x:c>
      <x:c r="J462" s="2" t="str">
        <x:v>HDB Flat</x:v>
      </x:c>
      <x:c r="K462" s="28" t="n">
        <x:v>15946.180947425732</x:v>
      </x:c>
      <x:c r="L462" s="30" t="str">
        <x:v>No known hard failure. Cannot verify: furnishing, lease duration (months).</x:v>
      </x:c>
      <x:c r="M462" s="31" t="str">
        <x:v>No</x:v>
      </x:c>
      <x:c r="N462" s="30" t="str">
        <x:v>Furnishing Unknown; required = fully furnished. Lease duration (months) Unknown; required = 6.</x:v>
      </x:c>
      <x:c r="O462" s="30" t="str">
        <x:v>https://www.propertyguru.com.sg/listing/hdb-for-rent-467a-fernvale-link-25325382</x:v>
      </x:c>
    </x:row>
    <x:row r="463" ht="52" customHeight="1">
      <x:c r="A463" s="2" t="str">
        <x:v>S19</x:v>
      </x:c>
      <x:c r="B463" s="2" t="str">
        <x:v>S19-C07</x:v>
      </x:c>
      <x:c r="C463" s="2" t="str">
        <x:v>500260424</x:v>
      </x:c>
      <x:c r="D463" s="2" t="str">
        <x:v>Original</x:v>
      </x:c>
      <x:c r="E463" s="2" t="str">
        <x:v>U</x:v>
      </x:c>
      <x:c r="F463" s="26" t="n">
        <x:v>2950</x:v>
      </x:c>
      <x:c r="G463" s="27" t="n">
        <x:v>2</x:v>
      </x:c>
      <x:c r="H463" s="27" t="n">
        <x:v>797</x:v>
      </x:c>
      <x:c r="I463" s="2" t="str">
        <x:v>D27</x:v>
      </x:c>
      <x:c r="J463" s="2" t="str">
        <x:v>HDB Flat</x:v>
      </x:c>
      <x:c r="K463" s="28" t="n">
        <x:v>15342.154247738003</x:v>
      </x:c>
      <x:c r="L463" s="30" t="str">
        <x:v>No known hard failure. Cannot verify: furnishing, lease duration (months).</x:v>
      </x:c>
      <x:c r="M463" s="31" t="str">
        <x:v>No</x:v>
      </x:c>
      <x:c r="N463" s="30" t="str">
        <x:v>Furnishing Unknown; required = fully furnished. Lease duration (months) Unknown; required = 6.</x:v>
      </x:c>
      <x:c r="O463" s="30" t="str">
        <x:v>https://www.propertyguru.com.sg/listing/hdb-for-rent-778-yishun-avenue-2-500260424</x:v>
      </x:c>
    </x:row>
    <x:row r="464" ht="52" customHeight="1">
      <x:c r="A464" s="2" t="str">
        <x:v>S19</x:v>
      </x:c>
      <x:c r="B464" s="2" t="str">
        <x:v>S19-C08</x:v>
      </x:c>
      <x:c r="C464" s="2" t="str">
        <x:v>500252525</x:v>
      </x:c>
      <x:c r="D464" s="2" t="str">
        <x:v>Original</x:v>
      </x:c>
      <x:c r="E464" s="2" t="str">
        <x:v>U</x:v>
      </x:c>
      <x:c r="F464" s="26" t="n">
        <x:v>3300</x:v>
      </x:c>
      <x:c r="G464" s="27" t="n">
        <x:v>2</x:v>
      </x:c>
      <x:c r="H464" s="27" t="n">
        <x:v>646</x:v>
      </x:c>
      <x:c r="I464" s="2" t="str">
        <x:v>D15</x:v>
      </x:c>
      <x:c r="J464" s="2" t="str">
        <x:v>HDB Flat</x:v>
      </x:c>
      <x:c r="K464" s="28" t="n">
        <x:v>11857.610509983864</x:v>
      </x:c>
      <x:c r="L464" s="30" t="str">
        <x:v>No known hard failure. Cannot verify: furnishing, lease duration (months).</x:v>
      </x:c>
      <x:c r="M464" s="31" t="str">
        <x:v>No</x:v>
      </x:c>
      <x:c r="N464" s="30" t="str">
        <x:v>Furnishing Unknown; required = fully furnished. Lease duration (months) Unknown; required = 6.</x:v>
      </x:c>
      <x:c r="O464" s="30" t="str">
        <x:v>https://www.propertyguru.com.sg/listing/hdb-for-rent-6-jalan-batu-500252525</x:v>
      </x:c>
    </x:row>
    <x:row r="465" ht="52" customHeight="1">
      <x:c r="A465" s="2" t="str">
        <x:v>S19</x:v>
      </x:c>
      <x:c r="B465" s="2" t="str">
        <x:v>S19-C09</x:v>
      </x:c>
      <x:c r="C465" s="2" t="str">
        <x:v>500268006</x:v>
      </x:c>
      <x:c r="D465" s="2" t="str">
        <x:v>Original</x:v>
      </x:c>
      <x:c r="E465" s="2" t="str">
        <x:v>U</x:v>
      </x:c>
      <x:c r="F465" s="26" t="n">
        <x:v>3500</x:v>
      </x:c>
      <x:c r="G465" s="27" t="n">
        <x:v>2</x:v>
      </x:c>
      <x:c r="H465" s="27" t="n">
        <x:v>615</x:v>
      </x:c>
      <x:c r="I465" s="2" t="str">
        <x:v>D23</x:v>
      </x:c>
      <x:c r="J465" s="2" t="str">
        <x:v>Condominium</x:v>
      </x:c>
      <x:c r="K465" s="28"/>
      <x:c r="L465" s="30" t="str">
        <x:v>No known hard failure. Cannot verify: furnishing, lease duration (months).</x:v>
      </x:c>
      <x:c r="M465" s="31" t="str">
        <x:v>No</x:v>
      </x:c>
      <x:c r="N465" s="30" t="str">
        <x:v>Furnishing Unknown; required = fully furnished. Lease duration (months) Unknown; required = 6.</x:v>
      </x:c>
      <x:c r="O465" s="30" t="str">
        <x:v>https://www.propertyguru.com.sg/listing/for-rent-the-hillier-500268006</x:v>
      </x:c>
    </x:row>
    <x:row r="466" ht="52" customHeight="1">
      <x:c r="A466" s="2" t="str">
        <x:v>S19</x:v>
      </x:c>
      <x:c r="B466" s="2" t="str">
        <x:v>S19-C10</x:v>
      </x:c>
      <x:c r="C466" s="2" t="str">
        <x:v>500249664</x:v>
      </x:c>
      <x:c r="D466" s="2" t="str">
        <x:v>Original</x:v>
      </x:c>
      <x:c r="E466" s="2" t="str">
        <x:v>U</x:v>
      </x:c>
      <x:c r="F466" s="26" t="n">
        <x:v>3200</x:v>
      </x:c>
      <x:c r="G466" s="27" t="n">
        <x:v>2</x:v>
      </x:c>
      <x:c r="H466" s="27" t="n">
        <x:v>650</x:v>
      </x:c>
      <x:c r="I466" s="2" t="str">
        <x:v>D12</x:v>
      </x:c>
      <x:c r="J466" s="2" t="str">
        <x:v>HDB Flat</x:v>
      </x:c>
      <x:c r="K466" s="28" t="n">
        <x:v>9764.223064215736</x:v>
      </x:c>
      <x:c r="L466" s="30" t="str">
        <x:v>No known hard failure. Cannot verify: furnishing, lease duration (months).</x:v>
      </x:c>
      <x:c r="M466" s="31" t="str">
        <x:v>No</x:v>
      </x:c>
      <x:c r="N466" s="30" t="str">
        <x:v>Furnishing Unknown; required = fully furnished. Lease duration (months) Unknown; required = 6.</x:v>
      </x:c>
      <x:c r="O466" s="30" t="str">
        <x:v>https://www.propertyguru.com.sg/listing/hdb-for-rent-3-saint-george-s-road-500249664</x:v>
      </x:c>
    </x:row>
    <x:row r="467" ht="52" customHeight="1">
      <x:c r="A467" s="2" t="str">
        <x:v>S19</x:v>
      </x:c>
      <x:c r="B467" s="2" t="str">
        <x:v>S19-C11</x:v>
      </x:c>
      <x:c r="C467" s="2" t="str">
        <x:v>500035695</x:v>
      </x:c>
      <x:c r="D467" s="2" t="str">
        <x:v>Original</x:v>
      </x:c>
      <x:c r="E467" s="2" t="str">
        <x:v>U</x:v>
      </x:c>
      <x:c r="F467" s="26" t="n">
        <x:v>2850</x:v>
      </x:c>
      <x:c r="G467" s="27" t="n">
        <x:v>2</x:v>
      </x:c>
      <x:c r="H467" s="27" t="n">
        <x:v>732</x:v>
      </x:c>
      <x:c r="I467" s="2" t="str">
        <x:v>D20</x:v>
      </x:c>
      <x:c r="J467" s="2" t="str">
        <x:v>HDB Flat</x:v>
      </x:c>
      <x:c r="K467" s="28" t="n">
        <x:v>12328.121764672303</x:v>
      </x:c>
      <x:c r="L467" s="30" t="str">
        <x:v>No known hard failure. Cannot verify: furnishing, lease duration (months).</x:v>
      </x:c>
      <x:c r="M467" s="31" t="str">
        <x:v>No</x:v>
      </x:c>
      <x:c r="N467" s="30" t="str">
        <x:v>Furnishing Unknown; required = fully furnished. Lease duration (months) Unknown; required = 6.</x:v>
      </x:c>
      <x:c r="O467" s="30" t="str">
        <x:v>https://www.propertyguru.com.sg/listing/hdb-for-rent-542-ang-mo-kio-avenue-10-500035695</x:v>
      </x:c>
    </x:row>
    <x:row r="468" ht="52" customHeight="1">
      <x:c r="A468" s="2" t="str">
        <x:v>S19</x:v>
      </x:c>
      <x:c r="B468" s="2" t="str">
        <x:v>S19-C12</x:v>
      </x:c>
      <x:c r="C468" s="2" t="str">
        <x:v>500287833</x:v>
      </x:c>
      <x:c r="D468" s="2" t="str">
        <x:v>Original</x:v>
      </x:c>
      <x:c r="E468" s="2" t="str">
        <x:v>U</x:v>
      </x:c>
      <x:c r="F468" s="26" t="n">
        <x:v>3200</x:v>
      </x:c>
      <x:c r="G468" s="27" t="n">
        <x:v>3</x:v>
      </x:c>
      <x:c r="H468" s="27" t="n">
        <x:v>1184</x:v>
      </x:c>
      <x:c r="I468" s="2" t="str">
        <x:v>D27</x:v>
      </x:c>
      <x:c r="J468" s="2" t="str">
        <x:v>HDB Flat</x:v>
      </x:c>
      <x:c r="K468" s="28" t="n">
        <x:v>18030.957646291943</x:v>
      </x:c>
      <x:c r="L468" s="30" t="str">
        <x:v>No known hard failure. Cannot verify: furnishing, lease duration (months).</x:v>
      </x:c>
      <x:c r="M468" s="31" t="str">
        <x:v>No</x:v>
      </x:c>
      <x:c r="N468" s="30" t="str">
        <x:v>Furnishing Unknown; required = fully furnished. Lease duration (months) Unknown; required = 6.</x:v>
      </x:c>
      <x:c r="O468" s="30" t="str">
        <x:v>https://www.propertyguru.com.sg/listing/hdb-for-rent-404-admiralty-link-500287833</x:v>
      </x:c>
    </x:row>
    <x:row r="469" ht="52" customHeight="1">
      <x:c r="A469" s="2" t="str">
        <x:v>S19</x:v>
      </x:c>
      <x:c r="B469" s="2" t="str">
        <x:v>S19-C13</x:v>
      </x:c>
      <x:c r="C469" s="2" t="str">
        <x:v>25401795</x:v>
      </x:c>
      <x:c r="D469" s="2" t="str">
        <x:v>Original</x:v>
      </x:c>
      <x:c r="E469" s="2" t="str">
        <x:v>U</x:v>
      </x:c>
      <x:c r="F469" s="26" t="n">
        <x:v>3000</x:v>
      </x:c>
      <x:c r="G469" s="27" t="n">
        <x:v>2</x:v>
      </x:c>
      <x:c r="H469" s="27" t="n">
        <x:v>603</x:v>
      </x:c>
      <x:c r="I469" s="2" t="str">
        <x:v>D25</x:v>
      </x:c>
      <x:c r="J469" s="2" t="str">
        <x:v>Condominium</x:v>
      </x:c>
      <x:c r="K469" s="28"/>
      <x:c r="L469" s="30" t="str">
        <x:v>No known hard failure. Cannot verify: furnishing, lease duration (months).</x:v>
      </x:c>
      <x:c r="M469" s="31" t="str">
        <x:v>No</x:v>
      </x:c>
      <x:c r="N469" s="30" t="str">
        <x:v>Furnishing Unknown; required = fully furnished. Lease duration (months) Unknown; required = 6.</x:v>
      </x:c>
      <x:c r="O469" s="30" t="str">
        <x:v>https://www.propertyguru.com.sg/listing/for-rent-parc-rosewood-25401795</x:v>
      </x:c>
    </x:row>
    <x:row r="470" ht="52" customHeight="1">
      <x:c r="A470" s="2" t="str">
        <x:v>S19</x:v>
      </x:c>
      <x:c r="B470" s="2" t="str">
        <x:v>S19-C14</x:v>
      </x:c>
      <x:c r="C470" s="2" t="str">
        <x:v>500260626</x:v>
      </x:c>
      <x:c r="D470" s="2" t="str">
        <x:v>Original</x:v>
      </x:c>
      <x:c r="E470" s="2" t="str">
        <x:v>U</x:v>
      </x:c>
      <x:c r="F470" s="26" t="n">
        <x:v>3380</x:v>
      </x:c>
      <x:c r="G470" s="27" t="n">
        <x:v>2</x:v>
      </x:c>
      <x:c r="H470" s="27" t="n">
        <x:v>721</x:v>
      </x:c>
      <x:c r="I470" s="2" t="str">
        <x:v>D19</x:v>
      </x:c>
      <x:c r="J470" s="2" t="str">
        <x:v>HDB Flat</x:v>
      </x:c>
      <x:c r="K470" s="28" t="n">
        <x:v>13966.601566734442</x:v>
      </x:c>
      <x:c r="L470" s="30" t="str">
        <x:v>No known hard failure. Cannot verify: furnishing, lease duration (months).</x:v>
      </x:c>
      <x:c r="M470" s="31" t="str">
        <x:v>No</x:v>
      </x:c>
      <x:c r="N470" s="30" t="str">
        <x:v>Furnishing Unknown; required = fully furnished. Lease duration (months) Unknown; required = 6.</x:v>
      </x:c>
      <x:c r="O470" s="30" t="str">
        <x:v>https://www.propertyguru.com.sg/listing/hdb-for-rent-111-hougang-avenue-1-500260626</x:v>
      </x:c>
    </x:row>
    <x:row r="471" ht="52" customHeight="1">
      <x:c r="A471" s="2" t="str">
        <x:v>S19</x:v>
      </x:c>
      <x:c r="B471" s="2" t="str">
        <x:v>S19-C15</x:v>
      </x:c>
      <x:c r="C471" s="2" t="str">
        <x:v>500282319</x:v>
      </x:c>
      <x:c r="D471" s="2" t="str">
        <x:v>Original</x:v>
      </x:c>
      <x:c r="E471" s="2" t="n">
        <x:v>0</x:v>
      </x:c>
      <x:c r="F471" s="26" t="n">
        <x:v>700</x:v>
      </x:c>
      <x:c r="G471" s="27" t="n">
        <x:v>1</x:v>
      </x:c>
      <x:c r="H471" s="27"/>
      <x:c r="I471" s="2" t="str">
        <x:v>D25</x:v>
      </x:c>
      <x:c r="J471" s="2" t="str">
        <x:v>HDB Flat</x:v>
      </x:c>
      <x:c r="K471" s="28" t="n">
        <x:v>15131.504177737459</x:v>
      </x:c>
      <x:c r="L471" s="30" t="str">
        <x:v>Hard failure: Reported bedrooms 1; required &gt;= 2.</x:v>
      </x:c>
      <x:c r="M471" s="31" t="str">
        <x:v>No</x:v>
      </x:c>
      <x:c r="N471" s="30" t="str">
        <x:v>Furnishing Unknown; required = fully furnished. Lease duration (months) Unknown; required = 6.</x:v>
      </x:c>
      <x:c r="O471" s="30" t="str">
        <x:v>https://www.propertyguru.com.sg/listing/hdb-for-rent-351-woodlands-avenue-1-500282319</x:v>
      </x:c>
    </x:row>
    <x:row r="472" ht="52" customHeight="1">
      <x:c r="A472" s="2" t="str">
        <x:v>S19</x:v>
      </x:c>
      <x:c r="B472" s="2" t="str">
        <x:v>S19-C16</x:v>
      </x:c>
      <x:c r="C472" s="2" t="str">
        <x:v>24103862</x:v>
      </x:c>
      <x:c r="D472" s="2" t="str">
        <x:v>Original</x:v>
      </x:c>
      <x:c r="E472" s="2" t="str">
        <x:v>U</x:v>
      </x:c>
      <x:c r="F472" s="26" t="n">
        <x:v>3500</x:v>
      </x:c>
      <x:c r="G472" s="27" t="n">
        <x:v>2</x:v>
      </x:c>
      <x:c r="H472" s="27" t="n">
        <x:v>635</x:v>
      </x:c>
      <x:c r="I472" s="2" t="str">
        <x:v>D19</x:v>
      </x:c>
      <x:c r="J472" s="2" t="str">
        <x:v>Condominium</x:v>
      </x:c>
      <x:c r="K472" s="28"/>
      <x:c r="L472" s="30" t="str">
        <x:v>No known hard failure. Cannot verify: furnishing, lease duration (months).</x:v>
      </x:c>
      <x:c r="M472" s="31" t="str">
        <x:v>No</x:v>
      </x:c>
      <x:c r="N472" s="30" t="str">
        <x:v>Furnishing Unknown; required = fully furnished. Lease duration (months) Unknown; required = 6.</x:v>
      </x:c>
      <x:c r="O472" s="30" t="str">
        <x:v>https://www.propertyguru.com.sg/listing/for-rent-suites-paya-lebar-24103862</x:v>
      </x:c>
    </x:row>
    <x:row r="473" ht="52" customHeight="1">
      <x:c r="A473" s="2" t="str">
        <x:v>S19</x:v>
      </x:c>
      <x:c r="B473" s="2" t="str">
        <x:v>S19-C17</x:v>
      </x:c>
      <x:c r="C473" s="2" t="str">
        <x:v>500288139</x:v>
      </x:c>
      <x:c r="D473" s="2" t="str">
        <x:v>Original</x:v>
      </x:c>
      <x:c r="E473" s="2" t="str">
        <x:v>U</x:v>
      </x:c>
      <x:c r="F473" s="26" t="n">
        <x:v>3000</x:v>
      </x:c>
      <x:c r="G473" s="27" t="n">
        <x:v>2</x:v>
      </x:c>
      <x:c r="H473" s="27" t="n">
        <x:v>785</x:v>
      </x:c>
      <x:c r="I473" s="2" t="str">
        <x:v>D23</x:v>
      </x:c>
      <x:c r="J473" s="2" t="str">
        <x:v>HDB Flat</x:v>
      </x:c>
      <x:c r="K473" s="28" t="n">
        <x:v>6366.733817565529</x:v>
      </x:c>
      <x:c r="L473" s="30" t="str">
        <x:v>No known hard failure. Cannot verify: furnishing, lease duration (months).</x:v>
      </x:c>
      <x:c r="M473" s="31" t="str">
        <x:v>No</x:v>
      </x:c>
      <x:c r="N473" s="30" t="str">
        <x:v>Furnishing Unknown; required = fully furnished. Lease duration (months) Unknown; required = 6.</x:v>
      </x:c>
      <x:c r="O473" s="30" t="str">
        <x:v>https://www.propertyguru.com.sg/listing/hdb-for-rent-228-bukit-batok-central-500288139</x:v>
      </x:c>
    </x:row>
    <x:row r="474" ht="52" customHeight="1">
      <x:c r="A474" s="2" t="str">
        <x:v>S19</x:v>
      </x:c>
      <x:c r="B474" s="2" t="str">
        <x:v>S19-C18</x:v>
      </x:c>
      <x:c r="C474" s="2" t="str">
        <x:v>25572227</x:v>
      </x:c>
      <x:c r="D474" s="2" t="str">
        <x:v>Original</x:v>
      </x:c>
      <x:c r="E474" s="2" t="str">
        <x:v>U</x:v>
      </x:c>
      <x:c r="F474" s="26" t="n">
        <x:v>3000</x:v>
      </x:c>
      <x:c r="G474" s="27" t="n">
        <x:v>2</x:v>
      </x:c>
      <x:c r="H474" s="27" t="n">
        <x:v>624</x:v>
      </x:c>
      <x:c r="I474" s="2" t="str">
        <x:v>D13</x:v>
      </x:c>
      <x:c r="J474" s="2" t="str">
        <x:v>HDB Flat</x:v>
      </x:c>
      <x:c r="K474" s="28" t="n">
        <x:v>12660.956286788496</x:v>
      </x:c>
      <x:c r="L474" s="30" t="str">
        <x:v>No known hard failure. Cannot verify: furnishing, lease duration (months).</x:v>
      </x:c>
      <x:c r="M474" s="31" t="str">
        <x:v>No</x:v>
      </x:c>
      <x:c r="N474" s="30" t="str">
        <x:v>Furnishing Unknown; required = fully furnished. Lease duration (months) Unknown; required = 6.</x:v>
      </x:c>
      <x:c r="O474" s="30" t="str">
        <x:v>https://www.propertyguru.com.sg/listing/hdb-for-rent-93-paya-lebar-way-25572227</x:v>
      </x:c>
    </x:row>
    <x:row r="475" ht="52" customHeight="1">
      <x:c r="A475" s="2" t="str">
        <x:v>S19</x:v>
      </x:c>
      <x:c r="B475" s="2" t="str">
        <x:v>S19-C19</x:v>
      </x:c>
      <x:c r="C475" s="2" t="str">
        <x:v>25224243</x:v>
      </x:c>
      <x:c r="D475" s="2" t="str">
        <x:v>Original</x:v>
      </x:c>
      <x:c r="E475" s="2" t="str">
        <x:v>U</x:v>
      </x:c>
      <x:c r="F475" s="26" t="n">
        <x:v>3200</x:v>
      </x:c>
      <x:c r="G475" s="27" t="n">
        <x:v>2</x:v>
      </x:c>
      <x:c r="H475" s="27" t="n">
        <x:v>495</x:v>
      </x:c>
      <x:c r="I475" s="2" t="str">
        <x:v>D19</x:v>
      </x:c>
      <x:c r="J475" s="2" t="str">
        <x:v>Condominium</x:v>
      </x:c>
      <x:c r="K475" s="28" t="n">
        <x:v>12732.562311816848</x:v>
      </x:c>
      <x:c r="L475" s="30" t="str">
        <x:v>No known hard failure. Cannot verify: furnishing, lease duration (months).</x:v>
      </x:c>
      <x:c r="M475" s="31" t="str">
        <x:v>No</x:v>
      </x:c>
      <x:c r="N475" s="30" t="str">
        <x:v>Furnishing Unknown; required = fully furnished. Lease duration (months) Unknown; required = 6.</x:v>
      </x:c>
      <x:c r="O475" s="30" t="str">
        <x:v>https://www.propertyguru.com.sg/listing/for-rent-casa-cambio-25224243</x:v>
      </x:c>
    </x:row>
    <x:row r="476" ht="52" customHeight="1">
      <x:c r="A476" s="2" t="str">
        <x:v>S19</x:v>
      </x:c>
      <x:c r="B476" s="2" t="str">
        <x:v>S19-C20</x:v>
      </x:c>
      <x:c r="C476" s="2" t="str">
        <x:v>500273209</x:v>
      </x:c>
      <x:c r="D476" s="2" t="str">
        <x:v>Original</x:v>
      </x:c>
      <x:c r="E476" s="2" t="str">
        <x:v>U</x:v>
      </x:c>
      <x:c r="F476" s="26" t="n">
        <x:v>3300</x:v>
      </x:c>
      <x:c r="G476" s="27" t="n">
        <x:v>2</x:v>
      </x:c>
      <x:c r="H476" s="27" t="n">
        <x:v>818</x:v>
      </x:c>
      <x:c r="I476" s="2" t="str">
        <x:v>D18</x:v>
      </x:c>
      <x:c r="J476" s="2" t="str">
        <x:v>Condominium</x:v>
      </x:c>
      <x:c r="K476" s="28"/>
      <x:c r="L476" s="30" t="str">
        <x:v>No known hard failure. Cannot verify: furnishing, lease duration (months).</x:v>
      </x:c>
      <x:c r="M476" s="31" t="str">
        <x:v>No</x:v>
      </x:c>
      <x:c r="N476" s="30" t="str">
        <x:v>Furnishing Unknown; required = fully furnished. Lease duration (months) Unknown; required = 6.</x:v>
      </x:c>
      <x:c r="O476" s="30" t="str">
        <x:v>https://www.propertyguru.com.sg/listing/for-rent-sea-esta-500273209</x:v>
      </x:c>
    </x:row>
    <x:row r="477" ht="52" customHeight="1">
      <x:c r="A477" s="2" t="str">
        <x:v>S19</x:v>
      </x:c>
      <x:c r="B477" s="2" t="str">
        <x:v>S19-C21</x:v>
      </x:c>
      <x:c r="C477" s="2" t="str">
        <x:v>24359119</x:v>
      </x:c>
      <x:c r="D477" s="2" t="str">
        <x:v>Original</x:v>
      </x:c>
      <x:c r="E477" s="2" t="n">
        <x:v>0</x:v>
      </x:c>
      <x:c r="F477" s="26" t="n">
        <x:v>1800</x:v>
      </x:c>
      <x:c r="G477" s="27" t="n">
        <x:v>1</x:v>
      </x:c>
      <x:c r="H477" s="27" t="n">
        <x:v>650</x:v>
      </x:c>
      <x:c r="I477" s="2" t="str">
        <x:v>D28</x:v>
      </x:c>
      <x:c r="J477" s="2" t="str">
        <x:v>Corner Terrace</x:v>
      </x:c>
      <x:c r="K477" s="28"/>
      <x:c r="L477" s="30" t="str">
        <x:v>Hard failure: Reported bedrooms 1; required &gt;= 2.</x:v>
      </x:c>
      <x:c r="M477" s="31" t="str">
        <x:v>No</x:v>
      </x:c>
      <x:c r="N477" s="30" t="str">
        <x:v>Furnishing Unknown; required = fully furnished. Lease duration (months) Unknown; required = 6.</x:v>
      </x:c>
      <x:c r="O477" s="30" t="str">
        <x:v>https://www.propertyguru.com.sg/listing/for-rent-yio-chu-kang-24359119</x:v>
      </x:c>
    </x:row>
    <x:row r="478" ht="52" customHeight="1">
      <x:c r="A478" s="2" t="str">
        <x:v>S19</x:v>
      </x:c>
      <x:c r="B478" s="2" t="str">
        <x:v>S19-C22</x:v>
      </x:c>
      <x:c r="C478" s="2" t="str">
        <x:v>24576929</x:v>
      </x:c>
      <x:c r="D478" s="2" t="str">
        <x:v>Original</x:v>
      </x:c>
      <x:c r="E478" s="2" t="str">
        <x:v>U</x:v>
      </x:c>
      <x:c r="F478" s="26" t="n">
        <x:v>3400</x:v>
      </x:c>
      <x:c r="G478" s="27" t="n">
        <x:v>2</x:v>
      </x:c>
      <x:c r="H478" s="27" t="n">
        <x:v>700</x:v>
      </x:c>
      <x:c r="I478" s="2" t="str">
        <x:v>D15</x:v>
      </x:c>
      <x:c r="J478" s="2" t="str">
        <x:v>HDB Flat</x:v>
      </x:c>
      <x:c r="K478" s="28" t="n">
        <x:v>15400.21276838642</x:v>
      </x:c>
      <x:c r="L478" s="30" t="str">
        <x:v>No known hard failure. Cannot verify: furnishing, lease duration (months).</x:v>
      </x:c>
      <x:c r="M478" s="31" t="str">
        <x:v>No</x:v>
      </x:c>
      <x:c r="N478" s="30" t="str">
        <x:v>Furnishing Unknown; required = fully furnished. Lease duration (months) Unknown; required = 6.</x:v>
      </x:c>
      <x:c r="O478" s="30" t="str">
        <x:v>https://www.propertyguru.com.sg/listing/hdb-for-rent-57-marine-terrace-24576929</x:v>
      </x:c>
    </x:row>
    <x:row r="479" ht="52" customHeight="1">
      <x:c r="A479" s="2" t="str">
        <x:v>S19</x:v>
      </x:c>
      <x:c r="B479" s="2" t="str">
        <x:v>S19-C23</x:v>
      </x:c>
      <x:c r="C479" s="2" t="str">
        <x:v>23667905</x:v>
      </x:c>
      <x:c r="D479" s="2" t="str">
        <x:v>Original</x:v>
      </x:c>
      <x:c r="E479" s="2" t="str">
        <x:v>U</x:v>
      </x:c>
      <x:c r="F479" s="26" t="n">
        <x:v>3500</x:v>
      </x:c>
      <x:c r="G479" s="27" t="n">
        <x:v>3</x:v>
      </x:c>
      <x:c r="H479" s="27" t="n">
        <x:v>1050</x:v>
      </x:c>
      <x:c r="I479" s="2" t="str">
        <x:v>D27</x:v>
      </x:c>
      <x:c r="J479" s="2" t="str">
        <x:v>HDB Flat</x:v>
      </x:c>
      <x:c r="K479" s="28" t="n">
        <x:v>17467.279122828317</x:v>
      </x:c>
      <x:c r="L479" s="30" t="str">
        <x:v>No known hard failure. Cannot verify: furnishing, lease duration (months).</x:v>
      </x:c>
      <x:c r="M479" s="31" t="str">
        <x:v>No</x:v>
      </x:c>
      <x:c r="N479" s="30" t="str">
        <x:v>Furnishing Unknown; required = fully furnished. Lease duration (months) Unknown; required = 6.</x:v>
      </x:c>
      <x:c r="O479" s="30" t="str">
        <x:v>https://www.propertyguru.com.sg/listing/hdb-for-rent-339a-sembawang-close-23667905</x:v>
      </x:c>
    </x:row>
    <x:row r="480" ht="52" customHeight="1">
      <x:c r="A480" s="2" t="str">
        <x:v>S19</x:v>
      </x:c>
      <x:c r="B480" s="2" t="str">
        <x:v>S19-C24</x:v>
      </x:c>
      <x:c r="C480" s="2" t="str">
        <x:v>500263852</x:v>
      </x:c>
      <x:c r="D480" s="2" t="str">
        <x:v>Original</x:v>
      </x:c>
      <x:c r="E480" s="2" t="n">
        <x:v>0</x:v>
      </x:c>
      <x:c r="F480" s="26" t="n">
        <x:v>3513</x:v>
      </x:c>
      <x:c r="G480" s="27" t="n">
        <x:v>2</x:v>
      </x:c>
      <x:c r="H480" s="27" t="n">
        <x:v>711</x:v>
      </x:c>
      <x:c r="I480" s="2" t="str">
        <x:v>D27</x:v>
      </x:c>
      <x:c r="J480" s="2" t="str">
        <x:v>Condominium</x:v>
      </x:c>
      <x:c r="K480" s="28"/>
      <x:c r="L480" s="30" t="str">
        <x:v>Hard failure: Rent (SGD/month) 3,513; required &lt;= 3,500.</x:v>
      </x:c>
      <x:c r="M480" s="31" t="str">
        <x:v>No</x:v>
      </x:c>
      <x:c r="N480" s="30" t="str">
        <x:v>Furnishing Unknown; required = fully furnished. Lease duration (months) Unknown; required = 6.</x:v>
      </x:c>
      <x:c r="O480" s="30" t="str">
        <x:v>https://www.propertyguru.com.sg/listing/for-rent-the-wisteria-500263852</x:v>
      </x:c>
    </x:row>
    <x:row r="481" ht="52" customHeight="1">
      <x:c r="A481" s="2" t="str">
        <x:v>S19</x:v>
      </x:c>
      <x:c r="B481" s="2" t="str">
        <x:v>S19-C25</x:v>
      </x:c>
      <x:c r="C481" s="2" t="str">
        <x:v>24146951</x:v>
      </x:c>
      <x:c r="D481" s="2" t="str">
        <x:v>Original</x:v>
      </x:c>
      <x:c r="E481" s="2" t="str">
        <x:v>U</x:v>
      </x:c>
      <x:c r="F481" s="26" t="n">
        <x:v>3100</x:v>
      </x:c>
      <x:c r="G481" s="27" t="n">
        <x:v>3</x:v>
      </x:c>
      <x:c r="H481" s="27" t="n">
        <x:v>710</x:v>
      </x:c>
      <x:c r="I481" s="2" t="str">
        <x:v>D12</x:v>
      </x:c>
      <x:c r="J481" s="2" t="str">
        <x:v>HDB Flat</x:v>
      </x:c>
      <x:c r="K481" s="28" t="n">
        <x:v>10045.793104612952</x:v>
      </x:c>
      <x:c r="L481" s="30" t="str">
        <x:v>No known hard failure. Cannot verify: furnishing, lease duration (months).</x:v>
      </x:c>
      <x:c r="M481" s="31" t="str">
        <x:v>No</x:v>
      </x:c>
      <x:c r="N481" s="30" t="str">
        <x:v>Furnishing Unknown; required = fully furnished. Lease duration (months) Unknown; required = 6.</x:v>
      </x:c>
      <x:c r="O481" s="30" t="str">
        <x:v>https://www.propertyguru.com.sg/listing/hdb-for-rent-9-lorong-7-toa-payoh-24146951</x:v>
      </x:c>
    </x:row>
    <x:row r="482" ht="52" customHeight="1">
      <x:c r="A482" s="2" t="str">
        <x:v>S20</x:v>
      </x:c>
      <x:c r="B482" s="2" t="str">
        <x:v>S20-C01</x:v>
      </x:c>
      <x:c r="C482" s="2" t="str">
        <x:v>25398272</x:v>
      </x:c>
      <x:c r="D482" s="2" t="str">
        <x:v>Original</x:v>
      </x:c>
      <x:c r="E482" s="2" t="n">
        <x:v>0</x:v>
      </x:c>
      <x:c r="F482" s="26" t="n">
        <x:v>750</x:v>
      </x:c>
      <x:c r="G482" s="27" t="n">
        <x:v>0</x:v>
      </x:c>
      <x:c r="H482" s="27"/>
      <x:c r="I482" s="2" t="str">
        <x:v>D10</x:v>
      </x:c>
      <x:c r="J482" s="2" t="str">
        <x:v>HDB Flat</x:v>
      </x:c>
      <x:c r="K482" s="28" t="n">
        <x:v>2339.436624412763</x:v>
      </x:c>
      <x:c r="L482" s="30" t="str">
        <x:v>Hard failure: Reported bedrooms 0; required &gt;= 4.</x:v>
      </x:c>
      <x:c r="M482" s="31" t="str">
        <x:v>No</x:v>
      </x:c>
      <x:c r="N482" s="30" t="str">
        <x:v>Floor area (sqft) Unknown; required &gt;= 1,500.</x:v>
      </x:c>
      <x:c r="O482" s="30" t="str">
        <x:v>https://www.propertyguru.com.sg/listing/hdb-for-rent-11-holland-drive-25398272</x:v>
      </x:c>
    </x:row>
    <x:row r="483" ht="52" customHeight="1">
      <x:c r="A483" s="2" t="str">
        <x:v>S20</x:v>
      </x:c>
      <x:c r="B483" s="2" t="str">
        <x:v>S20-C02</x:v>
      </x:c>
      <x:c r="C483" s="2" t="str">
        <x:v>500267122</x:v>
      </x:c>
      <x:c r="D483" s="2" t="str">
        <x:v>Original</x:v>
      </x:c>
      <x:c r="E483" s="2" t="n">
        <x:v>0</x:v>
      </x:c>
      <x:c r="F483" s="26" t="n">
        <x:v>550</x:v>
      </x:c>
      <x:c r="G483" s="27" t="n">
        <x:v>1</x:v>
      </x:c>
      <x:c r="H483" s="27" t="n">
        <x:v>2152</x:v>
      </x:c>
      <x:c r="I483" s="2" t="str">
        <x:v>D27</x:v>
      </x:c>
      <x:c r="J483" s="2" t="str">
        <x:v>HDB Flat</x:v>
      </x:c>
      <x:c r="K483" s="28" t="n">
        <x:v>15980.770245317963</x:v>
      </x:c>
      <x:c r="L483" s="30" t="str">
        <x:v>Hard failure: Reported bedrooms 1; required &gt;= 4. District D27; required = D10.</x:v>
      </x:c>
      <x:c r="M483" s="31" t="str">
        <x:v>No</x:v>
      </x:c>
      <x:c r="N483" s="30" t="str"/>
      <x:c r="O483" s="30" t="str">
        <x:v>https://www.propertyguru.com.sg/listing/hdb-for-rent-749-yishun-street-72-500267122</x:v>
      </x:c>
    </x:row>
    <x:row r="484" ht="52" customHeight="1">
      <x:c r="A484" s="2" t="str">
        <x:v>S20</x:v>
      </x:c>
      <x:c r="B484" s="2" t="str">
        <x:v>S20-C03</x:v>
      </x:c>
      <x:c r="C484" s="2" t="str">
        <x:v>20558454</x:v>
      </x:c>
      <x:c r="D484" s="2" t="str">
        <x:v>Original</x:v>
      </x:c>
      <x:c r="E484" s="2" t="n">
        <x:v>0</x:v>
      </x:c>
      <x:c r="F484" s="26" t="n">
        <x:v>400</x:v>
      </x:c>
      <x:c r="G484" s="27" t="n">
        <x:v>0</x:v>
      </x:c>
      <x:c r="H484" s="27"/>
      <x:c r="I484" s="2" t="str">
        <x:v>D16</x:v>
      </x:c>
      <x:c r="J484" s="2" t="str">
        <x:v>HDB Flat</x:v>
      </x:c>
      <x:c r="K484" s="28" t="n">
        <x:v>18287.339143331454</x:v>
      </x:c>
      <x:c r="L484" s="30" t="str">
        <x:v>Hard failure: Reported bedrooms 0; required &gt;= 4. District D16; required = D10.</x:v>
      </x:c>
      <x:c r="M484" s="31" t="str">
        <x:v>No</x:v>
      </x:c>
      <x:c r="N484" s="30" t="str">
        <x:v>Floor area (sqft) Unknown; required &gt;= 1,500.</x:v>
      </x:c>
      <x:c r="O484" s="30" t="str">
        <x:v>https://www.propertyguru.com.sg/listing/hdb-for-rent-128-bedok-north-street-2-20558454</x:v>
      </x:c>
    </x:row>
    <x:row r="485" ht="52" customHeight="1">
      <x:c r="A485" s="2" t="str">
        <x:v>S20</x:v>
      </x:c>
      <x:c r="B485" s="2" t="str">
        <x:v>S20-C04</x:v>
      </x:c>
      <x:c r="C485" s="2" t="str">
        <x:v>500271520</x:v>
      </x:c>
      <x:c r="D485" s="2" t="str">
        <x:v>Original</x:v>
      </x:c>
      <x:c r="E485" s="2" t="n">
        <x:v>0</x:v>
      </x:c>
      <x:c r="F485" s="26" t="n">
        <x:v>750</x:v>
      </x:c>
      <x:c r="G485" s="27" t="n">
        <x:v>1</x:v>
      </x:c>
      <x:c r="H485" s="27"/>
      <x:c r="I485" s="2" t="str">
        <x:v>D22</x:v>
      </x:c>
      <x:c r="J485" s="2" t="str">
        <x:v>HDB Flat</x:v>
      </x:c>
      <x:c r="K485" s="28" t="n">
        <x:v>7721.408585077277</x:v>
      </x:c>
      <x:c r="L485" s="30" t="str">
        <x:v>Hard failure: Reported bedrooms 1; required &gt;= 4. District D22; required = D10.</x:v>
      </x:c>
      <x:c r="M485" s="31" t="str">
        <x:v>No</x:v>
      </x:c>
      <x:c r="N485" s="30" t="str">
        <x:v>Floor area (sqft) Unknown; required &gt;= 1,500.</x:v>
      </x:c>
      <x:c r="O485" s="30" t="str">
        <x:v>https://www.propertyguru.com.sg/listing/hdb-for-rent-361-yung-an-road-500271520</x:v>
      </x:c>
    </x:row>
    <x:row r="486" ht="52" customHeight="1">
      <x:c r="A486" s="2" t="str">
        <x:v>S20</x:v>
      </x:c>
      <x:c r="B486" s="2" t="str">
        <x:v>S20-C05</x:v>
      </x:c>
      <x:c r="C486" s="2" t="str">
        <x:v>25588850</x:v>
      </x:c>
      <x:c r="D486" s="2" t="str">
        <x:v>Original</x:v>
      </x:c>
      <x:c r="E486" s="2" t="n">
        <x:v>0</x:v>
      </x:c>
      <x:c r="F486" s="26" t="n">
        <x:v>800</x:v>
      </x:c>
      <x:c r="G486" s="27" t="n">
        <x:v>0</x:v>
      </x:c>
      <x:c r="H486" s="27"/>
      <x:c r="I486" s="2" t="str">
        <x:v>D19</x:v>
      </x:c>
      <x:c r="J486" s="2" t="str">
        <x:v>HDB Flat</x:v>
      </x:c>
      <x:c r="K486" s="28" t="n">
        <x:v>15091.097570667776</x:v>
      </x:c>
      <x:c r="L486" s="30" t="str">
        <x:v>Hard failure: Reported bedrooms 0; required &gt;= 4. District D19; required = D10.</x:v>
      </x:c>
      <x:c r="M486" s="31" t="str">
        <x:v>No</x:v>
      </x:c>
      <x:c r="N486" s="30" t="str">
        <x:v>Floor area (sqft) Unknown; required &gt;= 1,500.</x:v>
      </x:c>
      <x:c r="O486" s="30" t="str">
        <x:v>https://www.propertyguru.com.sg/listing/hdb-for-rent-838-hougang-central-25588850</x:v>
      </x:c>
    </x:row>
    <x:row r="487" ht="52" customHeight="1">
      <x:c r="A487" s="2" t="str">
        <x:v>S20</x:v>
      </x:c>
      <x:c r="B487" s="2" t="str">
        <x:v>S20-C06</x:v>
      </x:c>
      <x:c r="C487" s="2" t="str">
        <x:v>500186339</x:v>
      </x:c>
      <x:c r="D487" s="2" t="str">
        <x:v>Original</x:v>
      </x:c>
      <x:c r="E487" s="2" t="n">
        <x:v>0</x:v>
      </x:c>
      <x:c r="F487" s="26" t="n">
        <x:v>7600</x:v>
      </x:c>
      <x:c r="G487" s="27" t="n">
        <x:v>4</x:v>
      </x:c>
      <x:c r="H487" s="27" t="n">
        <x:v>1776</x:v>
      </x:c>
      <x:c r="I487" s="2" t="str">
        <x:v>D10</x:v>
      </x:c>
      <x:c r="J487" s="2" t="str">
        <x:v>Apartment</x:v>
      </x:c>
      <x:c r="K487" s="28"/>
      <x:c r="L487" s="30" t="str">
        <x:v>Hard failure: Rent (SGD/month) 7,600; required &lt;= 800.</x:v>
      </x:c>
      <x:c r="M487" s="31" t="str">
        <x:v>No</x:v>
      </x:c>
      <x:c r="N487" s="30" t="str"/>
      <x:c r="O487" s="30" t="str">
        <x:v>https://www.propertyguru.com.sg/listing/for-rent-orange-regency-500186339</x:v>
      </x:c>
    </x:row>
    <x:row r="488" ht="52" customHeight="1">
      <x:c r="A488" s="2" t="str">
        <x:v>S20</x:v>
      </x:c>
      <x:c r="B488" s="2" t="str">
        <x:v>S20-C07</x:v>
      </x:c>
      <x:c r="C488" s="2" t="str">
        <x:v>500211232</x:v>
      </x:c>
      <x:c r="D488" s="2" t="str">
        <x:v>Original</x:v>
      </x:c>
      <x:c r="E488" s="2" t="n">
        <x:v>0</x:v>
      </x:c>
      <x:c r="F488" s="26" t="n">
        <x:v>550</x:v>
      </x:c>
      <x:c r="G488" s="27" t="n">
        <x:v>1</x:v>
      </x:c>
      <x:c r="H488" s="27"/>
      <x:c r="I488" s="2" t="str">
        <x:v>D20</x:v>
      </x:c>
      <x:c r="J488" s="2" t="str">
        <x:v>HDB Flat</x:v>
      </x:c>
      <x:c r="K488" s="28" t="n">
        <x:v>11680.977408890318</x:v>
      </x:c>
      <x:c r="L488" s="30" t="str">
        <x:v>Hard failure: Reported bedrooms 1; required &gt;= 4. District D20; required = D10.</x:v>
      </x:c>
      <x:c r="M488" s="31" t="str">
        <x:v>No</x:v>
      </x:c>
      <x:c r="N488" s="30" t="str">
        <x:v>Floor area (sqft) Unknown; required &gt;= 1,500.</x:v>
      </x:c>
      <x:c r="O488" s="30" t="str">
        <x:v>https://www.propertyguru.com.sg/listing/hdb-for-rent-629-ang-mo-kio-avenue-4-500211232</x:v>
      </x:c>
    </x:row>
    <x:row r="489" ht="52" customHeight="1">
      <x:c r="A489" s="2" t="str">
        <x:v>S20</x:v>
      </x:c>
      <x:c r="B489" s="2" t="str">
        <x:v>S20-C08</x:v>
      </x:c>
      <x:c r="C489" s="2" t="str">
        <x:v>500250966</x:v>
      </x:c>
      <x:c r="D489" s="2" t="str">
        <x:v>Original</x:v>
      </x:c>
      <x:c r="E489" s="2" t="n">
        <x:v>0</x:v>
      </x:c>
      <x:c r="F489" s="26" t="n">
        <x:v>800</x:v>
      </x:c>
      <x:c r="G489" s="27" t="n">
        <x:v>1</x:v>
      </x:c>
      <x:c r="H489" s="27"/>
      <x:c r="I489" s="2" t="str">
        <x:v>D23</x:v>
      </x:c>
      <x:c r="J489" s="2" t="str">
        <x:v>HDB Flat</x:v>
      </x:c>
      <x:c r="K489" s="28" t="n">
        <x:v>10114.37239270026</x:v>
      </x:c>
      <x:c r="L489" s="30" t="str">
        <x:v>Hard failure: Reported bedrooms 1; required &gt;= 4. District D23; required = D10.</x:v>
      </x:c>
      <x:c r="M489" s="31" t="str">
        <x:v>No</x:v>
      </x:c>
      <x:c r="N489" s="30" t="str">
        <x:v>Floor area (sqft) Unknown; required &gt;= 1,500.</x:v>
      </x:c>
      <x:c r="O489" s="30" t="str">
        <x:v>https://www.propertyguru.com.sg/listing/hdb-for-rent-625-senja-road-500250966</x:v>
      </x:c>
    </x:row>
    <x:row r="490" ht="52" customHeight="1">
      <x:c r="A490" s="2" t="str">
        <x:v>S20</x:v>
      </x:c>
      <x:c r="B490" s="2" t="str">
        <x:v>S20-C09</x:v>
      </x:c>
      <x:c r="C490" s="2" t="str">
        <x:v>500007589</x:v>
      </x:c>
      <x:c r="D490" s="2" t="str">
        <x:v>Original</x:v>
      </x:c>
      <x:c r="E490" s="2" t="n">
        <x:v>0</x:v>
      </x:c>
      <x:c r="F490" s="26" t="n">
        <x:v>760</x:v>
      </x:c>
      <x:c r="G490" s="27" t="n">
        <x:v>0</x:v>
      </x:c>
      <x:c r="H490" s="27"/>
      <x:c r="I490" s="2" t="str">
        <x:v>D27</x:v>
      </x:c>
      <x:c r="J490" s="2" t="str">
        <x:v>HDB Flat</x:v>
      </x:c>
      <x:c r="K490" s="28" t="n">
        <x:v>15359.922845091489</x:v>
      </x:c>
      <x:c r="L490" s="30" t="str">
        <x:v>Hard failure: Reported bedrooms 0; required &gt;= 4. District D27; required = D10.</x:v>
      </x:c>
      <x:c r="M490" s="31" t="str">
        <x:v>No</x:v>
      </x:c>
      <x:c r="N490" s="30" t="str">
        <x:v>Floor area (sqft) Unknown; required &gt;= 1,500.</x:v>
      </x:c>
      <x:c r="O490" s="30" t="str">
        <x:v>https://www.propertyguru.com.sg/listing/hdb-for-rent-638-yishun-street-61-500007589</x:v>
      </x:c>
    </x:row>
    <x:row r="491" ht="52" customHeight="1">
      <x:c r="A491" s="2" t="str">
        <x:v>S20</x:v>
      </x:c>
      <x:c r="B491" s="2" t="str">
        <x:v>S20-C10</x:v>
      </x:c>
      <x:c r="C491" s="2" t="str">
        <x:v>500282319</x:v>
      </x:c>
      <x:c r="D491" s="2" t="str">
        <x:v>Original</x:v>
      </x:c>
      <x:c r="E491" s="2" t="n">
        <x:v>0</x:v>
      </x:c>
      <x:c r="F491" s="26" t="n">
        <x:v>700</x:v>
      </x:c>
      <x:c r="G491" s="27" t="n">
        <x:v>1</x:v>
      </x:c>
      <x:c r="H491" s="27"/>
      <x:c r="I491" s="2" t="str">
        <x:v>D25</x:v>
      </x:c>
      <x:c r="J491" s="2" t="str">
        <x:v>HDB Flat</x:v>
      </x:c>
      <x:c r="K491" s="28" t="n">
        <x:v>15131.504177737459</x:v>
      </x:c>
      <x:c r="L491" s="30" t="str">
        <x:v>Hard failure: Reported bedrooms 1; required &gt;= 4. District D25; required = D10.</x:v>
      </x:c>
      <x:c r="M491" s="31" t="str">
        <x:v>No</x:v>
      </x:c>
      <x:c r="N491" s="30" t="str">
        <x:v>Floor area (sqft) Unknown; required &gt;= 1,500.</x:v>
      </x:c>
      <x:c r="O491" s="30" t="str">
        <x:v>https://www.propertyguru.com.sg/listing/hdb-for-rent-351-woodlands-avenue-1-500282319</x:v>
      </x:c>
    </x:row>
    <x:row r="492" ht="52" customHeight="1">
      <x:c r="A492" s="2" t="str">
        <x:v>S20</x:v>
      </x:c>
      <x:c r="B492" s="2" t="str">
        <x:v>S20-C11</x:v>
      </x:c>
      <x:c r="C492" s="2" t="str">
        <x:v>500280655</x:v>
      </x:c>
      <x:c r="D492" s="2" t="str">
        <x:v>Original</x:v>
      </x:c>
      <x:c r="E492" s="2" t="n">
        <x:v>0</x:v>
      </x:c>
      <x:c r="F492" s="26" t="n">
        <x:v>700</x:v>
      </x:c>
      <x:c r="G492" s="27" t="n">
        <x:v>0</x:v>
      </x:c>
      <x:c r="H492" s="27"/>
      <x:c r="I492" s="2" t="str">
        <x:v>D10</x:v>
      </x:c>
      <x:c r="J492" s="2" t="str">
        <x:v>HDB Flat</x:v>
      </x:c>
      <x:c r="K492" s="28" t="n">
        <x:v>2338.4437199100707</x:v>
      </x:c>
      <x:c r="L492" s="30" t="str">
        <x:v>Hard failure: Reported bedrooms 0; required &gt;= 4.</x:v>
      </x:c>
      <x:c r="M492" s="31" t="str">
        <x:v>No</x:v>
      </x:c>
      <x:c r="N492" s="30" t="str">
        <x:v>Floor area (sqft) Unknown; required &gt;= 1,500.</x:v>
      </x:c>
      <x:c r="O492" s="30" t="str">
        <x:v>https://www.propertyguru.com.sg/listing/hdb-for-rent-6-holland-close-500280655</x:v>
      </x:c>
    </x:row>
    <x:row r="493" ht="52" customHeight="1">
      <x:c r="A493" s="2" t="str">
        <x:v>S20</x:v>
      </x:c>
      <x:c r="B493" s="2" t="str">
        <x:v>S20-C12</x:v>
      </x:c>
      <x:c r="C493" s="2" t="str">
        <x:v>21227435</x:v>
      </x:c>
      <x:c r="D493" s="2" t="str">
        <x:v>Original</x:v>
      </x:c>
      <x:c r="E493" s="2" t="n">
        <x:v>0</x:v>
      </x:c>
      <x:c r="F493" s="26" t="n">
        <x:v>6500</x:v>
      </x:c>
      <x:c r="G493" s="27" t="n">
        <x:v>4</x:v>
      </x:c>
      <x:c r="H493" s="27" t="n">
        <x:v>1650</x:v>
      </x:c>
      <x:c r="I493" s="2" t="str">
        <x:v>D10</x:v>
      </x:c>
      <x:c r="J493" s="2" t="str">
        <x:v>Condominium</x:v>
      </x:c>
      <x:c r="K493" s="28"/>
      <x:c r="L493" s="30" t="str">
        <x:v>Hard failure: Rent (SGD/month) 6,500; required &lt;= 800.</x:v>
      </x:c>
      <x:c r="M493" s="31" t="str">
        <x:v>No</x:v>
      </x:c>
      <x:c r="N493" s="30" t="str"/>
      <x:c r="O493" s="30" t="str">
        <x:v>https://www.propertyguru.com.sg/listing/for-rent-ridgewood-condominium-21227435</x:v>
      </x:c>
    </x:row>
    <x:row r="494" ht="52" customHeight="1">
      <x:c r="A494" s="2" t="str">
        <x:v>S20</x:v>
      </x:c>
      <x:c r="B494" s="2" t="str">
        <x:v>S20-C13</x:v>
      </x:c>
      <x:c r="C494" s="2" t="str">
        <x:v>25263732</x:v>
      </x:c>
      <x:c r="D494" s="2" t="str">
        <x:v>Original</x:v>
      </x:c>
      <x:c r="E494" s="2" t="n">
        <x:v>0</x:v>
      </x:c>
      <x:c r="F494" s="26" t="n">
        <x:v>788</x:v>
      </x:c>
      <x:c r="G494" s="27"/>
      <x:c r="H494" s="27" t="n">
        <x:v>90</x:v>
      </x:c>
      <x:c r="I494" s="2" t="str">
        <x:v>D04</x:v>
      </x:c>
      <x:c r="J494" s="2" t="str">
        <x:v>HDB Flat</x:v>
      </x:c>
      <x:c r="K494" s="28" t="n">
        <x:v>5409.506798639307</x:v>
      </x:c>
      <x:c r="L494" s="30" t="str">
        <x:v>Hard failure: Floor area (sqft) 90; required &gt;= 1,500. District D04; required = D10.</x:v>
      </x:c>
      <x:c r="M494" s="31" t="str">
        <x:v>No</x:v>
      </x:c>
      <x:c r="N494" s="30" t="str">
        <x:v>Reported bedrooms Unknown; required &gt;= 4.</x:v>
      </x:c>
      <x:c r="O494" s="30" t="str">
        <x:v>https://www.propertyguru.com.sg/listing/hdb-for-rent-18-telok-blangah-crescent-25263732</x:v>
      </x:c>
    </x:row>
    <x:row r="495" ht="52" customHeight="1">
      <x:c r="A495" s="2" t="str">
        <x:v>S20</x:v>
      </x:c>
      <x:c r="B495" s="2" t="str">
        <x:v>S20-C14</x:v>
      </x:c>
      <x:c r="C495" s="2" t="str">
        <x:v>500204172</x:v>
      </x:c>
      <x:c r="D495" s="2" t="str">
        <x:v>Original</x:v>
      </x:c>
      <x:c r="E495" s="2" t="n">
        <x:v>0</x:v>
      </x:c>
      <x:c r="F495" s="26" t="n">
        <x:v>7600</x:v>
      </x:c>
      <x:c r="G495" s="27" t="n">
        <x:v>4</x:v>
      </x:c>
      <x:c r="H495" s="27" t="n">
        <x:v>1776</x:v>
      </x:c>
      <x:c r="I495" s="2" t="str">
        <x:v>D10</x:v>
      </x:c>
      <x:c r="J495" s="2" t="str">
        <x:v>Condominium</x:v>
      </x:c>
      <x:c r="K495" s="28"/>
      <x:c r="L495" s="30" t="str">
        <x:v>Hard failure: Rent (SGD/month) 7,600; required &lt;= 800.</x:v>
      </x:c>
      <x:c r="M495" s="31" t="str">
        <x:v>No</x:v>
      </x:c>
      <x:c r="N495" s="30" t="str"/>
      <x:c r="O495" s="30" t="str">
        <x:v>https://www.propertyguru.com.sg/listing/for-rent-orange-regency-500204172</x:v>
      </x:c>
    </x:row>
    <x:row r="496" ht="52" customHeight="1">
      <x:c r="A496" s="2" t="str">
        <x:v>S20</x:v>
      </x:c>
      <x:c r="B496" s="2" t="str">
        <x:v>S20-C15</x:v>
      </x:c>
      <x:c r="C496" s="2" t="str">
        <x:v>500034612</x:v>
      </x:c>
      <x:c r="D496" s="2" t="str">
        <x:v>Original</x:v>
      </x:c>
      <x:c r="E496" s="2" t="n">
        <x:v>0</x:v>
      </x:c>
      <x:c r="F496" s="26" t="n">
        <x:v>7600</x:v>
      </x:c>
      <x:c r="G496" s="27" t="n">
        <x:v>4</x:v>
      </x:c>
      <x:c r="H496" s="27" t="n">
        <x:v>1776</x:v>
      </x:c>
      <x:c r="I496" s="2" t="str">
        <x:v>D10</x:v>
      </x:c>
      <x:c r="J496" s="2" t="str">
        <x:v>Apartment</x:v>
      </x:c>
      <x:c r="K496" s="28"/>
      <x:c r="L496" s="30" t="str">
        <x:v>Hard failure: Rent (SGD/month) 7,600; required &lt;= 800.</x:v>
      </x:c>
      <x:c r="M496" s="31" t="str">
        <x:v>No</x:v>
      </x:c>
      <x:c r="N496" s="30" t="str"/>
      <x:c r="O496" s="30" t="str">
        <x:v>https://www.propertyguru.com.sg/listing/for-rent-orange-regency-500034612</x:v>
      </x:c>
    </x:row>
    <x:row r="497" ht="52" customHeight="1">
      <x:c r="A497" s="2" t="str">
        <x:v>S20</x:v>
      </x:c>
      <x:c r="B497" s="2" t="str">
        <x:v>S20-C16</x:v>
      </x:c>
      <x:c r="C497" s="2" t="str">
        <x:v>500246525</x:v>
      </x:c>
      <x:c r="D497" s="2" t="str">
        <x:v>Original</x:v>
      </x:c>
      <x:c r="E497" s="2" t="n">
        <x:v>0</x:v>
      </x:c>
      <x:c r="F497" s="26" t="n">
        <x:v>7600</x:v>
      </x:c>
      <x:c r="G497" s="27" t="n">
        <x:v>4</x:v>
      </x:c>
      <x:c r="H497" s="27" t="n">
        <x:v>1776</x:v>
      </x:c>
      <x:c r="I497" s="2" t="str">
        <x:v>D10</x:v>
      </x:c>
      <x:c r="J497" s="2" t="str">
        <x:v>Apartment</x:v>
      </x:c>
      <x:c r="K497" s="28"/>
      <x:c r="L497" s="30" t="str">
        <x:v>Hard failure: Rent (SGD/month) 7,600; required &lt;= 800.</x:v>
      </x:c>
      <x:c r="M497" s="31" t="str">
        <x:v>No</x:v>
      </x:c>
      <x:c r="N497" s="30" t="str"/>
      <x:c r="O497" s="30" t="str">
        <x:v>https://www.propertyguru.com.sg/listing/for-rent-orange-regency-500246525</x:v>
      </x:c>
    </x:row>
    <x:row r="498" ht="52" customHeight="1">
      <x:c r="A498" s="2" t="str">
        <x:v>S20</x:v>
      </x:c>
      <x:c r="B498" s="2" t="str">
        <x:v>S20-C17</x:v>
      </x:c>
      <x:c r="C498" s="2" t="str">
        <x:v>25007680</x:v>
      </x:c>
      <x:c r="D498" s="2" t="str">
        <x:v>Original</x:v>
      </x:c>
      <x:c r="E498" s="2" t="n">
        <x:v>0</x:v>
      </x:c>
      <x:c r="F498" s="26" t="n">
        <x:v>7600</x:v>
      </x:c>
      <x:c r="G498" s="27" t="n">
        <x:v>4</x:v>
      </x:c>
      <x:c r="H498" s="27" t="n">
        <x:v>1776</x:v>
      </x:c>
      <x:c r="I498" s="2" t="str">
        <x:v>D10</x:v>
      </x:c>
      <x:c r="J498" s="2" t="str">
        <x:v>Apartment</x:v>
      </x:c>
      <x:c r="K498" s="28"/>
      <x:c r="L498" s="30" t="str">
        <x:v>Hard failure: Rent (SGD/month) 7,600; required &lt;= 800.</x:v>
      </x:c>
      <x:c r="M498" s="31" t="str">
        <x:v>No</x:v>
      </x:c>
      <x:c r="N498" s="30" t="str"/>
      <x:c r="O498" s="30" t="str">
        <x:v>https://www.propertyguru.com.sg/listing/for-rent-orange-regency-25007680</x:v>
      </x:c>
    </x:row>
    <x:row r="499" ht="52" customHeight="1">
      <x:c r="A499" s="2" t="str">
        <x:v>S20</x:v>
      </x:c>
      <x:c r="B499" s="2" t="str">
        <x:v>S20-C18</x:v>
      </x:c>
      <x:c r="C499" s="2" t="str">
        <x:v>19645748</x:v>
      </x:c>
      <x:c r="D499" s="2" t="str">
        <x:v>Original</x:v>
      </x:c>
      <x:c r="E499" s="2" t="n">
        <x:v>0</x:v>
      </x:c>
      <x:c r="F499" s="26" t="n">
        <x:v>7200</x:v>
      </x:c>
      <x:c r="G499" s="27" t="n">
        <x:v>4</x:v>
      </x:c>
      <x:c r="H499" s="27" t="n">
        <x:v>1625</x:v>
      </x:c>
      <x:c r="I499" s="2" t="str">
        <x:v>D10</x:v>
      </x:c>
      <x:c r="J499" s="2" t="str">
        <x:v>Condominium</x:v>
      </x:c>
      <x:c r="K499" s="28" t="n">
        <x:v>2047.0452749137728</x:v>
      </x:c>
      <x:c r="L499" s="30" t="str">
        <x:v>Hard failure: Rent (SGD/month) 7,200; required &lt;= 800.</x:v>
      </x:c>
      <x:c r="M499" s="31" t="str">
        <x:v>No</x:v>
      </x:c>
      <x:c r="N499" s="30" t="str"/>
      <x:c r="O499" s="30" t="str">
        <x:v>https://www.propertyguru.com.sg/listing/for-rent-the-marbella-19645748</x:v>
      </x:c>
    </x:row>
    <x:row r="500" ht="52" customHeight="1">
      <x:c r="A500" s="2" t="str">
        <x:v>S20</x:v>
      </x:c>
      <x:c r="B500" s="2" t="str">
        <x:v>S20-C19</x:v>
      </x:c>
      <x:c r="C500" s="2" t="str">
        <x:v>500230450</x:v>
      </x:c>
      <x:c r="D500" s="2" t="str">
        <x:v>Original</x:v>
      </x:c>
      <x:c r="E500" s="2" t="n">
        <x:v>0</x:v>
      </x:c>
      <x:c r="F500" s="26" t="n">
        <x:v>7300</x:v>
      </x:c>
      <x:c r="G500" s="27" t="n">
        <x:v>5</x:v>
      </x:c>
      <x:c r="H500" s="27" t="n">
        <x:v>2476</x:v>
      </x:c>
      <x:c r="I500" s="2" t="str">
        <x:v>D10</x:v>
      </x:c>
      <x:c r="J500" s="2" t="str">
        <x:v>Condominium</x:v>
      </x:c>
      <x:c r="K500" s="28"/>
      <x:c r="L500" s="30" t="str">
        <x:v>Hard failure: Rent (SGD/month) 7,300; required &lt;= 800.</x:v>
      </x:c>
      <x:c r="M500" s="31" t="str">
        <x:v>No</x:v>
      </x:c>
      <x:c r="N500" s="30" t="str"/>
      <x:c r="O500" s="30" t="str">
        <x:v>https://www.propertyguru.com.sg/listing/for-rent-charming-garden-500230450</x:v>
      </x:c>
    </x:row>
    <x:row r="501" ht="52" customHeight="1">
      <x:c r="A501" s="2" t="str">
        <x:v>S20</x:v>
      </x:c>
      <x:c r="B501" s="2" t="str">
        <x:v>S20-C20</x:v>
      </x:c>
      <x:c r="C501" s="2" t="str">
        <x:v>21554989</x:v>
      </x:c>
      <x:c r="D501" s="2" t="str">
        <x:v>Original</x:v>
      </x:c>
      <x:c r="E501" s="2" t="n">
        <x:v>0</x:v>
      </x:c>
      <x:c r="F501" s="26" t="n">
        <x:v>7600</x:v>
      </x:c>
      <x:c r="G501" s="27" t="n">
        <x:v>4</x:v>
      </x:c>
      <x:c r="H501" s="27" t="n">
        <x:v>1775</x:v>
      </x:c>
      <x:c r="I501" s="2" t="str">
        <x:v>D10</x:v>
      </x:c>
      <x:c r="J501" s="2" t="str">
        <x:v>Apartment</x:v>
      </x:c>
      <x:c r="K501" s="28"/>
      <x:c r="L501" s="30" t="str">
        <x:v>Hard failure: Rent (SGD/month) 7,600; required &lt;= 800.</x:v>
      </x:c>
      <x:c r="M501" s="31" t="str">
        <x:v>No</x:v>
      </x:c>
      <x:c r="N501" s="30" t="str"/>
      <x:c r="O501" s="30" t="str">
        <x:v>https://www.propertyguru.com.sg/listing/for-rent-orange-regency-21554989</x:v>
      </x:c>
    </x:row>
    <x:row r="502" ht="52" customHeight="1">
      <x:c r="A502" s="2" t="str">
        <x:v>S20</x:v>
      </x:c>
      <x:c r="B502" s="2" t="str">
        <x:v>S20-C21</x:v>
      </x:c>
      <x:c r="C502" s="2" t="str">
        <x:v>500084590</x:v>
      </x:c>
      <x:c r="D502" s="2" t="str">
        <x:v>Original</x:v>
      </x:c>
      <x:c r="E502" s="2" t="n">
        <x:v>0</x:v>
      </x:c>
      <x:c r="F502" s="26" t="n">
        <x:v>7600</x:v>
      </x:c>
      <x:c r="G502" s="27" t="n">
        <x:v>4</x:v>
      </x:c>
      <x:c r="H502" s="27" t="n">
        <x:v>1775</x:v>
      </x:c>
      <x:c r="I502" s="2" t="str">
        <x:v>D10</x:v>
      </x:c>
      <x:c r="J502" s="2" t="str">
        <x:v>Apartment</x:v>
      </x:c>
      <x:c r="K502" s="28"/>
      <x:c r="L502" s="30" t="str">
        <x:v>Hard failure: Rent (SGD/month) 7,600; required &lt;= 800.</x:v>
      </x:c>
      <x:c r="M502" s="31" t="str">
        <x:v>No</x:v>
      </x:c>
      <x:c r="N502" s="30" t="str"/>
      <x:c r="O502" s="30" t="str">
        <x:v>https://www.propertyguru.com.sg/listing/for-rent-orange-regency-500084590</x:v>
      </x:c>
    </x:row>
    <x:row r="503" ht="52" customHeight="1">
      <x:c r="A503" s="2" t="str">
        <x:v>S20</x:v>
      </x:c>
      <x:c r="B503" s="2" t="str">
        <x:v>S20-C22</x:v>
      </x:c>
      <x:c r="C503" s="2" t="str">
        <x:v>500262552</x:v>
      </x:c>
      <x:c r="D503" s="2" t="str">
        <x:v>Original</x:v>
      </x:c>
      <x:c r="E503" s="2" t="n">
        <x:v>0</x:v>
      </x:c>
      <x:c r="F503" s="26" t="n">
        <x:v>7500</x:v>
      </x:c>
      <x:c r="G503" s="27" t="n">
        <x:v>4</x:v>
      </x:c>
      <x:c r="H503" s="27" t="n">
        <x:v>2650</x:v>
      </x:c>
      <x:c r="I503" s="2" t="str">
        <x:v>D10</x:v>
      </x:c>
      <x:c r="J503" s="2" t="str">
        <x:v>Semi-Detached House</x:v>
      </x:c>
      <x:c r="K503" s="28"/>
      <x:c r="L503" s="30" t="str">
        <x:v>Hard failure: Rent (SGD/month) 7,500; required &lt;= 800.</x:v>
      </x:c>
      <x:c r="M503" s="31" t="str">
        <x:v>No</x:v>
      </x:c>
      <x:c r="N503" s="30" t="str"/>
      <x:c r="O503" s="30" t="str">
        <x:v>https://www.propertyguru.com.sg/listing/for-rent-shamrock-park-500262552</x:v>
      </x:c>
    </x:row>
    <x:row r="504" ht="52" customHeight="1">
      <x:c r="A504" s="2" t="str">
        <x:v>S20</x:v>
      </x:c>
      <x:c r="B504" s="2" t="str">
        <x:v>S20-C23</x:v>
      </x:c>
      <x:c r="C504" s="2" t="str">
        <x:v>15517400</x:v>
      </x:c>
      <x:c r="D504" s="2" t="str">
        <x:v>Original</x:v>
      </x:c>
      <x:c r="E504" s="2" t="n">
        <x:v>0</x:v>
      </x:c>
      <x:c r="F504" s="26" t="n">
        <x:v>800</x:v>
      </x:c>
      <x:c r="G504" s="27" t="n">
        <x:v>0</x:v>
      </x:c>
      <x:c r="H504" s="27"/>
      <x:c r="I504" s="2" t="str">
        <x:v>D23</x:v>
      </x:c>
      <x:c r="J504" s="2" t="str">
        <x:v>HDB Flat</x:v>
      </x:c>
      <x:c r="K504" s="28" t="n">
        <x:v>12173.67963792988</x:v>
      </x:c>
      <x:c r="L504" s="30" t="str">
        <x:v>Hard failure: Reported bedrooms 0; required &gt;= 4. District D23; required = D10.</x:v>
      </x:c>
      <x:c r="M504" s="31" t="str">
        <x:v>No</x:v>
      </x:c>
      <x:c r="N504" s="30" t="str">
        <x:v>Floor area (sqft) Unknown; required &gt;= 1,500.</x:v>
      </x:c>
      <x:c r="O504" s="30" t="str">
        <x:v>https://www.propertyguru.com.sg/listing/hdb-for-rent-613-choa-chu-kang-street-62-15517400</x:v>
      </x:c>
    </x:row>
    <x:row r="505" ht="52" customHeight="1">
      <x:c r="A505" s="2" t="str">
        <x:v>S20</x:v>
      </x:c>
      <x:c r="B505" s="2" t="str">
        <x:v>S20-C24</x:v>
      </x:c>
      <x:c r="C505" s="2" t="str">
        <x:v>500151464</x:v>
      </x:c>
      <x:c r="D505" s="2" t="str">
        <x:v>Original</x:v>
      </x:c>
      <x:c r="E505" s="2" t="n">
        <x:v>0</x:v>
      </x:c>
      <x:c r="F505" s="26" t="n">
        <x:v>600</x:v>
      </x:c>
      <x:c r="G505" s="27" t="n">
        <x:v>1</x:v>
      </x:c>
      <x:c r="H505" s="27"/>
      <x:c r="I505" s="2" t="str">
        <x:v>D12</x:v>
      </x:c>
      <x:c r="J505" s="2" t="str">
        <x:v>HDB Flat</x:v>
      </x:c>
      <x:c r="K505" s="28" t="n">
        <x:v>9008.60252986894</x:v>
      </x:c>
      <x:c r="L505" s="30" t="str">
        <x:v>Hard failure: Reported bedrooms 1; required &gt;= 4. District D12; required = D10.</x:v>
      </x:c>
      <x:c r="M505" s="31" t="str">
        <x:v>No</x:v>
      </x:c>
      <x:c r="N505" s="30" t="str">
        <x:v>Floor area (sqft) Unknown; required &gt;= 1,500.</x:v>
      </x:c>
      <x:c r="O505" s="30" t="str">
        <x:v>https://www.propertyguru.com.sg/listing/hdb-for-rent-98-whampoa-drive-500151464</x:v>
      </x:c>
    </x:row>
    <x:row r="506" ht="52" customHeight="1">
      <x:c r="A506" s="2" t="str">
        <x:v>S20</x:v>
      </x:c>
      <x:c r="B506" s="2" t="str">
        <x:v>S20-C25</x:v>
      </x:c>
      <x:c r="C506" s="2" t="str">
        <x:v>500234363</x:v>
      </x:c>
      <x:c r="D506" s="2" t="str">
        <x:v>Original</x:v>
      </x:c>
      <x:c r="E506" s="2" t="n">
        <x:v>0</x:v>
      </x:c>
      <x:c r="F506" s="26" t="n">
        <x:v>7600</x:v>
      </x:c>
      <x:c r="G506" s="27" t="n">
        <x:v>4</x:v>
      </x:c>
      <x:c r="H506" s="27" t="n">
        <x:v>1776</x:v>
      </x:c>
      <x:c r="I506" s="2" t="str">
        <x:v>D10</x:v>
      </x:c>
      <x:c r="J506" s="2" t="str">
        <x:v>Apartment</x:v>
      </x:c>
      <x:c r="K506" s="28"/>
      <x:c r="L506" s="30" t="str">
        <x:v>Hard failure: Rent (SGD/month) 7,600; required &lt;= 800.</x:v>
      </x:c>
      <x:c r="M506" s="31" t="str">
        <x:v>No</x:v>
      </x:c>
      <x:c r="N506" s="30" t="str"/>
      <x:c r="O506" s="30" t="str">
        <x:v>https://www.propertyguru.com.sg/listing/for-rent-orange-regency-500234363</x:v>
      </x:c>
    </x:row>
    <x:row r="507" ht="63" customHeight="1">
      <x:c r="A507" s="2" t="str">
        <x:v>S01</x:v>
      </x:c>
      <x:c r="B507" s="2" t="str">
        <x:v>S01-E01</x:v>
      </x:c>
      <x:c r="C507" s="2" t="str">
        <x:v>500284155</x:v>
      </x:c>
      <x:c r="D507" s="2" t="str">
        <x:v>Added</x:v>
      </x:c>
      <x:c r="E507" s="2" t="n">
        <x:v>3</x:v>
      </x:c>
      <x:c r="F507" s="26" t="n">
        <x:v>950</x:v>
      </x:c>
      <x:c r="G507" s="27" t="n">
        <x:v>1</x:v>
      </x:c>
      <x:c r="H507" s="27" t="n">
        <x:v>1076</x:v>
      </x:c>
      <x:c r="I507" s="2" t="str">
        <x:v>D23</x:v>
      </x:c>
      <x:c r="J507" s="2" t="str">
        <x:v>HDB Flat</x:v>
      </x:c>
      <x:c r="K507" s="28" t="n">
        <x:v>7416.697540790182</x:v>
      </x:c>
      <x:c r="L507" s="30" t="str">
        <x:v>All declared hard requirements pass. Reported rent SGD 950/month; bedrooms 1; area 1076.0 sqft; D23; HDB Flat. Low rent of SGD 900-1,000 and at least 500 sqft are consistent with the original strong-fit anchors, including the SGD 950, 1,087-sqft listing.</x:v>
      </x:c>
      <x:c r="M507" s="31" t="str">
        <x:v>No</x:v>
      </x:c>
      <x:c r="N507" s="30" t="str"/>
      <x:c r="O507" s="30" t="str">
        <x:v>https://www.propertyguru.com.sg/listing/hdb-for-rent-449a-bukit-batok-west-avenue-9-500284155</x:v>
      </x:c>
    </x:row>
    <x:row r="508" ht="63" customHeight="1">
      <x:c r="A508" s="2" t="str">
        <x:v>S01</x:v>
      </x:c>
      <x:c r="B508" s="2" t="str">
        <x:v>S01-E02</x:v>
      </x:c>
      <x:c r="C508" s="2" t="str">
        <x:v>500249186</x:v>
      </x:c>
      <x:c r="D508" s="2" t="str">
        <x:v>Added</x:v>
      </x:c>
      <x:c r="E508" s="2" t="n">
        <x:v>3</x:v>
      </x:c>
      <x:c r="F508" s="26" t="n">
        <x:v>1000</x:v>
      </x:c>
      <x:c r="G508" s="27" t="n">
        <x:v>1</x:v>
      </x:c>
      <x:c r="H508" s="27" t="n">
        <x:v>968</x:v>
      </x:c>
      <x:c r="I508" s="2" t="str">
        <x:v>D16</x:v>
      </x:c>
      <x:c r="J508" s="2" t="str">
        <x:v>HDB Flat</x:v>
      </x:c>
      <x:c r="K508" s="28" t="n">
        <x:v>18552.96363220039</x:v>
      </x:c>
      <x:c r="L508" s="30" t="str">
        <x:v>All declared hard requirements pass. Reported rent SGD 1000/month; bedrooms 1; area 968.0 sqft; D16; HDB Flat. Low rent of SGD 900-1,000 and at least 500 sqft are consistent with the original strong-fit anchors, including the SGD 950, 1,087-sqft listing.</x:v>
      </x:c>
      <x:c r="M508" s="31" t="str">
        <x:v>No</x:v>
      </x:c>
      <x:c r="N508" s="30" t="str"/>
      <x:c r="O508" s="30" t="str">
        <x:v>https://www.propertyguru.com.sg/listing/hdb-for-rent-51-new-upper-changi-road-500249186</x:v>
      </x:c>
    </x:row>
    <x:row r="509" ht="63" customHeight="1">
      <x:c r="A509" s="2" t="str">
        <x:v>S01</x:v>
      </x:c>
      <x:c r="B509" s="2" t="str">
        <x:v>S01-E03</x:v>
      </x:c>
      <x:c r="C509" s="2" t="str">
        <x:v>500252673</x:v>
      </x:c>
      <x:c r="D509" s="2" t="str">
        <x:v>Added</x:v>
      </x:c>
      <x:c r="E509" s="2" t="n">
        <x:v>3</x:v>
      </x:c>
      <x:c r="F509" s="26" t="n">
        <x:v>900</x:v>
      </x:c>
      <x:c r="G509" s="27" t="n">
        <x:v>1</x:v>
      </x:c>
      <x:c r="H509" s="27" t="n">
        <x:v>721</x:v>
      </x:c>
      <x:c r="I509" s="2" t="str">
        <x:v>D22</x:v>
      </x:c>
      <x:c r="J509" s="2" t="str">
        <x:v>HDB Flat</x:v>
      </x:c>
      <x:c r="K509" s="28" t="n">
        <x:v>10855.786662459</x:v>
      </x:c>
      <x:c r="L509" s="30" t="str">
        <x:v>All declared hard requirements pass. Reported rent SGD 900/month; bedrooms 1; area 721.0 sqft; D22; HDB Flat. Low rent of SGD 900-1,000 and at least 500 sqft are consistent with the original strong-fit anchors, including the SGD 950, 1,087-sqft listing.</x:v>
      </x:c>
      <x:c r="M509" s="31" t="str">
        <x:v>No</x:v>
      </x:c>
      <x:c r="N509" s="30" t="str"/>
      <x:c r="O509" s="30" t="str">
        <x:v>https://www.propertyguru.com.sg/listing/hdb-for-rent-863-jurong-west-street-81-500252673</x:v>
      </x:c>
    </x:row>
    <x:row r="510" ht="63" customHeight="1">
      <x:c r="A510" s="2" t="str">
        <x:v>S01</x:v>
      </x:c>
      <x:c r="B510" s="2" t="str">
        <x:v>S01-E04</x:v>
      </x:c>
      <x:c r="C510" s="2" t="str">
        <x:v>500268760</x:v>
      </x:c>
      <x:c r="D510" s="2" t="str">
        <x:v>Added</x:v>
      </x:c>
      <x:c r="E510" s="2" t="n">
        <x:v>3</x:v>
      </x:c>
      <x:c r="F510" s="26" t="n">
        <x:v>999</x:v>
      </x:c>
      <x:c r="G510" s="27" t="n">
        <x:v>1</x:v>
      </x:c>
      <x:c r="H510" s="27" t="n">
        <x:v>1582</x:v>
      </x:c>
      <x:c r="I510" s="2" t="str">
        <x:v>D20</x:v>
      </x:c>
      <x:c r="J510" s="2" t="str">
        <x:v>HDB Flat</x:v>
      </x:c>
      <x:c r="K510" s="28" t="n">
        <x:v>10142.551586154168</x:v>
      </x:c>
      <x:c r="L510" s="30" t="str">
        <x:v>All declared hard requirements pass. Reported rent SGD 999/month; bedrooms 1; area 1582.0 sqft; D20; HDB Flat. Low rent of SGD 900-1,000 and at least 500 sqft are consistent with the original strong-fit anchors, including the SGD 950, 1,087-sqft listing.</x:v>
      </x:c>
      <x:c r="M510" s="31" t="str">
        <x:v>No</x:v>
      </x:c>
      <x:c r="N510" s="30" t="str"/>
      <x:c r="O510" s="30" t="str">
        <x:v>https://www.propertyguru.com.sg/listing/hdb-for-rent-261-bishan-street-22-500268760</x:v>
      </x:c>
    </x:row>
    <x:row r="511" ht="63" customHeight="1">
      <x:c r="A511" s="2" t="str">
        <x:v>S03</x:v>
      </x:c>
      <x:c r="B511" s="2" t="str">
        <x:v>S03-E01</x:v>
      </x:c>
      <x:c r="C511" s="2" t="str">
        <x:v>500259048</x:v>
      </x:c>
      <x:c r="D511" s="2" t="str">
        <x:v>Added</x:v>
      </x:c>
      <x:c r="E511" s="2" t="n">
        <x:v>1</x:v>
      </x:c>
      <x:c r="F511" s="26" t="n">
        <x:v>1300</x:v>
      </x:c>
      <x:c r="G511" s="27" t="n">
        <x:v>3</x:v>
      </x:c>
      <x:c r="H511" s="27" t="n">
        <x:v>732</x:v>
      </x:c>
      <x:c r="I511" s="2" t="str">
        <x:v>D12</x:v>
      </x:c>
      <x:c r="J511" s="2" t="str">
        <x:v>HDB Flat</x:v>
      </x:c>
      <x:c r="K511" s="28" t="n">
        <x:v>10501.92359659816</x:v>
      </x:c>
      <x:c r="L511" s="30" t="str">
        <x:v>All declared hard requirements pass. Reported rent SGD 1300/month; bedrooms 3; area 732.0 sqft; D12; HDB Flat. The primary D05 preference is unmet. Affordable rent satisfies the hard cap but does not establish a strong location fit, consistent with the existing non-D05 grades.</x:v>
      </x:c>
      <x:c r="M511" s="31" t="str">
        <x:v>No</x:v>
      </x:c>
      <x:c r="N511" s="30" t="str"/>
      <x:c r="O511" s="30" t="str">
        <x:v>https://www.propertyguru.com.sg/listing/hdb-for-rent-63-kallang-bahru-500259048</x:v>
      </x:c>
    </x:row>
    <x:row r="512" ht="63" customHeight="1">
      <x:c r="A512" s="2" t="str">
        <x:v>S03</x:v>
      </x:c>
      <x:c r="B512" s="2" t="str">
        <x:v>S03-E02</x:v>
      </x:c>
      <x:c r="C512" s="2" t="str">
        <x:v>25209933</x:v>
      </x:c>
      <x:c r="D512" s="2" t="str">
        <x:v>Added</x:v>
      </x:c>
      <x:c r="E512" s="2" t="n">
        <x:v>1</x:v>
      </x:c>
      <x:c r="F512" s="26" t="n">
        <x:v>1150</x:v>
      </x:c>
      <x:c r="G512" s="27" t="n">
        <x:v>3</x:v>
      </x:c>
      <x:c r="H512" s="27" t="n">
        <x:v>190</x:v>
      </x:c>
      <x:c r="I512" s="2" t="str">
        <x:v>D23</x:v>
      </x:c>
      <x:c r="J512" s="2" t="str">
        <x:v>HDB Flat</x:v>
      </x:c>
      <x:c r="K512" s="28" t="n">
        <x:v>5787.38197288111</x:v>
      </x:c>
      <x:c r="L512" s="30" t="str">
        <x:v>All declared hard requirements pass. Reported rent SGD 1150/month; bedrooms 3; area 190.0 sqft; D23; HDB Flat. The primary D05 preference is unmet. Affordable rent satisfies the hard cap but does not establish a strong location fit, consistent with the existing non-D05 grades.</x:v>
      </x:c>
      <x:c r="M512" s="31" t="str">
        <x:v>Yes</x:v>
      </x:c>
      <x:c r="N512" s="30" t="str">
        <x:v>At least 2 reported bedrooms with &lt;200 sqft; verify room/whole-unit scope and units.</x:v>
      </x:c>
      <x:c r="O512" s="30" t="str">
        <x:v>https://www.propertyguru.com.sg/listing/hdb-for-rent-288g-bukit-batok-street-25-25209933</x:v>
      </x:c>
    </x:row>
    <x:row r="513" ht="63" customHeight="1">
      <x:c r="A513" s="2" t="str">
        <x:v>S04</x:v>
      </x:c>
      <x:c r="B513" s="2" t="str">
        <x:v>S04-E01</x:v>
      </x:c>
      <x:c r="C513" s="2" t="str">
        <x:v>500251234</x:v>
      </x:c>
      <x:c r="D513" s="2" t="str">
        <x:v>Added</x:v>
      </x:c>
      <x:c r="E513" s="2" t="n">
        <x:v>2</x:v>
      </x:c>
      <x:c r="F513" s="26" t="n">
        <x:v>3900</x:v>
      </x:c>
      <x:c r="G513" s="27" t="n">
        <x:v>3</x:v>
      </x:c>
      <x:c r="H513" s="27" t="n">
        <x:v>1000</x:v>
      </x:c>
      <x:c r="I513" s="2" t="str">
        <x:v>D05</x:v>
      </x:c>
      <x:c r="J513" s="2" t="str">
        <x:v>HDB Flat</x:v>
      </x:c>
      <x:c r="K513" s="28" t="n">
        <x:v>2594.9125140835117</x:v>
      </x:c>
      <x:c r="L513" s="30" t="str">
        <x:v>All declared hard requirements pass. Reported rent SGD 3900/month; bedrooms 3; area 1000.0 sqft; D05; HDB Flat. D05 and the hard limits pass. About 980-1,000 sqft at SGD 3,800-4,000 is a workable trade-off, below the space or price advantage of the original strong-fit anchors.</x:v>
      </x:c>
      <x:c r="M513" s="31" t="str">
        <x:v>No</x:v>
      </x:c>
      <x:c r="N513" s="30" t="str"/>
      <x:c r="O513" s="30" t="str">
        <x:v>https://www.propertyguru.com.sg/listing/hdb-for-rent-506-west-coast-drive-500251234</x:v>
      </x:c>
    </x:row>
    <x:row r="514" ht="63" customHeight="1">
      <x:c r="A514" s="2" t="str">
        <x:v>S04</x:v>
      </x:c>
      <x:c r="B514" s="2" t="str">
        <x:v>S04-E02</x:v>
      </x:c>
      <x:c r="C514" s="2" t="str">
        <x:v>20832273</x:v>
      </x:c>
      <x:c r="D514" s="2" t="str">
        <x:v>Added</x:v>
      </x:c>
      <x:c r="E514" s="2" t="n">
        <x:v>2</x:v>
      </x:c>
      <x:c r="F514" s="26" t="n">
        <x:v>4000</x:v>
      </x:c>
      <x:c r="G514" s="27" t="n">
        <x:v>3</x:v>
      </x:c>
      <x:c r="H514" s="27" t="n">
        <x:v>990</x:v>
      </x:c>
      <x:c r="I514" s="2" t="str">
        <x:v>D05</x:v>
      </x:c>
      <x:c r="J514" s="2" t="str">
        <x:v>HDB Flat</x:v>
      </x:c>
      <x:c r="K514" s="28" t="n">
        <x:v>3012.3124793562997</x:v>
      </x:c>
      <x:c r="L514" s="30" t="str">
        <x:v>All declared hard requirements pass. Reported rent SGD 4000/month; bedrooms 3; area 990.0 sqft; D05; HDB Flat. D05 and the hard limits pass. About 980-1,000 sqft at SGD 3,800-4,000 is a workable trade-off, below the space or price advantage of the original strong-fit anchors.</x:v>
      </x:c>
      <x:c r="M514" s="31" t="str">
        <x:v>No</x:v>
      </x:c>
      <x:c r="N514" s="30" t="str"/>
      <x:c r="O514" s="30" t="str">
        <x:v>https://www.propertyguru.com.sg/listing/hdb-for-rent-309-clementi-avenue-4-20832273</x:v>
      </x:c>
    </x:row>
    <x:row r="515" ht="63" customHeight="1">
      <x:c r="A515" s="2" t="str">
        <x:v>S04</x:v>
      </x:c>
      <x:c r="B515" s="2" t="str">
        <x:v>S04-E03</x:v>
      </x:c>
      <x:c r="C515" s="2" t="str">
        <x:v>12885293</x:v>
      </x:c>
      <x:c r="D515" s="2" t="str">
        <x:v>Added</x:v>
      </x:c>
      <x:c r="E515" s="2" t="n">
        <x:v>2</x:v>
      </x:c>
      <x:c r="F515" s="26" t="n">
        <x:v>4000</x:v>
      </x:c>
      <x:c r="G515" s="27" t="n">
        <x:v>2</x:v>
      </x:c>
      <x:c r="H515" s="27" t="n">
        <x:v>1000</x:v>
      </x:c>
      <x:c r="I515" s="2" t="str">
        <x:v>D05</x:v>
      </x:c>
      <x:c r="J515" s="2" t="str">
        <x:v>HDB Flat</x:v>
      </x:c>
      <x:c r="K515" s="28" t="n">
        <x:v>1379.529538544706</x:v>
      </x:c>
      <x:c r="L515" s="30" t="str">
        <x:v>All declared hard requirements pass. Reported rent SGD 4000/month; bedrooms 2; area 1000.0 sqft; D05; HDB Flat. D05 and the hard limits pass. About 980-1,000 sqft at SGD 3,800-4,000 is a workable trade-off, below the space or price advantage of the original strong-fit anchors.</x:v>
      </x:c>
      <x:c r="M515" s="31" t="str">
        <x:v>No</x:v>
      </x:c>
      <x:c r="N515" s="30" t="str"/>
      <x:c r="O515" s="30" t="str">
        <x:v>https://www.propertyguru.com.sg/listing/hdb-for-rent-17-dover-crescent-12885293</x:v>
      </x:c>
    </x:row>
    <x:row r="516" ht="63" customHeight="1">
      <x:c r="A516" s="2" t="str">
        <x:v>S04</x:v>
      </x:c>
      <x:c r="B516" s="2" t="str">
        <x:v>S04-E04</x:v>
      </x:c>
      <x:c r="C516" s="2" t="str">
        <x:v>500267822</x:v>
      </x:c>
      <x:c r="D516" s="2" t="str">
        <x:v>Added</x:v>
      </x:c>
      <x:c r="E516" s="2" t="n">
        <x:v>2</x:v>
      </x:c>
      <x:c r="F516" s="26" t="n">
        <x:v>3880</x:v>
      </x:c>
      <x:c r="G516" s="27" t="n">
        <x:v>3</x:v>
      </x:c>
      <x:c r="H516" s="27" t="n">
        <x:v>980</x:v>
      </x:c>
      <x:c r="I516" s="2" t="str">
        <x:v>D05</x:v>
      </x:c>
      <x:c r="J516" s="2" t="str">
        <x:v>HDB Flat</x:v>
      </x:c>
      <x:c r="K516" s="28" t="n">
        <x:v>2815.889367253177</x:v>
      </x:c>
      <x:c r="L516" s="30" t="str">
        <x:v>All declared hard requirements pass. Reported rent SGD 3880/month; bedrooms 3; area 980.0 sqft; D05; HDB Flat. D05 and the hard limits pass. About 980-1,000 sqft at SGD 3,800-4,000 is a workable trade-off, below the space or price advantage of the original strong-fit anchors.</x:v>
      </x:c>
      <x:c r="M516" s="31" t="str">
        <x:v>No</x:v>
      </x:c>
      <x:c r="N516" s="30" t="str"/>
      <x:c r="O516" s="30" t="str">
        <x:v>https://www.propertyguru.com.sg/listing/hdb-for-rent-373-clementi-avenue-4-500267822</x:v>
      </x:c>
    </x:row>
    <x:row r="517" ht="63" customHeight="1">
      <x:c r="A517" s="2" t="str">
        <x:v>S04</x:v>
      </x:c>
      <x:c r="B517" s="2" t="str">
        <x:v>S04-E05</x:v>
      </x:c>
      <x:c r="C517" s="2" t="str">
        <x:v>500275187</x:v>
      </x:c>
      <x:c r="D517" s="2" t="str">
        <x:v>Added</x:v>
      </x:c>
      <x:c r="E517" s="2" t="n">
        <x:v>2</x:v>
      </x:c>
      <x:c r="F517" s="26" t="n">
        <x:v>3800</x:v>
      </x:c>
      <x:c r="G517" s="27" t="n">
        <x:v>3</x:v>
      </x:c>
      <x:c r="H517" s="27" t="n">
        <x:v>980</x:v>
      </x:c>
      <x:c r="I517" s="2" t="str">
        <x:v>D05</x:v>
      </x:c>
      <x:c r="J517" s="2" t="str">
        <x:v>HDB Flat</x:v>
      </x:c>
      <x:c r="K517" s="28" t="n">
        <x:v>2808.8096712841407</x:v>
      </x:c>
      <x:c r="L517" s="30" t="str">
        <x:v>All declared hard requirements pass. Reported rent SGD 3800/month; bedrooms 3; area 980.0 sqft; D05; HDB Flat. D05 and the hard limits pass. About 980-1,000 sqft at SGD 3,800-4,000 is a workable trade-off, below the space or price advantage of the original strong-fit anchors.</x:v>
      </x:c>
      <x:c r="M517" s="31" t="str">
        <x:v>No</x:v>
      </x:c>
      <x:c r="N517" s="30" t="str"/>
      <x:c r="O517" s="30" t="str">
        <x:v>https://www.propertyguru.com.sg/listing/hdb-for-rent-315-clementi-avenue-4-500275187</x:v>
      </x:c>
    </x:row>
    <x:row r="518" ht="63" customHeight="1">
      <x:c r="A518" s="2" t="str">
        <x:v>S05</x:v>
      </x:c>
      <x:c r="B518" s="2" t="str">
        <x:v>S05-E01</x:v>
      </x:c>
      <x:c r="C518" s="2" t="str">
        <x:v>21227435</x:v>
      </x:c>
      <x:c r="D518" s="2" t="str">
        <x:v>Added</x:v>
      </x:c>
      <x:c r="E518" s="2" t="n">
        <x:v>2</x:v>
      </x:c>
      <x:c r="F518" s="26" t="n">
        <x:v>6500</x:v>
      </x:c>
      <x:c r="G518" s="27" t="n">
        <x:v>4</x:v>
      </x:c>
      <x:c r="H518" s="27" t="n">
        <x:v>1650</x:v>
      </x:c>
      <x:c r="I518" s="2" t="str">
        <x:v>D10</x:v>
      </x:c>
      <x:c r="J518" s="2" t="str">
        <x:v>Condominium</x:v>
      </x:c>
      <x:c r="K518" s="28"/>
      <x:c r="L518" s="30" t="str">
        <x:v>All declared hard requirements pass. Reported rent SGD 6500/month; bedrooms 4; area 1650.0 sqft; D10; Condominium. The 1,500-sqft preference is met, but rent reaches the SGD 6,500 cap. This matches the original grade-2 size-matching listings at that price.</x:v>
      </x:c>
      <x:c r="M518" s="31" t="str">
        <x:v>No</x:v>
      </x:c>
      <x:c r="N518" s="30" t="str"/>
      <x:c r="O518" s="30" t="str">
        <x:v>https://www.propertyguru.com.sg/listing/for-rent-ridgewood-condominium-21227435</x:v>
      </x:c>
    </x:row>
    <x:row r="519" ht="63" customHeight="1">
      <x:c r="A519" s="2" t="str">
        <x:v>S06</x:v>
      </x:c>
      <x:c r="B519" s="2" t="str">
        <x:v>S06-E01</x:v>
      </x:c>
      <x:c r="C519" s="2" t="str">
        <x:v>24508403</x:v>
      </x:c>
      <x:c r="D519" s="2" t="str">
        <x:v>Added</x:v>
      </x:c>
      <x:c r="E519" s="2" t="n">
        <x:v>2</x:v>
      </x:c>
      <x:c r="F519" s="26" t="n">
        <x:v>5000</x:v>
      </x:c>
      <x:c r="G519" s="27" t="n">
        <x:v>2</x:v>
      </x:c>
      <x:c r="H519" s="27" t="n">
        <x:v>904</x:v>
      </x:c>
      <x:c r="I519" s="2" t="str">
        <x:v>D09</x:v>
      </x:c>
      <x:c r="J519" s="2" t="str">
        <x:v>Condominium</x:v>
      </x:c>
      <x:c r="K519" s="28"/>
      <x:c r="L519" s="30" t="str">
        <x:v>All declared hard requirements pass. Reported rent SGD 5000/month; bedrooms 2; area 904.0 sqft; D09; Condominium. The preferred condominium type is met, but 904 sqft offers less space than the approximately 1,000-sqft and larger strong-fit options.</x:v>
      </x:c>
      <x:c r="M519" s="31" t="str">
        <x:v>No</x:v>
      </x:c>
      <x:c r="N519" s="30" t="str"/>
      <x:c r="O519" s="30" t="str">
        <x:v>https://www.propertyguru.com.sg/listing/for-rent-the-peak-cairnhill-ii-24508403</x:v>
      </x:c>
    </x:row>
    <x:row r="520" ht="63" customHeight="1">
      <x:c r="A520" s="2" t="str">
        <x:v>S06</x:v>
      </x:c>
      <x:c r="B520" s="2" t="str">
        <x:v>S06-E02</x:v>
      </x:c>
      <x:c r="C520" s="2" t="str">
        <x:v>19914824</x:v>
      </x:c>
      <x:c r="D520" s="2" t="str">
        <x:v>Added</x:v>
      </x:c>
      <x:c r="E520" s="2" t="n">
        <x:v>3</x:v>
      </x:c>
      <x:c r="F520" s="26" t="n">
        <x:v>5000</x:v>
      </x:c>
      <x:c r="G520" s="27" t="n">
        <x:v>2</x:v>
      </x:c>
      <x:c r="H520" s="27" t="n">
        <x:v>1001</x:v>
      </x:c>
      <x:c r="I520" s="2" t="str">
        <x:v>D10</x:v>
      </x:c>
      <x:c r="J520" s="2" t="str">
        <x:v>Condominium</x:v>
      </x:c>
      <x:c r="K520" s="28"/>
      <x:c r="L520" s="30" t="str">
        <x:v>All declared hard requirements pass. Reported rent SGD 5000/month; bedrooms 2; area 1001.0 sqft; D10; Condominium. The preferred condominium type is met with roughly 979-1,003 sqft, close to the original 1,023-sqft strong-fit anchor. Rent passes the cap and is not an additional stated soft priority.</x:v>
      </x:c>
      <x:c r="M520" s="31" t="str">
        <x:v>No</x:v>
      </x:c>
      <x:c r="N520" s="30" t="str"/>
      <x:c r="O520" s="30" t="str">
        <x:v>https://www.propertyguru.com.sg/listing/for-rent-the-levelz-19914824</x:v>
      </x:c>
    </x:row>
    <x:row r="521" ht="63" customHeight="1">
      <x:c r="A521" s="2" t="str">
        <x:v>S06</x:v>
      </x:c>
      <x:c r="B521" s="2" t="str">
        <x:v>S06-E03</x:v>
      </x:c>
      <x:c r="C521" s="2" t="str">
        <x:v>23335252</x:v>
      </x:c>
      <x:c r="D521" s="2" t="str">
        <x:v>Added</x:v>
      </x:c>
      <x:c r="E521" s="2" t="n">
        <x:v>3</x:v>
      </x:c>
      <x:c r="F521" s="26" t="n">
        <x:v>4500</x:v>
      </x:c>
      <x:c r="G521" s="27" t="n">
        <x:v>2</x:v>
      </x:c>
      <x:c r="H521" s="27" t="n">
        <x:v>979</x:v>
      </x:c>
      <x:c r="I521" s="2" t="str">
        <x:v>D10</x:v>
      </x:c>
      <x:c r="J521" s="2" t="str">
        <x:v>Condominium</x:v>
      </x:c>
      <x:c r="K521" s="28"/>
      <x:c r="L521" s="30" t="str">
        <x:v>All declared hard requirements pass. Reported rent SGD 4500/month; bedrooms 2; area 979.0 sqft; D10; Condominium. The preferred condominium type is met with roughly 979-1,003 sqft, close to the original 1,023-sqft strong-fit anchor. Rent passes the cap and is not an additional stated soft priority.</x:v>
      </x:c>
      <x:c r="M521" s="31" t="str">
        <x:v>No</x:v>
      </x:c>
      <x:c r="N521" s="30" t="str"/>
      <x:c r="O521" s="30" t="str">
        <x:v>https://www.propertyguru.com.sg/listing/for-rent-the-chatelet-23335252</x:v>
      </x:c>
    </x:row>
    <x:row r="522" ht="63" customHeight="1">
      <x:c r="A522" s="2" t="str">
        <x:v>S06</x:v>
      </x:c>
      <x:c r="B522" s="2" t="str">
        <x:v>S06-E04</x:v>
      </x:c>
      <x:c r="C522" s="2" t="str">
        <x:v>25624435</x:v>
      </x:c>
      <x:c r="D522" s="2" t="str">
        <x:v>Added</x:v>
      </x:c>
      <x:c r="E522" s="2" t="n">
        <x:v>2</x:v>
      </x:c>
      <x:c r="F522" s="26" t="n">
        <x:v>4900</x:v>
      </x:c>
      <x:c r="G522" s="27" t="n">
        <x:v>2</x:v>
      </x:c>
      <x:c r="H522" s="27" t="n">
        <x:v>904</x:v>
      </x:c>
      <x:c r="I522" s="2" t="str">
        <x:v>D09</x:v>
      </x:c>
      <x:c r="J522" s="2" t="str">
        <x:v>Condominium</x:v>
      </x:c>
      <x:c r="K522" s="28"/>
      <x:c r="L522" s="30" t="str">
        <x:v>All declared hard requirements pass. Reported rent SGD 4900/month; bedrooms 2; area 904.0 sqft; D09; Condominium. The preferred condominium type is met, but 904 sqft offers less space than the approximately 1,000-sqft and larger strong-fit options.</x:v>
      </x:c>
      <x:c r="M522" s="31" t="str">
        <x:v>No</x:v>
      </x:c>
      <x:c r="N522" s="30" t="str"/>
      <x:c r="O522" s="30" t="str">
        <x:v>https://www.propertyguru.com.sg/listing/for-rent-the-peak-cairnhill-ii-25624435</x:v>
      </x:c>
    </x:row>
    <x:row r="523" ht="63" customHeight="1">
      <x:c r="A523" s="2" t="str">
        <x:v>S06</x:v>
      </x:c>
      <x:c r="B523" s="2" t="str">
        <x:v>S06-E05</x:v>
      </x:c>
      <x:c r="C523" s="2" t="str">
        <x:v>19642827</x:v>
      </x:c>
      <x:c r="D523" s="2" t="str">
        <x:v>Added</x:v>
      </x:c>
      <x:c r="E523" s="2" t="n">
        <x:v>3</x:v>
      </x:c>
      <x:c r="F523" s="26" t="n">
        <x:v>5000</x:v>
      </x:c>
      <x:c r="G523" s="27" t="n">
        <x:v>2</x:v>
      </x:c>
      <x:c r="H523" s="27" t="n">
        <x:v>990</x:v>
      </x:c>
      <x:c r="I523" s="2" t="str">
        <x:v>D10</x:v>
      </x:c>
      <x:c r="J523" s="2" t="str">
        <x:v>Condominium</x:v>
      </x:c>
      <x:c r="K523" s="28"/>
      <x:c r="L523" s="30" t="str">
        <x:v>All declared hard requirements pass. Reported rent SGD 5000/month; bedrooms 2; area 990.0 sqft; D10; Condominium. The preferred condominium type is met with roughly 979-1,003 sqft, close to the original 1,023-sqft strong-fit anchor. Rent passes the cap and is not an additional stated soft priority.</x:v>
      </x:c>
      <x:c r="M523" s="31" t="str">
        <x:v>No</x:v>
      </x:c>
      <x:c r="N523" s="30" t="str"/>
      <x:c r="O523" s="30" t="str">
        <x:v>https://www.propertyguru.com.sg/listing/for-rent-the-levelz-19642827</x:v>
      </x:c>
    </x:row>
    <x:row r="524" ht="63" customHeight="1">
      <x:c r="A524" s="2" t="str">
        <x:v>S06</x:v>
      </x:c>
      <x:c r="B524" s="2" t="str">
        <x:v>S06-E06</x:v>
      </x:c>
      <x:c r="C524" s="2" t="str">
        <x:v>23079504</x:v>
      </x:c>
      <x:c r="D524" s="2" t="str">
        <x:v>Added</x:v>
      </x:c>
      <x:c r="E524" s="2" t="n">
        <x:v>3</x:v>
      </x:c>
      <x:c r="F524" s="26" t="n">
        <x:v>4200</x:v>
      </x:c>
      <x:c r="G524" s="27" t="n">
        <x:v>2</x:v>
      </x:c>
      <x:c r="H524" s="27" t="n">
        <x:v>1003</x:v>
      </x:c>
      <x:c r="I524" s="2" t="str">
        <x:v>D10</x:v>
      </x:c>
      <x:c r="J524" s="2" t="str">
        <x:v>Condominium</x:v>
      </x:c>
      <x:c r="K524" s="28" t="n">
        <x:v>2609.592361220236</x:v>
      </x:c>
      <x:c r="L524" s="30" t="str">
        <x:v>All declared hard requirements pass. Reported rent SGD 4200/month; bedrooms 2; area 1003.0 sqft; D10; Condominium. The preferred condominium type is met with roughly 979-1,003 sqft, close to the original 1,023-sqft strong-fit anchor. Rent passes the cap and is not an additional stated soft priority.</x:v>
      </x:c>
      <x:c r="M524" s="31" t="str">
        <x:v>No</x:v>
      </x:c>
      <x:c r="N524" s="30" t="str"/>
      <x:c r="O524" s="30" t="str">
        <x:v>https://www.propertyguru.com.sg/listing/for-rent-allsworth-park-23079504</x:v>
      </x:c>
    </x:row>
    <x:row r="525" ht="63" customHeight="1">
      <x:c r="A525" s="2" t="str">
        <x:v>S07</x:v>
      </x:c>
      <x:c r="B525" s="2" t="str">
        <x:v>S07-E01</x:v>
      </x:c>
      <x:c r="C525" s="2" t="str">
        <x:v>25187783</x:v>
      </x:c>
      <x:c r="D525" s="2" t="str">
        <x:v>Added</x:v>
      </x:c>
      <x:c r="E525" s="2" t="n">
        <x:v>2</x:v>
      </x:c>
      <x:c r="F525" s="26" t="n">
        <x:v>3000</x:v>
      </x:c>
      <x:c r="G525" s="27" t="n">
        <x:v>2</x:v>
      </x:c>
      <x:c r="H525" s="27" t="n">
        <x:v>797</x:v>
      </x:c>
      <x:c r="I525" s="2" t="str">
        <x:v>D18</x:v>
      </x:c>
      <x:c r="J525" s="2" t="str">
        <x:v>HDB Flat</x:v>
      </x:c>
      <x:c r="K525" s="28" t="n">
        <x:v>18805.41634867024</x:v>
      </x:c>
      <x:c r="L525" s="30" t="str">
        <x:v>All declared hard requirements pass. Reported rent SGD 3000/month; bedrooms 2; area 797.0 sqft; D18; HDB Flat. D18 is met. Rent of SGD 2,950-3,000 is above the original strong-fit D18 anchors at SGD 700-2,900, giving a useful location match with a price trade-off.</x:v>
      </x:c>
      <x:c r="M525" s="31" t="str">
        <x:v>No</x:v>
      </x:c>
      <x:c r="N525" s="30" t="str"/>
      <x:c r="O525" s="30" t="str">
        <x:v>https://www.propertyguru.com.sg/listing/hdb-for-rent-854-tampines-street-82-25187783</x:v>
      </x:c>
    </x:row>
    <x:row r="526" ht="63" customHeight="1">
      <x:c r="A526" s="2" t="str">
        <x:v>S07</x:v>
      </x:c>
      <x:c r="B526" s="2" t="str">
        <x:v>S07-E02</x:v>
      </x:c>
      <x:c r="C526" s="2" t="str">
        <x:v>24362276</x:v>
      </x:c>
      <x:c r="D526" s="2" t="str">
        <x:v>Added</x:v>
      </x:c>
      <x:c r="E526" s="2" t="n">
        <x:v>2</x:v>
      </x:c>
      <x:c r="F526" s="26" t="n">
        <x:v>3000</x:v>
      </x:c>
      <x:c r="G526" s="27" t="n">
        <x:v>2</x:v>
      </x:c>
      <x:c r="H526" s="27" t="n">
        <x:v>732</x:v>
      </x:c>
      <x:c r="I526" s="2" t="str">
        <x:v>D18</x:v>
      </x:c>
      <x:c r="J526" s="2" t="str">
        <x:v>HDB Flat</x:v>
      </x:c>
      <x:c r="K526" s="28" t="n">
        <x:v>20235.446654815398</x:v>
      </x:c>
      <x:c r="L526" s="30" t="str">
        <x:v>All declared hard requirements pass. Reported rent SGD 3000/month; bedrooms 2; area 732.0 sqft; D18; HDB Flat. D18 is met. Rent of SGD 2,950-3,000 is above the original strong-fit D18 anchors at SGD 700-2,900, giving a useful location match with a price trade-off.</x:v>
      </x:c>
      <x:c r="M526" s="31" t="str">
        <x:v>No</x:v>
      </x:c>
      <x:c r="N526" s="30" t="str"/>
      <x:c r="O526" s="30" t="str">
        <x:v>https://www.propertyguru.com.sg/listing/hdb-for-rent-258-tampines-street-21-24362276</x:v>
      </x:c>
    </x:row>
    <x:row r="527" ht="63" customHeight="1">
      <x:c r="A527" s="2" t="str">
        <x:v>S07</x:v>
      </x:c>
      <x:c r="B527" s="2" t="str">
        <x:v>S07-E03</x:v>
      </x:c>
      <x:c r="C527" s="2" t="str">
        <x:v>24640962</x:v>
      </x:c>
      <x:c r="D527" s="2" t="str">
        <x:v>Added</x:v>
      </x:c>
      <x:c r="E527" s="2" t="n">
        <x:v>2</x:v>
      </x:c>
      <x:c r="F527" s="26" t="n">
        <x:v>3000</x:v>
      </x:c>
      <x:c r="G527" s="27" t="n">
        <x:v>2</x:v>
      </x:c>
      <x:c r="H527" s="27" t="n">
        <x:v>785</x:v>
      </x:c>
      <x:c r="I527" s="2" t="str">
        <x:v>D18</x:v>
      </x:c>
      <x:c r="J527" s="2" t="str">
        <x:v>HDB Flat</x:v>
      </x:c>
      <x:c r="K527" s="28" t="n">
        <x:v>19366.795477100313</x:v>
      </x:c>
      <x:c r="L527" s="30" t="str">
        <x:v>All declared hard requirements pass. Reported rent SGD 3000/month; bedrooms 2; area 785.0 sqft; D18; HDB Flat. D18 is met. Rent of SGD 2,950-3,000 is above the original strong-fit D18 anchors at SGD 700-2,900, giving a useful location match with a price trade-off.</x:v>
      </x:c>
      <x:c r="M527" s="31" t="str">
        <x:v>No</x:v>
      </x:c>
      <x:c r="N527" s="30" t="str"/>
      <x:c r="O527" s="30" t="str">
        <x:v>https://www.propertyguru.com.sg/listing/hdb-for-rent-144-tampines-street-12-24640962</x:v>
      </x:c>
    </x:row>
    <x:row r="528" ht="63" customHeight="1">
      <x:c r="A528" s="2" t="str">
        <x:v>S07</x:v>
      </x:c>
      <x:c r="B528" s="2" t="str">
        <x:v>S07-E04</x:v>
      </x:c>
      <x:c r="C528" s="2" t="str">
        <x:v>9594504</x:v>
      </x:c>
      <x:c r="D528" s="2" t="str">
        <x:v>Added</x:v>
      </x:c>
      <x:c r="E528" s="2" t="n">
        <x:v>2</x:v>
      </x:c>
      <x:c r="F528" s="26" t="n">
        <x:v>2950</x:v>
      </x:c>
      <x:c r="G528" s="27" t="n">
        <x:v>2</x:v>
      </x:c>
      <x:c r="H528" s="27" t="n">
        <x:v>1500</x:v>
      </x:c>
      <x:c r="I528" s="2" t="str">
        <x:v>D18</x:v>
      </x:c>
      <x:c r="J528" s="2" t="str">
        <x:v>HDB Flat</x:v>
      </x:c>
      <x:c r="K528" s="28" t="n">
        <x:v>20567.34425943185</x:v>
      </x:c>
      <x:c r="L528" s="30" t="str">
        <x:v>All declared hard requirements pass. Reported rent SGD 2950/month; bedrooms 2; area 1500.0 sqft; D18; HDB Flat. D18 is met. Rent of SGD 2,950-3,000 is above the original strong-fit D18 anchors at SGD 700-2,900, giving a useful location match with a price trade-off.</x:v>
      </x:c>
      <x:c r="M528" s="31" t="str">
        <x:v>No</x:v>
      </x:c>
      <x:c r="N528" s="30" t="str"/>
      <x:c r="O528" s="30" t="str">
        <x:v>https://www.propertyguru.com.sg/listing/hdb-for-rent-601-elias-road-9594504</x:v>
      </x:c>
    </x:row>
    <x:row r="529" ht="63" customHeight="1">
      <x:c r="A529" s="2" t="str">
        <x:v>S07</x:v>
      </x:c>
      <x:c r="B529" s="2" t="str">
        <x:v>S07-E05</x:v>
      </x:c>
      <x:c r="C529" s="2" t="str">
        <x:v>25096808</x:v>
      </x:c>
      <x:c r="D529" s="2" t="str">
        <x:v>Added</x:v>
      </x:c>
      <x:c r="E529" s="2" t="n">
        <x:v>2</x:v>
      </x:c>
      <x:c r="F529" s="26" t="n">
        <x:v>3000</x:v>
      </x:c>
      <x:c r="G529" s="27" t="n">
        <x:v>2</x:v>
      </x:c>
      <x:c r="H529" s="27" t="n">
        <x:v>796</x:v>
      </x:c>
      <x:c r="I529" s="2" t="str">
        <x:v>D18</x:v>
      </x:c>
      <x:c r="J529" s="2" t="str">
        <x:v>HDB Flat</x:v>
      </x:c>
      <x:c r="K529" s="28" t="n">
        <x:v>20506.598311938902</x:v>
      </x:c>
      <x:c r="L529" s="30" t="str">
        <x:v>All declared hard requirements pass. Reported rent SGD 3000/month; bedrooms 2; area 796.0 sqft; D18; HDB Flat. D18 is met. Rent of SGD 2,950-3,000 is above the original strong-fit D18 anchors at SGD 700-2,900, giving a useful location match with a price trade-off.</x:v>
      </x:c>
      <x:c r="M529" s="31" t="str">
        <x:v>No</x:v>
      </x:c>
      <x:c r="N529" s="30" t="str"/>
      <x:c r="O529" s="30" t="str">
        <x:v>https://www.propertyguru.com.sg/listing/hdb-for-rent-287-tampines-street-22-25096808</x:v>
      </x:c>
    </x:row>
    <x:row r="530" ht="63" customHeight="1">
      <x:c r="A530" s="2" t="str">
        <x:v>S07</x:v>
      </x:c>
      <x:c r="B530" s="2" t="str">
        <x:v>S07-E06</x:v>
      </x:c>
      <x:c r="C530" s="2" t="str">
        <x:v>500272797</x:v>
      </x:c>
      <x:c r="D530" s="2" t="str">
        <x:v>Added</x:v>
      </x:c>
      <x:c r="E530" s="2" t="n">
        <x:v>2</x:v>
      </x:c>
      <x:c r="F530" s="26" t="n">
        <x:v>2999</x:v>
      </x:c>
      <x:c r="G530" s="27" t="n">
        <x:v>3</x:v>
      </x:c>
      <x:c r="H530" s="27" t="n">
        <x:v>1119</x:v>
      </x:c>
      <x:c r="I530" s="2" t="str">
        <x:v>D18</x:v>
      </x:c>
      <x:c r="J530" s="2" t="str">
        <x:v>HDB Flat</x:v>
      </x:c>
      <x:c r="K530" s="28" t="n">
        <x:v>20215.452555986783</x:v>
      </x:c>
      <x:c r="L530" s="30" t="str">
        <x:v>All declared hard requirements pass. Reported rent SGD 2999/month; bedrooms 3; area 1119.0 sqft; D18; HDB Flat. D18 is met. Rent of SGD 2,950-3,000 is above the original strong-fit D18 anchors at SGD 700-2,900, giving a useful location match with a price trade-off.</x:v>
      </x:c>
      <x:c r="M530" s="31" t="str">
        <x:v>No</x:v>
      </x:c>
      <x:c r="N530" s="30" t="str"/>
      <x:c r="O530" s="30" t="str">
        <x:v>https://www.propertyguru.com.sg/listing/hdb-for-rent-637-pasir-ris-drive-1-500272797</x:v>
      </x:c>
    </x:row>
    <x:row r="531" ht="63" customHeight="1">
      <x:c r="A531" s="2" t="str">
        <x:v>S08</x:v>
      </x:c>
      <x:c r="B531" s="2" t="str">
        <x:v>S08-E01</x:v>
      </x:c>
      <x:c r="C531" s="2" t="str">
        <x:v>500017035</x:v>
      </x:c>
      <x:c r="D531" s="2" t="str">
        <x:v>Added</x:v>
      </x:c>
      <x:c r="E531" s="2" t="n">
        <x:v>2</x:v>
      </x:c>
      <x:c r="F531" s="26" t="n">
        <x:v>2985</x:v>
      </x:c>
      <x:c r="G531" s="27" t="n">
        <x:v>1</x:v>
      </x:c>
      <x:c r="H531" s="27" t="n">
        <x:v>400</x:v>
      </x:c>
      <x:c r="I531" s="2" t="str">
        <x:v>D03</x:v>
      </x:c>
      <x:c r="J531" s="2" t="str">
        <x:v>Condominium</x:v>
      </x:c>
      <x:c r="K531" s="28"/>
      <x:c r="L531" s="30" t="str">
        <x:v>All declared hard requirements pass. Reported rent SGD 2985/month; bedrooms 1; area 400.0 sqft; D03; Condominium. The primary district preference is met but the reported area misses 500 sqft, consistent with the original grade-2 preferred-district listings. Whole-unit scope is not established.</x:v>
      </x:c>
      <x:c r="M531" s="31" t="str">
        <x:v>No</x:v>
      </x:c>
      <x:c r="N531" s="30" t="str"/>
      <x:c r="O531" s="30" t="str">
        <x:v>https://www.propertyguru.com.sg/listing/for-rent-principal-garden-500017035</x:v>
      </x:c>
    </x:row>
    <x:row r="532" ht="63" customHeight="1">
      <x:c r="A532" s="2" t="str">
        <x:v>S08</x:v>
      </x:c>
      <x:c r="B532" s="2" t="str">
        <x:v>S08-E02</x:v>
      </x:c>
      <x:c r="C532" s="2" t="str">
        <x:v>25283210</x:v>
      </x:c>
      <x:c r="D532" s="2" t="str">
        <x:v>Added</x:v>
      </x:c>
      <x:c r="E532" s="2" t="n">
        <x:v>2</x:v>
      </x:c>
      <x:c r="F532" s="26" t="n">
        <x:v>1200</x:v>
      </x:c>
      <x:c r="G532" s="27" t="n">
        <x:v>1</x:v>
      </x:c>
      <x:c r="H532" s="27" t="n">
        <x:v>200</x:v>
      </x:c>
      <x:c r="I532" s="2" t="str">
        <x:v>D05</x:v>
      </x:c>
      <x:c r="J532" s="2" t="str">
        <x:v>Condominium</x:v>
      </x:c>
      <x:c r="K532" s="28"/>
      <x:c r="L532" s="30" t="str">
        <x:v>All declared hard requirements pass. Reported rent SGD 1200/month; bedrooms 1; area 200.0 sqft; D05; Condominium. The primary district preference is met but the reported area misses 500 sqft, consistent with the original grade-2 preferred-district listings. Whole-unit scope is not established.</x:v>
      </x:c>
      <x:c r="M532" s="31" t="str">
        <x:v>No</x:v>
      </x:c>
      <x:c r="N532" s="30" t="str"/>
      <x:c r="O532" s="30" t="str">
        <x:v>https://www.propertyguru.com.sg/listing/for-rent-heritage-view-25283210</x:v>
      </x:c>
    </x:row>
    <x:row r="533" ht="63" customHeight="1">
      <x:c r="A533" s="2" t="str">
        <x:v>S08</x:v>
      </x:c>
      <x:c r="B533" s="2" t="str">
        <x:v>S08-E03</x:v>
      </x:c>
      <x:c r="C533" s="2" t="str">
        <x:v>500233584</x:v>
      </x:c>
      <x:c r="D533" s="2" t="str">
        <x:v>Added</x:v>
      </x:c>
      <x:c r="E533" s="2" t="n">
        <x:v>2</x:v>
      </x:c>
      <x:c r="F533" s="26" t="n">
        <x:v>1450</x:v>
      </x:c>
      <x:c r="G533" s="27" t="n">
        <x:v>1</x:v>
      </x:c>
      <x:c r="H533" s="27" t="n">
        <x:v>100</x:v>
      </x:c>
      <x:c r="I533" s="2" t="str">
        <x:v>D03</x:v>
      </x:c>
      <x:c r="J533" s="2" t="str">
        <x:v>Condominium</x:v>
      </x:c>
      <x:c r="K533" s="28"/>
      <x:c r="L533" s="30" t="str">
        <x:v>All declared hard requirements pass. Reported rent SGD 1450/month; bedrooms 1; area 100.0 sqft; D03; Condominium. The primary district preference is met but the reported area misses 500 sqft, consistent with the original grade-2 preferred-district listings. Whole-unit scope is not established.</x:v>
      </x:c>
      <x:c r="M533" s="31" t="str">
        <x:v>No</x:v>
      </x:c>
      <x:c r="N533" s="30" t="str"/>
      <x:c r="O533" s="30" t="str">
        <x:v>https://www.propertyguru.com.sg/listing/for-rent-meraprime-500233584</x:v>
      </x:c>
    </x:row>
    <x:row r="534" ht="63" customHeight="1">
      <x:c r="A534" s="2" t="str">
        <x:v>S08</x:v>
      </x:c>
      <x:c r="B534" s="2" t="str">
        <x:v>S08-E04</x:v>
      </x:c>
      <x:c r="C534" s="2" t="str">
        <x:v>24863047</x:v>
      </x:c>
      <x:c r="D534" s="2" t="str">
        <x:v>Added</x:v>
      </x:c>
      <x:c r="E534" s="2" t="n">
        <x:v>2</x:v>
      </x:c>
      <x:c r="F534" s="26" t="n">
        <x:v>3000</x:v>
      </x:c>
      <x:c r="G534" s="27" t="n">
        <x:v>1</x:v>
      </x:c>
      <x:c r="H534" s="27" t="n">
        <x:v>180</x:v>
      </x:c>
      <x:c r="I534" s="2" t="str">
        <x:v>D05</x:v>
      </x:c>
      <x:c r="J534" s="2" t="str">
        <x:v>Apartment</x:v>
      </x:c>
      <x:c r="K534" s="28"/>
      <x:c r="L534" s="30" t="str">
        <x:v>All declared hard requirements pass. Reported rent SGD 3000/month; bedrooms 1; area 180.0 sqft; D05; Apartment. The primary district preference is met but the reported area misses 500 sqft, consistent with the original grade-2 preferred-district listings. Whole-unit scope is not established.</x:v>
      </x:c>
      <x:c r="M534" s="31" t="str">
        <x:v>No</x:v>
      </x:c>
      <x:c r="N534" s="30" t="str"/>
      <x:c r="O534" s="30" t="str">
        <x:v>https://www.propertyguru.com.sg/listing/for-rent-coliwoo-pasir-panjang-walking-distance-to-nus-24863047</x:v>
      </x:c>
    </x:row>
    <x:row r="535" ht="63" customHeight="1">
      <x:c r="A535" s="2" t="str">
        <x:v>S08</x:v>
      </x:c>
      <x:c r="B535" s="2" t="str">
        <x:v>S08-E05</x:v>
      </x:c>
      <x:c r="C535" s="2" t="str">
        <x:v>500265596</x:v>
      </x:c>
      <x:c r="D535" s="2" t="str">
        <x:v>Added</x:v>
      </x:c>
      <x:c r="E535" s="2" t="n">
        <x:v>2</x:v>
      </x:c>
      <x:c r="F535" s="26" t="n">
        <x:v>950</x:v>
      </x:c>
      <x:c r="G535" s="27" t="n">
        <x:v>1</x:v>
      </x:c>
      <x:c r="H535" s="27" t="n">
        <x:v>50</x:v>
      </x:c>
      <x:c r="I535" s="2" t="str">
        <x:v>D03</x:v>
      </x:c>
      <x:c r="J535" s="2" t="str">
        <x:v>Condominium</x:v>
      </x:c>
      <x:c r="K535" s="28"/>
      <x:c r="L535" s="30" t="str">
        <x:v>All declared hard requirements pass. Reported rent SGD 950/month; bedrooms 1; area 50.0 sqft; D03; Condominium. The primary district preference is met but the reported area misses 500 sqft, consistent with the original grade-2 preferred-district listings. Whole-unit scope is not established.</x:v>
      </x:c>
      <x:c r="M535" s="31" t="str">
        <x:v>No</x:v>
      </x:c>
      <x:c r="N535" s="30" t="str"/>
      <x:c r="O535" s="30" t="str">
        <x:v>https://www.propertyguru.com.sg/listing/for-rent-emerald-park-500265596</x:v>
      </x:c>
    </x:row>
    <x:row r="536" ht="63" customHeight="1">
      <x:c r="A536" s="2" t="str">
        <x:v>S09</x:v>
      </x:c>
      <x:c r="B536" s="2" t="str">
        <x:v>S09-E01</x:v>
      </x:c>
      <x:c r="C536" s="2" t="str">
        <x:v>500271006</x:v>
      </x:c>
      <x:c r="D536" s="2" t="str">
        <x:v>Added</x:v>
      </x:c>
      <x:c r="E536" s="2" t="n">
        <x:v>3</x:v>
      </x:c>
      <x:c r="F536" s="26" t="n">
        <x:v>3500</x:v>
      </x:c>
      <x:c r="G536" s="27" t="n">
        <x:v>3</x:v>
      </x:c>
      <x:c r="H536" s="27" t="n">
        <x:v>1356</x:v>
      </x:c>
      <x:c r="I536" s="2" t="str">
        <x:v>D18</x:v>
      </x:c>
      <x:c r="J536" s="2" t="str">
        <x:v>HDB Flat</x:v>
      </x:c>
      <x:c r="K536" s="28" t="n">
        <x:v>21637.839797800178</x:v>
      </x:c>
      <x:c r="L536" s="30" t="str">
        <x:v>All declared hard requirements pass. Reported rent SGD 3500/month; bedrooms 3; area 1356.0 sqft; D18; HDB Flat. Mandatory area and bedrooms pass, D18 is met, and SGD 3,500 equals the original strong-fit D18 anchor rather than the SGD 3,900-4,300 grade-2 alternatives.</x:v>
      </x:c>
      <x:c r="M536" s="31" t="str">
        <x:v>No</x:v>
      </x:c>
      <x:c r="N536" s="30" t="str"/>
      <x:c r="O536" s="30" t="str">
        <x:v>https://www.propertyguru.com.sg/listing/hdb-for-rent-189-pasir-ris-street-12-500271006</x:v>
      </x:c>
    </x:row>
    <x:row r="537" ht="63" customHeight="1">
      <x:c r="A537" s="2" t="str">
        <x:v>S09</x:v>
      </x:c>
      <x:c r="B537" s="2" t="str">
        <x:v>S09-E02</x:v>
      </x:c>
      <x:c r="C537" s="2" t="str">
        <x:v>19578583</x:v>
      </x:c>
      <x:c r="D537" s="2" t="str">
        <x:v>Added</x:v>
      </x:c>
      <x:c r="E537" s="2" t="n">
        <x:v>3</x:v>
      </x:c>
      <x:c r="F537" s="26" t="n">
        <x:v>3500</x:v>
      </x:c>
      <x:c r="G537" s="27" t="n">
        <x:v>3</x:v>
      </x:c>
      <x:c r="H537" s="27" t="n">
        <x:v>1119</x:v>
      </x:c>
      <x:c r="I537" s="2" t="str">
        <x:v>D18</x:v>
      </x:c>
      <x:c r="J537" s="2" t="str">
        <x:v>HDB Flat</x:v>
      </x:c>
      <x:c r="K537" s="28" t="n">
        <x:v>20270.165576445306</x:v>
      </x:c>
      <x:c r="L537" s="30" t="str">
        <x:v>All declared hard requirements pass. Reported rent SGD 3500/month; bedrooms 3; area 1119.0 sqft; D18; HDB Flat. Mandatory area and bedrooms pass, D18 is met, and SGD 3,500 equals the original strong-fit D18 anchor rather than the SGD 3,900-4,300 grade-2 alternatives.</x:v>
      </x:c>
      <x:c r="M537" s="31" t="str">
        <x:v>No</x:v>
      </x:c>
      <x:c r="N537" s="30" t="str"/>
      <x:c r="O537" s="30" t="str">
        <x:v>https://www.propertyguru.com.sg/listing/hdb-for-rent-634-pasir-ris-drive-1-19578583</x:v>
      </x:c>
    </x:row>
    <x:row r="538" ht="63" customHeight="1">
      <x:c r="A538" s="2" t="str">
        <x:v>S09</x:v>
      </x:c>
      <x:c r="B538" s="2" t="str">
        <x:v>S09-E03</x:v>
      </x:c>
      <x:c r="C538" s="2" t="str">
        <x:v>500280279</x:v>
      </x:c>
      <x:c r="D538" s="2" t="str">
        <x:v>Added</x:v>
      </x:c>
      <x:c r="E538" s="2" t="n">
        <x:v>3</x:v>
      </x:c>
      <x:c r="F538" s="26" t="n">
        <x:v>3500</x:v>
      </x:c>
      <x:c r="G538" s="27" t="n">
        <x:v>3</x:v>
      </x:c>
      <x:c r="H538" s="27" t="n">
        <x:v>1087</x:v>
      </x:c>
      <x:c r="I538" s="2" t="str">
        <x:v>D18</x:v>
      </x:c>
      <x:c r="J538" s="2" t="str">
        <x:v>HDB Flat</x:v>
      </x:c>
      <x:c r="K538" s="28" t="n">
        <x:v>18087.27980811651</x:v>
      </x:c>
      <x:c r="L538" s="30" t="str">
        <x:v>All declared hard requirements pass. Reported rent SGD 3500/month; bedrooms 3; area 1087.0 sqft; D18; HDB Flat. Mandatory area and bedrooms pass, D18 is met, and SGD 3,500 equals the original strong-fit D18 anchor rather than the SGD 3,900-4,300 grade-2 alternatives.</x:v>
      </x:c>
      <x:c r="M538" s="31" t="str">
        <x:v>No</x:v>
      </x:c>
      <x:c r="N538" s="30" t="str"/>
      <x:c r="O538" s="30" t="str">
        <x:v>https://www.propertyguru.com.sg/listing/hdb-for-rent-891-tampines-avenue-8-500280279</x:v>
      </x:c>
    </x:row>
    <x:row r="539" ht="63" customHeight="1">
      <x:c r="A539" s="2" t="str">
        <x:v>S09</x:v>
      </x:c>
      <x:c r="B539" s="2" t="str">
        <x:v>S09-E04</x:v>
      </x:c>
      <x:c r="C539" s="2" t="str">
        <x:v>500191517</x:v>
      </x:c>
      <x:c r="D539" s="2" t="str">
        <x:v>Added</x:v>
      </x:c>
      <x:c r="E539" s="2" t="n">
        <x:v>3</x:v>
      </x:c>
      <x:c r="F539" s="26" t="n">
        <x:v>3500</x:v>
      </x:c>
      <x:c r="G539" s="27" t="n">
        <x:v>3</x:v>
      </x:c>
      <x:c r="H539" s="27" t="n">
        <x:v>1400</x:v>
      </x:c>
      <x:c r="I539" s="2" t="str">
        <x:v>D18</x:v>
      </x:c>
      <x:c r="J539" s="2" t="str">
        <x:v>HDB Flat</x:v>
      </x:c>
      <x:c r="K539" s="28" t="n">
        <x:v>22197.268568135496</x:v>
      </x:c>
      <x:c r="L539" s="30" t="str">
        <x:v>All declared hard requirements pass. Reported rent SGD 3500/month; bedrooms 3; area 1400.0 sqft; D18; HDB Flat. Mandatory area and bedrooms pass, D18 is met, and SGD 3,500 equals the original strong-fit D18 anchor rather than the SGD 3,900-4,300 grade-2 alternatives.</x:v>
      </x:c>
      <x:c r="M539" s="31" t="str">
        <x:v>No</x:v>
      </x:c>
      <x:c r="N539" s="30" t="str"/>
      <x:c r="O539" s="30" t="str">
        <x:v>https://www.propertyguru.com.sg/listing/hdb-for-rent-256-pasir-ris-street-21-500191517</x:v>
      </x:c>
    </x:row>
    <x:row r="540" ht="63" customHeight="1">
      <x:c r="A540" s="2" t="str">
        <x:v>S09</x:v>
      </x:c>
      <x:c r="B540" s="2" t="str">
        <x:v>S09-E05</x:v>
      </x:c>
      <x:c r="C540" s="2" t="str">
        <x:v>500216950</x:v>
      </x:c>
      <x:c r="D540" s="2" t="str">
        <x:v>Added</x:v>
      </x:c>
      <x:c r="E540" s="2" t="n">
        <x:v>3</x:v>
      </x:c>
      <x:c r="F540" s="26" t="n">
        <x:v>3500</x:v>
      </x:c>
      <x:c r="G540" s="27" t="n">
        <x:v>3</x:v>
      </x:c>
      <x:c r="H540" s="27" t="n">
        <x:v>1119</x:v>
      </x:c>
      <x:c r="I540" s="2" t="str">
        <x:v>D18</x:v>
      </x:c>
      <x:c r="J540" s="2" t="str">
        <x:v>HDB Flat</x:v>
      </x:c>
      <x:c r="K540" s="28" t="n">
        <x:v>20607.10046720022</x:v>
      </x:c>
      <x:c r="L540" s="30" t="str">
        <x:v>All declared hard requirements pass. Reported rent SGD 3500/month; bedrooms 3; area 1119.0 sqft; D18; HDB Flat. Mandatory area and bedrooms pass, D18 is met, and SGD 3,500 equals the original strong-fit D18 anchor rather than the SGD 3,900-4,300 grade-2 alternatives.</x:v>
      </x:c>
      <x:c r="M540" s="31" t="str">
        <x:v>No</x:v>
      </x:c>
      <x:c r="N540" s="30" t="str"/>
      <x:c r="O540" s="30" t="str">
        <x:v>https://www.propertyguru.com.sg/listing/hdb-for-rent-438-tampines-street-43-500216950</x:v>
      </x:c>
    </x:row>
    <x:row r="541" ht="63" customHeight="1">
      <x:c r="A541" s="2" t="str">
        <x:v>S09</x:v>
      </x:c>
      <x:c r="B541" s="2" t="str">
        <x:v>S09-E06</x:v>
      </x:c>
      <x:c r="C541" s="2" t="str">
        <x:v>20506999</x:v>
      </x:c>
      <x:c r="D541" s="2" t="str">
        <x:v>Added</x:v>
      </x:c>
      <x:c r="E541" s="2" t="n">
        <x:v>3</x:v>
      </x:c>
      <x:c r="F541" s="26" t="n">
        <x:v>3500</x:v>
      </x:c>
      <x:c r="G541" s="27" t="n">
        <x:v>3</x:v>
      </x:c>
      <x:c r="H541" s="27" t="n">
        <x:v>1194</x:v>
      </x:c>
      <x:c r="I541" s="2" t="str">
        <x:v>D18</x:v>
      </x:c>
      <x:c r="J541" s="2" t="str">
        <x:v>HDB Flat</x:v>
      </x:c>
      <x:c r="K541" s="28" t="n">
        <x:v>20111.45584861252</x:v>
      </x:c>
      <x:c r="L541" s="30" t="str">
        <x:v>All declared hard requirements pass. Reported rent SGD 3500/month; bedrooms 3; area 1194.0 sqft; D18; HDB Flat. Mandatory area and bedrooms pass, D18 is met, and SGD 3,500 equals the original strong-fit D18 anchor rather than the SGD 3,900-4,300 grade-2 alternatives.</x:v>
      </x:c>
      <x:c r="M541" s="31" t="str">
        <x:v>No</x:v>
      </x:c>
      <x:c r="N541" s="30" t="str"/>
      <x:c r="O541" s="30" t="str">
        <x:v>https://www.propertyguru.com.sg/listing/hdb-for-rent-718-pasir-ris-street-72-20506999</x:v>
      </x:c>
    </x:row>
    <x:row r="542" ht="63" customHeight="1">
      <x:c r="A542" s="2" t="str">
        <x:v>S10</x:v>
      </x:c>
      <x:c r="B542" s="2" t="str">
        <x:v>S10-E01</x:v>
      </x:c>
      <x:c r="C542" s="2" t="str">
        <x:v>500228638</x:v>
      </x:c>
      <x:c r="D542" s="2" t="str">
        <x:v>Added</x:v>
      </x:c>
      <x:c r="E542" s="2" t="n">
        <x:v>3</x:v>
      </x:c>
      <x:c r="F542" s="26" t="n">
        <x:v>7000</x:v>
      </x:c>
      <x:c r="G542" s="27" t="n">
        <x:v>5</x:v>
      </x:c>
      <x:c r="H542" s="27" t="n">
        <x:v>4000</x:v>
      </x:c>
      <x:c r="I542" s="2" t="str">
        <x:v>D21</x:v>
      </x:c>
      <x:c r="J542" s="2" t="str">
        <x:v>Terraced House</x:v>
      </x:c>
      <x:c r="K542" s="28"/>
      <x:c r="L542" s="30" t="str">
        <x:v>All declared hard requirements pass. Reported rent SGD 7000/month; bedrooms 5; area 4000.0 sqft; D21; Terraced House. Reported area of 4,000 sqft matches the original strong-fit 4,000-sqft anchor. Rent of SGD 6,900-7,000 is the accepted trade-off under the space-first preference.</x:v>
      </x:c>
      <x:c r="M542" s="31" t="str">
        <x:v>No</x:v>
      </x:c>
      <x:c r="N542" s="30" t="str"/>
      <x:c r="O542" s="30" t="str">
        <x:v>https://www.propertyguru.com.sg/listing/for-rent-toh-tuck-road-500228638</x:v>
      </x:c>
    </x:row>
    <x:row r="543" ht="63" customHeight="1">
      <x:c r="A543" s="2" t="str">
        <x:v>S10</x:v>
      </x:c>
      <x:c r="B543" s="2" t="str">
        <x:v>S10-E02</x:v>
      </x:c>
      <x:c r="C543" s="2" t="str">
        <x:v>500210327</x:v>
      </x:c>
      <x:c r="D543" s="2" t="str">
        <x:v>Added</x:v>
      </x:c>
      <x:c r="E543" s="2" t="n">
        <x:v>3</x:v>
      </x:c>
      <x:c r="F543" s="26" t="n">
        <x:v>7000</x:v>
      </x:c>
      <x:c r="G543" s="27" t="n">
        <x:v>5</x:v>
      </x:c>
      <x:c r="H543" s="27" t="n">
        <x:v>4000</x:v>
      </x:c>
      <x:c r="I543" s="2" t="str">
        <x:v>D23</x:v>
      </x:c>
      <x:c r="J543" s="2" t="str">
        <x:v>Terraced House</x:v>
      </x:c>
      <x:c r="K543" s="28" t="n">
        <x:v>8791.25436571432</x:v>
      </x:c>
      <x:c r="L543" s="30" t="str">
        <x:v>All declared hard requirements pass. Reported rent SGD 7000/month; bedrooms 5; area 4000.0 sqft; D23; Terraced House. Reported area of 4,000 sqft matches the original strong-fit 4,000-sqft anchor. Rent of SGD 6,900-7,000 is the accepted trade-off under the space-first preference.</x:v>
      </x:c>
      <x:c r="M543" s="31" t="str">
        <x:v>No</x:v>
      </x:c>
      <x:c r="N543" s="30" t="str"/>
      <x:c r="O543" s="30" t="str">
        <x:v>https://www.propertyguru.com.sg/listing/for-rent-pavilion-park-500210327</x:v>
      </x:c>
    </x:row>
    <x:row r="544" ht="63" customHeight="1">
      <x:c r="A544" s="2" t="str">
        <x:v>S10</x:v>
      </x:c>
      <x:c r="B544" s="2" t="str">
        <x:v>S10-E03</x:v>
      </x:c>
      <x:c r="C544" s="2" t="str">
        <x:v>18758626</x:v>
      </x:c>
      <x:c r="D544" s="2" t="str">
        <x:v>Added</x:v>
      </x:c>
      <x:c r="E544" s="2" t="n">
        <x:v>3</x:v>
      </x:c>
      <x:c r="F544" s="26" t="n">
        <x:v>7000</x:v>
      </x:c>
      <x:c r="G544" s="27" t="n">
        <x:v>5</x:v>
      </x:c>
      <x:c r="H544" s="27" t="n">
        <x:v>4000</x:v>
      </x:c>
      <x:c r="I544" s="2" t="str">
        <x:v>D28</x:v>
      </x:c>
      <x:c r="J544" s="2" t="str">
        <x:v>Semi-Detached House</x:v>
      </x:c>
      <x:c r="K544" s="28"/>
      <x:c r="L544" s="30" t="str">
        <x:v>All declared hard requirements pass. Reported rent SGD 7000/month; bedrooms 5; area 4000.0 sqft; D28; Semi-Detached House. Reported area of 4,000 sqft matches the original strong-fit 4,000-sqft anchor. Rent of SGD 6,900-7,000 is the accepted trade-off under the space-first preference.</x:v>
      </x:c>
      <x:c r="M544" s="31" t="str">
        <x:v>No</x:v>
      </x:c>
      <x:c r="N544" s="30" t="str"/>
      <x:c r="O544" s="30" t="str">
        <x:v>https://www.propertyguru.com.sg/listing/for-rent-begonia-drive-18758626</x:v>
      </x:c>
    </x:row>
    <x:row r="545" ht="63" customHeight="1">
      <x:c r="A545" s="2" t="str">
        <x:v>S10</x:v>
      </x:c>
      <x:c r="B545" s="2" t="str">
        <x:v>S10-E04</x:v>
      </x:c>
      <x:c r="C545" s="2" t="str">
        <x:v>500267883</x:v>
      </x:c>
      <x:c r="D545" s="2" t="str">
        <x:v>Added</x:v>
      </x:c>
      <x:c r="E545" s="2" t="n">
        <x:v>3</x:v>
      </x:c>
      <x:c r="F545" s="26" t="n">
        <x:v>6900</x:v>
      </x:c>
      <x:c r="G545" s="27" t="n">
        <x:v>4</x:v>
      </x:c>
      <x:c r="H545" s="27" t="n">
        <x:v>4000</x:v>
      </x:c>
      <x:c r="I545" s="2" t="str">
        <x:v>D17</x:v>
      </x:c>
      <x:c r="J545" s="2" t="str">
        <x:v>Semi-Detached House</x:v>
      </x:c>
      <x:c r="K545" s="28"/>
      <x:c r="L545" s="30" t="str">
        <x:v>All declared hard requirements pass. Reported rent SGD 6900/month; bedrooms 4; area 4000.0 sqft; D17; Semi-Detached House. Reported area of 4,000 sqft matches the original strong-fit 4,000-sqft anchor. Rent of SGD 6,900-7,000 is the accepted trade-off under the space-first preference.</x:v>
      </x:c>
      <x:c r="M545" s="31" t="str">
        <x:v>No</x:v>
      </x:c>
      <x:c r="N545" s="30" t="str"/>
      <x:c r="O545" s="30" t="str">
        <x:v>https://www.propertyguru.com.sg/listing/for-rent-loyang-terrace-500267883</x:v>
      </x:c>
    </x:row>
    <x:row r="546" ht="63" customHeight="1">
      <x:c r="A546" s="2" t="str">
        <x:v>S11</x:v>
      </x:c>
      <x:c r="B546" s="2" t="str">
        <x:v>S11-E01</x:v>
      </x:c>
      <x:c r="C546" s="2" t="str">
        <x:v>25224990</x:v>
      </x:c>
      <x:c r="D546" s="2" t="str">
        <x:v>Added</x:v>
      </x:c>
      <x:c r="E546" s="2" t="n">
        <x:v>3</x:v>
      </x:c>
      <x:c r="F546" s="26" t="n">
        <x:v>3500</x:v>
      </x:c>
      <x:c r="G546" s="27" t="n">
        <x:v>2</x:v>
      </x:c>
      <x:c r="H546" s="27" t="n">
        <x:v>721</x:v>
      </x:c>
      <x:c r="I546" s="2" t="str">
        <x:v>D05</x:v>
      </x:c>
      <x:c r="J546" s="2" t="str">
        <x:v>HDB Flat</x:v>
      </x:c>
      <x:c r="K546" s="28" t="n">
        <x:v>1508.7901437560188</x:v>
      </x:c>
      <x:c r="L546" s="30" t="str">
        <x:v>All declared hard requirements pass. Reported rent SGD 3500/month; bedrooms 2; area 721.0 sqft; D05; HDB Flat. NUS straight-line distance 1508.79 m. About 1,509 m from NUS is close to the original 1,386-1,430 m strong-fit anchors. The rent at the cap is the secondary-price trade-off.</x:v>
      </x:c>
      <x:c r="M546" s="31" t="str">
        <x:v>No</x:v>
      </x:c>
      <x:c r="N546" s="30" t="str"/>
      <x:c r="O546" s="30" t="str">
        <x:v>https://www.propertyguru.com.sg/listing/hdb-for-rent-608-clementi-west-street-1-25224990</x:v>
      </x:c>
    </x:row>
    <x:row r="547" ht="78" customHeight="1">
      <x:c r="A547" s="2" t="str">
        <x:v>S11</x:v>
      </x:c>
      <x:c r="B547" s="2" t="str">
        <x:v>S11-E02</x:v>
      </x:c>
      <x:c r="C547" s="2" t="str">
        <x:v>23839651</x:v>
      </x:c>
      <x:c r="D547" s="2" t="str">
        <x:v>Added</x:v>
      </x:c>
      <x:c r="E547" s="2" t="n">
        <x:v>2</x:v>
      </x:c>
      <x:c r="F547" s="26" t="n">
        <x:v>1450</x:v>
      </x:c>
      <x:c r="G547" s="27" t="n">
        <x:v>1</x:v>
      </x:c>
      <x:c r="H547" s="27" t="n">
        <x:v>721</x:v>
      </x:c>
      <x:c r="I547" s="2" t="str">
        <x:v>D05</x:v>
      </x:c>
      <x:c r="J547" s="2" t="str">
        <x:v>HDB Flat</x:v>
      </x:c>
      <x:c r="K547" s="28" t="n">
        <x:v>2206.2104936862142</x:v>
      </x:c>
      <x:c r="L547" s="30" t="str">
        <x:v>All declared hard requirements pass. Reported rent SGD 1450/month; bedrooms 1; area 721.0 sqft; D05; HDB Flat. NUS straight-line distance 2206.21 m. About 2,206-2,212 m is farther than the closest strong-fit options. SGD 1,100-1,450 provides a substantial saving, consistent with the original distance-versus-price grade-2 trade-off.</x:v>
      </x:c>
      <x:c r="M547" s="31" t="str">
        <x:v>No</x:v>
      </x:c>
      <x:c r="N547" s="30" t="str"/>
      <x:c r="O547" s="30" t="str">
        <x:v>https://www.propertyguru.com.sg/listing/hdb-for-rent-701-west-coast-road-23839651</x:v>
      </x:c>
    </x:row>
    <x:row r="548" ht="63" customHeight="1">
      <x:c r="A548" s="2" t="str">
        <x:v>S11</x:v>
      </x:c>
      <x:c r="B548" s="2" t="str">
        <x:v>S11-E03</x:v>
      </x:c>
      <x:c r="C548" s="2" t="str">
        <x:v>500264398</x:v>
      </x:c>
      <x:c r="D548" s="2" t="str">
        <x:v>Added</x:v>
      </x:c>
      <x:c r="E548" s="2" t="n">
        <x:v>2</x:v>
      </x:c>
      <x:c r="F548" s="26" t="n">
        <x:v>3280</x:v>
      </x:c>
      <x:c r="G548" s="27" t="n">
        <x:v>1</x:v>
      </x:c>
      <x:c r="H548" s="27" t="n">
        <x:v>721</x:v>
      </x:c>
      <x:c r="I548" s="2" t="str">
        <x:v>D05</x:v>
      </x:c>
      <x:c r="J548" s="2" t="str">
        <x:v>HDB Flat</x:v>
      </x:c>
      <x:c r="K548" s="28" t="n">
        <x:v>1832.253806512411</x:v>
      </x:c>
      <x:c r="L548" s="30" t="str">
        <x:v>All declared hard requirements pass. Reported rent SGD 3280/month; bedrooms 1; area 721.0 sqft; D05; HDB Flat. NUS straight-line distance 1832.25 m. About 1,832-1,846 m at SGD 3,280-3,300 is consistent with the original grade-2 1,834-m, SGD 3,300 anchor.</x:v>
      </x:c>
      <x:c r="M548" s="31" t="str">
        <x:v>No</x:v>
      </x:c>
      <x:c r="N548" s="30" t="str"/>
      <x:c r="O548" s="30" t="str">
        <x:v>https://www.propertyguru.com.sg/listing/hdb-for-rent-728-clementi-west-street-2-500264398</x:v>
      </x:c>
    </x:row>
    <x:row r="549" ht="63" customHeight="1">
      <x:c r="A549" s="2" t="str">
        <x:v>S11</x:v>
      </x:c>
      <x:c r="B549" s="2" t="str">
        <x:v>S11-E04</x:v>
      </x:c>
      <x:c r="C549" s="2" t="str">
        <x:v>500280325</x:v>
      </x:c>
      <x:c r="D549" s="2" t="str">
        <x:v>Added</x:v>
      </x:c>
      <x:c r="E549" s="2" t="n">
        <x:v>2</x:v>
      </x:c>
      <x:c r="F549" s="26" t="n">
        <x:v>3300</x:v>
      </x:c>
      <x:c r="G549" s="27" t="n">
        <x:v>2</x:v>
      </x:c>
      <x:c r="H549" s="27" t="n">
        <x:v>732</x:v>
      </x:c>
      <x:c r="I549" s="2" t="str">
        <x:v>D05</x:v>
      </x:c>
      <x:c r="J549" s="2" t="str">
        <x:v>HDB Flat</x:v>
      </x:c>
      <x:c r="K549" s="28" t="n">
        <x:v>1845.7587374853515</x:v>
      </x:c>
      <x:c r="L549" s="30" t="str">
        <x:v>All declared hard requirements pass. Reported rent SGD 3300/month; bedrooms 2; area 732.0 sqft; D05; HDB Flat. NUS straight-line distance 1845.76 m. About 1,832-1,846 m at SGD 3,280-3,300 is consistent with the original grade-2 1,834-m, SGD 3,300 anchor.</x:v>
      </x:c>
      <x:c r="M549" s="31" t="str">
        <x:v>No</x:v>
      </x:c>
      <x:c r="N549" s="30" t="str"/>
      <x:c r="O549" s="30" t="str">
        <x:v>https://www.propertyguru.com.sg/listing/hdb-for-rent-715-clementi-west-street-2-500280325</x:v>
      </x:c>
    </x:row>
    <x:row r="550" ht="78" customHeight="1">
      <x:c r="A550" s="2" t="str">
        <x:v>S11</x:v>
      </x:c>
      <x:c r="B550" s="2" t="str">
        <x:v>S11-E05</x:v>
      </x:c>
      <x:c r="C550" s="2" t="str">
        <x:v>500226876</x:v>
      </x:c>
      <x:c r="D550" s="2" t="str">
        <x:v>Added</x:v>
      </x:c>
      <x:c r="E550" s="2" t="n">
        <x:v>2</x:v>
      </x:c>
      <x:c r="F550" s="26" t="n">
        <x:v>1100</x:v>
      </x:c>
      <x:c r="G550" s="27" t="n">
        <x:v>1</x:v>
      </x:c>
      <x:c r="H550" s="27" t="n">
        <x:v>118</x:v>
      </x:c>
      <x:c r="I550" s="2" t="str">
        <x:v>D10</x:v>
      </x:c>
      <x:c r="J550" s="2" t="str">
        <x:v>HDB Flat</x:v>
      </x:c>
      <x:c r="K550" s="28" t="n">
        <x:v>2212.1666126829746</x:v>
      </x:c>
      <x:c r="L550" s="30" t="str">
        <x:v>All declared hard requirements pass. Reported rent SGD 1100/month; bedrooms 1; area 118.0 sqft; D10; HDB Flat. NUS straight-line distance 2212.17 m. About 2,206-2,212 m is farther than the closest strong-fit options. SGD 1,100-1,450 provides a substantial saving, consistent with the original distance-versus-price grade-2 trade-off.</x:v>
      </x:c>
      <x:c r="M550" s="31" t="str">
        <x:v>No</x:v>
      </x:c>
      <x:c r="N550" s="30" t="str"/>
      <x:c r="O550" s="30" t="str">
        <x:v>https://www.propertyguru.com.sg/listing/hdb-for-rent-8-holland-avenue-500226876</x:v>
      </x:c>
    </x:row>
    <x:row r="551" ht="78" customHeight="1">
      <x:c r="A551" s="2" t="str">
        <x:v>S12</x:v>
      </x:c>
      <x:c r="B551" s="2" t="str">
        <x:v>S12-E01</x:v>
      </x:c>
      <x:c r="C551" s="2" t="str">
        <x:v>500267822</x:v>
      </x:c>
      <x:c r="D551" s="2" t="str">
        <x:v>Added</x:v>
      </x:c>
      <x:c r="E551" s="2" t="n">
        <x:v>3</x:v>
      </x:c>
      <x:c r="F551" s="26" t="n">
        <x:v>3880</x:v>
      </x:c>
      <x:c r="G551" s="27" t="n">
        <x:v>3</x:v>
      </x:c>
      <x:c r="H551" s="27" t="n">
        <x:v>980</x:v>
      </x:c>
      <x:c r="I551" s="2" t="str">
        <x:v>D05</x:v>
      </x:c>
      <x:c r="J551" s="2" t="str">
        <x:v>HDB Flat</x:v>
      </x:c>
      <x:c r="K551" s="28" t="n">
        <x:v>2815.889367253177</x:v>
      </x:c>
      <x:c r="L551" s="30" t="str">
        <x:v>All declared hard requirements pass. Reported rent SGD 3880/month; bedrooms 3; area 980.0 sqft; D05; HDB Flat. NUS straight-line distance 2815.89 m. The 900-sqft preference and hard NUS radius are met at SGD 3,800-3,980, close to the original strong-fit SGD 3,800 anchors and below the SGD 4,400 grade-2 size-matching option.</x:v>
      </x:c>
      <x:c r="M551" s="31" t="str">
        <x:v>No</x:v>
      </x:c>
      <x:c r="N551" s="30" t="str"/>
      <x:c r="O551" s="30" t="str">
        <x:v>https://www.propertyguru.com.sg/listing/hdb-for-rent-373-clementi-avenue-4-500267822</x:v>
      </x:c>
    </x:row>
    <x:row r="552" ht="78" customHeight="1">
      <x:c r="A552" s="2" t="str">
        <x:v>S12</x:v>
      </x:c>
      <x:c r="B552" s="2" t="str">
        <x:v>S12-E02</x:v>
      </x:c>
      <x:c r="C552" s="2" t="str">
        <x:v>18885948</x:v>
      </x:c>
      <x:c r="D552" s="2" t="str">
        <x:v>Added</x:v>
      </x:c>
      <x:c r="E552" s="2" t="n">
        <x:v>3</x:v>
      </x:c>
      <x:c r="F552" s="26" t="n">
        <x:v>3980</x:v>
      </x:c>
      <x:c r="G552" s="27" t="n">
        <x:v>3</x:v>
      </x:c>
      <x:c r="H552" s="27" t="n">
        <x:v>979</x:v>
      </x:c>
      <x:c r="I552" s="2" t="str">
        <x:v>D05</x:v>
      </x:c>
      <x:c r="J552" s="2" t="str">
        <x:v>HDB Flat</x:v>
      </x:c>
      <x:c r="K552" s="28" t="n">
        <x:v>2458.9986606885805</x:v>
      </x:c>
      <x:c r="L552" s="30" t="str">
        <x:v>All declared hard requirements pass. Reported rent SGD 3980/month; bedrooms 3; area 979.0 sqft; D05; HDB Flat. NUS straight-line distance 2459.00 m. The 900-sqft preference and hard NUS radius are met at SGD 3,800-3,980, close to the original strong-fit SGD 3,800 anchors and below the SGD 4,400 grade-2 size-matching option.</x:v>
      </x:c>
      <x:c r="M552" s="31" t="str">
        <x:v>No</x:v>
      </x:c>
      <x:c r="N552" s="30" t="str"/>
      <x:c r="O552" s="30" t="str">
        <x:v>https://www.propertyguru.com.sg/listing/hdb-for-rent-511-west-coast-drive-18885948</x:v>
      </x:c>
    </x:row>
    <x:row r="553" ht="78" customHeight="1">
      <x:c r="A553" s="2" t="str">
        <x:v>S12</x:v>
      </x:c>
      <x:c r="B553" s="2" t="str">
        <x:v>S12-E03</x:v>
      </x:c>
      <x:c r="C553" s="2" t="str">
        <x:v>23818798</x:v>
      </x:c>
      <x:c r="D553" s="2" t="str">
        <x:v>Added</x:v>
      </x:c>
      <x:c r="E553" s="2" t="n">
        <x:v>3</x:v>
      </x:c>
      <x:c r="F553" s="26" t="n">
        <x:v>3900</x:v>
      </x:c>
      <x:c r="G553" s="27" t="n">
        <x:v>3</x:v>
      </x:c>
      <x:c r="H553" s="27" t="n">
        <x:v>968</x:v>
      </x:c>
      <x:c r="I553" s="2" t="str">
        <x:v>D03</x:v>
      </x:c>
      <x:c r="J553" s="2" t="str">
        <x:v>HDB Flat</x:v>
      </x:c>
      <x:c r="K553" s="28" t="n">
        <x:v>3020.5968846542314</x:v>
      </x:c>
      <x:c r="L553" s="30" t="str">
        <x:v>All declared hard requirements pass. Reported rent SGD 3900/month; bedrooms 3; area 968.0 sqft; D03; HDB Flat. NUS straight-line distance 3020.60 m. The 900-sqft preference and hard NUS radius are met at SGD 3,800-3,980, close to the original strong-fit SGD 3,800 anchors and below the SGD 4,400 grade-2 size-matching option.</x:v>
      </x:c>
      <x:c r="M553" s="31" t="str">
        <x:v>No</x:v>
      </x:c>
      <x:c r="N553" s="30" t="str"/>
      <x:c r="O553" s="30" t="str">
        <x:v>https://www.propertyguru.com.sg/listing/hdb-for-rent-168a-queensway-23818798</x:v>
      </x:c>
    </x:row>
    <x:row r="554" ht="78" customHeight="1">
      <x:c r="A554" s="2" t="str">
        <x:v>S12</x:v>
      </x:c>
      <x:c r="B554" s="2" t="str">
        <x:v>S12-E04</x:v>
      </x:c>
      <x:c r="C554" s="2" t="str">
        <x:v>500251234</x:v>
      </x:c>
      <x:c r="D554" s="2" t="str">
        <x:v>Added</x:v>
      </x:c>
      <x:c r="E554" s="2" t="n">
        <x:v>3</x:v>
      </x:c>
      <x:c r="F554" s="26" t="n">
        <x:v>3900</x:v>
      </x:c>
      <x:c r="G554" s="27" t="n">
        <x:v>3</x:v>
      </x:c>
      <x:c r="H554" s="27" t="n">
        <x:v>1000</x:v>
      </x:c>
      <x:c r="I554" s="2" t="str">
        <x:v>D05</x:v>
      </x:c>
      <x:c r="J554" s="2" t="str">
        <x:v>HDB Flat</x:v>
      </x:c>
      <x:c r="K554" s="28" t="n">
        <x:v>2594.9125140835117</x:v>
      </x:c>
      <x:c r="L554" s="30" t="str">
        <x:v>All declared hard requirements pass. Reported rent SGD 3900/month; bedrooms 3; area 1000.0 sqft; D05; HDB Flat. NUS straight-line distance 2594.91 m. The 900-sqft preference and hard NUS radius are met at SGD 3,800-3,980, close to the original strong-fit SGD 3,800 anchors and below the SGD 4,400 grade-2 size-matching option.</x:v>
      </x:c>
      <x:c r="M554" s="31" t="str">
        <x:v>No</x:v>
      </x:c>
      <x:c r="N554" s="30" t="str"/>
      <x:c r="O554" s="30" t="str">
        <x:v>https://www.propertyguru.com.sg/listing/hdb-for-rent-506-west-coast-drive-500251234</x:v>
      </x:c>
    </x:row>
    <x:row r="555" ht="78" customHeight="1">
      <x:c r="A555" s="2" t="str">
        <x:v>S12</x:v>
      </x:c>
      <x:c r="B555" s="2" t="str">
        <x:v>S12-E05</x:v>
      </x:c>
      <x:c r="C555" s="2" t="str">
        <x:v>500265860</x:v>
      </x:c>
      <x:c r="D555" s="2" t="str">
        <x:v>Added</x:v>
      </x:c>
      <x:c r="E555" s="2" t="n">
        <x:v>3</x:v>
      </x:c>
      <x:c r="F555" s="26" t="n">
        <x:v>3800</x:v>
      </x:c>
      <x:c r="G555" s="27" t="n">
        <x:v>3</x:v>
      </x:c>
      <x:c r="H555" s="27" t="n">
        <x:v>1313</x:v>
      </x:c>
      <x:c r="I555" s="2" t="str">
        <x:v>D21</x:v>
      </x:c>
      <x:c r="J555" s="2" t="str">
        <x:v>HDB Flat</x:v>
      </x:c>
      <x:c r="K555" s="28" t="n">
        <x:v>4671.192981100681</x:v>
      </x:c>
      <x:c r="L555" s="30" t="str">
        <x:v>All declared hard requirements pass. Reported rent SGD 3800/month; bedrooms 3; area 1313.0 sqft; D21; HDB Flat. NUS straight-line distance 4671.19 m. The 900-sqft preference and hard NUS radius are met at SGD 3,800-3,980, close to the original strong-fit SGD 3,800 anchors and below the SGD 4,400 grade-2 size-matching option.</x:v>
      </x:c>
      <x:c r="M555" s="31" t="str">
        <x:v>No</x:v>
      </x:c>
      <x:c r="N555" s="30" t="str"/>
      <x:c r="O555" s="30" t="str">
        <x:v>https://www.propertyguru.com.sg/listing/hdb-for-rent-5-toh-yi-drive-500265860</x:v>
      </x:c>
    </x:row>
    <x:row r="556" ht="78" customHeight="1">
      <x:c r="A556" s="2" t="str">
        <x:v>S13</x:v>
      </x:c>
      <x:c r="B556" s="2" t="str">
        <x:v>S13-E01</x:v>
      </x:c>
      <x:c r="C556" s="2" t="str">
        <x:v>500240708</x:v>
      </x:c>
      <x:c r="D556" s="2" t="str">
        <x:v>Added</x:v>
      </x:c>
      <x:c r="E556" s="2" t="n">
        <x:v>2</x:v>
      </x:c>
      <x:c r="F556" s="26" t="n">
        <x:v>700</x:v>
      </x:c>
      <x:c r="G556" s="27" t="n">
        <x:v>1</x:v>
      </x:c>
      <x:c r="H556" s="27" t="n">
        <x:v>150</x:v>
      </x:c>
      <x:c r="I556" s="2" t="str">
        <x:v>D22</x:v>
      </x:c>
      <x:c r="J556" s="2" t="str">
        <x:v>HDB Flat</x:v>
      </x:c>
      <x:c r="K556" s="28" t="n">
        <x:v>4210.402349233456</x:v>
      </x:c>
      <x:c r="L556" s="30" t="str">
        <x:v>All declared hard requirements pass. Reported rent SGD 700/month; bedrooms 1; area 150.0 sqft; D22; HDB Flat. NUS straight-line distance 4210.40 m. About 3.8-4.3 km is a meaningful proximity shortfall against the approximately 1-2.5 km strong-fit anchors. Rent of SGD 700-1,300 offers a useful compensating saving.</x:v>
      </x:c>
      <x:c r="M556" s="31" t="str">
        <x:v>No</x:v>
      </x:c>
      <x:c r="N556" s="30" t="str"/>
      <x:c r="O556" s="30" t="str">
        <x:v>https://www.propertyguru.com.sg/listing/hdb-for-rent-412-pandan-gardens-500240708</x:v>
      </x:c>
    </x:row>
    <x:row r="557" ht="63" customHeight="1">
      <x:c r="A557" s="2" t="str">
        <x:v>S13</x:v>
      </x:c>
      <x:c r="B557" s="2" t="str">
        <x:v>S13-E02</x:v>
      </x:c>
      <x:c r="C557" s="2" t="str">
        <x:v>500285985</x:v>
      </x:c>
      <x:c r="D557" s="2" t="str">
        <x:v>Added</x:v>
      </x:c>
      <x:c r="E557" s="2" t="n">
        <x:v>3</x:v>
      </x:c>
      <x:c r="F557" s="26" t="n">
        <x:v>1400</x:v>
      </x:c>
      <x:c r="G557" s="27" t="n">
        <x:v>1</x:v>
      </x:c>
      <x:c r="H557" s="27" t="n">
        <x:v>1001</x:v>
      </x:c>
      <x:c r="I557" s="2" t="str">
        <x:v>D05</x:v>
      </x:c>
      <x:c r="J557" s="2" t="str">
        <x:v>HDB Flat</x:v>
      </x:c>
      <x:c r="K557" s="28" t="n">
        <x:v>2517.251762516317</x:v>
      </x:c>
      <x:c r="L557" s="30" t="str">
        <x:v>All declared hard requirements pass. Reported rent SGD 1400/month; bedrooms 1; area 1001.0 sqft; D05; HDB Flat. NUS straight-line distance 2517.25 m. About 2,517 m with SGD 1,400 rent remains a relatively close, affordable choice compared with the original approximately 2,200-m strong-fit anchors.</x:v>
      </x:c>
      <x:c r="M557" s="31" t="str">
        <x:v>No</x:v>
      </x:c>
      <x:c r="N557" s="30" t="str"/>
      <x:c r="O557" s="30" t="str">
        <x:v>https://www.propertyguru.com.sg/listing/hdb-for-rent-441b-clementi-avenue-3-500285985</x:v>
      </x:c>
    </x:row>
    <x:row r="558" ht="63" customHeight="1">
      <x:c r="A558" s="2" t="str">
        <x:v>S13</x:v>
      </x:c>
      <x:c r="B558" s="2" t="str">
        <x:v>S13-E03</x:v>
      </x:c>
      <x:c r="C558" s="2" t="str">
        <x:v>500266147</x:v>
      </x:c>
      <x:c r="D558" s="2" t="str">
        <x:v>Added</x:v>
      </x:c>
      <x:c r="E558" s="2" t="n">
        <x:v>2</x:v>
      </x:c>
      <x:c r="F558" s="26" t="n">
        <x:v>2998</x:v>
      </x:c>
      <x:c r="G558" s="27" t="n">
        <x:v>1</x:v>
      </x:c>
      <x:c r="H558" s="27" t="n">
        <x:v>495</x:v>
      </x:c>
      <x:c r="I558" s="2" t="str">
        <x:v>D03</x:v>
      </x:c>
      <x:c r="J558" s="2" t="str">
        <x:v>HDB Flat</x:v>
      </x:c>
      <x:c r="K558" s="28" t="n">
        <x:v>2702.753521571903</x:v>
      </x:c>
      <x:c r="L558" s="30" t="str">
        <x:v>All declared hard requirements pass. Reported rent SGD 2998/month; bedrooms 1; area 495.0 sqft; D03; HDB Flat. NUS straight-line distance 2702.75 m. About 2,703 m at almost the SGD 3,000 cap is comparable with the original grade-2 2,659-m, SGD 3,000 anchor.</x:v>
      </x:c>
      <x:c r="M558" s="31" t="str">
        <x:v>No</x:v>
      </x:c>
      <x:c r="N558" s="30" t="str"/>
      <x:c r="O558" s="30" t="str">
        <x:v>https://www.propertyguru.com.sg/listing/hdb-for-rent-81-commonwealth-close-500266147</x:v>
      </x:c>
    </x:row>
    <x:row r="559" ht="78" customHeight="1">
      <x:c r="A559" s="2" t="str">
        <x:v>S13</x:v>
      </x:c>
      <x:c r="B559" s="2" t="str">
        <x:v>S13-E04</x:v>
      </x:c>
      <x:c r="C559" s="2" t="str">
        <x:v>500283878</x:v>
      </x:c>
      <x:c r="D559" s="2" t="str">
        <x:v>Added</x:v>
      </x:c>
      <x:c r="E559" s="2" t="n">
        <x:v>2</x:v>
      </x:c>
      <x:c r="F559" s="26" t="n">
        <x:v>1000</x:v>
      </x:c>
      <x:c r="G559" s="27" t="n">
        <x:v>1</x:v>
      </x:c>
      <x:c r="H559" s="27" t="n">
        <x:v>861</x:v>
      </x:c>
      <x:c r="I559" s="2" t="str">
        <x:v>D03</x:v>
      </x:c>
      <x:c r="J559" s="2" t="str">
        <x:v>HDB Flat</x:v>
      </x:c>
      <x:c r="K559" s="28" t="n">
        <x:v>4328.130758386765</x:v>
      </x:c>
      <x:c r="L559" s="30" t="str">
        <x:v>All declared hard requirements pass. Reported rent SGD 1000/month; bedrooms 1; area 861.0 sqft; D03; HDB Flat. NUS straight-line distance 4328.13 m. About 3.8-4.3 km is a meaningful proximity shortfall against the approximately 1-2.5 km strong-fit anchors. Rent of SGD 700-1,300 offers a useful compensating saving.</x:v>
      </x:c>
      <x:c r="M559" s="31" t="str">
        <x:v>No</x:v>
      </x:c>
      <x:c r="N559" s="30" t="str"/>
      <x:c r="O559" s="30" t="str">
        <x:v>https://www.propertyguru.com.sg/listing/hdb-for-rent-63a-lengkok-bahru-500283878</x:v>
      </x:c>
    </x:row>
    <x:row r="560" ht="78" customHeight="1">
      <x:c r="A560" s="2" t="str">
        <x:v>S13</x:v>
      </x:c>
      <x:c r="B560" s="2" t="str">
        <x:v>S13-E05</x:v>
      </x:c>
      <x:c r="C560" s="2" t="str">
        <x:v>24636744</x:v>
      </x:c>
      <x:c r="D560" s="2" t="str">
        <x:v>Added</x:v>
      </x:c>
      <x:c r="E560" s="2" t="n">
        <x:v>2</x:v>
      </x:c>
      <x:c r="F560" s="26" t="n">
        <x:v>1300</x:v>
      </x:c>
      <x:c r="G560" s="27" t="n">
        <x:v>1</x:v>
      </x:c>
      <x:c r="H560" s="27" t="n">
        <x:v>100</x:v>
      </x:c>
      <x:c r="I560" s="2" t="str">
        <x:v>D03</x:v>
      </x:c>
      <x:c r="J560" s="2" t="str">
        <x:v>HDB Flat</x:v>
      </x:c>
      <x:c r="K560" s="28" t="n">
        <x:v>3811.14618983496</x:v>
      </x:c>
      <x:c r="L560" s="30" t="str">
        <x:v>All declared hard requirements pass. Reported rent SGD 1300/month; bedrooms 1; area 100.0 sqft; D03; HDB Flat. NUS straight-line distance 3811.15 m. About 3.8-4.3 km is a meaningful proximity shortfall against the approximately 1-2.5 km strong-fit anchors. Rent of SGD 700-1,300 offers a useful compensating saving.</x:v>
      </x:c>
      <x:c r="M560" s="31" t="str">
        <x:v>No</x:v>
      </x:c>
      <x:c r="N560" s="30" t="str"/>
      <x:c r="O560" s="30" t="str">
        <x:v>https://www.propertyguru.com.sg/listing/hdb-for-rent-93-dawson-road-24636744</x:v>
      </x:c>
    </x:row>
    <x:row r="561" ht="78" customHeight="1">
      <x:c r="A561" s="2" t="str">
        <x:v>S13</x:v>
      </x:c>
      <x:c r="B561" s="2" t="str">
        <x:v>S13-E06</x:v>
      </x:c>
      <x:c r="C561" s="2" t="str">
        <x:v>12620560</x:v>
      </x:c>
      <x:c r="D561" s="2" t="str">
        <x:v>Added</x:v>
      </x:c>
      <x:c r="E561" s="2" t="n">
        <x:v>2</x:v>
      </x:c>
      <x:c r="F561" s="26" t="n">
        <x:v>850</x:v>
      </x:c>
      <x:c r="G561" s="27" t="n">
        <x:v>1</x:v>
      </x:c>
      <x:c r="H561" s="27" t="n">
        <x:v>1291</x:v>
      </x:c>
      <x:c r="I561" s="2" t="str">
        <x:v>D10</x:v>
      </x:c>
      <x:c r="J561" s="2" t="str">
        <x:v>HDB Flat</x:v>
      </x:c>
      <x:c r="K561" s="28" t="n">
        <x:v>4025.366698820432</x:v>
      </x:c>
      <x:c r="L561" s="30" t="str">
        <x:v>All declared hard requirements pass. Reported rent SGD 850/month; bedrooms 1; area 1291.0 sqft; D10; HDB Flat. NUS straight-line distance 4025.37 m. About 3.8-4.3 km is a meaningful proximity shortfall against the approximately 1-2.5 km strong-fit anchors. Rent of SGD 700-1,300 offers a useful compensating saving.</x:v>
      </x:c>
      <x:c r="M561" s="31" t="str">
        <x:v>No</x:v>
      </x:c>
      <x:c r="N561" s="30" t="str"/>
      <x:c r="O561" s="30" t="str">
        <x:v>https://www.propertyguru.com.sg/listing/hdb-for-rent-1-queen-s-road-12620560</x:v>
      </x:c>
    </x:row>
    <x:row r="562" ht="78" customHeight="1">
      <x:c r="A562" s="2" t="str">
        <x:v>S14</x:v>
      </x:c>
      <x:c r="B562" s="2" t="str">
        <x:v>S14-E01</x:v>
      </x:c>
      <x:c r="C562" s="2" t="str">
        <x:v>500285985</x:v>
      </x:c>
      <x:c r="D562" s="2" t="str">
        <x:v>Added</x:v>
      </x:c>
      <x:c r="E562" s="2" t="n">
        <x:v>3</x:v>
      </x:c>
      <x:c r="F562" s="26" t="n">
        <x:v>1400</x:v>
      </x:c>
      <x:c r="G562" s="27" t="n">
        <x:v>1</x:v>
      </x:c>
      <x:c r="H562" s="27" t="n">
        <x:v>1001</x:v>
      </x:c>
      <x:c r="I562" s="2" t="str">
        <x:v>D05</x:v>
      </x:c>
      <x:c r="J562" s="2" t="str">
        <x:v>HDB Flat</x:v>
      </x:c>
      <x:c r="K562" s="28" t="n">
        <x:v>2517.251762516317</x:v>
      </x:c>
      <x:c r="L562" s="30" t="str">
        <x:v>All declared hard requirements pass. Reported rent SGD 1400/month; bedrooms 1; area 1001.0 sqft; D05; HDB Flat. NUS straight-line distance 2517.25 m. Rent of SGD 700-1,400 strongly supports the primary price preference, with a verified NUS distance of about 2.5-4.3 km. This is a stronger combined fit than the original cheap but approximately 9-17 km grade-2 options.</x:v>
      </x:c>
      <x:c r="M562" s="31" t="str">
        <x:v>No</x:v>
      </x:c>
      <x:c r="N562" s="30" t="str"/>
      <x:c r="O562" s="30" t="str">
        <x:v>https://www.propertyguru.com.sg/listing/hdb-for-rent-441b-clementi-avenue-3-500285985</x:v>
      </x:c>
    </x:row>
    <x:row r="563" ht="78" customHeight="1">
      <x:c r="A563" s="2" t="str">
        <x:v>S14</x:v>
      </x:c>
      <x:c r="B563" s="2" t="str">
        <x:v>S14-E02</x:v>
      </x:c>
      <x:c r="C563" s="2" t="str">
        <x:v>500240708</x:v>
      </x:c>
      <x:c r="D563" s="2" t="str">
        <x:v>Added</x:v>
      </x:c>
      <x:c r="E563" s="2" t="n">
        <x:v>3</x:v>
      </x:c>
      <x:c r="F563" s="26" t="n">
        <x:v>700</x:v>
      </x:c>
      <x:c r="G563" s="27" t="n">
        <x:v>1</x:v>
      </x:c>
      <x:c r="H563" s="27" t="n">
        <x:v>150</x:v>
      </x:c>
      <x:c r="I563" s="2" t="str">
        <x:v>D22</x:v>
      </x:c>
      <x:c r="J563" s="2" t="str">
        <x:v>HDB Flat</x:v>
      </x:c>
      <x:c r="K563" s="28" t="n">
        <x:v>4210.402349233456</x:v>
      </x:c>
      <x:c r="L563" s="30" t="str">
        <x:v>All declared hard requirements pass. Reported rent SGD 700/month; bedrooms 1; area 150.0 sqft; D22; HDB Flat. NUS straight-line distance 4210.40 m. Rent of SGD 700-1,400 strongly supports the primary price preference, with a verified NUS distance of about 2.5-4.3 km. This is a stronger combined fit than the original cheap but approximately 9-17 km grade-2 options.</x:v>
      </x:c>
      <x:c r="M563" s="31" t="str">
        <x:v>No</x:v>
      </x:c>
      <x:c r="N563" s="30" t="str"/>
      <x:c r="O563" s="30" t="str">
        <x:v>https://www.propertyguru.com.sg/listing/hdb-for-rent-412-pandan-gardens-500240708</x:v>
      </x:c>
    </x:row>
    <x:row r="564" ht="78" customHeight="1">
      <x:c r="A564" s="2" t="str">
        <x:v>S14</x:v>
      </x:c>
      <x:c r="B564" s="2" t="str">
        <x:v>S14-E03</x:v>
      </x:c>
      <x:c r="C564" s="2" t="str">
        <x:v>500283878</x:v>
      </x:c>
      <x:c r="D564" s="2" t="str">
        <x:v>Added</x:v>
      </x:c>
      <x:c r="E564" s="2" t="n">
        <x:v>3</x:v>
      </x:c>
      <x:c r="F564" s="26" t="n">
        <x:v>1000</x:v>
      </x:c>
      <x:c r="G564" s="27" t="n">
        <x:v>1</x:v>
      </x:c>
      <x:c r="H564" s="27" t="n">
        <x:v>861</x:v>
      </x:c>
      <x:c r="I564" s="2" t="str">
        <x:v>D03</x:v>
      </x:c>
      <x:c r="J564" s="2" t="str">
        <x:v>HDB Flat</x:v>
      </x:c>
      <x:c r="K564" s="28" t="n">
        <x:v>4328.130758386765</x:v>
      </x:c>
      <x:c r="L564" s="30" t="str">
        <x:v>All declared hard requirements pass. Reported rent SGD 1000/month; bedrooms 1; area 861.0 sqft; D03; HDB Flat. NUS straight-line distance 4328.13 m. Rent of SGD 700-1,400 strongly supports the primary price preference, with a verified NUS distance of about 2.5-4.3 km. This is a stronger combined fit than the original cheap but approximately 9-17 km grade-2 options.</x:v>
      </x:c>
      <x:c r="M564" s="31" t="str">
        <x:v>No</x:v>
      </x:c>
      <x:c r="N564" s="30" t="str"/>
      <x:c r="O564" s="30" t="str">
        <x:v>https://www.propertyguru.com.sg/listing/hdb-for-rent-63a-lengkok-bahru-500283878</x:v>
      </x:c>
    </x:row>
    <x:row r="565" ht="78" customHeight="1">
      <x:c r="A565" s="2" t="str">
        <x:v>S14</x:v>
      </x:c>
      <x:c r="B565" s="2" t="str">
        <x:v>S14-E04</x:v>
      </x:c>
      <x:c r="C565" s="2" t="str">
        <x:v>12620560</x:v>
      </x:c>
      <x:c r="D565" s="2" t="str">
        <x:v>Added</x:v>
      </x:c>
      <x:c r="E565" s="2" t="n">
        <x:v>3</x:v>
      </x:c>
      <x:c r="F565" s="26" t="n">
        <x:v>850</x:v>
      </x:c>
      <x:c r="G565" s="27" t="n">
        <x:v>1</x:v>
      </x:c>
      <x:c r="H565" s="27" t="n">
        <x:v>1291</x:v>
      </x:c>
      <x:c r="I565" s="2" t="str">
        <x:v>D10</x:v>
      </x:c>
      <x:c r="J565" s="2" t="str">
        <x:v>HDB Flat</x:v>
      </x:c>
      <x:c r="K565" s="28" t="n">
        <x:v>4025.366698820432</x:v>
      </x:c>
      <x:c r="L565" s="30" t="str">
        <x:v>All declared hard requirements pass. Reported rent SGD 850/month; bedrooms 1; area 1291.0 sqft; D10; HDB Flat. NUS straight-line distance 4025.37 m. Rent of SGD 700-1,400 strongly supports the primary price preference, with a verified NUS distance of about 2.5-4.3 km. This is a stronger combined fit than the original cheap but approximately 9-17 km grade-2 options.</x:v>
      </x:c>
      <x:c r="M565" s="31" t="str">
        <x:v>No</x:v>
      </x:c>
      <x:c r="N565" s="30" t="str"/>
      <x:c r="O565" s="30" t="str">
        <x:v>https://www.propertyguru.com.sg/listing/hdb-for-rent-1-queen-s-road-12620560</x:v>
      </x:c>
    </x:row>
    <x:row r="566" ht="78" customHeight="1">
      <x:c r="A566" s="2" t="str">
        <x:v>S14</x:v>
      </x:c>
      <x:c r="B566" s="2" t="str">
        <x:v>S14-E05</x:v>
      </x:c>
      <x:c r="C566" s="2" t="str">
        <x:v>500266147</x:v>
      </x:c>
      <x:c r="D566" s="2" t="str">
        <x:v>Added</x:v>
      </x:c>
      <x:c r="E566" s="2" t="n">
        <x:v>1</x:v>
      </x:c>
      <x:c r="F566" s="26" t="n">
        <x:v>2998</x:v>
      </x:c>
      <x:c r="G566" s="27" t="n">
        <x:v>1</x:v>
      </x:c>
      <x:c r="H566" s="27" t="n">
        <x:v>495</x:v>
      </x:c>
      <x:c r="I566" s="2" t="str">
        <x:v>D03</x:v>
      </x:c>
      <x:c r="J566" s="2" t="str">
        <x:v>HDB Flat</x:v>
      </x:c>
      <x:c r="K566" s="28" t="n">
        <x:v>2702.753521571903</x:v>
      </x:c>
      <x:c r="L566" s="30" t="str">
        <x:v>All declared hard requirements pass. Reported rent SGD 2998/month; bedrooms 1; area 495.0 sqft; D03; HDB Flat. NUS straight-line distance 2702.75 m. Rent of SGD 2,998 is near the cap. Proximity of about 2,703 m does not replace the primary saving preference, consistent with the original expensive near-campus grade-1 anchors.</x:v>
      </x:c>
      <x:c r="M566" s="31" t="str">
        <x:v>No</x:v>
      </x:c>
      <x:c r="N566" s="30" t="str"/>
      <x:c r="O566" s="30" t="str">
        <x:v>https://www.propertyguru.com.sg/listing/hdb-for-rent-81-commonwealth-close-500266147</x:v>
      </x:c>
    </x:row>
    <x:row r="567" ht="78" customHeight="1">
      <x:c r="A567" s="2" t="str">
        <x:v>S14</x:v>
      </x:c>
      <x:c r="B567" s="2" t="str">
        <x:v>S14-E06</x:v>
      </x:c>
      <x:c r="C567" s="2" t="str">
        <x:v>24636744</x:v>
      </x:c>
      <x:c r="D567" s="2" t="str">
        <x:v>Added</x:v>
      </x:c>
      <x:c r="E567" s="2" t="n">
        <x:v>3</x:v>
      </x:c>
      <x:c r="F567" s="26" t="n">
        <x:v>1300</x:v>
      </x:c>
      <x:c r="G567" s="27" t="n">
        <x:v>1</x:v>
      </x:c>
      <x:c r="H567" s="27" t="n">
        <x:v>100</x:v>
      </x:c>
      <x:c r="I567" s="2" t="str">
        <x:v>D03</x:v>
      </x:c>
      <x:c r="J567" s="2" t="str">
        <x:v>HDB Flat</x:v>
      </x:c>
      <x:c r="K567" s="28" t="n">
        <x:v>3811.14618983496</x:v>
      </x:c>
      <x:c r="L567" s="30" t="str">
        <x:v>All declared hard requirements pass. Reported rent SGD 1300/month; bedrooms 1; area 100.0 sqft; D03; HDB Flat. NUS straight-line distance 3811.15 m. Rent of SGD 700-1,400 strongly supports the primary price preference, with a verified NUS distance of about 2.5-4.3 km. This is a stronger combined fit than the original cheap but approximately 9-17 km grade-2 options.</x:v>
      </x:c>
      <x:c r="M567" s="31" t="str">
        <x:v>No</x:v>
      </x:c>
      <x:c r="N567" s="30" t="str"/>
      <x:c r="O567" s="30" t="str">
        <x:v>https://www.propertyguru.com.sg/listing/hdb-for-rent-93-dawson-road-24636744</x:v>
      </x:c>
    </x:row>
    <x:row r="568" ht="63" customHeight="1">
      <x:c r="A568" s="2" t="str">
        <x:v>S15</x:v>
      </x:c>
      <x:c r="B568" s="2" t="str">
        <x:v>S15-E01</x:v>
      </x:c>
      <x:c r="C568" s="2" t="str">
        <x:v>23500375</x:v>
      </x:c>
      <x:c r="D568" s="2" t="str">
        <x:v>Added</x:v>
      </x:c>
      <x:c r="E568" s="2" t="n">
        <x:v>3</x:v>
      </x:c>
      <x:c r="F568" s="26" t="n">
        <x:v>4600</x:v>
      </x:c>
      <x:c r="G568" s="27" t="n">
        <x:v>2</x:v>
      </x:c>
      <x:c r="H568" s="27" t="n">
        <x:v>1098</x:v>
      </x:c>
      <x:c r="I568" s="2" t="str">
        <x:v>D05</x:v>
      </x:c>
      <x:c r="J568" s="2" t="str">
        <x:v>Condominium</x:v>
      </x:c>
      <x:c r="K568" s="28" t="n">
        <x:v>1235.2174194317417</x:v>
      </x:c>
      <x:c r="L568" s="30" t="str">
        <x:v>All declared hard requirements pass. Reported rent SGD 4600/month; bedrooms 2; area 1098.0 sqft; D05; Condominium. Both D05 and at least 1,000 sqft are met. Rent and bedrooms pass their mandatory limits; no additional price preference was stated.</x:v>
      </x:c>
      <x:c r="M568" s="31" t="str">
        <x:v>No</x:v>
      </x:c>
      <x:c r="N568" s="30" t="str"/>
      <x:c r="O568" s="30" t="str">
        <x:v>https://www.propertyguru.com.sg/listing/for-rent-westcove-condo-23500375</x:v>
      </x:c>
    </x:row>
    <x:row r="569" ht="63" customHeight="1">
      <x:c r="A569" s="2" t="str">
        <x:v>S15</x:v>
      </x:c>
      <x:c r="B569" s="2" t="str">
        <x:v>S15-E02</x:v>
      </x:c>
      <x:c r="C569" s="2" t="str">
        <x:v>20599188</x:v>
      </x:c>
      <x:c r="D569" s="2" t="str">
        <x:v>Added</x:v>
      </x:c>
      <x:c r="E569" s="2" t="n">
        <x:v>3</x:v>
      </x:c>
      <x:c r="F569" s="26" t="n">
        <x:v>4500</x:v>
      </x:c>
      <x:c r="G569" s="27" t="n">
        <x:v>3</x:v>
      </x:c>
      <x:c r="H569" s="27" t="n">
        <x:v>1335</x:v>
      </x:c>
      <x:c r="I569" s="2" t="str">
        <x:v>D05</x:v>
      </x:c>
      <x:c r="J569" s="2" t="str">
        <x:v>HDB Flat</x:v>
      </x:c>
      <x:c r="K569" s="28" t="n">
        <x:v>1243.631418274724</x:v>
      </x:c>
      <x:c r="L569" s="30" t="str">
        <x:v>All declared hard requirements pass. Reported rent SGD 4500/month; bedrooms 3; area 1335.0 sqft; D05; HDB Flat. Both D05 and at least 1,000 sqft are met. Rent and bedrooms pass their mandatory limits; no additional price preference was stated.</x:v>
      </x:c>
      <x:c r="M569" s="31" t="str">
        <x:v>No</x:v>
      </x:c>
      <x:c r="N569" s="30" t="str"/>
      <x:c r="O569" s="30" t="str">
        <x:v>https://www.propertyguru.com.sg/listing/hdb-for-rent-28d-dover-crescent-20599188</x:v>
      </x:c>
    </x:row>
    <x:row r="570" ht="63" customHeight="1">
      <x:c r="A570" s="2" t="str">
        <x:v>S15</x:v>
      </x:c>
      <x:c r="B570" s="2" t="str">
        <x:v>S15-E03</x:v>
      </x:c>
      <x:c r="C570" s="2" t="str">
        <x:v>24178763</x:v>
      </x:c>
      <x:c r="D570" s="2" t="str">
        <x:v>Added</x:v>
      </x:c>
      <x:c r="E570" s="2" t="n">
        <x:v>3</x:v>
      </x:c>
      <x:c r="F570" s="26" t="n">
        <x:v>4500</x:v>
      </x:c>
      <x:c r="G570" s="27" t="n">
        <x:v>3</x:v>
      </x:c>
      <x:c r="H570" s="27" t="n">
        <x:v>1184</x:v>
      </x:c>
      <x:c r="I570" s="2" t="str">
        <x:v>D05</x:v>
      </x:c>
      <x:c r="J570" s="2" t="str">
        <x:v>HDB Flat</x:v>
      </x:c>
      <x:c r="K570" s="28" t="n">
        <x:v>2023.085796573696</x:v>
      </x:c>
      <x:c r="L570" s="30" t="str">
        <x:v>All declared hard requirements pass. Reported rent SGD 4500/month; bedrooms 3; area 1184.0 sqft; D05; HDB Flat. Both D05 and at least 1,000 sqft are met. Rent and bedrooms pass their mandatory limits; no additional price preference was stated.</x:v>
      </x:c>
      <x:c r="M570" s="31" t="str">
        <x:v>No</x:v>
      </x:c>
      <x:c r="N570" s="30" t="str"/>
      <x:c r="O570" s="30" t="str">
        <x:v>https://www.propertyguru.com.sg/listing/hdb-for-rent-459-clementi-avenue-3-24178763</x:v>
      </x:c>
    </x:row>
    <x:row r="571" ht="63" customHeight="1">
      <x:c r="A571" s="2" t="str">
        <x:v>S15</x:v>
      </x:c>
      <x:c r="B571" s="2" t="str">
        <x:v>S15-E04</x:v>
      </x:c>
      <x:c r="C571" s="2" t="str">
        <x:v>23509141</x:v>
      </x:c>
      <x:c r="D571" s="2" t="str">
        <x:v>Added</x:v>
      </x:c>
      <x:c r="E571" s="2" t="n">
        <x:v>3</x:v>
      </x:c>
      <x:c r="F571" s="26" t="n">
        <x:v>3988</x:v>
      </x:c>
      <x:c r="G571" s="27" t="n">
        <x:v>3</x:v>
      </x:c>
      <x:c r="H571" s="27" t="n">
        <x:v>1270</x:v>
      </x:c>
      <x:c r="I571" s="2" t="str">
        <x:v>D05</x:v>
      </x:c>
      <x:c r="J571" s="2" t="str">
        <x:v>HDB Flat</x:v>
      </x:c>
      <x:c r="K571" s="28" t="n">
        <x:v>1829.3043762785262</x:v>
      </x:c>
      <x:c r="L571" s="30" t="str">
        <x:v>All declared hard requirements pass. Reported rent SGD 3988/month; bedrooms 3; area 1270.0 sqft; D05; HDB Flat. Both D05 and at least 1,000 sqft are met. Rent and bedrooms pass their mandatory limits; no additional price preference was stated.</x:v>
      </x:c>
      <x:c r="M571" s="31" t="str">
        <x:v>No</x:v>
      </x:c>
      <x:c r="N571" s="30" t="str"/>
      <x:c r="O571" s="30" t="str">
        <x:v>https://www.propertyguru.com.sg/listing/hdb-for-rent-717-clementi-west-street-2-23509141</x:v>
      </x:c>
    </x:row>
    <x:row r="572" ht="63" customHeight="1">
      <x:c r="A572" s="2" t="str">
        <x:v>S15</x:v>
      </x:c>
      <x:c r="B572" s="2" t="str">
        <x:v>S15-E05</x:v>
      </x:c>
      <x:c r="C572" s="2" t="str">
        <x:v>24981163</x:v>
      </x:c>
      <x:c r="D572" s="2" t="str">
        <x:v>Added</x:v>
      </x:c>
      <x:c r="E572" s="2" t="n">
        <x:v>3</x:v>
      </x:c>
      <x:c r="F572" s="26" t="n">
        <x:v>3800</x:v>
      </x:c>
      <x:c r="G572" s="27" t="n">
        <x:v>3</x:v>
      </x:c>
      <x:c r="H572" s="27" t="n">
        <x:v>1012</x:v>
      </x:c>
      <x:c r="I572" s="2" t="str">
        <x:v>D05</x:v>
      </x:c>
      <x:c r="J572" s="2" t="str">
        <x:v>HDB Flat</x:v>
      </x:c>
      <x:c r="K572" s="28" t="n">
        <x:v>2694.4217191512757</x:v>
      </x:c>
      <x:c r="L572" s="30" t="str">
        <x:v>All declared hard requirements pass. Reported rent SGD 3800/month; bedrooms 3; area 1012.0 sqft; D05; HDB Flat. Both D05 and at least 1,000 sqft are met. Rent and bedrooms pass their mandatory limits; no additional price preference was stated.</x:v>
      </x:c>
      <x:c r="M572" s="31" t="str">
        <x:v>No</x:v>
      </x:c>
      <x:c r="N572" s="30" t="str"/>
      <x:c r="O572" s="30" t="str">
        <x:v>https://www.propertyguru.com.sg/listing/hdb-for-rent-381-clementi-avenue-5-24981163</x:v>
      </x:c>
    </x:row>
    <x:row r="573" ht="63" customHeight="1">
      <x:c r="A573" s="2" t="str">
        <x:v>S16</x:v>
      </x:c>
      <x:c r="B573" s="2" t="str">
        <x:v>S16-E01</x:v>
      </x:c>
      <x:c r="C573" s="2" t="str">
        <x:v>23500375</x:v>
      </x:c>
      <x:c r="D573" s="2" t="str">
        <x:v>Added</x:v>
      </x:c>
      <x:c r="E573" s="2" t="n">
        <x:v>3</x:v>
      </x:c>
      <x:c r="F573" s="26" t="n">
        <x:v>4600</x:v>
      </x:c>
      <x:c r="G573" s="27" t="n">
        <x:v>2</x:v>
      </x:c>
      <x:c r="H573" s="27" t="n">
        <x:v>1098</x:v>
      </x:c>
      <x:c r="I573" s="2" t="str">
        <x:v>D05</x:v>
      </x:c>
      <x:c r="J573" s="2" t="str">
        <x:v>Condominium</x:v>
      </x:c>
      <x:c r="K573" s="28" t="n">
        <x:v>1235.2174194317417</x:v>
      </x:c>
      <x:c r="L573" s="30" t="str">
        <x:v>All declared hard requirements pass. Reported rent SGD 4600/month; bedrooms 2; area 1098.0 sqft; D05; Condominium. Both the primary 1,000-sqft preference and secondary D05 preference are met. Rent and bedrooms pass their mandatory limits.</x:v>
      </x:c>
      <x:c r="M573" s="31" t="str">
        <x:v>No</x:v>
      </x:c>
      <x:c r="N573" s="30" t="str"/>
      <x:c r="O573" s="30" t="str">
        <x:v>https://www.propertyguru.com.sg/listing/for-rent-westcove-condo-23500375</x:v>
      </x:c>
    </x:row>
    <x:row r="574" ht="63" customHeight="1">
      <x:c r="A574" s="2" t="str">
        <x:v>S16</x:v>
      </x:c>
      <x:c r="B574" s="2" t="str">
        <x:v>S16-E02</x:v>
      </x:c>
      <x:c r="C574" s="2" t="str">
        <x:v>24981163</x:v>
      </x:c>
      <x:c r="D574" s="2" t="str">
        <x:v>Added</x:v>
      </x:c>
      <x:c r="E574" s="2" t="n">
        <x:v>3</x:v>
      </x:c>
      <x:c r="F574" s="26" t="n">
        <x:v>3800</x:v>
      </x:c>
      <x:c r="G574" s="27" t="n">
        <x:v>3</x:v>
      </x:c>
      <x:c r="H574" s="27" t="n">
        <x:v>1012</x:v>
      </x:c>
      <x:c r="I574" s="2" t="str">
        <x:v>D05</x:v>
      </x:c>
      <x:c r="J574" s="2" t="str">
        <x:v>HDB Flat</x:v>
      </x:c>
      <x:c r="K574" s="28" t="n">
        <x:v>2694.4217191512757</x:v>
      </x:c>
      <x:c r="L574" s="30" t="str">
        <x:v>All declared hard requirements pass. Reported rent SGD 3800/month; bedrooms 3; area 1012.0 sqft; D05; HDB Flat. Both the primary 1,000-sqft preference and secondary D05 preference are met. Rent and bedrooms pass their mandatory limits.</x:v>
      </x:c>
      <x:c r="M574" s="31" t="str">
        <x:v>No</x:v>
      </x:c>
      <x:c r="N574" s="30" t="str"/>
      <x:c r="O574" s="30" t="str">
        <x:v>https://www.propertyguru.com.sg/listing/hdb-for-rent-381-clementi-avenue-5-24981163</x:v>
      </x:c>
    </x:row>
    <x:row r="575" ht="63" customHeight="1">
      <x:c r="A575" s="2" t="str">
        <x:v>S16</x:v>
      </x:c>
      <x:c r="B575" s="2" t="str">
        <x:v>S16-E03</x:v>
      </x:c>
      <x:c r="C575" s="2" t="str">
        <x:v>20599188</x:v>
      </x:c>
      <x:c r="D575" s="2" t="str">
        <x:v>Added</x:v>
      </x:c>
      <x:c r="E575" s="2" t="n">
        <x:v>3</x:v>
      </x:c>
      <x:c r="F575" s="26" t="n">
        <x:v>4500</x:v>
      </x:c>
      <x:c r="G575" s="27" t="n">
        <x:v>3</x:v>
      </x:c>
      <x:c r="H575" s="27" t="n">
        <x:v>1335</x:v>
      </x:c>
      <x:c r="I575" s="2" t="str">
        <x:v>D05</x:v>
      </x:c>
      <x:c r="J575" s="2" t="str">
        <x:v>HDB Flat</x:v>
      </x:c>
      <x:c r="K575" s="28" t="n">
        <x:v>1243.631418274724</x:v>
      </x:c>
      <x:c r="L575" s="30" t="str">
        <x:v>All declared hard requirements pass. Reported rent SGD 4500/month; bedrooms 3; area 1335.0 sqft; D05; HDB Flat. Both the primary 1,000-sqft preference and secondary D05 preference are met. Rent and bedrooms pass their mandatory limits.</x:v>
      </x:c>
      <x:c r="M575" s="31" t="str">
        <x:v>No</x:v>
      </x:c>
      <x:c r="N575" s="30" t="str"/>
      <x:c r="O575" s="30" t="str">
        <x:v>https://www.propertyguru.com.sg/listing/hdb-for-rent-28d-dover-crescent-20599188</x:v>
      </x:c>
    </x:row>
    <x:row r="576" ht="63" customHeight="1">
      <x:c r="A576" s="2" t="str">
        <x:v>S16</x:v>
      </x:c>
      <x:c r="B576" s="2" t="str">
        <x:v>S16-E04</x:v>
      </x:c>
      <x:c r="C576" s="2" t="str">
        <x:v>23509141</x:v>
      </x:c>
      <x:c r="D576" s="2" t="str">
        <x:v>Added</x:v>
      </x:c>
      <x:c r="E576" s="2" t="n">
        <x:v>3</x:v>
      </x:c>
      <x:c r="F576" s="26" t="n">
        <x:v>3988</x:v>
      </x:c>
      <x:c r="G576" s="27" t="n">
        <x:v>3</x:v>
      </x:c>
      <x:c r="H576" s="27" t="n">
        <x:v>1270</x:v>
      </x:c>
      <x:c r="I576" s="2" t="str">
        <x:v>D05</x:v>
      </x:c>
      <x:c r="J576" s="2" t="str">
        <x:v>HDB Flat</x:v>
      </x:c>
      <x:c r="K576" s="28" t="n">
        <x:v>1829.3043762785262</x:v>
      </x:c>
      <x:c r="L576" s="30" t="str">
        <x:v>All declared hard requirements pass. Reported rent SGD 3988/month; bedrooms 3; area 1270.0 sqft; D05; HDB Flat. Both the primary 1,000-sqft preference and secondary D05 preference are met. Rent and bedrooms pass their mandatory limits.</x:v>
      </x:c>
      <x:c r="M576" s="31" t="str">
        <x:v>No</x:v>
      </x:c>
      <x:c r="N576" s="30" t="str"/>
      <x:c r="O576" s="30" t="str">
        <x:v>https://www.propertyguru.com.sg/listing/hdb-for-rent-717-clementi-west-street-2-23509141</x:v>
      </x:c>
    </x:row>
    <x:row r="577" ht="63" customHeight="1">
      <x:c r="A577" s="2" t="str">
        <x:v>S16</x:v>
      </x:c>
      <x:c r="B577" s="2" t="str">
        <x:v>S16-E05</x:v>
      </x:c>
      <x:c r="C577" s="2" t="str">
        <x:v>24178763</x:v>
      </x:c>
      <x:c r="D577" s="2" t="str">
        <x:v>Added</x:v>
      </x:c>
      <x:c r="E577" s="2" t="n">
        <x:v>3</x:v>
      </x:c>
      <x:c r="F577" s="26" t="n">
        <x:v>4500</x:v>
      </x:c>
      <x:c r="G577" s="27" t="n">
        <x:v>3</x:v>
      </x:c>
      <x:c r="H577" s="27" t="n">
        <x:v>1184</x:v>
      </x:c>
      <x:c r="I577" s="2" t="str">
        <x:v>D05</x:v>
      </x:c>
      <x:c r="J577" s="2" t="str">
        <x:v>HDB Flat</x:v>
      </x:c>
      <x:c r="K577" s="28" t="n">
        <x:v>2023.085796573696</x:v>
      </x:c>
      <x:c r="L577" s="30" t="str">
        <x:v>All declared hard requirements pass. Reported rent SGD 4500/month; bedrooms 3; area 1184.0 sqft; D05; HDB Flat. Both the primary 1,000-sqft preference and secondary D05 preference are met. Rent and bedrooms pass their mandatory limits.</x:v>
      </x:c>
      <x:c r="M577" s="31" t="str">
        <x:v>No</x:v>
      </x:c>
      <x:c r="N577" s="30" t="str"/>
      <x:c r="O577" s="30" t="str">
        <x:v>https://www.propertyguru.com.sg/listing/hdb-for-rent-459-clementi-avenue-3-24178763</x:v>
      </x:c>
    </x:row>
    <x:row r="578" ht="63" customHeight="1">
      <x:c r="A578" s="2" t="str">
        <x:v>S18</x:v>
      </x:c>
      <x:c r="B578" s="2" t="str">
        <x:v>S18-E01</x:v>
      </x:c>
      <x:c r="C578" s="2" t="str">
        <x:v>500259048</x:v>
      </x:c>
      <x:c r="D578" s="2" t="str">
        <x:v>Added</x:v>
      </x:c>
      <x:c r="E578" s="2" t="n">
        <x:v>2</x:v>
      </x:c>
      <x:c r="F578" s="26" t="n">
        <x:v>1300</x:v>
      </x:c>
      <x:c r="G578" s="27" t="n">
        <x:v>3</x:v>
      </x:c>
      <x:c r="H578" s="27" t="n">
        <x:v>732</x:v>
      </x:c>
      <x:c r="I578" s="2" t="str">
        <x:v>D12</x:v>
      </x:c>
      <x:c r="J578" s="2" t="str">
        <x:v>HDB Flat</x:v>
      </x:c>
      <x:c r="K578" s="28" t="n">
        <x:v>10501.92359659816</x:v>
      </x:c>
      <x:c r="L578" s="30" t="str">
        <x:v>All declared hard requirements pass. Reported rent SGD 1300/month; bedrooms 3; area 732.0 sqft; D12; HDB Flat. Rent of SGD 1,100-1,450 gives substantial savings against the SGD 3,000 cap but is above the original SGD 450-950 strong-fit anchors. No removed district preference is retained.</x:v>
      </x:c>
      <x:c r="M578" s="31" t="str">
        <x:v>No</x:v>
      </x:c>
      <x:c r="N578" s="30" t="str"/>
      <x:c r="O578" s="30" t="str">
        <x:v>https://www.propertyguru.com.sg/listing/hdb-for-rent-63-kallang-bahru-500259048</x:v>
      </x:c>
    </x:row>
    <x:row r="579" ht="63" customHeight="1">
      <x:c r="A579" s="2" t="str">
        <x:v>S18</x:v>
      </x:c>
      <x:c r="B579" s="2" t="str">
        <x:v>S18-E02</x:v>
      </x:c>
      <x:c r="C579" s="2" t="str">
        <x:v>25209933</x:v>
      </x:c>
      <x:c r="D579" s="2" t="str">
        <x:v>Added</x:v>
      </x:c>
      <x:c r="E579" s="2" t="n">
        <x:v>2</x:v>
      </x:c>
      <x:c r="F579" s="26" t="n">
        <x:v>1150</x:v>
      </x:c>
      <x:c r="G579" s="27" t="n">
        <x:v>3</x:v>
      </x:c>
      <x:c r="H579" s="27" t="n">
        <x:v>190</x:v>
      </x:c>
      <x:c r="I579" s="2" t="str">
        <x:v>D23</x:v>
      </x:c>
      <x:c r="J579" s="2" t="str">
        <x:v>HDB Flat</x:v>
      </x:c>
      <x:c r="K579" s="28" t="n">
        <x:v>5787.38197288111</x:v>
      </x:c>
      <x:c r="L579" s="30" t="str">
        <x:v>All declared hard requirements pass. Reported rent SGD 1150/month; bedrooms 3; area 190.0 sqft; D23; HDB Flat. Rent of SGD 1,100-1,450 gives substantial savings against the SGD 3,000 cap but is above the original SGD 450-950 strong-fit anchors. No removed district preference is retained.</x:v>
      </x:c>
      <x:c r="M579" s="31" t="str">
        <x:v>Yes</x:v>
      </x:c>
      <x:c r="N579" s="30" t="str">
        <x:v>At least 2 reported bedrooms with &lt;200 sqft; verify room/whole-unit scope and units.</x:v>
      </x:c>
      <x:c r="O579" s="30" t="str">
        <x:v>https://www.propertyguru.com.sg/listing/hdb-for-rent-288g-bukit-batok-street-25-25209933</x:v>
      </x:c>
    </x:row>
    <x:row r="580" ht="63" customHeight="1">
      <x:c r="A580" s="2" t="str">
        <x:v>S18</x:v>
      </x:c>
      <x:c r="B580" s="2" t="str">
        <x:v>S18-E03</x:v>
      </x:c>
      <x:c r="C580" s="2" t="str">
        <x:v>500269618</x:v>
      </x:c>
      <x:c r="D580" s="2" t="str">
        <x:v>Added</x:v>
      </x:c>
      <x:c r="E580" s="2" t="n">
        <x:v>2</x:v>
      </x:c>
      <x:c r="F580" s="26" t="n">
        <x:v>1100</x:v>
      </x:c>
      <x:c r="G580" s="27" t="n">
        <x:v>3</x:v>
      </x:c>
      <x:c r="H580" s="27" t="n">
        <x:v>947</x:v>
      </x:c>
      <x:c r="I580" s="2" t="str">
        <x:v>D20</x:v>
      </x:c>
      <x:c r="J580" s="2" t="str">
        <x:v>HDB Flat</x:v>
      </x:c>
      <x:c r="K580" s="28" t="n">
        <x:v>9322.678441856815</x:v>
      </x:c>
      <x:c r="L580" s="30" t="str">
        <x:v>All declared hard requirements pass. Reported rent SGD 1100/month; bedrooms 3; area 947.0 sqft; D20; HDB Flat. Rent of SGD 1,100-1,450 gives substantial savings against the SGD 3,000 cap but is above the original SGD 450-950 strong-fit anchors. No removed district preference is retained.</x:v>
      </x:c>
      <x:c r="M580" s="31" t="str">
        <x:v>No</x:v>
      </x:c>
      <x:c r="N580" s="30" t="str"/>
      <x:c r="O580" s="30" t="str">
        <x:v>https://www.propertyguru.com.sg/listing/hdb-for-rent-25-sin-ming-road-500269618</x:v>
      </x:c>
    </x:row>
    <x:row r="581" ht="63" customHeight="1">
      <x:c r="A581" s="2" t="str">
        <x:v>S18</x:v>
      </x:c>
      <x:c r="B581" s="2" t="str">
        <x:v>S18-E04</x:v>
      </x:c>
      <x:c r="C581" s="2" t="str">
        <x:v>25280571</x:v>
      </x:c>
      <x:c r="D581" s="2" t="str">
        <x:v>Added</x:v>
      </x:c>
      <x:c r="E581" s="2" t="n">
        <x:v>2</x:v>
      </x:c>
      <x:c r="F581" s="26" t="n">
        <x:v>1200</x:v>
      </x:c>
      <x:c r="G581" s="27" t="n">
        <x:v>2</x:v>
      </x:c>
      <x:c r="H581" s="27" t="n">
        <x:v>300</x:v>
      </x:c>
      <x:c r="I581" s="2" t="str">
        <x:v>D08</x:v>
      </x:c>
      <x:c r="J581" s="2" t="str">
        <x:v>HDB Flat</x:v>
      </x:c>
      <x:c r="K581" s="28" t="n">
        <x:v>8155.196101310262</x:v>
      </x:c>
      <x:c r="L581" s="30" t="str">
        <x:v>All declared hard requirements pass. Reported rent SGD 1200/month; bedrooms 2; area 300.0 sqft; D08; HDB Flat. Rent of SGD 1,100-1,450 gives substantial savings against the SGD 3,000 cap but is above the original SGD 450-950 strong-fit anchors. No removed district preference is retained.</x:v>
      </x:c>
      <x:c r="M581" s="31" t="str">
        <x:v>No</x:v>
      </x:c>
      <x:c r="N581" s="30" t="str"/>
      <x:c r="O581" s="30" t="str">
        <x:v>https://www.propertyguru.com.sg/listing/hdb-for-rent-661-buffalo-road-25280571</x:v>
      </x:c>
    </x:row>
    <x:row r="582" ht="63" customHeight="1">
      <x:c r="A582" s="2" t="str">
        <x:v>S18</x:v>
      </x:c>
      <x:c r="B582" s="2" t="str">
        <x:v>S18-E05</x:v>
      </x:c>
      <x:c r="C582" s="2" t="str">
        <x:v>25549139</x:v>
      </x:c>
      <x:c r="D582" s="2" t="str">
        <x:v>Added</x:v>
      </x:c>
      <x:c r="E582" s="2" t="n">
        <x:v>2</x:v>
      </x:c>
      <x:c r="F582" s="26" t="n">
        <x:v>1150</x:v>
      </x:c>
      <x:c r="G582" s="27" t="n">
        <x:v>6</x:v>
      </x:c>
      <x:c r="H582" s="27" t="n">
        <x:v>120</x:v>
      </x:c>
      <x:c r="I582" s="2" t="str">
        <x:v>D22</x:v>
      </x:c>
      <x:c r="J582" s="2" t="str">
        <x:v>Condominium</x:v>
      </x:c>
      <x:c r="K582" s="28"/>
      <x:c r="L582" s="30" t="str">
        <x:v>All declared hard requirements pass. Reported rent SGD 1150/month; bedrooms 6; area 120.0 sqft; D22; Condominium. Rent of SGD 1,100-1,450 gives substantial savings against the SGD 3,000 cap but is above the original SGD 450-950 strong-fit anchors. No removed district preference is retained.</x:v>
      </x:c>
      <x:c r="M582" s="31" t="str">
        <x:v>Yes</x:v>
      </x:c>
      <x:c r="N582" s="30" t="str">
        <x:v>At least 2 reported bedrooms with &lt;200 sqft; verify room/whole-unit scope and units.</x:v>
      </x:c>
      <x:c r="O582" s="30" t="str">
        <x:v>https://www.propertyguru.com.sg/listing/for-rent-parc-oasis-25549139</x:v>
      </x:c>
    </x:row>
    <x:row r="583" ht="63" customHeight="1">
      <x:c r="A583" s="2" t="str">
        <x:v>S18</x:v>
      </x:c>
      <x:c r="B583" s="2" t="str">
        <x:v>S18-E06</x:v>
      </x:c>
      <x:c r="C583" s="2" t="str">
        <x:v>500127611</x:v>
      </x:c>
      <x:c r="D583" s="2" t="str">
        <x:v>Added</x:v>
      </x:c>
      <x:c r="E583" s="2" t="n">
        <x:v>2</x:v>
      </x:c>
      <x:c r="F583" s="26" t="n">
        <x:v>1450</x:v>
      </x:c>
      <x:c r="G583" s="27" t="n">
        <x:v>2</x:v>
      </x:c>
      <x:c r="H583" s="27" t="n">
        <x:v>100</x:v>
      </x:c>
      <x:c r="I583" s="2" t="str">
        <x:v>D10</x:v>
      </x:c>
      <x:c r="J583" s="2" t="str">
        <x:v>Walk-up Apartment</x:v>
      </x:c>
      <x:c r="K583" s="28"/>
      <x:c r="L583" s="30" t="str">
        <x:v>All declared hard requirements pass. Reported rent SGD 1450/month; bedrooms 2; area 100.0 sqft; D10; Walk-up Apartment. Rent of SGD 1,100-1,450 gives substantial savings against the SGD 3,000 cap but is above the original SGD 450-950 strong-fit anchors. No removed district preference is retained.</x:v>
      </x:c>
      <x:c r="M583" s="31" t="str">
        <x:v>Yes</x:v>
      </x:c>
      <x:c r="N583" s="30" t="str">
        <x:v>At least 2 reported bedrooms with &lt;200 sqft; verify room/whole-unit scope and units.</x:v>
      </x:c>
      <x:c r="O583" s="30" t="str">
        <x:v>https://www.propertyguru.com.sg/listing/for-rent-sixth-avenue-walk-up-apartment-500127611</x:v>
      </x:c>
    </x:row>
  </x:sheetData>
  <x:conditionalFormatting sqref="M7:M583">
    <x:cfRule type="cellIs" dxfId="1" priority="1" operator="equal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c205ea36504f30"/>
  </x:tableParts>
</x:worksheet>
</file>